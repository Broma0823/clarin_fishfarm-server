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  <Override PartName="/xl/commentsmeta12" ContentType="application/binary"/>
  <Override PartName="/xl/commentsmeta13" ContentType="application/binary"/>
  <Override PartName="/xl/commentsmeta14" ContentType="application/binary"/>
  <Override PartName="/xl/commentsmeta15" ContentType="application/binary"/>
  <Override PartName="/xl/commentsmeta16" ContentType="application/binary"/>
  <Override PartName="/xl/commentsmeta17" ContentType="application/binary"/>
  <Override PartName="/xl/commentsmeta18" ContentType="application/binary"/>
  <Override PartName="/xl/commentsmeta19" ContentType="application/binary"/>
  <Override PartName="/xl/commentsmeta20" ContentType="application/binary"/>
  <Override PartName="/xl/commentsmeta2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phet\Downloads\"/>
    </mc:Choice>
  </mc:AlternateContent>
  <xr:revisionPtr revIDLastSave="0" documentId="13_ncr:1_{C4DDCFFD-ED22-46FF-B9E2-33294EEEB45E}" xr6:coauthVersionLast="47" xr6:coauthVersionMax="47" xr10:uidLastSave="{00000000-0000-0000-0000-000000000000}"/>
  <bookViews>
    <workbookView xWindow="1080" yWindow="2055" windowWidth="21600" windowHeight="11295" firstSheet="15" activeTab="19" xr2:uid="{00000000-000D-0000-FFFF-FFFF00000000}"/>
  </bookViews>
  <sheets>
    <sheet name="January 2020" sheetId="1" r:id="rId1"/>
    <sheet name="January (Group)" sheetId="2" r:id="rId2"/>
    <sheet name="February 2020" sheetId="3" r:id="rId3"/>
    <sheet name="February (Group)" sheetId="4" r:id="rId4"/>
    <sheet name="March 2020" sheetId="5" r:id="rId5"/>
    <sheet name="March (Group)" sheetId="6" r:id="rId6"/>
    <sheet name="April 2020" sheetId="7" r:id="rId7"/>
    <sheet name="April (Group)" sheetId="8" r:id="rId8"/>
    <sheet name="May 2020" sheetId="9" r:id="rId9"/>
    <sheet name="May (Group)" sheetId="10" r:id="rId10"/>
    <sheet name="June 2020" sheetId="11" r:id="rId11"/>
    <sheet name="June (Group)" sheetId="12" r:id="rId12"/>
    <sheet name="July (Group)" sheetId="13" r:id="rId13"/>
    <sheet name="July 2020" sheetId="14" r:id="rId14"/>
    <sheet name="August 2020" sheetId="15" r:id="rId15"/>
    <sheet name="August (Group)" sheetId="16" r:id="rId16"/>
    <sheet name="September 2020" sheetId="17" r:id="rId17"/>
    <sheet name="September (Group)" sheetId="18" r:id="rId18"/>
    <sheet name="October 2020" sheetId="19" r:id="rId19"/>
    <sheet name="October (Group)" sheetId="20" r:id="rId20"/>
    <sheet name="November 2020" sheetId="21" r:id="rId21"/>
    <sheet name="November (Group)" sheetId="22" r:id="rId22"/>
    <sheet name="December 2020" sheetId="23" r:id="rId23"/>
    <sheet name="December (Group)" sheetId="24" r:id="rId24"/>
    <sheet name="TARGET &amp; SAAD" sheetId="25" r:id="rId25"/>
    <sheet name="SUMMARY" sheetId="26" r:id="rId26"/>
    <sheet name="Monthly Production" sheetId="27" r:id="rId27"/>
    <sheet name="Province of Bohol" sheetId="28" r:id="rId28"/>
    <sheet name="Sheet1" sheetId="29" r:id="rId29"/>
    <sheet name="Region 7 Tilapia Production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4" roundtripDataChecksum="U2+Ekoc8usGlBVUEDLoX35QbrjhOaUbgz4AaIhpLslA="/>
    </ext>
  </extLst>
</workbook>
</file>

<file path=xl/calcChain.xml><?xml version="1.0" encoding="utf-8"?>
<calcChain xmlns="http://schemas.openxmlformats.org/spreadsheetml/2006/main">
  <c r="G16" i="30" l="1"/>
  <c r="F16" i="30"/>
  <c r="D16" i="30"/>
  <c r="B16" i="30"/>
  <c r="E15" i="30"/>
  <c r="C15" i="30"/>
  <c r="E14" i="30"/>
  <c r="C14" i="30"/>
  <c r="E13" i="30"/>
  <c r="C13" i="30"/>
  <c r="E12" i="30"/>
  <c r="C12" i="30"/>
  <c r="E11" i="30"/>
  <c r="C11" i="30"/>
  <c r="E10" i="30"/>
  <c r="C10" i="30"/>
  <c r="E9" i="30"/>
  <c r="C9" i="30"/>
  <c r="E8" i="30"/>
  <c r="C8" i="30"/>
  <c r="E7" i="30"/>
  <c r="C7" i="30"/>
  <c r="E6" i="30"/>
  <c r="C6" i="30"/>
  <c r="E5" i="30"/>
  <c r="C5" i="30"/>
  <c r="E4" i="30"/>
  <c r="E16" i="30" s="1"/>
  <c r="C4" i="30"/>
  <c r="C16" i="30" s="1"/>
  <c r="B17" i="30" s="1"/>
  <c r="N87" i="29"/>
  <c r="M87" i="29"/>
  <c r="L87" i="29"/>
  <c r="K87" i="29"/>
  <c r="J87" i="29"/>
  <c r="I87" i="29"/>
  <c r="H87" i="29"/>
  <c r="G87" i="29"/>
  <c r="F87" i="29"/>
  <c r="E87" i="29"/>
  <c r="D87" i="29"/>
  <c r="C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87" i="29" s="1"/>
  <c r="N50" i="29"/>
  <c r="M50" i="29"/>
  <c r="L50" i="29"/>
  <c r="K50" i="29"/>
  <c r="J50" i="29"/>
  <c r="I50" i="29"/>
  <c r="H50" i="29"/>
  <c r="G50" i="29"/>
  <c r="F50" i="29"/>
  <c r="E50" i="29"/>
  <c r="D50" i="29"/>
  <c r="C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50" i="29" s="1"/>
  <c r="O37" i="29"/>
  <c r="O36" i="29"/>
  <c r="O35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18" i="29" s="1"/>
  <c r="N10" i="27"/>
  <c r="P9" i="27"/>
  <c r="O9" i="27"/>
  <c r="N9" i="27"/>
  <c r="N8" i="27"/>
  <c r="N7" i="27"/>
  <c r="N6" i="27"/>
  <c r="K5" i="27"/>
  <c r="J5" i="27"/>
  <c r="I5" i="27"/>
  <c r="H5" i="27"/>
  <c r="G5" i="27"/>
  <c r="F5" i="27"/>
  <c r="E5" i="27"/>
  <c r="D5" i="27"/>
  <c r="C5" i="27"/>
  <c r="B5" i="27"/>
  <c r="N5" i="27" s="1"/>
  <c r="P5" i="27" s="1"/>
  <c r="N4" i="27"/>
  <c r="O4" i="27" s="1"/>
  <c r="P4" i="27" s="1"/>
  <c r="C177" i="26"/>
  <c r="B177" i="26"/>
  <c r="D177" i="26" s="1"/>
  <c r="G176" i="26"/>
  <c r="D176" i="26"/>
  <c r="E176" i="26" s="1"/>
  <c r="G175" i="26"/>
  <c r="E175" i="26" s="1"/>
  <c r="D175" i="26"/>
  <c r="G174" i="26"/>
  <c r="D174" i="26"/>
  <c r="E174" i="26" s="1"/>
  <c r="D173" i="26"/>
  <c r="G173" i="26" s="1"/>
  <c r="G172" i="26"/>
  <c r="D172" i="26"/>
  <c r="E172" i="26" s="1"/>
  <c r="G171" i="26"/>
  <c r="E171" i="26" s="1"/>
  <c r="D171" i="26"/>
  <c r="G170" i="26"/>
  <c r="D170" i="26"/>
  <c r="E170" i="26" s="1"/>
  <c r="D169" i="26"/>
  <c r="G169" i="26" s="1"/>
  <c r="G168" i="26"/>
  <c r="D168" i="26"/>
  <c r="E168" i="26" s="1"/>
  <c r="G167" i="26"/>
  <c r="E167" i="26" s="1"/>
  <c r="D167" i="26"/>
  <c r="G166" i="26"/>
  <c r="D166" i="26"/>
  <c r="E166" i="26" s="1"/>
  <c r="D165" i="26"/>
  <c r="G165" i="26" s="1"/>
  <c r="G164" i="26"/>
  <c r="D164" i="26"/>
  <c r="E164" i="26" s="1"/>
  <c r="G163" i="26"/>
  <c r="E163" i="26" s="1"/>
  <c r="D163" i="26"/>
  <c r="G162" i="26"/>
  <c r="D162" i="26"/>
  <c r="E162" i="26" s="1"/>
  <c r="D161" i="26"/>
  <c r="G161" i="26" s="1"/>
  <c r="G160" i="26"/>
  <c r="D160" i="26"/>
  <c r="E160" i="26" s="1"/>
  <c r="G159" i="26"/>
  <c r="E159" i="26" s="1"/>
  <c r="D159" i="26"/>
  <c r="G158" i="26"/>
  <c r="D158" i="26"/>
  <c r="E158" i="26" s="1"/>
  <c r="D157" i="26"/>
  <c r="G157" i="26" s="1"/>
  <c r="G156" i="26"/>
  <c r="D156" i="26"/>
  <c r="E156" i="26" s="1"/>
  <c r="G155" i="26"/>
  <c r="E155" i="26" s="1"/>
  <c r="D155" i="26"/>
  <c r="G154" i="26"/>
  <c r="D154" i="26"/>
  <c r="E154" i="26" s="1"/>
  <c r="D153" i="26"/>
  <c r="G153" i="26" s="1"/>
  <c r="G152" i="26"/>
  <c r="D152" i="26"/>
  <c r="E152" i="26" s="1"/>
  <c r="G151" i="26"/>
  <c r="E151" i="26" s="1"/>
  <c r="D151" i="26"/>
  <c r="G150" i="26"/>
  <c r="D150" i="26"/>
  <c r="E150" i="26" s="1"/>
  <c r="D149" i="26"/>
  <c r="G149" i="26" s="1"/>
  <c r="G148" i="26"/>
  <c r="D148" i="26"/>
  <c r="E148" i="26" s="1"/>
  <c r="G147" i="26"/>
  <c r="E147" i="26" s="1"/>
  <c r="D147" i="26"/>
  <c r="G146" i="26"/>
  <c r="D146" i="26"/>
  <c r="E146" i="26" s="1"/>
  <c r="D145" i="26"/>
  <c r="G145" i="26" s="1"/>
  <c r="G144" i="26"/>
  <c r="D144" i="26"/>
  <c r="E144" i="26" s="1"/>
  <c r="G143" i="26"/>
  <c r="E143" i="26" s="1"/>
  <c r="D143" i="26"/>
  <c r="G142" i="26"/>
  <c r="D142" i="26"/>
  <c r="E142" i="26" s="1"/>
  <c r="D141" i="26"/>
  <c r="G141" i="26" s="1"/>
  <c r="G140" i="26"/>
  <c r="D140" i="26"/>
  <c r="E140" i="26" s="1"/>
  <c r="G139" i="26"/>
  <c r="E139" i="26" s="1"/>
  <c r="D139" i="26"/>
  <c r="G138" i="26"/>
  <c r="D138" i="26"/>
  <c r="E138" i="26" s="1"/>
  <c r="D137" i="26"/>
  <c r="G137" i="26" s="1"/>
  <c r="G136" i="26"/>
  <c r="D136" i="26"/>
  <c r="E136" i="26" s="1"/>
  <c r="G135" i="26"/>
  <c r="E135" i="26" s="1"/>
  <c r="D135" i="26"/>
  <c r="G134" i="26"/>
  <c r="D134" i="26"/>
  <c r="E134" i="26" s="1"/>
  <c r="D133" i="26"/>
  <c r="G133" i="26" s="1"/>
  <c r="G132" i="26"/>
  <c r="D132" i="26"/>
  <c r="E132" i="26" s="1"/>
  <c r="G131" i="26"/>
  <c r="E131" i="26" s="1"/>
  <c r="D131" i="26"/>
  <c r="G130" i="26"/>
  <c r="D130" i="26"/>
  <c r="E130" i="26" s="1"/>
  <c r="D129" i="26"/>
  <c r="G129" i="26" s="1"/>
  <c r="G128" i="26"/>
  <c r="D128" i="26"/>
  <c r="E128" i="26" s="1"/>
  <c r="G127" i="26"/>
  <c r="E127" i="26" s="1"/>
  <c r="D127" i="26"/>
  <c r="G126" i="26"/>
  <c r="D126" i="26"/>
  <c r="E126" i="26" s="1"/>
  <c r="D125" i="26"/>
  <c r="G125" i="26" s="1"/>
  <c r="G124" i="26"/>
  <c r="D124" i="26"/>
  <c r="E124" i="26" s="1"/>
  <c r="G123" i="26"/>
  <c r="E123" i="26" s="1"/>
  <c r="D123" i="26"/>
  <c r="G122" i="26"/>
  <c r="D122" i="26"/>
  <c r="E122" i="26" s="1"/>
  <c r="D121" i="26"/>
  <c r="G121" i="26" s="1"/>
  <c r="G120" i="26"/>
  <c r="D120" i="26"/>
  <c r="E120" i="26" s="1"/>
  <c r="G119" i="26"/>
  <c r="E119" i="26" s="1"/>
  <c r="D119" i="26"/>
  <c r="G118" i="26"/>
  <c r="D118" i="26"/>
  <c r="E118" i="26" s="1"/>
  <c r="D117" i="26"/>
  <c r="G117" i="26" s="1"/>
  <c r="G116" i="26"/>
  <c r="D116" i="26"/>
  <c r="E116" i="26" s="1"/>
  <c r="G115" i="26"/>
  <c r="E115" i="26" s="1"/>
  <c r="D115" i="26"/>
  <c r="D114" i="26"/>
  <c r="G114" i="26" s="1"/>
  <c r="D113" i="26"/>
  <c r="G113" i="26" s="1"/>
  <c r="G112" i="26"/>
  <c r="D112" i="26"/>
  <c r="E112" i="26" s="1"/>
  <c r="G111" i="26"/>
  <c r="E111" i="26" s="1"/>
  <c r="D111" i="26"/>
  <c r="G110" i="26"/>
  <c r="D110" i="26"/>
  <c r="E110" i="26" s="1"/>
  <c r="D109" i="26"/>
  <c r="G109" i="26" s="1"/>
  <c r="G108" i="26"/>
  <c r="D108" i="26"/>
  <c r="E108" i="26" s="1"/>
  <c r="G107" i="26"/>
  <c r="E107" i="26" s="1"/>
  <c r="D107" i="26"/>
  <c r="D106" i="26"/>
  <c r="G106" i="26" s="1"/>
  <c r="D105" i="26"/>
  <c r="G105" i="26" s="1"/>
  <c r="G104" i="26"/>
  <c r="D104" i="26"/>
  <c r="E104" i="26" s="1"/>
  <c r="G103" i="26"/>
  <c r="E103" i="26" s="1"/>
  <c r="D103" i="26"/>
  <c r="D102" i="26"/>
  <c r="G102" i="26" s="1"/>
  <c r="D101" i="26"/>
  <c r="G101" i="26" s="1"/>
  <c r="G100" i="26"/>
  <c r="D100" i="26"/>
  <c r="E100" i="26" s="1"/>
  <c r="G99" i="26"/>
  <c r="E99" i="26" s="1"/>
  <c r="D99" i="26"/>
  <c r="O89" i="26"/>
  <c r="N89" i="26"/>
  <c r="L89" i="26"/>
  <c r="M89" i="26" s="1"/>
  <c r="K89" i="26"/>
  <c r="I89" i="26"/>
  <c r="J89" i="26" s="1"/>
  <c r="H89" i="26"/>
  <c r="F89" i="26"/>
  <c r="E89" i="26"/>
  <c r="C89" i="26"/>
  <c r="B89" i="26"/>
  <c r="D89" i="26" s="1"/>
  <c r="P88" i="26"/>
  <c r="M88" i="26"/>
  <c r="J88" i="26"/>
  <c r="G88" i="26"/>
  <c r="D88" i="26"/>
  <c r="P87" i="26"/>
  <c r="M87" i="26"/>
  <c r="J87" i="26"/>
  <c r="G87" i="26"/>
  <c r="D87" i="26"/>
  <c r="P86" i="26"/>
  <c r="M86" i="26"/>
  <c r="J86" i="26"/>
  <c r="G86" i="26"/>
  <c r="D86" i="26"/>
  <c r="P85" i="26"/>
  <c r="M85" i="26"/>
  <c r="J85" i="26"/>
  <c r="G85" i="26"/>
  <c r="D85" i="26"/>
  <c r="P84" i="26"/>
  <c r="M84" i="26"/>
  <c r="J84" i="26"/>
  <c r="G84" i="26"/>
  <c r="D84" i="26"/>
  <c r="P83" i="26"/>
  <c r="M83" i="26"/>
  <c r="J83" i="26"/>
  <c r="G83" i="26"/>
  <c r="D83" i="26"/>
  <c r="P82" i="26"/>
  <c r="M82" i="26"/>
  <c r="J82" i="26"/>
  <c r="G82" i="26"/>
  <c r="D82" i="26"/>
  <c r="P81" i="26"/>
  <c r="M81" i="26"/>
  <c r="J81" i="26"/>
  <c r="G81" i="26"/>
  <c r="D81" i="26"/>
  <c r="P80" i="26"/>
  <c r="M80" i="26"/>
  <c r="J80" i="26"/>
  <c r="G80" i="26"/>
  <c r="D80" i="26"/>
  <c r="P79" i="26"/>
  <c r="M79" i="26"/>
  <c r="J79" i="26"/>
  <c r="G79" i="26"/>
  <c r="D79" i="26"/>
  <c r="P78" i="26"/>
  <c r="M78" i="26"/>
  <c r="J78" i="26"/>
  <c r="G78" i="26"/>
  <c r="D78" i="26"/>
  <c r="P77" i="26"/>
  <c r="M77" i="26"/>
  <c r="J77" i="26"/>
  <c r="G77" i="26"/>
  <c r="D77" i="26"/>
  <c r="P76" i="26"/>
  <c r="M76" i="26"/>
  <c r="J76" i="26"/>
  <c r="G76" i="26"/>
  <c r="D76" i="26"/>
  <c r="P75" i="26"/>
  <c r="M75" i="26"/>
  <c r="J75" i="26"/>
  <c r="G75" i="26"/>
  <c r="D75" i="26"/>
  <c r="P74" i="26"/>
  <c r="M74" i="26"/>
  <c r="J74" i="26"/>
  <c r="G74" i="26"/>
  <c r="D74" i="26"/>
  <c r="S73" i="26"/>
  <c r="P73" i="26"/>
  <c r="M73" i="26"/>
  <c r="J73" i="26"/>
  <c r="G73" i="26"/>
  <c r="D73" i="26"/>
  <c r="P72" i="26"/>
  <c r="M72" i="26"/>
  <c r="J72" i="26"/>
  <c r="G72" i="26"/>
  <c r="D72" i="26"/>
  <c r="P71" i="26"/>
  <c r="M71" i="26"/>
  <c r="J71" i="26"/>
  <c r="G71" i="26"/>
  <c r="D71" i="26"/>
  <c r="P70" i="26"/>
  <c r="M70" i="26"/>
  <c r="J70" i="26"/>
  <c r="G70" i="26"/>
  <c r="D70" i="26"/>
  <c r="P69" i="26"/>
  <c r="M69" i="26"/>
  <c r="J69" i="26"/>
  <c r="G69" i="26"/>
  <c r="D69" i="26"/>
  <c r="P68" i="26"/>
  <c r="M68" i="26"/>
  <c r="J68" i="26"/>
  <c r="G68" i="26"/>
  <c r="D68" i="26"/>
  <c r="P67" i="26"/>
  <c r="M67" i="26"/>
  <c r="J67" i="26"/>
  <c r="G67" i="26"/>
  <c r="D67" i="26"/>
  <c r="P66" i="26"/>
  <c r="M66" i="26"/>
  <c r="J66" i="26"/>
  <c r="G66" i="26"/>
  <c r="D66" i="26"/>
  <c r="P65" i="26"/>
  <c r="M65" i="26"/>
  <c r="J65" i="26"/>
  <c r="G65" i="26"/>
  <c r="D65" i="26"/>
  <c r="P64" i="26"/>
  <c r="M64" i="26"/>
  <c r="J64" i="26"/>
  <c r="G64" i="26"/>
  <c r="D64" i="26"/>
  <c r="P63" i="26"/>
  <c r="M63" i="26"/>
  <c r="J63" i="26"/>
  <c r="G63" i="26"/>
  <c r="D63" i="26"/>
  <c r="P62" i="26"/>
  <c r="M62" i="26"/>
  <c r="J62" i="26"/>
  <c r="G62" i="26"/>
  <c r="D62" i="26"/>
  <c r="P61" i="26"/>
  <c r="M61" i="26"/>
  <c r="J61" i="26"/>
  <c r="G61" i="26"/>
  <c r="D61" i="26"/>
  <c r="P60" i="26"/>
  <c r="M60" i="26"/>
  <c r="J60" i="26"/>
  <c r="G60" i="26"/>
  <c r="D60" i="26"/>
  <c r="P59" i="26"/>
  <c r="M59" i="26"/>
  <c r="J59" i="26"/>
  <c r="G59" i="26"/>
  <c r="D59" i="26"/>
  <c r="P58" i="26"/>
  <c r="S52" i="26" s="1"/>
  <c r="M58" i="26"/>
  <c r="J58" i="26"/>
  <c r="G58" i="26"/>
  <c r="D58" i="26"/>
  <c r="P57" i="26"/>
  <c r="M57" i="26"/>
  <c r="S49" i="26" s="1"/>
  <c r="J57" i="26"/>
  <c r="G57" i="26"/>
  <c r="D57" i="26"/>
  <c r="T16" i="26" s="1"/>
  <c r="P56" i="26"/>
  <c r="M56" i="26"/>
  <c r="J56" i="26"/>
  <c r="G56" i="26"/>
  <c r="D56" i="26"/>
  <c r="P55" i="26"/>
  <c r="M55" i="26"/>
  <c r="J55" i="26"/>
  <c r="G55" i="26"/>
  <c r="D55" i="26"/>
  <c r="P54" i="26"/>
  <c r="S51" i="26" s="1"/>
  <c r="M54" i="26"/>
  <c r="J54" i="26"/>
  <c r="G54" i="26"/>
  <c r="D54" i="26"/>
  <c r="P53" i="26"/>
  <c r="M53" i="26"/>
  <c r="J53" i="26"/>
  <c r="G53" i="26"/>
  <c r="D53" i="26"/>
  <c r="P52" i="26"/>
  <c r="M52" i="26"/>
  <c r="S48" i="26" s="1"/>
  <c r="J52" i="26"/>
  <c r="G52" i="26"/>
  <c r="D52" i="26"/>
  <c r="P51" i="26"/>
  <c r="M51" i="26"/>
  <c r="J51" i="26"/>
  <c r="G51" i="26"/>
  <c r="D51" i="26"/>
  <c r="P50" i="26"/>
  <c r="M50" i="26"/>
  <c r="J50" i="26"/>
  <c r="T34" i="26" s="1"/>
  <c r="G50" i="26"/>
  <c r="D50" i="26"/>
  <c r="P49" i="26"/>
  <c r="M49" i="26"/>
  <c r="J49" i="26"/>
  <c r="G49" i="26"/>
  <c r="D49" i="26"/>
  <c r="P48" i="26"/>
  <c r="M48" i="26"/>
  <c r="J48" i="26"/>
  <c r="G48" i="26"/>
  <c r="D48" i="26"/>
  <c r="T15" i="26" s="1"/>
  <c r="P47" i="26"/>
  <c r="M47" i="26"/>
  <c r="J47" i="26"/>
  <c r="G47" i="26"/>
  <c r="D47" i="26"/>
  <c r="P46" i="26"/>
  <c r="M46" i="26"/>
  <c r="S46" i="26" s="1"/>
  <c r="J46" i="26"/>
  <c r="G46" i="26"/>
  <c r="D46" i="26"/>
  <c r="P45" i="26"/>
  <c r="M45" i="26"/>
  <c r="J45" i="26"/>
  <c r="G45" i="26"/>
  <c r="D45" i="26"/>
  <c r="P44" i="26"/>
  <c r="M44" i="26"/>
  <c r="J44" i="26"/>
  <c r="G44" i="26"/>
  <c r="D44" i="26"/>
  <c r="P43" i="26"/>
  <c r="M43" i="26"/>
  <c r="Y64" i="26" s="1"/>
  <c r="J43" i="26"/>
  <c r="G43" i="26"/>
  <c r="D43" i="26"/>
  <c r="P42" i="26"/>
  <c r="Y55" i="26" s="1"/>
  <c r="M42" i="26"/>
  <c r="J42" i="26"/>
  <c r="Y69" i="26" s="1"/>
  <c r="G42" i="26"/>
  <c r="Y59" i="26" s="1"/>
  <c r="D42" i="26"/>
  <c r="T14" i="26" s="1"/>
  <c r="P41" i="26"/>
  <c r="M41" i="26"/>
  <c r="J41" i="26"/>
  <c r="G41" i="26"/>
  <c r="D41" i="26"/>
  <c r="P40" i="26"/>
  <c r="M40" i="26"/>
  <c r="J40" i="26"/>
  <c r="G40" i="26"/>
  <c r="D40" i="26"/>
  <c r="P39" i="26"/>
  <c r="M39" i="26"/>
  <c r="J39" i="26"/>
  <c r="G39" i="26"/>
  <c r="D39" i="26"/>
  <c r="P38" i="26"/>
  <c r="M38" i="26"/>
  <c r="J38" i="26"/>
  <c r="G38" i="26"/>
  <c r="D38" i="26"/>
  <c r="P37" i="26"/>
  <c r="M37" i="26"/>
  <c r="J37" i="26"/>
  <c r="G37" i="26"/>
  <c r="D37" i="26"/>
  <c r="P36" i="26"/>
  <c r="M36" i="26"/>
  <c r="J36" i="26"/>
  <c r="T33" i="26" s="1"/>
  <c r="G36" i="26"/>
  <c r="D36" i="26"/>
  <c r="P35" i="26"/>
  <c r="M35" i="26"/>
  <c r="J35" i="26"/>
  <c r="G35" i="26"/>
  <c r="D35" i="26"/>
  <c r="P34" i="26"/>
  <c r="M34" i="26"/>
  <c r="J34" i="26"/>
  <c r="G34" i="26"/>
  <c r="D34" i="26"/>
  <c r="P33" i="26"/>
  <c r="M33" i="26"/>
  <c r="J33" i="26"/>
  <c r="G33" i="26"/>
  <c r="D33" i="26"/>
  <c r="P32" i="26"/>
  <c r="M32" i="26"/>
  <c r="J32" i="26"/>
  <c r="G32" i="26"/>
  <c r="D32" i="26"/>
  <c r="P31" i="26"/>
  <c r="M31" i="26"/>
  <c r="J31" i="26"/>
  <c r="G31" i="26"/>
  <c r="D31" i="26"/>
  <c r="P30" i="26"/>
  <c r="M30" i="26"/>
  <c r="J30" i="26"/>
  <c r="G30" i="26"/>
  <c r="D30" i="26"/>
  <c r="T12" i="26" s="1"/>
  <c r="U29" i="26"/>
  <c r="T29" i="26"/>
  <c r="P29" i="26"/>
  <c r="M29" i="26"/>
  <c r="J29" i="26"/>
  <c r="G29" i="26"/>
  <c r="D29" i="26"/>
  <c r="U28" i="26"/>
  <c r="T28" i="26"/>
  <c r="P28" i="26"/>
  <c r="M28" i="26"/>
  <c r="J28" i="26"/>
  <c r="G28" i="26"/>
  <c r="D28" i="26"/>
  <c r="U27" i="26"/>
  <c r="T27" i="26"/>
  <c r="P27" i="26"/>
  <c r="M27" i="26"/>
  <c r="J27" i="26"/>
  <c r="G27" i="26"/>
  <c r="D27" i="26"/>
  <c r="U26" i="26"/>
  <c r="T26" i="26"/>
  <c r="P26" i="26"/>
  <c r="M26" i="26"/>
  <c r="J26" i="26"/>
  <c r="G26" i="26"/>
  <c r="D26" i="26"/>
  <c r="U25" i="26"/>
  <c r="T25" i="26"/>
  <c r="P25" i="26"/>
  <c r="M25" i="26"/>
  <c r="J25" i="26"/>
  <c r="G25" i="26"/>
  <c r="D25" i="26"/>
  <c r="U24" i="26"/>
  <c r="T24" i="26"/>
  <c r="P24" i="26"/>
  <c r="M24" i="26"/>
  <c r="J24" i="26"/>
  <c r="G24" i="26"/>
  <c r="D24" i="26"/>
  <c r="U23" i="26"/>
  <c r="T23" i="26"/>
  <c r="P23" i="26"/>
  <c r="M23" i="26"/>
  <c r="J23" i="26"/>
  <c r="G23" i="26"/>
  <c r="D23" i="26"/>
  <c r="U22" i="26"/>
  <c r="T22" i="26"/>
  <c r="P22" i="26"/>
  <c r="M22" i="26"/>
  <c r="J22" i="26"/>
  <c r="G22" i="26"/>
  <c r="D22" i="26"/>
  <c r="T11" i="26" s="1"/>
  <c r="U21" i="26"/>
  <c r="T21" i="26"/>
  <c r="P21" i="26"/>
  <c r="M21" i="26"/>
  <c r="J21" i="26"/>
  <c r="G21" i="26"/>
  <c r="D21" i="26"/>
  <c r="P20" i="26"/>
  <c r="M20" i="26"/>
  <c r="J20" i="26"/>
  <c r="G20" i="26"/>
  <c r="D20" i="26"/>
  <c r="S19" i="26"/>
  <c r="P19" i="26"/>
  <c r="M19" i="26"/>
  <c r="J19" i="26"/>
  <c r="G19" i="26"/>
  <c r="D19" i="26"/>
  <c r="S18" i="26"/>
  <c r="P18" i="26"/>
  <c r="M18" i="26"/>
  <c r="J18" i="26"/>
  <c r="G18" i="26"/>
  <c r="D18" i="26"/>
  <c r="S17" i="26"/>
  <c r="P17" i="26"/>
  <c r="M17" i="26"/>
  <c r="J17" i="26"/>
  <c r="G17" i="26"/>
  <c r="D17" i="26"/>
  <c r="S16" i="26"/>
  <c r="P16" i="26"/>
  <c r="M16" i="26"/>
  <c r="J16" i="26"/>
  <c r="G16" i="26"/>
  <c r="D16" i="26"/>
  <c r="S15" i="26"/>
  <c r="P15" i="26"/>
  <c r="M15" i="26"/>
  <c r="J15" i="26"/>
  <c r="G15" i="26"/>
  <c r="D15" i="26"/>
  <c r="S14" i="26"/>
  <c r="P14" i="26"/>
  <c r="M14" i="26"/>
  <c r="J14" i="26"/>
  <c r="G14" i="26"/>
  <c r="D14" i="26"/>
  <c r="T13" i="26"/>
  <c r="S13" i="26"/>
  <c r="P13" i="26"/>
  <c r="M13" i="26"/>
  <c r="J13" i="26"/>
  <c r="G13" i="26"/>
  <c r="D13" i="26"/>
  <c r="S12" i="26"/>
  <c r="P12" i="26"/>
  <c r="M12" i="26"/>
  <c r="J12" i="26"/>
  <c r="G12" i="26"/>
  <c r="D12" i="26"/>
  <c r="S11" i="26"/>
  <c r="P11" i="26"/>
  <c r="M11" i="26"/>
  <c r="J11" i="26"/>
  <c r="G11" i="26"/>
  <c r="D11" i="26"/>
  <c r="T10" i="26"/>
  <c r="S10" i="26"/>
  <c r="P10" i="26"/>
  <c r="M10" i="26"/>
  <c r="J10" i="26"/>
  <c r="G10" i="26"/>
  <c r="D10" i="26"/>
  <c r="S9" i="26"/>
  <c r="P9" i="26"/>
  <c r="M9" i="26"/>
  <c r="S24" i="26" s="1"/>
  <c r="J9" i="26"/>
  <c r="G9" i="26"/>
  <c r="D9" i="26"/>
  <c r="T9" i="26" s="1"/>
  <c r="T8" i="26"/>
  <c r="S8" i="26"/>
  <c r="P8" i="26"/>
  <c r="M8" i="26"/>
  <c r="J8" i="26"/>
  <c r="G8" i="26"/>
  <c r="D8" i="26"/>
  <c r="P7" i="26"/>
  <c r="M7" i="26"/>
  <c r="J7" i="26"/>
  <c r="T32" i="26" s="1"/>
  <c r="G7" i="26"/>
  <c r="D7" i="26"/>
  <c r="P6" i="26"/>
  <c r="M6" i="26"/>
  <c r="J6" i="26"/>
  <c r="G6" i="26"/>
  <c r="D6" i="26"/>
  <c r="P5" i="26"/>
  <c r="P89" i="26" s="1"/>
  <c r="M5" i="26"/>
  <c r="J5" i="26"/>
  <c r="G5" i="26"/>
  <c r="G89" i="26" s="1"/>
  <c r="G91" i="26" s="1"/>
  <c r="G92" i="26" s="1"/>
  <c r="D5" i="26"/>
  <c r="P136" i="23"/>
  <c r="O119" i="23"/>
  <c r="Q118" i="23"/>
  <c r="O118" i="23"/>
  <c r="O122" i="23" s="1"/>
  <c r="P22" i="23"/>
  <c r="P24" i="23" s="1"/>
  <c r="P21" i="23"/>
  <c r="P205" i="21"/>
  <c r="Q272" i="19"/>
  <c r="Q269" i="19"/>
  <c r="Q275" i="19" s="1"/>
  <c r="R167" i="19"/>
  <c r="R166" i="19"/>
  <c r="R165" i="19"/>
  <c r="S165" i="19" s="1"/>
  <c r="Q165" i="19"/>
  <c r="Q164" i="19"/>
  <c r="Q163" i="19"/>
  <c r="P85" i="19"/>
  <c r="P86" i="19" s="1"/>
  <c r="O14" i="18"/>
  <c r="P388" i="17"/>
  <c r="P387" i="17"/>
  <c r="P356" i="17"/>
  <c r="P340" i="17"/>
  <c r="P321" i="17"/>
  <c r="Q155" i="17"/>
  <c r="Q154" i="17"/>
  <c r="R150" i="17"/>
  <c r="R152" i="17" s="1"/>
  <c r="R109" i="17"/>
  <c r="R107" i="17"/>
  <c r="R85" i="17"/>
  <c r="R84" i="17"/>
  <c r="S462" i="15"/>
  <c r="S463" i="15" s="1"/>
  <c r="S461" i="15"/>
  <c r="S365" i="15"/>
  <c r="T253" i="15"/>
  <c r="T252" i="15"/>
  <c r="R252" i="15"/>
  <c r="T251" i="15"/>
  <c r="R296" i="14"/>
  <c r="R295" i="14"/>
  <c r="R297" i="14" s="1"/>
  <c r="R242" i="14"/>
  <c r="R244" i="14" s="1"/>
  <c r="S270" i="11"/>
  <c r="R270" i="11"/>
  <c r="T270" i="11" s="1"/>
  <c r="S271" i="11" s="1"/>
  <c r="R269" i="11"/>
  <c r="S201" i="11"/>
  <c r="S197" i="11"/>
  <c r="S193" i="11"/>
  <c r="S195" i="11" s="1"/>
  <c r="S145" i="11"/>
  <c r="S141" i="11"/>
  <c r="S139" i="11"/>
  <c r="S136" i="11"/>
  <c r="S135" i="11"/>
  <c r="S137" i="11" s="1"/>
  <c r="S70" i="11"/>
  <c r="S69" i="11"/>
  <c r="S68" i="11"/>
  <c r="S66" i="11"/>
  <c r="S64" i="11"/>
  <c r="T61" i="11"/>
  <c r="S61" i="11"/>
  <c r="S60" i="11"/>
  <c r="M14" i="10"/>
  <c r="M13" i="10"/>
  <c r="M179" i="9"/>
  <c r="O149" i="9"/>
  <c r="P97" i="9"/>
  <c r="M14" i="8"/>
  <c r="N12" i="8"/>
  <c r="M131" i="7"/>
  <c r="M130" i="7"/>
  <c r="M128" i="7"/>
  <c r="M124" i="7"/>
  <c r="M123" i="7"/>
  <c r="M118" i="7"/>
  <c r="M116" i="7"/>
  <c r="M115" i="7"/>
  <c r="M112" i="7"/>
  <c r="M111" i="7"/>
  <c r="M110" i="7"/>
  <c r="M109" i="7"/>
  <c r="Q105" i="7"/>
  <c r="Q104" i="7"/>
  <c r="M104" i="7"/>
  <c r="Q103" i="7"/>
  <c r="M99" i="7"/>
  <c r="M87" i="7"/>
  <c r="M84" i="7"/>
  <c r="M83" i="7"/>
  <c r="M82" i="7"/>
  <c r="M81" i="7"/>
  <c r="M80" i="7"/>
  <c r="P65" i="7"/>
  <c r="P63" i="7"/>
  <c r="P62" i="7"/>
  <c r="P61" i="7"/>
  <c r="P51" i="7"/>
  <c r="N12" i="6"/>
  <c r="P214" i="5"/>
  <c r="Q192" i="5"/>
  <c r="R192" i="5" s="1"/>
  <c r="Q191" i="5"/>
  <c r="Q193" i="5" s="1"/>
  <c r="Q164" i="5"/>
  <c r="Q161" i="5"/>
  <c r="Q162" i="5" s="1"/>
  <c r="Q160" i="5"/>
  <c r="M151" i="5"/>
  <c r="N21" i="4"/>
  <c r="N19" i="4"/>
  <c r="N18" i="4"/>
  <c r="N17" i="4"/>
  <c r="N16" i="4"/>
  <c r="N15" i="4"/>
  <c r="O14" i="4"/>
  <c r="N14" i="4"/>
  <c r="N23" i="4" s="1"/>
  <c r="O12" i="4"/>
  <c r="N12" i="4"/>
  <c r="T295" i="3"/>
  <c r="T294" i="3"/>
  <c r="T296" i="3" s="1"/>
  <c r="N286" i="3"/>
  <c r="R258" i="3"/>
  <c r="U257" i="3"/>
  <c r="S257" i="3"/>
  <c r="S256" i="3"/>
  <c r="U256" i="3" s="1"/>
  <c r="U258" i="3" s="1"/>
  <c r="N202" i="3"/>
  <c r="N185" i="3"/>
  <c r="R172" i="3"/>
  <c r="N137" i="3"/>
  <c r="W92" i="3"/>
  <c r="W93" i="3" s="1"/>
  <c r="W91" i="3"/>
  <c r="N42" i="3"/>
  <c r="S23" i="3"/>
  <c r="N23" i="3"/>
  <c r="N353" i="3" s="1"/>
  <c r="T21" i="3"/>
  <c r="S19" i="3"/>
  <c r="T18" i="3"/>
  <c r="T17" i="3"/>
  <c r="S15" i="3"/>
  <c r="T14" i="3"/>
  <c r="V14" i="3" s="1"/>
  <c r="T13" i="3"/>
  <c r="N16" i="2"/>
  <c r="N14" i="2"/>
  <c r="N13" i="2"/>
  <c r="O12" i="2"/>
  <c r="N12" i="2"/>
  <c r="N17" i="2" s="1"/>
  <c r="M376" i="1"/>
  <c r="M360" i="1"/>
  <c r="M351" i="1"/>
  <c r="M344" i="1"/>
  <c r="M342" i="1"/>
  <c r="M332" i="1"/>
  <c r="M324" i="1"/>
  <c r="M311" i="1"/>
  <c r="S304" i="1"/>
  <c r="M302" i="1"/>
  <c r="M301" i="1"/>
  <c r="S296" i="1"/>
  <c r="S295" i="1"/>
  <c r="M293" i="1"/>
  <c r="M282" i="1"/>
  <c r="M281" i="1"/>
  <c r="M277" i="1"/>
  <c r="M270" i="1"/>
  <c r="M239" i="1"/>
  <c r="M237" i="1"/>
  <c r="M236" i="1"/>
  <c r="M233" i="1"/>
  <c r="P186" i="1"/>
  <c r="P181" i="1"/>
  <c r="P184" i="1" s="1"/>
  <c r="P176" i="1"/>
  <c r="R175" i="1"/>
  <c r="P175" i="1"/>
  <c r="P177" i="1" s="1"/>
  <c r="M175" i="1"/>
  <c r="M171" i="1"/>
  <c r="M132" i="1"/>
  <c r="M117" i="1"/>
  <c r="M96" i="1"/>
  <c r="M94" i="1"/>
  <c r="M77" i="1"/>
  <c r="M55" i="1"/>
  <c r="M52" i="1"/>
  <c r="M48" i="1"/>
  <c r="M42" i="1"/>
  <c r="M26" i="1"/>
  <c r="O25" i="1"/>
  <c r="M17" i="1"/>
  <c r="M16" i="1"/>
  <c r="M15" i="1"/>
  <c r="M367" i="1" s="1"/>
  <c r="P14" i="1"/>
  <c r="Y60" i="26" l="1"/>
  <c r="Y61" i="26" s="1"/>
  <c r="H90" i="26"/>
  <c r="J91" i="26"/>
  <c r="J92" i="26" s="1"/>
  <c r="N90" i="26"/>
  <c r="P91" i="26"/>
  <c r="P92" i="26" s="1"/>
  <c r="Y70" i="26"/>
  <c r="Y71" i="26"/>
  <c r="K90" i="26"/>
  <c r="M91" i="26"/>
  <c r="M92" i="26" s="1"/>
  <c r="P10" i="27"/>
  <c r="P8" i="27"/>
  <c r="Y56" i="26"/>
  <c r="Y57" i="26" s="1"/>
  <c r="Y65" i="26"/>
  <c r="Y66" i="26" s="1"/>
  <c r="A90" i="26"/>
  <c r="D91" i="26"/>
  <c r="D92" i="26" s="1"/>
  <c r="A178" i="26"/>
  <c r="D179" i="26" s="1"/>
  <c r="O10" i="27"/>
  <c r="E101" i="26"/>
  <c r="E177" i="26" s="1"/>
  <c r="E179" i="26" s="1"/>
  <c r="G179" i="26" s="1"/>
  <c r="E105" i="26"/>
  <c r="E109" i="26"/>
  <c r="E113" i="26"/>
  <c r="E117" i="26"/>
  <c r="E121" i="26"/>
  <c r="E125" i="26"/>
  <c r="E129" i="26"/>
  <c r="E133" i="26"/>
  <c r="E137" i="26"/>
  <c r="E141" i="26"/>
  <c r="E145" i="26"/>
  <c r="E149" i="26"/>
  <c r="E153" i="26"/>
  <c r="E157" i="26"/>
  <c r="E161" i="26"/>
  <c r="E165" i="26"/>
  <c r="E169" i="26"/>
  <c r="E173" i="26"/>
  <c r="O8" i="27"/>
  <c r="E102" i="26"/>
  <c r="E106" i="26"/>
  <c r="E114" i="26"/>
  <c r="G177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ID#AAAB1m7gCao
Author    (2026-03-11 18:11:07)
TARGET</t>
        </r>
      </text>
    </comment>
    <comment ref="H17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ID#AAAB1m7gCe4
Author    (2026-03-11 18:11:07)
Female Broodstock
Reported to January Physical Accomp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Pgz4m5IplmFTVciYHRKXe8bhF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8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ID#AAAB1m7gCiA
Author    (2026-03-11 18:11:07)
Data for Feb 3-5, 2020
(end here)</t>
        </r>
      </text>
    </comment>
    <comment ref="B169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ID#AAAB1m7gCZs
Author    (2026-03-11 18:11:07)
End od Feb. 5-12, 2020
Data</t>
        </r>
      </text>
    </comment>
    <comment ref="B201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ID#AAAB1m7gCcM
Author    (2026-03-11 18:11:07)
End of Feb 12-13, 2020
DATA</t>
        </r>
      </text>
    </comment>
    <comment ref="H202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ID#AAAB1m7gCgE
Author    (2026-03-11 18:11:07)
SAAD</t>
        </r>
      </text>
    </comment>
    <comment ref="H203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ID#AAAB1m7gCis
Author    (2026-03-11 18:11:07)
TARGET</t>
        </r>
      </text>
    </comment>
    <comment ref="B253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ID#AAAB1m7gCfw
Author    (2026-03-11 18:11:07)
End of Feb 13-17, 2020
DATA</t>
        </r>
      </text>
    </comment>
    <comment ref="R260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ID#AAAB1m7gCiM
Author    (2026-03-11 18:11:07)
30pcs Dispersal</t>
        </r>
      </text>
    </comment>
    <comment ref="B290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ID#AAAB1m7gCe0
Author    (2026-03-11 18:11:07)
End of Monthly Physical Report for February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QxqZmqIJ59mp+VMmPAyVyf8Rw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8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ID#AAAB1m7gCZ0
Author    (2026-03-11 18:11:07)
Feb 12 &amp; 13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TsNJikMUgpmjZni3crfW8C3mlm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76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ID#AAAB1m7gCic
Author    (2026-03-11 18:11:07)
19,000 pcs LGU Group</t>
        </r>
      </text>
    </comment>
    <comment ref="O210" authorId="0" shapeId="0" xr:uid="{00000000-0006-0000-0400-000003000000}">
      <text>
        <r>
          <rPr>
            <sz val="11"/>
            <color theme="1"/>
            <rFont val="Calibri"/>
            <scheme val="minor"/>
          </rPr>
          <t>======
ID#AAAB1m7gCcI
Author    (2026-03-11 18:11:07)
Jay Teorima</t>
        </r>
      </text>
    </comment>
    <comment ref="A216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ID#AAAB1m7gCho
Author    (2026-03-11 18:11:07)
Monthly Physical March 2020
Feb. 20-March 20,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7ose0Is/bvHgnsf25TgSJ0HiJ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2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ID#AAAB1m7gCew
Author    (2026-03-11 18:11:07)
8 Nemesio Oronan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vpFxpBmOlClb7+kvQsrvacsr5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2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ID#AAAB1m7gCdQ
Author    (2026-03-11 18:11:07)
April 21 &amp; 24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FHjmUYMk6Yg9TRUh+Z8TH2IeLdw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9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ID#AAAB1m7gCag
Author    (2026-03-11 18:11:07)
End of May 2020 Physical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M6EzOxPpbK+9dSSFubed6nA3s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40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ID#AAAB1m7gChs
Author    (2026-03-11 18:11:07)
SAAD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0EB36Y6BPgOAmV0BypQ4oZEDww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2" authorId="0" shapeId="0" xr:uid="{00000000-0006-0000-0B00-000002000000}">
      <text>
        <r>
          <rPr>
            <sz val="11"/>
            <color theme="1"/>
            <rFont val="Calibri"/>
            <scheme val="minor"/>
          </rPr>
          <t>======
ID#AAAB1m7gCfg
Author    (2026-03-11 18:11:07)
BASIL Program</t>
        </r>
      </text>
    </comment>
    <comment ref="J13" authorId="0" shapeId="0" xr:uid="{00000000-0006-0000-0B00-000005000000}">
      <text>
        <r>
          <rPr>
            <sz val="11"/>
            <color theme="1"/>
            <rFont val="Calibri"/>
            <scheme val="minor"/>
          </rPr>
          <t>======
ID#AAAB1m7gCbM
Author    (2026-03-11 18:11:07)
BASIL Program</t>
        </r>
      </text>
    </comment>
    <comment ref="J16" authorId="0" shapeId="0" xr:uid="{00000000-0006-0000-0B00-000001000000}">
      <text>
        <r>
          <rPr>
            <sz val="11"/>
            <color theme="1"/>
            <rFont val="Calibri"/>
            <scheme val="minor"/>
          </rPr>
          <t>======
ID#AAAB1m7gChw
Author    (2026-03-11 18:11:07)
TARGET</t>
        </r>
      </text>
    </comment>
    <comment ref="J17" authorId="0" shapeId="0" xr:uid="{00000000-0006-0000-0B00-000004000000}">
      <text>
        <r>
          <rPr>
            <sz val="11"/>
            <color theme="1"/>
            <rFont val="Calibri"/>
            <scheme val="minor"/>
          </rPr>
          <t>======
ID#AAAB1m7gCec
Author    (2026-03-11 18:11:07)
BASIL Program</t>
        </r>
      </text>
    </comment>
    <comment ref="J18" authorId="0" shapeId="0" xr:uid="{00000000-0006-0000-0B00-000003000000}">
      <text>
        <r>
          <rPr>
            <sz val="11"/>
            <color theme="1"/>
            <rFont val="Calibri"/>
            <scheme val="minor"/>
          </rPr>
          <t>======
ID#AAAB1m7gCe8
Author    (2026-03-11 18:11:07)
BASIL Program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SdhCwx7NO5V5gCOfEEIPoVDMlQ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92" authorId="0" shapeId="0" xr:uid="{00000000-0006-0000-0D00-000001000000}">
      <text>
        <r>
          <rPr>
            <sz val="11"/>
            <color theme="1"/>
            <rFont val="Calibri"/>
            <scheme val="minor"/>
          </rPr>
          <t>======
ID#AAAB1m7gCig
Author    (2026-03-11 18:11:07)
BREEDERS</t>
        </r>
      </text>
    </comment>
    <comment ref="G193" authorId="0" shapeId="0" xr:uid="{00000000-0006-0000-0D00-000005000000}">
      <text>
        <r>
          <rPr>
            <sz val="11"/>
            <color theme="1"/>
            <rFont val="Calibri"/>
            <scheme val="minor"/>
          </rPr>
          <t>======
ID#AAAB1m7gCZg
Author    (2026-03-11 18:11:07)
BREEDERS</t>
        </r>
      </text>
    </comment>
    <comment ref="A275" authorId="0" shapeId="0" xr:uid="{00000000-0006-0000-0D00-000002000000}">
      <text>
        <r>
          <rPr>
            <sz val="11"/>
            <color theme="1"/>
            <rFont val="Calibri"/>
            <scheme val="minor"/>
          </rPr>
          <t>======
ID#AAAB1m7gCdU
Author    (2026-03-11 18:11:07)
End of Monthy Physical Report for July 15, 2020 
Jose Torrenueva</t>
        </r>
      </text>
    </comment>
    <comment ref="P299" authorId="0" shapeId="0" xr:uid="{00000000-0006-0000-0D00-000004000000}">
      <text>
        <r>
          <rPr>
            <sz val="11"/>
            <color theme="1"/>
            <rFont val="Calibri"/>
            <scheme val="minor"/>
          </rPr>
          <t>======
ID#AAAB1m7gCbk
Author    (2026-03-11 18:11:07)
DISPERSAL</t>
        </r>
      </text>
    </comment>
    <comment ref="P329" authorId="0" shapeId="0" xr:uid="{00000000-0006-0000-0D00-000003000000}">
      <text>
        <r>
          <rPr>
            <sz val="11"/>
            <color theme="1"/>
            <rFont val="Calibri"/>
            <scheme val="minor"/>
          </rPr>
          <t>======
ID#AAAB1m7gCcA
Author    (2026-03-11 18:11:07)
DISPERSAL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/XvWnBfQrHsz/mDzvmiGC4Yv1jw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3" authorId="0" shapeId="0" xr:uid="{00000000-0006-0000-0E00-000008000000}">
      <text>
        <r>
          <rPr>
            <sz val="11"/>
            <color theme="1"/>
            <rFont val="Calibri"/>
            <scheme val="minor"/>
          </rPr>
          <t>======
ID#AAAB1m7gCcQ
Author    (2026-03-11 18:11:07)
8/3/2020</t>
        </r>
      </text>
    </comment>
    <comment ref="B232" authorId="0" shapeId="0" xr:uid="{00000000-0006-0000-0E00-000003000000}">
      <text>
        <r>
          <rPr>
            <sz val="11"/>
            <color theme="1"/>
            <rFont val="Calibri"/>
            <scheme val="minor"/>
          </rPr>
          <t>======
ID#AAAB1m7gCh4
Author    (2026-03-11 18:11:07)
8/3/2020</t>
        </r>
      </text>
    </comment>
    <comment ref="B237" authorId="0" shapeId="0" xr:uid="{00000000-0006-0000-0E00-000002000000}">
      <text>
        <r>
          <rPr>
            <sz val="11"/>
            <color theme="1"/>
            <rFont val="Calibri"/>
            <scheme val="minor"/>
          </rPr>
          <t>======
ID#AAAB1m7gCiI
Author    (2026-03-11 18:11:07)
with HITO 500pcs</t>
        </r>
      </text>
    </comment>
    <comment ref="Q259" authorId="0" shapeId="0" xr:uid="{00000000-0006-0000-0E00-000007000000}">
      <text>
        <r>
          <rPr>
            <sz val="11"/>
            <color theme="1"/>
            <rFont val="Calibri"/>
            <scheme val="minor"/>
          </rPr>
          <t>======
ID#AAAB1m7gCd0
Author    (2026-03-11 18:11:07)
5 pieces DISPERSAL</t>
        </r>
      </text>
    </comment>
    <comment ref="H304" authorId="0" shapeId="0" xr:uid="{00000000-0006-0000-0E00-000006000000}">
      <text>
        <r>
          <rPr>
            <sz val="11"/>
            <color theme="1"/>
            <rFont val="Calibri"/>
            <scheme val="minor"/>
          </rPr>
          <t>======
ID#AAAB1m7gCeg
Author    (2026-03-11 18:11:07)
TARGET 2019</t>
        </r>
      </text>
    </comment>
    <comment ref="H305" authorId="0" shapeId="0" xr:uid="{00000000-0006-0000-0E00-000005000000}">
      <text>
        <r>
          <rPr>
            <sz val="11"/>
            <color theme="1"/>
            <rFont val="Calibri"/>
            <scheme val="minor"/>
          </rPr>
          <t>======
ID#AAAB1m7gCeo
Author    (2026-03-11 18:11:07)
TARGET 2019</t>
        </r>
      </text>
    </comment>
    <comment ref="H336" authorId="0" shapeId="0" xr:uid="{00000000-0006-0000-0E00-000004000000}">
      <text>
        <r>
          <rPr>
            <sz val="11"/>
            <color theme="1"/>
            <rFont val="Calibri"/>
            <scheme val="minor"/>
          </rPr>
          <t>======
ID#AAAB1m7gCgo
Author    (2026-03-11 18:11:07)
500 actual list folder</t>
        </r>
      </text>
    </comment>
    <comment ref="G346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ID#AAAB1m7gCiw
Author    (2026-03-11 18:11:07)
with KOI 20</t>
        </r>
      </text>
    </comment>
    <comment ref="Q429" authorId="0" shapeId="0" xr:uid="{00000000-0006-0000-0E00-00000A000000}">
      <text>
        <r>
          <rPr>
            <sz val="11"/>
            <color theme="1"/>
            <rFont val="Calibri"/>
            <scheme val="minor"/>
          </rPr>
          <t>======
ID#AAAB1m7gCaE
Author    (2026-03-11 18:11:07)
30pcs. dispersal</t>
        </r>
      </text>
    </comment>
    <comment ref="Q486" authorId="0" shapeId="0" xr:uid="{00000000-0006-0000-0E00-000009000000}">
      <text>
        <r>
          <rPr>
            <sz val="11"/>
            <color theme="1"/>
            <rFont val="Calibri"/>
            <scheme val="minor"/>
          </rPr>
          <t>======
ID#AAAB1m7gCaI
Author    (2026-03-11 18:11:07)
20pcs dispersal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Mx5C+8g9VaWPw9zeEASyXVd6+A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9" authorId="0" shapeId="0" xr:uid="{00000000-0006-0000-1000-000003000000}">
      <text>
        <r>
          <rPr>
            <sz val="11"/>
            <color theme="1"/>
            <rFont val="Calibri"/>
            <scheme val="minor"/>
          </rPr>
          <t>======
ID#AAAB1m7gCeY
Author    (2026-03-11 18:11:07)
End of Monthly Physical Report for September 15, 2020</t>
        </r>
      </text>
    </comment>
    <comment ref="H164" authorId="0" shapeId="0" xr:uid="{00000000-0006-0000-1000-000006000000}">
      <text>
        <r>
          <rPr>
            <sz val="11"/>
            <color theme="1"/>
            <rFont val="Calibri"/>
            <scheme val="minor"/>
          </rPr>
          <t>======
ID#AAAB1m7gCdo
Author    (2026-03-11 18:11:07)
TARGET</t>
        </r>
      </text>
    </comment>
    <comment ref="B333" authorId="0" shapeId="0" xr:uid="{00000000-0006-0000-1000-000005000000}">
      <text>
        <r>
          <rPr>
            <sz val="11"/>
            <color theme="1"/>
            <rFont val="Calibri"/>
            <scheme val="minor"/>
          </rPr>
          <t>======
ID#AAAB1m7gCeI
Author    (2026-03-11 18:11:07)
Claim 500free twice
9/21
9/22</t>
        </r>
      </text>
    </comment>
    <comment ref="B352" authorId="0" shapeId="0" xr:uid="{00000000-0006-0000-1000-000007000000}">
      <text>
        <r>
          <rPr>
            <sz val="11"/>
            <color theme="1"/>
            <rFont val="Calibri"/>
            <scheme val="minor"/>
          </rPr>
          <t>======
ID#AAAB1m7gCdk
Author    (2026-03-11 18:11:07)
1000 purchased</t>
        </r>
      </text>
    </comment>
    <comment ref="H379" authorId="0" shapeId="0" xr:uid="{00000000-0006-0000-1000-000009000000}">
      <text>
        <r>
          <rPr>
            <sz val="11"/>
            <color theme="1"/>
            <rFont val="Calibri"/>
            <scheme val="minor"/>
          </rPr>
          <t>======
ID#AAAB1m7gCbo
Author    (2026-03-11 18:11:07)
SAAD 2020</t>
        </r>
      </text>
    </comment>
    <comment ref="H381" authorId="0" shapeId="0" xr:uid="{00000000-0006-0000-1000-000008000000}">
      <text>
        <r>
          <rPr>
            <sz val="11"/>
            <color theme="1"/>
            <rFont val="Calibri"/>
            <scheme val="minor"/>
          </rPr>
          <t>======
ID#AAAB1m7gCc0
Author    (2026-03-11 18:11:07)
SAAD 2020</t>
        </r>
      </text>
    </comment>
    <comment ref="H383" authorId="0" shapeId="0" xr:uid="{00000000-0006-0000-1000-00000B000000}">
      <text>
        <r>
          <rPr>
            <sz val="11"/>
            <color theme="1"/>
            <rFont val="Calibri"/>
            <scheme val="minor"/>
          </rPr>
          <t>======
ID#AAAB1m7gCa4
Author    (2026-03-11 18:11:07)
TARGET 2020</t>
        </r>
      </text>
    </comment>
    <comment ref="H385" authorId="0" shapeId="0" xr:uid="{00000000-0006-0000-1000-000004000000}">
      <text>
        <r>
          <rPr>
            <sz val="11"/>
            <color theme="1"/>
            <rFont val="Calibri"/>
            <scheme val="minor"/>
          </rPr>
          <t>======
ID#AAAB1m7gCek
Author    (2026-03-11 18:11:07)
TARGET 2020</t>
        </r>
      </text>
    </comment>
    <comment ref="H387" authorId="0" shapeId="0" xr:uid="{00000000-0006-0000-1000-000002000000}">
      <text>
        <r>
          <rPr>
            <sz val="11"/>
            <color theme="1"/>
            <rFont val="Calibri"/>
            <scheme val="minor"/>
          </rPr>
          <t>======
ID#AAAB1m7gCf0
Author    (2026-03-11 18:11:07)
TARGET 2020</t>
        </r>
      </text>
    </comment>
    <comment ref="H395" authorId="0" shapeId="0" xr:uid="{00000000-0006-0000-1000-000001000000}">
      <text>
        <r>
          <rPr>
            <sz val="11"/>
            <color theme="1"/>
            <rFont val="Calibri"/>
            <scheme val="minor"/>
          </rPr>
          <t>======
ID#AAAB1m7gChM
Author    (2026-03-11 18:11:07)
SAAD 2020</t>
        </r>
      </text>
    </comment>
    <comment ref="H396" authorId="0" shapeId="0" xr:uid="{00000000-0006-0000-1000-00000A000000}">
      <text>
        <r>
          <rPr>
            <sz val="11"/>
            <color theme="1"/>
            <rFont val="Calibri"/>
            <scheme val="minor"/>
          </rPr>
          <t>======
ID#AAAB1m7gCbQ
Author    (2026-03-11 18:11:07)
SAAD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7qEQlAfaF4pSm4TqgO6mcd6hTsg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6" authorId="0" shapeId="0" xr:uid="{00000000-0006-0000-1100-000001000000}">
      <text>
        <r>
          <rPr>
            <sz val="11"/>
            <color theme="1"/>
            <rFont val="Calibri"/>
            <scheme val="minor"/>
          </rPr>
          <t>======
ID#AAAB1m7gCco
Author    (2026-03-11 18:11:07)
TARGET 2020</t>
        </r>
      </text>
    </comment>
    <comment ref="I17" authorId="0" shapeId="0" xr:uid="{00000000-0006-0000-1100-000003000000}">
      <text>
        <r>
          <rPr>
            <sz val="11"/>
            <color theme="1"/>
            <rFont val="Calibri"/>
            <scheme val="minor"/>
          </rPr>
          <t>======
ID#AAAB1m7gCas
Author    (2026-03-11 18:11:07)
TARGET 2020</t>
        </r>
      </text>
    </comment>
    <comment ref="I18" authorId="0" shapeId="0" xr:uid="{00000000-0006-0000-1100-000002000000}">
      <text>
        <r>
          <rPr>
            <sz val="11"/>
            <color theme="1"/>
            <rFont val="Calibri"/>
            <scheme val="minor"/>
          </rPr>
          <t>======
ID#AAAB1m7gCb0
Author    (2026-03-11 18:11:07)
TARGET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Na8F2YHSEeEiJunPuCpKS8/h6A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2" authorId="0" shapeId="0" xr:uid="{00000000-0006-0000-1200-000001000000}">
      <text>
        <r>
          <rPr>
            <sz val="11"/>
            <color theme="1"/>
            <rFont val="Calibri"/>
            <scheme val="minor"/>
          </rPr>
          <t>======
ID#AAAB1m7gChQ
Author    (2026-03-11 18:11:07)
August 27 Purchased</t>
        </r>
      </text>
    </comment>
    <comment ref="B251" authorId="0" shapeId="0" xr:uid="{00000000-0006-0000-1200-000002000000}">
      <text>
        <r>
          <rPr>
            <sz val="11"/>
            <color theme="1"/>
            <rFont val="Calibri"/>
            <scheme val="minor"/>
          </rPr>
          <t>======
ID#AAAB1m7gCZw
Author    (2026-03-11 18:11:07)
lacking KOI 20 pcs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skPOv7pgd3q7tnVrLWkyzlMUTQ=="/>
    </ext>
  </extL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7" authorId="0" shapeId="0" xr:uid="{00000000-0006-0000-1300-000001000000}">
      <text>
        <r>
          <rPr>
            <sz val="11"/>
            <color theme="1"/>
            <rFont val="Calibri"/>
            <scheme val="minor"/>
          </rPr>
          <t>======
ID#AAAB1m7gChU
Author    (2026-03-11 18:11:07)
Male = 100pcs</t>
        </r>
      </text>
    </comment>
    <comment ref="I19" authorId="0" shapeId="0" xr:uid="{00000000-0006-0000-1300-000003000000}">
      <text>
        <r>
          <rPr>
            <sz val="11"/>
            <color theme="1"/>
            <rFont val="Calibri"/>
            <scheme val="minor"/>
          </rPr>
          <t>======
ID#AAAB1m7gCZ4
Author    (2026-03-11 18:11:07)
TARGET 2020</t>
        </r>
      </text>
    </comment>
    <comment ref="I20" authorId="0" shapeId="0" xr:uid="{00000000-0006-0000-1300-000002000000}">
      <text>
        <r>
          <rPr>
            <sz val="11"/>
            <color theme="1"/>
            <rFont val="Calibri"/>
            <scheme val="minor"/>
          </rPr>
          <t>======
ID#AAAB1m7gCcs
Author    (2026-03-11 18:11:07)
TARGET/SAAD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Y1b2LPGkv4fnXoRt1S7LpgyqVw=="/>
    </ext>
  </extL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3" authorId="0" shapeId="0" xr:uid="{00000000-0006-0000-1400-000002000000}">
      <text>
        <r>
          <rPr>
            <sz val="11"/>
            <color theme="1"/>
            <rFont val="Calibri"/>
            <scheme val="minor"/>
          </rPr>
          <t>======
ID#AAAB1m7gCa8
Author    (2026-03-11 18:11:07)
TARGET 2020</t>
        </r>
      </text>
    </comment>
    <comment ref="H161" authorId="0" shapeId="0" xr:uid="{00000000-0006-0000-1400-000001000000}">
      <text>
        <r>
          <rPr>
            <sz val="11"/>
            <color theme="1"/>
            <rFont val="Calibri"/>
            <scheme val="minor"/>
          </rPr>
          <t>======
ID#AAAB1m7gCcg
Author    (2026-03-11 18:11:07)
TARGET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dOmGSAddZaCHYabnJ33d82FClQ=="/>
    </ext>
  </extL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1500-000007000000}">
      <text>
        <r>
          <rPr>
            <sz val="11"/>
            <color theme="1"/>
            <rFont val="Calibri"/>
            <scheme val="minor"/>
          </rPr>
          <t>======
ID#AAAB1m7gCdY
Author    (2026-03-11 18:11:07)
SAAD 2020</t>
        </r>
      </text>
    </comment>
    <comment ref="I13" authorId="0" shapeId="0" xr:uid="{00000000-0006-0000-1500-000008000000}">
      <text>
        <r>
          <rPr>
            <sz val="11"/>
            <color theme="1"/>
            <rFont val="Calibri"/>
            <scheme val="minor"/>
          </rPr>
          <t>======
ID#AAAB1m7gCaU
Author    (2026-03-11 18:11:07)
TARGET 2020</t>
        </r>
      </text>
    </comment>
    <comment ref="I16" authorId="0" shapeId="0" xr:uid="{00000000-0006-0000-1500-000009000000}">
      <text>
        <r>
          <rPr>
            <sz val="11"/>
            <color theme="1"/>
            <rFont val="Calibri"/>
            <scheme val="minor"/>
          </rPr>
          <t>======
ID#AAAB1m7gCZ8
Author    (2026-03-11 18:11:07)
TARGET 2020
SAAD 2020</t>
        </r>
      </text>
    </comment>
    <comment ref="I18" authorId="0" shapeId="0" xr:uid="{00000000-0006-0000-1500-000003000000}">
      <text>
        <r>
          <rPr>
            <sz val="11"/>
            <color theme="1"/>
            <rFont val="Calibri"/>
            <scheme val="minor"/>
          </rPr>
          <t>======
ID#AAAB1m7gCgQ
Author    (2026-03-11 18:11:07)
TARGET 2020</t>
        </r>
      </text>
    </comment>
    <comment ref="I19" authorId="0" shapeId="0" xr:uid="{00000000-0006-0000-1500-000001000000}">
      <text>
        <r>
          <rPr>
            <sz val="11"/>
            <color theme="1"/>
            <rFont val="Calibri"/>
            <scheme val="minor"/>
          </rPr>
          <t>======
ID#AAAB1m7gChI
Author    (2026-03-11 18:11:07)
TARGET 2020</t>
        </r>
      </text>
    </comment>
    <comment ref="I20" authorId="0" shapeId="0" xr:uid="{00000000-0006-0000-1500-000002000000}">
      <text>
        <r>
          <rPr>
            <sz val="11"/>
            <color theme="1"/>
            <rFont val="Calibri"/>
            <scheme val="minor"/>
          </rPr>
          <t>======
ID#AAAB1m7gCgU
Author    (2026-03-11 18:11:07)
TARGET 2020</t>
        </r>
      </text>
    </comment>
    <comment ref="I21" authorId="0" shapeId="0" xr:uid="{00000000-0006-0000-1500-000005000000}">
      <text>
        <r>
          <rPr>
            <sz val="11"/>
            <color theme="1"/>
            <rFont val="Calibri"/>
            <scheme val="minor"/>
          </rPr>
          <t>======
ID#AAAB1m7gCfk
Author    (2026-03-11 18:11:07)
TARGET &amp; SAAD 2020</t>
        </r>
      </text>
    </comment>
    <comment ref="I22" authorId="0" shapeId="0" xr:uid="{00000000-0006-0000-1500-000004000000}">
      <text>
        <r>
          <rPr>
            <sz val="11"/>
            <color theme="1"/>
            <rFont val="Calibri"/>
            <scheme val="minor"/>
          </rPr>
          <t>======
ID#AAAB1m7gCgI
Author    (2026-03-11 18:11:07)
TARGET 2020</t>
        </r>
      </text>
    </comment>
    <comment ref="I23" authorId="0" shapeId="0" xr:uid="{00000000-0006-0000-1500-000006000000}">
      <text>
        <r>
          <rPr>
            <sz val="11"/>
            <color theme="1"/>
            <rFont val="Calibri"/>
            <scheme val="minor"/>
          </rPr>
          <t>======
ID#AAAB1m7gCeE
Author    (2026-03-11 18:11:07)
SAAD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VpKFjTGNMk8ZhzHuaRBRcdBQCg=="/>
    </ext>
  </extL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6" authorId="0" shapeId="0" xr:uid="{00000000-0006-0000-1600-000003000000}">
      <text>
        <r>
          <rPr>
            <sz val="11"/>
            <color theme="1"/>
            <rFont val="Calibri"/>
            <scheme val="minor"/>
          </rPr>
          <t>======
ID#AAAB1m7gChE
Author    (2026-03-11 18:11:07)
TARGET 2020</t>
        </r>
      </text>
    </comment>
    <comment ref="H97" authorId="0" shapeId="0" xr:uid="{00000000-0006-0000-1600-000005000000}">
      <text>
        <r>
          <rPr>
            <sz val="11"/>
            <color theme="1"/>
            <rFont val="Calibri"/>
            <scheme val="minor"/>
          </rPr>
          <t>======
ID#AAAB1m7gCfY
Author    (2026-03-11 18:11:07)
TARGET 2020</t>
        </r>
      </text>
    </comment>
    <comment ref="H98" authorId="0" shapeId="0" xr:uid="{00000000-0006-0000-1600-00000C000000}">
      <text>
        <r>
          <rPr>
            <sz val="11"/>
            <color theme="1"/>
            <rFont val="Calibri"/>
            <scheme val="minor"/>
          </rPr>
          <t>======
ID#AAAB1m7gCaQ
Author    (2026-03-11 18:11:07)
TARGET 2020</t>
        </r>
      </text>
    </comment>
    <comment ref="H99" authorId="0" shapeId="0" xr:uid="{00000000-0006-0000-1600-00000A000000}">
      <text>
        <r>
          <rPr>
            <sz val="11"/>
            <color theme="1"/>
            <rFont val="Calibri"/>
            <scheme val="minor"/>
          </rPr>
          <t>======
ID#AAAB1m7gCbs
Author    (2026-03-11 18:11:07)
TARGET 2020</t>
        </r>
      </text>
    </comment>
    <comment ref="H133" authorId="0" shapeId="0" xr:uid="{00000000-0006-0000-1600-000007000000}">
      <text>
        <r>
          <rPr>
            <sz val="11"/>
            <color theme="1"/>
            <rFont val="Calibri"/>
            <scheme val="minor"/>
          </rPr>
          <t>======
ID#AAAB1m7gCfM
Author    (2026-03-11 18:11:07)
SAAD 2020</t>
        </r>
      </text>
    </comment>
    <comment ref="H134" authorId="0" shapeId="0" xr:uid="{00000000-0006-0000-1600-000004000000}">
      <text>
        <r>
          <rPr>
            <sz val="11"/>
            <color theme="1"/>
            <rFont val="Calibri"/>
            <scheme val="minor"/>
          </rPr>
          <t>======
ID#AAAB1m7gCg4
Author    (2026-03-11 18:11:07)
SAAD 2020</t>
        </r>
      </text>
    </comment>
    <comment ref="H135" authorId="0" shapeId="0" xr:uid="{00000000-0006-0000-1600-000006000000}">
      <text>
        <r>
          <rPr>
            <sz val="11"/>
            <color theme="1"/>
            <rFont val="Calibri"/>
            <scheme val="minor"/>
          </rPr>
          <t>======
ID#AAAB1m7gCfQ
Author    (2026-03-11 18:11:07)
SAAD 2020</t>
        </r>
      </text>
    </comment>
    <comment ref="H136" authorId="0" shapeId="0" xr:uid="{00000000-0006-0000-1600-000008000000}">
      <text>
        <r>
          <rPr>
            <sz val="11"/>
            <color theme="1"/>
            <rFont val="Calibri"/>
            <scheme val="minor"/>
          </rPr>
          <t>======
ID#AAAB1m7gCes
Author    (2026-03-11 18:11:07)
TARGET 2020</t>
        </r>
      </text>
    </comment>
    <comment ref="H137" authorId="0" shapeId="0" xr:uid="{00000000-0006-0000-1600-000001000000}">
      <text>
        <r>
          <rPr>
            <sz val="11"/>
            <color theme="1"/>
            <rFont val="Calibri"/>
            <scheme val="minor"/>
          </rPr>
          <t>======
ID#AAAB1m7gCh0
Author    (2026-03-11 18:11:07)
TARGET 2020</t>
        </r>
      </text>
    </comment>
    <comment ref="H138" authorId="0" shapeId="0" xr:uid="{00000000-0006-0000-1600-000002000000}">
      <text>
        <r>
          <rPr>
            <sz val="11"/>
            <color theme="1"/>
            <rFont val="Calibri"/>
            <scheme val="minor"/>
          </rPr>
          <t>======
ID#AAAB1m7gChY
Author    (2026-03-11 18:11:07)
TARGET 2020</t>
        </r>
      </text>
    </comment>
    <comment ref="H139" authorId="0" shapeId="0" xr:uid="{00000000-0006-0000-1600-00000B000000}">
      <text>
        <r>
          <rPr>
            <sz val="11"/>
            <color theme="1"/>
            <rFont val="Calibri"/>
            <scheme val="minor"/>
          </rPr>
          <t>======
ID#AAAB1m7gCbA
Author    (2026-03-11 18:11:07)
SAAD 2020</t>
        </r>
      </text>
    </comment>
    <comment ref="H140" authorId="0" shapeId="0" xr:uid="{00000000-0006-0000-1600-000009000000}">
      <text>
        <r>
          <rPr>
            <sz val="11"/>
            <color theme="1"/>
            <rFont val="Calibri"/>
            <scheme val="minor"/>
          </rPr>
          <t>======
ID#AAAB1m7gCcU
Author    (2026-03-11 18:11:07)
SAAD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2kpdSecpegL0+BnE4EVnHWqYXEg=="/>
    </ext>
  </extL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00000000-0006-0000-1700-000001000000}">
      <text>
        <r>
          <rPr>
            <sz val="11"/>
            <color theme="1"/>
            <rFont val="Calibri"/>
            <scheme val="minor"/>
          </rPr>
          <t>======
ID#AAAB1m7gChA
Author    (2026-03-11 18:11:07)
TARGET 2020</t>
        </r>
      </text>
    </comment>
    <comment ref="H13" authorId="0" shapeId="0" xr:uid="{00000000-0006-0000-1700-000002000000}">
      <text>
        <r>
          <rPr>
            <sz val="11"/>
            <color theme="1"/>
            <rFont val="Calibri"/>
            <scheme val="minor"/>
          </rPr>
          <t>======
ID#AAAB1m7gCd4
Author    (2026-03-11 18:11:07)
SAAD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+vSQkww5AfzV/iweWY1Lid+zBQ=="/>
    </ext>
  </extL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1800-000014000000}">
      <text>
        <r>
          <rPr>
            <sz val="11"/>
            <color theme="1"/>
            <rFont val="Calibri"/>
            <scheme val="minor"/>
          </rPr>
          <t>======
ID#AAAB1m7gCeQ
Author    (2026-03-11 18:11:07)
SAAD</t>
        </r>
      </text>
    </comment>
    <comment ref="H3" authorId="0" shapeId="0" xr:uid="{00000000-0006-0000-1800-000022000000}">
      <text>
        <r>
          <rPr>
            <sz val="11"/>
            <color theme="1"/>
            <rFont val="Calibri"/>
            <scheme val="minor"/>
          </rPr>
          <t>======
ID#AAAB1m7gCbI
Author    (2026-03-11 18:11:07)
TARGET</t>
        </r>
      </text>
    </comment>
    <comment ref="I5" authorId="0" shapeId="0" xr:uid="{00000000-0006-0000-1800-00000D000000}">
      <text>
        <r>
          <rPr>
            <sz val="11"/>
            <color theme="1"/>
            <rFont val="Calibri"/>
            <scheme val="minor"/>
          </rPr>
          <t>======
ID#AAAB1m7gCgY
Author    (2026-03-11 18:11:07)
SAAD</t>
        </r>
      </text>
    </comment>
    <comment ref="I6" authorId="0" shapeId="0" xr:uid="{00000000-0006-0000-1800-000020000000}">
      <text>
        <r>
          <rPr>
            <sz val="11"/>
            <color theme="1"/>
            <rFont val="Calibri"/>
            <scheme val="minor"/>
          </rPr>
          <t>======
ID#AAAB1m7gCb4
Author    (2026-03-11 18:11:07)
TARGET</t>
        </r>
      </text>
    </comment>
    <comment ref="H8" authorId="0" shapeId="0" xr:uid="{00000000-0006-0000-1800-00000E000000}">
      <text>
        <r>
          <rPr>
            <sz val="11"/>
            <color theme="1"/>
            <rFont val="Calibri"/>
            <scheme val="minor"/>
          </rPr>
          <t>======
ID#AAAB1m7gCgM
Author    (2026-03-11 18:11:07)
TARGET 2019</t>
        </r>
      </text>
    </comment>
    <comment ref="H9" authorId="0" shapeId="0" xr:uid="{00000000-0006-0000-1800-000012000000}">
      <text>
        <r>
          <rPr>
            <sz val="11"/>
            <color theme="1"/>
            <rFont val="Calibri"/>
            <scheme val="minor"/>
          </rPr>
          <t>======
ID#AAAB1m7gCfA
Author    (2026-03-11 18:11:07)
TARGET 2019</t>
        </r>
      </text>
    </comment>
    <comment ref="H11" authorId="0" shapeId="0" xr:uid="{00000000-0006-0000-1800-00000B000000}">
      <text>
        <r>
          <rPr>
            <sz val="11"/>
            <color theme="1"/>
            <rFont val="Calibri"/>
            <scheme val="minor"/>
          </rPr>
          <t>======
ID#AAAB1m7gCg8
Author    (2026-03-11 18:11:07)
TARGET</t>
        </r>
      </text>
    </comment>
    <comment ref="H12" authorId="0" shapeId="0" xr:uid="{00000000-0006-0000-1800-00001E000000}">
      <text>
        <r>
          <rPr>
            <sz val="11"/>
            <color theme="1"/>
            <rFont val="Calibri"/>
            <scheme val="minor"/>
          </rPr>
          <t>======
ID#AAAB1m7gCbY
Author    (2026-03-11 18:11:07)
SAAD 2020</t>
        </r>
      </text>
    </comment>
    <comment ref="H13" authorId="0" shapeId="0" xr:uid="{00000000-0006-0000-1800-000010000000}">
      <text>
        <r>
          <rPr>
            <sz val="11"/>
            <color theme="1"/>
            <rFont val="Calibri"/>
            <scheme val="minor"/>
          </rPr>
          <t>======
ID#AAAB1m7gCf4
Author    (2026-03-11 18:11:07)
SAAD 2020</t>
        </r>
      </text>
    </comment>
    <comment ref="H14" authorId="0" shapeId="0" xr:uid="{00000000-0006-0000-1800-00000F000000}">
      <text>
        <r>
          <rPr>
            <sz val="11"/>
            <color theme="1"/>
            <rFont val="Calibri"/>
            <scheme val="minor"/>
          </rPr>
          <t>======
ID#AAAB1m7gCf8
Author    (2026-03-11 18:11:07)
TARGET 2020</t>
        </r>
      </text>
    </comment>
    <comment ref="H15" authorId="0" shapeId="0" xr:uid="{00000000-0006-0000-1800-000009000000}">
      <text>
        <r>
          <rPr>
            <sz val="11"/>
            <color theme="1"/>
            <rFont val="Calibri"/>
            <scheme val="minor"/>
          </rPr>
          <t>======
ID#AAAB1m7gCgk
Author    (2026-03-11 18:11:07)
TARGET 2020</t>
        </r>
      </text>
    </comment>
    <comment ref="H16" authorId="0" shapeId="0" xr:uid="{00000000-0006-0000-1800-000007000000}">
      <text>
        <r>
          <rPr>
            <sz val="11"/>
            <color theme="1"/>
            <rFont val="Calibri"/>
            <scheme val="minor"/>
          </rPr>
          <t>======
ID#AAAB1m7gCgw
Author    (2026-03-11 18:11:07)
TARGET 2020</t>
        </r>
      </text>
    </comment>
    <comment ref="H17" authorId="0" shapeId="0" xr:uid="{00000000-0006-0000-1800-000001000000}">
      <text>
        <r>
          <rPr>
            <sz val="11"/>
            <color theme="1"/>
            <rFont val="Calibri"/>
            <scheme val="minor"/>
          </rPr>
          <t>======
ID#AAAB1m7gCi0
Author    (2026-03-11 18:11:07)
SAAD 2020</t>
        </r>
      </text>
    </comment>
    <comment ref="H18" authorId="0" shapeId="0" xr:uid="{00000000-0006-0000-1800-000021000000}">
      <text>
        <r>
          <rPr>
            <sz val="11"/>
            <color theme="1"/>
            <rFont val="Calibri"/>
            <scheme val="minor"/>
          </rPr>
          <t>======
ID#AAAB1m7gCbw
Author    (2026-03-11 18:11:07)
SAAD 2020</t>
        </r>
      </text>
    </comment>
    <comment ref="H19" authorId="0" shapeId="0" xr:uid="{00000000-0006-0000-1800-00001A000000}">
      <text>
        <r>
          <rPr>
            <sz val="11"/>
            <color theme="1"/>
            <rFont val="Calibri"/>
            <scheme val="minor"/>
          </rPr>
          <t>======
ID#AAAB1m7gCck
Author    (2026-03-11 18:11:07)
TARGET 2020</t>
        </r>
      </text>
    </comment>
    <comment ref="H20" authorId="0" shapeId="0" xr:uid="{00000000-0006-0000-1800-00001C000000}">
      <text>
        <r>
          <rPr>
            <sz val="11"/>
            <color theme="1"/>
            <rFont val="Calibri"/>
            <scheme val="minor"/>
          </rPr>
          <t>======
ID#AAAB1m7gCb8
Author    (2026-03-11 18:11:07)
TARGET 2020</t>
        </r>
      </text>
    </comment>
    <comment ref="H21" authorId="0" shapeId="0" xr:uid="{00000000-0006-0000-1800-000011000000}">
      <text>
        <r>
          <rPr>
            <sz val="11"/>
            <color theme="1"/>
            <rFont val="Calibri"/>
            <scheme val="minor"/>
          </rPr>
          <t>======
ID#AAAB1m7gCfI
Author    (2026-03-11 18:11:07)
TARGET 2020</t>
        </r>
      </text>
    </comment>
    <comment ref="H23" authorId="0" shapeId="0" xr:uid="{00000000-0006-0000-1800-00001B000000}">
      <text>
        <r>
          <rPr>
            <sz val="11"/>
            <color theme="1"/>
            <rFont val="Calibri"/>
            <scheme val="minor"/>
          </rPr>
          <t>======
ID#AAAB1m7gCdA
Author    (2026-03-11 18:11:07)
TARGET 2020</t>
        </r>
      </text>
    </comment>
    <comment ref="H24" authorId="0" shapeId="0" xr:uid="{00000000-0006-0000-1800-00002A000000}">
      <text>
        <r>
          <rPr>
            <sz val="11"/>
            <color theme="1"/>
            <rFont val="Calibri"/>
            <scheme val="minor"/>
          </rPr>
          <t>======
ID#AAAB1m7gCZk
Author    (2026-03-11 18:11:07)
TARGET/SAAD 2020</t>
        </r>
      </text>
    </comment>
    <comment ref="H26" authorId="0" shapeId="0" xr:uid="{00000000-0006-0000-1800-00000C000000}">
      <text>
        <r>
          <rPr>
            <sz val="11"/>
            <color theme="1"/>
            <rFont val="Calibri"/>
            <scheme val="minor"/>
          </rPr>
          <t>======
ID#AAAB1m7gCg0
Author    (2026-03-11 18:11:07)
TARGET 2020</t>
        </r>
      </text>
    </comment>
    <comment ref="H27" authorId="0" shapeId="0" xr:uid="{00000000-0006-0000-1800-000003000000}">
      <text>
        <r>
          <rPr>
            <sz val="11"/>
            <color theme="1"/>
            <rFont val="Calibri"/>
            <scheme val="minor"/>
          </rPr>
          <t>======
ID#AAAB1m7gCiQ
Author    (2026-03-11 18:11:07)
TARGET 2020</t>
        </r>
      </text>
    </comment>
    <comment ref="H28" authorId="0" shapeId="0" xr:uid="{00000000-0006-0000-1800-000018000000}">
      <text>
        <r>
          <rPr>
            <sz val="11"/>
            <color theme="1"/>
            <rFont val="Calibri"/>
            <scheme val="minor"/>
          </rPr>
          <t>======
ID#AAAB1m7gCc8
Author    (2026-03-11 18:11:07)
SAAD 2020</t>
        </r>
      </text>
    </comment>
    <comment ref="H29" authorId="0" shapeId="0" xr:uid="{00000000-0006-0000-1800-000004000000}">
      <text>
        <r>
          <rPr>
            <sz val="11"/>
            <color theme="1"/>
            <rFont val="Calibri"/>
            <scheme val="minor"/>
          </rPr>
          <t>======
ID#AAAB1m7gCh8
Author    (2026-03-11 18:11:07)
TARGET 2020</t>
        </r>
      </text>
    </comment>
    <comment ref="H30" authorId="0" shapeId="0" xr:uid="{00000000-0006-0000-1800-000015000000}">
      <text>
        <r>
          <rPr>
            <sz val="11"/>
            <color theme="1"/>
            <rFont val="Calibri"/>
            <scheme val="minor"/>
          </rPr>
          <t>======
ID#AAAB1m7gCeA
Author    (2026-03-11 18:11:07)
TARGET 2020
SAAD 2020</t>
        </r>
      </text>
    </comment>
    <comment ref="H31" authorId="0" shapeId="0" xr:uid="{00000000-0006-0000-1800-000006000000}">
      <text>
        <r>
          <rPr>
            <sz val="11"/>
            <color theme="1"/>
            <rFont val="Calibri"/>
            <scheme val="minor"/>
          </rPr>
          <t>======
ID#AAAB1m7gChc
Author    (2026-03-11 18:11:07)
TARGET 2020</t>
        </r>
      </text>
    </comment>
    <comment ref="H32" authorId="0" shapeId="0" xr:uid="{00000000-0006-0000-1800-000023000000}">
      <text>
        <r>
          <rPr>
            <sz val="11"/>
            <color theme="1"/>
            <rFont val="Calibri"/>
            <scheme val="minor"/>
          </rPr>
          <t>======
ID#AAAB1m7gCa0
Author    (2026-03-11 18:11:07)
TARGET 2020</t>
        </r>
      </text>
    </comment>
    <comment ref="H33" authorId="0" shapeId="0" xr:uid="{00000000-0006-0000-1800-000002000000}">
      <text>
        <r>
          <rPr>
            <sz val="11"/>
            <color theme="1"/>
            <rFont val="Calibri"/>
            <scheme val="minor"/>
          </rPr>
          <t>======
ID#AAAB1m7gCiU
Author    (2026-03-11 18:11:07)
TARGET 2020</t>
        </r>
      </text>
    </comment>
    <comment ref="H34" authorId="0" shapeId="0" xr:uid="{00000000-0006-0000-1800-000026000000}">
      <text>
        <r>
          <rPr>
            <sz val="11"/>
            <color theme="1"/>
            <rFont val="Calibri"/>
            <scheme val="minor"/>
          </rPr>
          <t>======
ID#AAAB1m7gCaY
Author    (2026-03-11 18:11:07)
TARGET &amp; SAAD 2020</t>
        </r>
      </text>
    </comment>
    <comment ref="H35" authorId="0" shapeId="0" xr:uid="{00000000-0006-0000-1800-000013000000}">
      <text>
        <r>
          <rPr>
            <sz val="11"/>
            <color theme="1"/>
            <rFont val="Calibri"/>
            <scheme val="minor"/>
          </rPr>
          <t>======
ID#AAAB1m7gCeU
Author    (2026-03-11 18:11:07)
TARGET 2020</t>
        </r>
      </text>
    </comment>
    <comment ref="H36" authorId="0" shapeId="0" xr:uid="{00000000-0006-0000-1800-000019000000}">
      <text>
        <r>
          <rPr>
            <sz val="11"/>
            <color theme="1"/>
            <rFont val="Calibri"/>
            <scheme val="minor"/>
          </rPr>
          <t>======
ID#AAAB1m7gCcw
Author    (2026-03-11 18:11:07)
SAAD 2020</t>
        </r>
      </text>
    </comment>
    <comment ref="H38" authorId="0" shapeId="0" xr:uid="{00000000-0006-0000-1800-000029000000}">
      <text>
        <r>
          <rPr>
            <sz val="11"/>
            <color theme="1"/>
            <rFont val="Calibri"/>
            <scheme val="minor"/>
          </rPr>
          <t>======
ID#AAAB1m7gCZc
Author    (2026-03-11 18:11:07)
TARGET 2020</t>
        </r>
      </text>
    </comment>
    <comment ref="H39" authorId="0" shapeId="0" xr:uid="{00000000-0006-0000-1800-00000A000000}">
      <text>
        <r>
          <rPr>
            <sz val="11"/>
            <color theme="1"/>
            <rFont val="Calibri"/>
            <scheme val="minor"/>
          </rPr>
          <t>======
ID#AAAB1m7gCgg
Author    (2026-03-11 18:11:07)
TARGET 2020</t>
        </r>
      </text>
    </comment>
    <comment ref="H40" authorId="0" shapeId="0" xr:uid="{00000000-0006-0000-1800-00001F000000}">
      <text>
        <r>
          <rPr>
            <sz val="11"/>
            <color theme="1"/>
            <rFont val="Calibri"/>
            <scheme val="minor"/>
          </rPr>
          <t>======
ID#AAAB1m7gCbU
Author    (2026-03-11 18:11:07)
TARGET 2020</t>
        </r>
      </text>
    </comment>
    <comment ref="H41" authorId="0" shapeId="0" xr:uid="{00000000-0006-0000-1800-000005000000}">
      <text>
        <r>
          <rPr>
            <sz val="11"/>
            <color theme="1"/>
            <rFont val="Calibri"/>
            <scheme val="minor"/>
          </rPr>
          <t>======
ID#AAAB1m7gChg
Author    (2026-03-11 18:11:07)
TARGET 2020</t>
        </r>
      </text>
    </comment>
    <comment ref="H42" authorId="0" shapeId="0" xr:uid="{00000000-0006-0000-1800-000008000000}">
      <text>
        <r>
          <rPr>
            <sz val="11"/>
            <color theme="1"/>
            <rFont val="Calibri"/>
            <scheme val="minor"/>
          </rPr>
          <t>======
ID#AAAB1m7gCgs
Author    (2026-03-11 18:11:07)
SAAD 2020</t>
        </r>
      </text>
    </comment>
    <comment ref="H43" authorId="0" shapeId="0" xr:uid="{00000000-0006-0000-1800-000024000000}">
      <text>
        <r>
          <rPr>
            <sz val="11"/>
            <color theme="1"/>
            <rFont val="Calibri"/>
            <scheme val="minor"/>
          </rPr>
          <t>======
ID#AAAB1m7gCaw
Author    (2026-03-11 18:11:07)
SAAD 2020</t>
        </r>
      </text>
    </comment>
    <comment ref="H44" authorId="0" shapeId="0" xr:uid="{00000000-0006-0000-1800-000027000000}">
      <text>
        <r>
          <rPr>
            <sz val="11"/>
            <color theme="1"/>
            <rFont val="Calibri"/>
            <scheme val="minor"/>
          </rPr>
          <t>======
ID#AAAB1m7gCac
Author    (2026-03-11 18:11:07)
SAAD 2020</t>
        </r>
      </text>
    </comment>
    <comment ref="H45" authorId="0" shapeId="0" xr:uid="{00000000-0006-0000-1800-000017000000}">
      <text>
        <r>
          <rPr>
            <sz val="11"/>
            <color theme="1"/>
            <rFont val="Calibri"/>
            <scheme val="minor"/>
          </rPr>
          <t>======
ID#AAAB1m7gCdc
Author    (2026-03-11 18:11:07)
TARGET 2020</t>
        </r>
      </text>
    </comment>
    <comment ref="H46" authorId="0" shapeId="0" xr:uid="{00000000-0006-0000-1800-000025000000}">
      <text>
        <r>
          <rPr>
            <sz val="11"/>
            <color theme="1"/>
            <rFont val="Calibri"/>
            <scheme val="minor"/>
          </rPr>
          <t>======
ID#AAAB1m7gCak
Author    (2026-03-11 18:11:07)
TARGET 2020</t>
        </r>
      </text>
    </comment>
    <comment ref="H47" authorId="0" shapeId="0" xr:uid="{00000000-0006-0000-1800-000016000000}">
      <text>
        <r>
          <rPr>
            <sz val="11"/>
            <color theme="1"/>
            <rFont val="Calibri"/>
            <scheme val="minor"/>
          </rPr>
          <t>======
ID#AAAB1m7gCds
Author    (2026-03-11 18:11:07)
TARGET 2020</t>
        </r>
      </text>
    </comment>
    <comment ref="H48" authorId="0" shapeId="0" xr:uid="{00000000-0006-0000-1800-00001D000000}">
      <text>
        <r>
          <rPr>
            <sz val="11"/>
            <color theme="1"/>
            <rFont val="Calibri"/>
            <scheme val="minor"/>
          </rPr>
          <t>======
ID#AAAB1m7gCcY
Author    (2026-03-11 18:11:07)
SAAD 2020</t>
        </r>
      </text>
    </comment>
    <comment ref="H49" authorId="0" shapeId="0" xr:uid="{00000000-0006-0000-1800-000028000000}">
      <text>
        <r>
          <rPr>
            <sz val="11"/>
            <color theme="1"/>
            <rFont val="Calibri"/>
            <scheme val="minor"/>
          </rPr>
          <t>======
ID#AAAB1m7gCaA
Author    (2026-03-11 18:11:07)
SAAD 2020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i23WgxYyYLXk6w/E3oJrTSA9cw=="/>
    </ext>
  </extL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1900-000012000000}">
      <text>
        <r>
          <rPr>
            <sz val="11"/>
            <color theme="1"/>
            <rFont val="Calibri"/>
            <scheme val="minor"/>
          </rPr>
          <t>======
ID#AAAB1m7gCdI
Author    (2026-03-11 18:11:07)
Monthly Physical REPORT
January 20, 2020</t>
        </r>
      </text>
    </comment>
    <comment ref="A13" authorId="0" shapeId="0" xr:uid="{00000000-0006-0000-1900-000007000000}">
      <text>
        <r>
          <rPr>
            <sz val="11"/>
            <color theme="1"/>
            <rFont val="Calibri"/>
            <scheme val="minor"/>
          </rPr>
          <t>======
ID#AAAB1m7gCgc
Author    (2026-03-11 18:11:07)
Monthly Physical REPORT
February 20, 2020</t>
        </r>
      </text>
    </comment>
    <comment ref="E35" authorId="0" shapeId="0" xr:uid="{00000000-0006-0000-1900-000013000000}">
      <text>
        <r>
          <rPr>
            <sz val="11"/>
            <color theme="1"/>
            <rFont val="Calibri"/>
            <scheme val="minor"/>
          </rPr>
          <t>======
ID#AAAB1m7gCdE
Author    (2026-03-11 18:11:07)
DISPERSAL</t>
        </r>
      </text>
    </comment>
    <comment ref="E38" authorId="0" shapeId="0" xr:uid="{00000000-0006-0000-1900-000018000000}">
      <text>
        <r>
          <rPr>
            <sz val="11"/>
            <color theme="1"/>
            <rFont val="Calibri"/>
            <scheme val="minor"/>
          </rPr>
          <t>======
ID#AAAB1m7gCbc
Author    (2026-03-11 18:11:07)
10 pcs Dispersal</t>
        </r>
      </text>
    </comment>
    <comment ref="A43" authorId="0" shapeId="0" xr:uid="{00000000-0006-0000-1900-000009000000}">
      <text>
        <r>
          <rPr>
            <sz val="11"/>
            <color theme="1"/>
            <rFont val="Calibri"/>
            <scheme val="minor"/>
          </rPr>
          <t>======
ID#AAAB1m7gCfs
Author    (2026-03-11 18:11:07)
End of Accomplishments</t>
        </r>
      </text>
    </comment>
    <comment ref="E45" authorId="0" shapeId="0" xr:uid="{00000000-0006-0000-1900-000005000000}">
      <text>
        <r>
          <rPr>
            <sz val="11"/>
            <color theme="1"/>
            <rFont val="Calibri"/>
            <scheme val="minor"/>
          </rPr>
          <t>======
ID#AAAB1m7gCiE
Author    (2026-03-11 18:11:07)
DISPERSAL</t>
        </r>
      </text>
    </comment>
    <comment ref="E47" authorId="0" shapeId="0" xr:uid="{00000000-0006-0000-1900-000017000000}">
      <text>
        <r>
          <rPr>
            <sz val="11"/>
            <color theme="1"/>
            <rFont val="Calibri"/>
            <scheme val="minor"/>
          </rPr>
          <t>======
ID#AAAB1m7gCbg
Author    (2026-03-11 18:11:07)
DISPERSAL</t>
        </r>
      </text>
    </comment>
    <comment ref="E48" authorId="0" shapeId="0" xr:uid="{00000000-0006-0000-1900-000010000000}">
      <text>
        <r>
          <rPr>
            <sz val="11"/>
            <color theme="1"/>
            <rFont val="Calibri"/>
            <scheme val="minor"/>
          </rPr>
          <t>======
ID#AAAB1m7gCdg
Author    (2026-03-11 18:11:07)
20pieces dispersal</t>
        </r>
      </text>
    </comment>
    <comment ref="E50" authorId="0" shapeId="0" xr:uid="{00000000-0006-0000-1900-000015000000}">
      <text>
        <r>
          <rPr>
            <sz val="11"/>
            <color theme="1"/>
            <rFont val="Calibri"/>
            <scheme val="minor"/>
          </rPr>
          <t>======
ID#AAAB1m7gCcc
Author    (2026-03-11 18:11:07)
5pcs dispersal</t>
        </r>
      </text>
    </comment>
    <comment ref="E53" authorId="0" shapeId="0" xr:uid="{00000000-0006-0000-1900-000004000000}">
      <text>
        <r>
          <rPr>
            <sz val="11"/>
            <color theme="1"/>
            <rFont val="Calibri"/>
            <scheme val="minor"/>
          </rPr>
          <t>======
ID#AAAB1m7gCik
Author    (2026-03-11 18:11:07)
30pcs. dispersal</t>
        </r>
      </text>
    </comment>
    <comment ref="E55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ID#AAAB1m7gCio
Author    (2026-03-11 18:11:07)
20pcs dispersal</t>
        </r>
      </text>
    </comment>
    <comment ref="D56" authorId="0" shapeId="0" xr:uid="{00000000-0006-0000-1900-00001A000000}">
      <text>
        <r>
          <rPr>
            <sz val="11"/>
            <color theme="1"/>
            <rFont val="Calibri"/>
            <scheme val="minor"/>
          </rPr>
          <t>======
ID#AAAB1m7gCaM
Author    (2026-03-11 18:11:07)
breeders 90pcs</t>
        </r>
      </text>
    </comment>
    <comment ref="E65" authorId="0" shapeId="0" xr:uid="{00000000-0006-0000-1900-00000D000000}">
      <text>
        <r>
          <rPr>
            <sz val="11"/>
            <color theme="1"/>
            <rFont val="Calibri"/>
            <scheme val="minor"/>
          </rPr>
          <t>======
ID#AAAB1m7gCfE
Author    (2026-03-11 18:11:07)
40pcs Dispersal</t>
        </r>
      </text>
    </comment>
    <comment ref="F69" authorId="0" shapeId="0" xr:uid="{00000000-0006-0000-1900-000008000000}">
      <text>
        <r>
          <rPr>
            <sz val="11"/>
            <color theme="1"/>
            <rFont val="Calibri"/>
            <scheme val="minor"/>
          </rPr>
          <t>======
ID#AAAB1m7gCgA
Author    (2026-03-11 18:11:07)
20pcs blackmolly</t>
        </r>
      </text>
    </comment>
    <comment ref="E70" authorId="0" shapeId="0" xr:uid="{00000000-0006-0000-1900-000011000000}">
      <text>
        <r>
          <rPr>
            <sz val="11"/>
            <color theme="1"/>
            <rFont val="Calibri"/>
            <scheme val="minor"/>
          </rPr>
          <t>======
ID#AAAB1m7gCdM
Author    (2026-03-11 18:11:07)
120pcs sold
400pcs dispersal
Total=520pcs</t>
        </r>
      </text>
    </comment>
    <comment ref="S70" authorId="0" shapeId="0" xr:uid="{00000000-0006-0000-1900-000014000000}">
      <text>
        <r>
          <rPr>
            <sz val="11"/>
            <color theme="1"/>
            <rFont val="Calibri"/>
            <scheme val="minor"/>
          </rPr>
          <t>======
ID#AAAB1m7gCc4
Author    (2026-03-11 18:11:07)
Dispersal</t>
        </r>
      </text>
    </comment>
    <comment ref="A72" authorId="0" shapeId="0" xr:uid="{00000000-0006-0000-1900-000019000000}">
      <text>
        <r>
          <rPr>
            <sz val="11"/>
            <color theme="1"/>
            <rFont val="Calibri"/>
            <scheme val="minor"/>
          </rPr>
          <t>======
ID#AAAB1m7gCbE
Author    (2026-03-11 18:11:07)
COS
Accomplishment for Nov 1-15</t>
        </r>
      </text>
    </comment>
    <comment ref="E75" authorId="0" shapeId="0" xr:uid="{00000000-0006-0000-1900-00001B000000}">
      <text>
        <r>
          <rPr>
            <sz val="11"/>
            <color theme="1"/>
            <rFont val="Calibri"/>
            <scheme val="minor"/>
          </rPr>
          <t>======
ID#AAAB1m7gCZo
Author    (2026-03-11 18:11:07)
10 pcs DISPERSAL</t>
        </r>
      </text>
    </comment>
    <comment ref="E79" authorId="0" shapeId="0" xr:uid="{00000000-0006-0000-1900-000006000000}">
      <text>
        <r>
          <rPr>
            <sz val="11"/>
            <color theme="1"/>
            <rFont val="Calibri"/>
            <scheme val="minor"/>
          </rPr>
          <t>======
ID#AAAB1m7gChk
Author    (2026-03-11 18:11:07)
5pcs dispersal</t>
        </r>
      </text>
    </comment>
    <comment ref="D91" authorId="0" shapeId="0" xr:uid="{00000000-0006-0000-1900-000002000000}">
      <text>
        <r>
          <rPr>
            <sz val="11"/>
            <color theme="1"/>
            <rFont val="Calibri"/>
            <scheme val="minor"/>
          </rPr>
          <t>======
ID#AAAB1m7gCi4
Author    (2026-03-11 18:11:07)
+20%</t>
        </r>
      </text>
    </comment>
    <comment ref="J91" authorId="0" shapeId="0" xr:uid="{00000000-0006-0000-1900-00000B000000}">
      <text>
        <r>
          <rPr>
            <sz val="11"/>
            <color theme="1"/>
            <rFont val="Calibri"/>
            <scheme val="minor"/>
          </rPr>
          <t>======
ID#AAAB1m7gCfc
Author    (2026-03-11 18:11:07)
+20%</t>
        </r>
      </text>
    </comment>
    <comment ref="M91" authorId="0" shapeId="0" xr:uid="{00000000-0006-0000-1900-00000C000000}">
      <text>
        <r>
          <rPr>
            <sz val="11"/>
            <color theme="1"/>
            <rFont val="Calibri"/>
            <scheme val="minor"/>
          </rPr>
          <t>======
ID#AAAB1m7gCfU
Author    (2026-03-11 18:11:07)
+ 20%</t>
        </r>
      </text>
    </comment>
    <comment ref="A101" authorId="0" shapeId="0" xr:uid="{00000000-0006-0000-1900-00000A000000}">
      <text>
        <r>
          <rPr>
            <sz val="11"/>
            <color theme="1"/>
            <rFont val="Calibri"/>
            <scheme val="minor"/>
          </rPr>
          <t>======
ID#AAAB1m7gCfo
Author    (2026-03-11 18:11:07)
Monthly Physical REPORT
January 20, 2020</t>
        </r>
      </text>
    </comment>
    <comment ref="A107" authorId="0" shapeId="0" xr:uid="{00000000-0006-0000-1900-00000E000000}">
      <text>
        <r>
          <rPr>
            <sz val="11"/>
            <color theme="1"/>
            <rFont val="Calibri"/>
            <scheme val="minor"/>
          </rPr>
          <t>======
ID#AAAB1m7gCeM
Author    (2026-03-11 18:11:07)
Monthly Physical REPORT
February 20, 2020</t>
        </r>
      </text>
    </comment>
    <comment ref="A119" authorId="0" shapeId="0" xr:uid="{00000000-0006-0000-1900-000003000000}">
      <text>
        <r>
          <rPr>
            <sz val="11"/>
            <color theme="1"/>
            <rFont val="Calibri"/>
            <scheme val="minor"/>
          </rPr>
          <t>======
ID#AAAB1m7gCiY
Author    (2026-03-11 18:11:07)
April 16 Paul John
to
April 21 Ruel Lucero</t>
        </r>
      </text>
    </comment>
    <comment ref="A127" authorId="0" shapeId="0" xr:uid="{00000000-0006-0000-1900-00000F000000}">
      <text>
        <r>
          <rPr>
            <sz val="11"/>
            <color theme="1"/>
            <rFont val="Calibri"/>
            <scheme val="minor"/>
          </rPr>
          <t>======
ID#AAAB1m7gCd8
Author    (2026-03-11 18:11:07)
End of May 2020 Physical</t>
        </r>
      </text>
    </comment>
    <comment ref="D179" authorId="0" shapeId="0" xr:uid="{00000000-0006-0000-1900-000016000000}">
      <text>
        <r>
          <rPr>
            <sz val="11"/>
            <color theme="1"/>
            <rFont val="Calibri"/>
            <scheme val="minor"/>
          </rPr>
          <t>======
ID#AAAB1m7gCcE
Author    (2026-03-11 18:11:07)
+20%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sIZ3f4eZfH+Arti3LpGqPH2hBw=="/>
    </ext>
  </extL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3" authorId="0" shapeId="0" xr:uid="{00000000-0006-0000-1C00-000001000000}">
      <text>
        <r>
          <rPr>
            <sz val="11"/>
            <color theme="1"/>
            <rFont val="Calibri"/>
            <scheme val="minor"/>
          </rPr>
          <t>======
ID#AAAB1m7gCdw
Author    (2026-03-11 18:11:07)
Pilardam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jtrTQop0KeQAd9XqDha0omeNhA=="/>
    </ext>
  </extLst>
</comments>
</file>

<file path=xl/sharedStrings.xml><?xml version="1.0" encoding="utf-8"?>
<sst xmlns="http://schemas.openxmlformats.org/spreadsheetml/2006/main" count="27149" uniqueCount="3842">
  <si>
    <t xml:space="preserve">                      FORMAT LIST OF ACTUAL BENEFICIARIES</t>
  </si>
  <si>
    <t xml:space="preserve">                   January 2020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</si>
  <si>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287</t>
    </r>
  </si>
  <si>
    <t xml:space="preserve">Male: </t>
  </si>
  <si>
    <t>Female:</t>
  </si>
  <si>
    <t>a. Individuals</t>
  </si>
  <si>
    <r>
      <rPr>
        <sz val="10"/>
        <color theme="1"/>
        <rFont val="Arial"/>
      </rPr>
      <t xml:space="preserve">Others:(S.C./PWD): </t>
    </r>
    <r>
      <rPr>
        <b/>
        <u/>
        <sz val="10"/>
        <color theme="1"/>
        <rFont val="Arial"/>
      </rPr>
      <t>38</t>
    </r>
  </si>
  <si>
    <t xml:space="preserve">                                Types of Goods/Services Received</t>
  </si>
  <si>
    <t>DATE OF IMPLEMENTATION</t>
  </si>
  <si>
    <t>NAME OF BENEFICIARIES</t>
  </si>
  <si>
    <t>GENDER</t>
  </si>
  <si>
    <t>BARANGAY</t>
  </si>
  <si>
    <t>MUNICIPALITY</t>
  </si>
  <si>
    <t xml:space="preserve">Contact No./Email </t>
  </si>
  <si>
    <t xml:space="preserve">QUANTITY </t>
  </si>
  <si>
    <t>COST('000)</t>
  </si>
  <si>
    <t>Address(if any)</t>
  </si>
  <si>
    <t>Type/Species</t>
  </si>
  <si>
    <t>RECEIVED</t>
  </si>
  <si>
    <t>TYPE</t>
  </si>
  <si>
    <t>SATISFIED/</t>
  </si>
  <si>
    <t>(Unit/kg/pcs.)</t>
  </si>
  <si>
    <t>NOT SATISFIED</t>
  </si>
  <si>
    <t>As of January 1-7, 2020</t>
  </si>
  <si>
    <t>DATE</t>
  </si>
  <si>
    <t>TILAPIA</t>
  </si>
  <si>
    <t>Benjamin Nuez</t>
  </si>
  <si>
    <t>Male</t>
  </si>
  <si>
    <t>Cabigupan</t>
  </si>
  <si>
    <t>Trinidad</t>
  </si>
  <si>
    <t>Excel</t>
  </si>
  <si>
    <t>pond</t>
  </si>
  <si>
    <t>satisfied</t>
  </si>
  <si>
    <t>Sold</t>
  </si>
  <si>
    <t>Sherwin Balaba</t>
  </si>
  <si>
    <t>Pob. Sur</t>
  </si>
  <si>
    <t>Carmen</t>
  </si>
  <si>
    <t>Dispersed</t>
  </si>
  <si>
    <t>Alie Esid</t>
  </si>
  <si>
    <t>Female</t>
  </si>
  <si>
    <t>Burgos</t>
  </si>
  <si>
    <t>Talibon</t>
  </si>
  <si>
    <t>Reymond Omaña</t>
  </si>
  <si>
    <t>Buacao</t>
  </si>
  <si>
    <t>Clarin</t>
  </si>
  <si>
    <t>Joselito Carnice</t>
  </si>
  <si>
    <t>Los Angeles</t>
  </si>
  <si>
    <t>Ubay</t>
  </si>
  <si>
    <t>KOI</t>
  </si>
  <si>
    <t>Virginia Descallar</t>
  </si>
  <si>
    <t>San Carlos</t>
  </si>
  <si>
    <t>Pilar</t>
  </si>
  <si>
    <t>Magdalino Pandac</t>
  </si>
  <si>
    <t>Aloja</t>
  </si>
  <si>
    <t>Batuan</t>
  </si>
  <si>
    <t>Alexander Doloso Jr.</t>
  </si>
  <si>
    <t>San Isidro</t>
  </si>
  <si>
    <t>ULANG</t>
  </si>
  <si>
    <t>Teny Peliño</t>
  </si>
  <si>
    <t>San Antonio</t>
  </si>
  <si>
    <t>Duero</t>
  </si>
  <si>
    <t>KoiCarp</t>
  </si>
  <si>
    <t>Francisco Bautista</t>
  </si>
  <si>
    <t>M. Roxas</t>
  </si>
  <si>
    <t>Elmer Teimpo</t>
  </si>
  <si>
    <t>Villafuerte</t>
  </si>
  <si>
    <t>Brian Cuyacot</t>
  </si>
  <si>
    <t>Bugang</t>
  </si>
  <si>
    <t>San Miguel</t>
  </si>
  <si>
    <t>Ariel Adaya</t>
  </si>
  <si>
    <t>La Salvacion</t>
  </si>
  <si>
    <t>Emmanuel Lupian</t>
  </si>
  <si>
    <t>Lawis</t>
  </si>
  <si>
    <t>Inabanga</t>
  </si>
  <si>
    <t>Danilo Olaguer</t>
  </si>
  <si>
    <t>Balaga</t>
  </si>
  <si>
    <t>Mabini</t>
  </si>
  <si>
    <t>Vicente Malabute</t>
  </si>
  <si>
    <t>Malitbog</t>
  </si>
  <si>
    <t>Dagohoy</t>
  </si>
  <si>
    <t>Gerie Gepalago</t>
  </si>
  <si>
    <t>Pobalcion</t>
  </si>
  <si>
    <t>Ronald Manal</t>
  </si>
  <si>
    <t>Sur</t>
  </si>
  <si>
    <t>Sagbayan</t>
  </si>
  <si>
    <t>Eric Basay</t>
  </si>
  <si>
    <t>Catigbian</t>
  </si>
  <si>
    <t>Nestor Calamba</t>
  </si>
  <si>
    <t>Sta. Cruz</t>
  </si>
  <si>
    <t>Sierra Bullones</t>
  </si>
  <si>
    <t>dispersed</t>
  </si>
  <si>
    <t>Tonron dela Peña</t>
  </si>
  <si>
    <t>Helario Malubay</t>
  </si>
  <si>
    <t>Villa Garcia</t>
  </si>
  <si>
    <t>Editha Pacot</t>
  </si>
  <si>
    <t>Nestor Ramos</t>
  </si>
  <si>
    <t>Nahawan</t>
  </si>
  <si>
    <t>Meloniodes Canda</t>
  </si>
  <si>
    <t>Bicao</t>
  </si>
  <si>
    <t>Moises Escabusa</t>
  </si>
  <si>
    <t>Poblacion</t>
  </si>
  <si>
    <t>Joel Lacea</t>
  </si>
  <si>
    <t>Balilihan</t>
  </si>
  <si>
    <t>Marben Torreon</t>
  </si>
  <si>
    <t>Calatrava</t>
  </si>
  <si>
    <t>Milyjun Garzano</t>
  </si>
  <si>
    <t>Causwagan</t>
  </si>
  <si>
    <t>Armand Pasok</t>
  </si>
  <si>
    <t>Katipunan</t>
  </si>
  <si>
    <t>Richardo Palingcod</t>
  </si>
  <si>
    <t>Montesuerte</t>
  </si>
  <si>
    <t>Joel Manching</t>
  </si>
  <si>
    <t>Daril james Sarong</t>
  </si>
  <si>
    <t>Nemesio Oranan</t>
  </si>
  <si>
    <t>Tubod</t>
  </si>
  <si>
    <t>Ulang</t>
  </si>
  <si>
    <t>Gina Jamil</t>
  </si>
  <si>
    <t>Saturnino Ore</t>
  </si>
  <si>
    <t>Kinan-oan</t>
  </si>
  <si>
    <t>Lito Oronan</t>
  </si>
  <si>
    <t>libertad Sur</t>
  </si>
  <si>
    <t>Rolando Acuymo</t>
  </si>
  <si>
    <t>Jeffrey Celades</t>
  </si>
  <si>
    <t>Canmaya Diot</t>
  </si>
  <si>
    <t>Reymar Timbal</t>
  </si>
  <si>
    <t>Edilberto Omboy</t>
  </si>
  <si>
    <t>Vvallehermoso</t>
  </si>
  <si>
    <t>Apolonio Manatad</t>
  </si>
  <si>
    <t>Villaflor</t>
  </si>
  <si>
    <t>Marlon Ampo</t>
  </si>
  <si>
    <t>Estaca</t>
  </si>
  <si>
    <t>Eherson Perez</t>
  </si>
  <si>
    <t>Bongbong</t>
  </si>
  <si>
    <t>Ursulo Taganahan</t>
  </si>
  <si>
    <t>Cabanbanan</t>
  </si>
  <si>
    <t>Dimiao</t>
  </si>
  <si>
    <t>Roel Dinoy</t>
  </si>
  <si>
    <t>Dagnawan</t>
  </si>
  <si>
    <t>Julio Daga-ang</t>
  </si>
  <si>
    <t>Badiang</t>
  </si>
  <si>
    <t>Sikatuna</t>
  </si>
  <si>
    <t>Gemma Dapar</t>
  </si>
  <si>
    <t>Baucan Sur</t>
  </si>
  <si>
    <t>Nora Quinal</t>
  </si>
  <si>
    <t>Cantubod</t>
  </si>
  <si>
    <t>Danao</t>
  </si>
  <si>
    <t>Samuel Dacoylo</t>
  </si>
  <si>
    <t>Poblacion II</t>
  </si>
  <si>
    <t>Tagbilaran</t>
  </si>
  <si>
    <t>Jasper Manuta</t>
  </si>
  <si>
    <t>Agahay</t>
  </si>
  <si>
    <t>Maribojoc</t>
  </si>
  <si>
    <t>Rodel Nazareno</t>
  </si>
  <si>
    <t>Matin-ao</t>
  </si>
  <si>
    <t>Victorina Ligan</t>
  </si>
  <si>
    <t>Trecell Maria Saure</t>
  </si>
  <si>
    <t>Sagasa</t>
  </si>
  <si>
    <t>Rodrigo Baja</t>
  </si>
  <si>
    <t>Alberto Liba</t>
  </si>
  <si>
    <t>Benjamin Pabe</t>
  </si>
  <si>
    <t>Teofilo Cagabcab</t>
  </si>
  <si>
    <t>Nerio Sales</t>
  </si>
  <si>
    <t>Jerry Sarabosing</t>
  </si>
  <si>
    <t>Juagdan</t>
  </si>
  <si>
    <t>Junvic Ando</t>
  </si>
  <si>
    <t>Canmaya Centro</t>
  </si>
  <si>
    <t>Felix Sipsip</t>
  </si>
  <si>
    <t>Joseph Licayan</t>
  </si>
  <si>
    <t>la Hacienda</t>
  </si>
  <si>
    <t>Alicia</t>
  </si>
  <si>
    <t>Ponciano Quiño</t>
  </si>
  <si>
    <t>Taming</t>
  </si>
  <si>
    <t>Petronilo Estor</t>
  </si>
  <si>
    <t>Canmano</t>
  </si>
  <si>
    <t>Jayson Regis</t>
  </si>
  <si>
    <t>Buang</t>
  </si>
  <si>
    <t>Marven Cardinas</t>
  </si>
  <si>
    <t>Bonbon</t>
  </si>
  <si>
    <t>Mary Magdalen Calfes</t>
  </si>
  <si>
    <t>Editha Lagitao</t>
  </si>
  <si>
    <t>Nueva Vida Sur</t>
  </si>
  <si>
    <t>Allan Lagitao</t>
  </si>
  <si>
    <t>Marlon Lumagod</t>
  </si>
  <si>
    <t>Ramil Tesio</t>
  </si>
  <si>
    <t>Daryl jame Sarong</t>
  </si>
  <si>
    <t>Mario Pioquinto</t>
  </si>
  <si>
    <t>Ilihan</t>
  </si>
  <si>
    <t>Abellarito Clavite</t>
  </si>
  <si>
    <t>Montesunting</t>
  </si>
  <si>
    <t>Bernido Vistal</t>
  </si>
  <si>
    <t>Josua Villaruz</t>
  </si>
  <si>
    <t>Buenavista</t>
  </si>
  <si>
    <t>Emegdio Goloso</t>
  </si>
  <si>
    <t>Guadalupe</t>
  </si>
  <si>
    <t>Arnel Tabor</t>
  </si>
  <si>
    <t>Pob. West</t>
  </si>
  <si>
    <t>Antonio Petallar</t>
  </si>
  <si>
    <t xml:space="preserve">Badiang </t>
  </si>
  <si>
    <t>Alex Sarona</t>
  </si>
  <si>
    <t>Lorenzo Andrade</t>
  </si>
  <si>
    <t>La Union</t>
  </si>
  <si>
    <t>Norman Baay</t>
  </si>
  <si>
    <t>Romeo Paquibot</t>
  </si>
  <si>
    <t>Teodomero Suello</t>
  </si>
  <si>
    <t>Jesica Bautista</t>
  </si>
  <si>
    <t>Panghagban</t>
  </si>
  <si>
    <t>Pelpinosas Castro Jr.</t>
  </si>
  <si>
    <t>Neciforo Saren</t>
  </si>
  <si>
    <t xml:space="preserve">Cansumbol </t>
  </si>
  <si>
    <t>Bilar</t>
  </si>
  <si>
    <t>Marden Gapas</t>
  </si>
  <si>
    <t>Buenos Aires</t>
  </si>
  <si>
    <t>Pilaria Dumandan</t>
  </si>
  <si>
    <t>El Salvador</t>
  </si>
  <si>
    <t>Aquilino Hapay</t>
  </si>
  <si>
    <t>Rosaryohan</t>
  </si>
  <si>
    <t>Joel Calamba</t>
  </si>
  <si>
    <t>Campagao</t>
  </si>
  <si>
    <t>Kirk Caparada</t>
  </si>
  <si>
    <t>Toledo City</t>
  </si>
  <si>
    <t>Cebu</t>
  </si>
  <si>
    <t>Renante Domingo</t>
  </si>
  <si>
    <t>Cabayugan</t>
  </si>
  <si>
    <t>Calape</t>
  </si>
  <si>
    <t>Cristito Garcia</t>
  </si>
  <si>
    <t>Talibo</t>
  </si>
  <si>
    <t>Analee Paanod</t>
  </si>
  <si>
    <t>Ethel Dumandan</t>
  </si>
  <si>
    <t>Anita Años</t>
  </si>
  <si>
    <t>Marjhun Abayon</t>
  </si>
  <si>
    <t>Liboron</t>
  </si>
  <si>
    <t>Exequiel Cifra</t>
  </si>
  <si>
    <t>Mahayag</t>
  </si>
  <si>
    <t>Ramel Sumagaysay</t>
  </si>
  <si>
    <t>Kagawasan</t>
  </si>
  <si>
    <t>Adelo Legaspi</t>
  </si>
  <si>
    <t>Jun Renoblas</t>
  </si>
  <si>
    <t>Antequera</t>
  </si>
  <si>
    <t>Richard Degamo</t>
  </si>
  <si>
    <t>Tontunan</t>
  </si>
  <si>
    <t>Romeo Batomalaque</t>
  </si>
  <si>
    <t>Ruben Quire Quire</t>
  </si>
  <si>
    <t>Canlaas</t>
  </si>
  <si>
    <t>Edgar Pagas</t>
  </si>
  <si>
    <t>Tan-awan</t>
  </si>
  <si>
    <t>Tubigon</t>
  </si>
  <si>
    <t>Gloria Loremia</t>
  </si>
  <si>
    <t>Jocelyn Vistal</t>
  </si>
  <si>
    <t>Eutemio Felisilda</t>
  </si>
  <si>
    <t>Ricardo Leorna</t>
  </si>
  <si>
    <t>Val Amigo</t>
  </si>
  <si>
    <t>Cabad</t>
  </si>
  <si>
    <t>Tirso Tinay</t>
  </si>
  <si>
    <t>Quirino</t>
  </si>
  <si>
    <t>Joemarie Cutora</t>
  </si>
  <si>
    <t>Leonila Italto</t>
  </si>
  <si>
    <t>Bunacan</t>
  </si>
  <si>
    <t>Eduardo Icanalo</t>
  </si>
  <si>
    <t>Anestacio Niñolas</t>
  </si>
  <si>
    <t>Arnold Cagas</t>
  </si>
  <si>
    <t>June Gonzales</t>
  </si>
  <si>
    <t>Nestor Orevillo</t>
  </si>
  <si>
    <t>Corazon</t>
  </si>
  <si>
    <t>Ariel Toquib</t>
  </si>
  <si>
    <t>Cabulijan</t>
  </si>
  <si>
    <t>Argie Lanoy</t>
  </si>
  <si>
    <t>Cagawasan</t>
  </si>
  <si>
    <t>Marwin Lomosbog</t>
  </si>
  <si>
    <t>James Bryan Añasco</t>
  </si>
  <si>
    <t>Isidro Clavite</t>
  </si>
  <si>
    <t>Nelson Ramirez</t>
  </si>
  <si>
    <t>Medardo Aparece</t>
  </si>
  <si>
    <t>Joseph Inojales</t>
  </si>
  <si>
    <t>Candijay</t>
  </si>
  <si>
    <t>Shem Bayson</t>
  </si>
  <si>
    <t>Del Pilar</t>
  </si>
  <si>
    <t>As of January 8-12, 2020</t>
  </si>
  <si>
    <t>Franklin Docena</t>
  </si>
  <si>
    <t>Cawayanan</t>
  </si>
  <si>
    <t>Manuel Gulayan</t>
  </si>
  <si>
    <t>Benedicto Yagong</t>
  </si>
  <si>
    <t>Tontonan</t>
  </si>
  <si>
    <t>TOTAL</t>
  </si>
  <si>
    <t>Roel Binlod</t>
  </si>
  <si>
    <t>Limuel Cano</t>
  </si>
  <si>
    <t>Ilihan Sur</t>
  </si>
  <si>
    <t>ORNAMENTAL</t>
  </si>
  <si>
    <t>Francisco Valentos</t>
  </si>
  <si>
    <t>Angel Tajale</t>
  </si>
  <si>
    <t>Nueva Vida</t>
  </si>
  <si>
    <t>SWORDTAIL</t>
  </si>
  <si>
    <t>Arsenio Gabisan</t>
  </si>
  <si>
    <t>Katarungan</t>
  </si>
  <si>
    <t>Edwin Nuez</t>
  </si>
  <si>
    <t>Jihnson Patron</t>
  </si>
  <si>
    <t>Rizal</t>
  </si>
  <si>
    <t>Joselito Ambac</t>
  </si>
  <si>
    <t>Danahaw</t>
  </si>
  <si>
    <t>Perfecto Dalagan</t>
  </si>
  <si>
    <t>Mabuhay Village</t>
  </si>
  <si>
    <t>Reynan Asedilla</t>
  </si>
  <si>
    <t>Pamacsalan</t>
  </si>
  <si>
    <t>Jerome Lee Omamalin</t>
  </si>
  <si>
    <t>Jaime Dapar</t>
  </si>
  <si>
    <t>Marycris Orang</t>
  </si>
  <si>
    <t>Libertad Sur</t>
  </si>
  <si>
    <t>Glenn Rulida</t>
  </si>
  <si>
    <t>Rolando Divino</t>
  </si>
  <si>
    <t>Randy Nalla</t>
  </si>
  <si>
    <t>Ticom</t>
  </si>
  <si>
    <t>Valencia</t>
  </si>
  <si>
    <t>Christian Bonie Lofranco</t>
  </si>
  <si>
    <t>nabuwad</t>
  </si>
  <si>
    <t>Edaurdo Bolonos</t>
  </si>
  <si>
    <t>Elmerio Saletero</t>
  </si>
  <si>
    <t>Jonas Calabio</t>
  </si>
  <si>
    <t>Kenneth dela Torre</t>
  </si>
  <si>
    <t>Poblacion West</t>
  </si>
  <si>
    <t>Nestor Bacaltos</t>
  </si>
  <si>
    <t>El Progreso</t>
  </si>
  <si>
    <t>Selmar Monil</t>
  </si>
  <si>
    <t>Jose Allan Andales</t>
  </si>
  <si>
    <t>Bugsok</t>
  </si>
  <si>
    <t>Sierra Bulones</t>
  </si>
  <si>
    <t>Reyna Trazo</t>
  </si>
  <si>
    <t>Pablito Cadorna</t>
  </si>
  <si>
    <t>San Agustin</t>
  </si>
  <si>
    <t>Reymart Lumacad</t>
  </si>
  <si>
    <t>Laurence Gonzales</t>
  </si>
  <si>
    <t>Reynaldo Dano</t>
  </si>
  <si>
    <t>Lucila Nogalada</t>
  </si>
  <si>
    <t>Petra Pezanos</t>
  </si>
  <si>
    <t>Manuel Balaba</t>
  </si>
  <si>
    <t>Cabunga-an</t>
  </si>
  <si>
    <t>Jagna</t>
  </si>
  <si>
    <t>Hermigenes Auza</t>
  </si>
  <si>
    <t>Balintawak</t>
  </si>
  <si>
    <t>Epinito Wahing</t>
  </si>
  <si>
    <t>Jason Redillas</t>
  </si>
  <si>
    <t>Euginia Coraza</t>
  </si>
  <si>
    <t>Florencio Hernani</t>
  </si>
  <si>
    <t>Junru Lomod</t>
  </si>
  <si>
    <t>Lito Emia</t>
  </si>
  <si>
    <t>Ubojan</t>
  </si>
  <si>
    <t>Reynaldo Quilicot</t>
  </si>
  <si>
    <t>Lapaz</t>
  </si>
  <si>
    <t>Erwin Agutob</t>
  </si>
  <si>
    <t>Libertad</t>
  </si>
  <si>
    <t>SwordTail</t>
  </si>
  <si>
    <t>Carledino Ligutin</t>
  </si>
  <si>
    <t>Sto. Tomas</t>
  </si>
  <si>
    <t>Ronilo Licayan</t>
  </si>
  <si>
    <t>Peter Jowe Nogalada</t>
  </si>
  <si>
    <t>Diosdado Calses</t>
  </si>
  <si>
    <t>Cantigdas</t>
  </si>
  <si>
    <t>As of January 16-20, 2020</t>
  </si>
  <si>
    <t>Julieta Catacat</t>
  </si>
  <si>
    <t>Ilaud</t>
  </si>
  <si>
    <t>Sevilla</t>
  </si>
  <si>
    <t>Remond Caro</t>
  </si>
  <si>
    <t>Lucila Ercilla</t>
  </si>
  <si>
    <t>Can-oling</t>
  </si>
  <si>
    <t>Reynaldo Benitez</t>
  </si>
  <si>
    <t>San Roque</t>
  </si>
  <si>
    <t>Virgilio Makiling</t>
  </si>
  <si>
    <t>Quezon</t>
  </si>
  <si>
    <t>Roland Mar</t>
  </si>
  <si>
    <t>SWORD TAIL</t>
  </si>
  <si>
    <t>Ronito Paradero</t>
  </si>
  <si>
    <t>Gov. Boyles</t>
  </si>
  <si>
    <t>Angelito Abastilla</t>
  </si>
  <si>
    <t>Banlasan</t>
  </si>
  <si>
    <t>Ray Mark Gapas</t>
  </si>
  <si>
    <t>Montevideo</t>
  </si>
  <si>
    <t>Alex Alegarbes</t>
  </si>
  <si>
    <t>Danny Lagria</t>
  </si>
  <si>
    <t>Rene Jaso</t>
  </si>
  <si>
    <t>Japhit Bongato</t>
  </si>
  <si>
    <t>Jeford Godelosao</t>
  </si>
  <si>
    <t>Helena Lingatong</t>
  </si>
  <si>
    <t>Jovencio Unabia</t>
  </si>
  <si>
    <t>Nabuad</t>
  </si>
  <si>
    <t>Jesson Aumenyado</t>
  </si>
  <si>
    <t>Jorge Ahit</t>
  </si>
  <si>
    <t>Tanday</t>
  </si>
  <si>
    <t>Corella</t>
  </si>
  <si>
    <t>Ben Gubat</t>
  </si>
  <si>
    <t>San Jose</t>
  </si>
  <si>
    <t>Abner Panaligan</t>
  </si>
  <si>
    <t>Bayong</t>
  </si>
  <si>
    <t>Mark Fryling</t>
  </si>
  <si>
    <t>Ma. Rosario</t>
  </si>
  <si>
    <t>Jay-r Cosare</t>
  </si>
  <si>
    <t>Tinangnan</t>
  </si>
  <si>
    <t>Manuel Organiza</t>
  </si>
  <si>
    <t>Rosariohan</t>
  </si>
  <si>
    <t>Julian Salesale</t>
  </si>
  <si>
    <t>Ernesto Rustia</t>
  </si>
  <si>
    <t>Jeanny Omega</t>
  </si>
  <si>
    <t>John Rey Omaña</t>
  </si>
  <si>
    <t>Pob. Norte</t>
  </si>
  <si>
    <t>Ryan David Tuñacao</t>
  </si>
  <si>
    <t>Avelino Maglajos</t>
  </si>
  <si>
    <t>Joselito Quinal</t>
  </si>
  <si>
    <t>Laurenes Gonzales</t>
  </si>
  <si>
    <t>Luciano Golosinda</t>
  </si>
  <si>
    <t>Eduardo Aliño</t>
  </si>
  <si>
    <t>Bogtongbod</t>
  </si>
  <si>
    <t>Gerry Bernaldez</t>
  </si>
  <si>
    <t>Mylene Fryling</t>
  </si>
  <si>
    <t>Inabamga</t>
  </si>
  <si>
    <t>Ruel Cea</t>
  </si>
  <si>
    <t>Raul Cabug-os</t>
  </si>
  <si>
    <t>Jay Degamo</t>
  </si>
  <si>
    <t>Ariel Tuquib</t>
  </si>
  <si>
    <t>Jonathan Opelinia</t>
  </si>
  <si>
    <t>Lomboy</t>
  </si>
  <si>
    <t>Elisa Cularbar</t>
  </si>
  <si>
    <t>Buenasuerte</t>
  </si>
  <si>
    <t>Publio Acain</t>
  </si>
  <si>
    <t>Science High</t>
  </si>
  <si>
    <t>Flore May Coninga</t>
  </si>
  <si>
    <t>Cahayag</t>
  </si>
  <si>
    <t>Danilo Corpuz</t>
  </si>
  <si>
    <t>Ilijan Norte</t>
  </si>
  <si>
    <t>Arman Pasok</t>
  </si>
  <si>
    <t>Boy Lopez</t>
  </si>
  <si>
    <t>san Isidro</t>
  </si>
  <si>
    <t>As of January 21-29, 2020</t>
  </si>
  <si>
    <t>Reynaldo  Benitez</t>
  </si>
  <si>
    <t>Arthur Gonzales</t>
  </si>
  <si>
    <t>Japet Quipit</t>
  </si>
  <si>
    <t>Ahonang</t>
  </si>
  <si>
    <t>Guillermo Matunhayor</t>
  </si>
  <si>
    <t>Nueva Fuerza</t>
  </si>
  <si>
    <t>Fernando Vertudazo</t>
  </si>
  <si>
    <t>Rolando Quilas</t>
  </si>
  <si>
    <t>Claro Podalor</t>
  </si>
  <si>
    <t>Jeoffrey Cepedoza</t>
  </si>
  <si>
    <t>Magtangtang</t>
  </si>
  <si>
    <t>Edwin Albutra</t>
  </si>
  <si>
    <t>Montehermoso</t>
  </si>
  <si>
    <t>Merquiades Butron</t>
  </si>
  <si>
    <t>Emilio Jamil</t>
  </si>
  <si>
    <t>Welson Lenioneras</t>
  </si>
  <si>
    <t>Marlon Lumayag</t>
  </si>
  <si>
    <t>Mervin Andalan</t>
  </si>
  <si>
    <t>Juditho Madera</t>
  </si>
  <si>
    <t>Marnelito Estillore</t>
  </si>
  <si>
    <t>Cantuyoc</t>
  </si>
  <si>
    <t>Ian Dexter Nadala</t>
  </si>
  <si>
    <t>Genaro Cambangay</t>
  </si>
  <si>
    <t>Cambangay Norte</t>
  </si>
  <si>
    <t>Santiago Dano</t>
  </si>
  <si>
    <t>Rodulfo Galacio</t>
  </si>
  <si>
    <t>Eleuterio Mambreve</t>
  </si>
  <si>
    <t>Lubang</t>
  </si>
  <si>
    <t>Tranquilino Gasco</t>
  </si>
  <si>
    <t>Nueva Granda</t>
  </si>
  <si>
    <t>Marcelo Membreve</t>
  </si>
  <si>
    <t>Justice Peñaranda</t>
  </si>
  <si>
    <t>Bugtongbod</t>
  </si>
  <si>
    <t>Garry Soliva</t>
  </si>
  <si>
    <t>Vita Valloso</t>
  </si>
  <si>
    <t>Cagay-an</t>
  </si>
  <si>
    <t>Lyneth Ybañez</t>
  </si>
  <si>
    <t>Antonio Litab</t>
  </si>
  <si>
    <t>Salvador Arceño</t>
  </si>
  <si>
    <t>Panfilo Pabonita</t>
  </si>
  <si>
    <t>Cambangay</t>
  </si>
  <si>
    <t>Floro Suaybaguio</t>
  </si>
  <si>
    <t>Fernando aparece</t>
  </si>
  <si>
    <t>Magsaysay</t>
  </si>
  <si>
    <t>Lunesto Curioso</t>
  </si>
  <si>
    <t>Rey Anthony Malaran</t>
  </si>
  <si>
    <t>Ronald Mamburao</t>
  </si>
  <si>
    <t>Eutequio Betalmos</t>
  </si>
  <si>
    <t>Riverside</t>
  </si>
  <si>
    <t>Sisinio Abueva</t>
  </si>
  <si>
    <t>Centro</t>
  </si>
  <si>
    <t>Tito Causin</t>
  </si>
  <si>
    <t>Barili</t>
  </si>
  <si>
    <t>Francisco Hangad</t>
  </si>
  <si>
    <t>Patrocinio</t>
  </si>
  <si>
    <t>Cortes</t>
  </si>
  <si>
    <t>Mario Jumawid</t>
  </si>
  <si>
    <t>Dominador Caballes</t>
  </si>
  <si>
    <t>Victor Guisihan</t>
  </si>
  <si>
    <t>Florante Esfra</t>
  </si>
  <si>
    <t>Cantores</t>
  </si>
  <si>
    <t>Hermes Decasa</t>
  </si>
  <si>
    <t>Ramon Gulayan</t>
  </si>
  <si>
    <t>Benjamin Mula</t>
  </si>
  <si>
    <t>Nel Tingson</t>
  </si>
  <si>
    <t>Dennis Martinez</t>
  </si>
  <si>
    <t>Macaas</t>
  </si>
  <si>
    <t>Rogelio Tumanda</t>
  </si>
  <si>
    <t>Derlito Bautista</t>
  </si>
  <si>
    <t>Glenn Ombrosa</t>
  </si>
  <si>
    <t>Concepcion</t>
  </si>
  <si>
    <t>Nicomedes Daguing</t>
  </si>
  <si>
    <t>John Louie Pogoy</t>
  </si>
  <si>
    <t>Alberto Ampo</t>
  </si>
  <si>
    <t>Danilo Bitasolo</t>
  </si>
  <si>
    <t>Petronilo Cabulao</t>
  </si>
  <si>
    <t>Junriel Supero</t>
  </si>
  <si>
    <t>Hinlayagan</t>
  </si>
  <si>
    <t>Mark Lumayag</t>
  </si>
  <si>
    <t>SUMMARY:</t>
  </si>
  <si>
    <t>Prepared and Submitted by:</t>
  </si>
  <si>
    <t>Noted by:</t>
  </si>
  <si>
    <t xml:space="preserve">Direct Client: </t>
  </si>
  <si>
    <t>788,150 pcs.</t>
  </si>
  <si>
    <t xml:space="preserve">Coordinating Office: </t>
  </si>
  <si>
    <t>42,800 pcs.</t>
  </si>
  <si>
    <t xml:space="preserve">C. Carp: </t>
  </si>
  <si>
    <t>GAYMELO Y. LOPEZ</t>
  </si>
  <si>
    <t>MARIO N. RUINATA, Ph. D.</t>
  </si>
  <si>
    <t xml:space="preserve">Ornamental Fish: </t>
  </si>
  <si>
    <t>1,099 pcs.</t>
  </si>
  <si>
    <t>Aqua II/Center Chief</t>
  </si>
  <si>
    <t>Research, Development &amp; Extension Coordinating Office</t>
  </si>
  <si>
    <t>Catfish</t>
  </si>
  <si>
    <t xml:space="preserve">Freshwater Prawn: </t>
  </si>
  <si>
    <t>4,460 pcs.</t>
  </si>
  <si>
    <t>Total area (sq.m)</t>
  </si>
  <si>
    <t>Freshwater:</t>
  </si>
  <si>
    <t xml:space="preserve">Brackishwater: </t>
  </si>
  <si>
    <t xml:space="preserve">                  January 2020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</si>
  <si>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6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</si>
  <si>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</si>
  <si>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</si>
  <si>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t>a. Groups</t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</si>
  <si>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</si>
  <si>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NUMBER</t>
  </si>
  <si>
    <t>Contact</t>
  </si>
  <si>
    <t>Name of</t>
  </si>
  <si>
    <t>Types of Goods/Services Received</t>
  </si>
  <si>
    <t>NAME OF LGU/ASSOCIATION</t>
  </si>
  <si>
    <t>OF</t>
  </si>
  <si>
    <t>No./Email</t>
  </si>
  <si>
    <t>Representatives</t>
  </si>
  <si>
    <t>MEMBERS</t>
  </si>
  <si>
    <t>Address (if</t>
  </si>
  <si>
    <t>who received</t>
  </si>
  <si>
    <t>any)</t>
  </si>
  <si>
    <t>(Unit/kg/pcs.</t>
  </si>
  <si>
    <t>LGU Tubigon</t>
  </si>
  <si>
    <t>Victor Boligao</t>
  </si>
  <si>
    <t>LGU Catigbian</t>
  </si>
  <si>
    <t>Emma Merano</t>
  </si>
  <si>
    <t>LGU Garcia Hernandez</t>
  </si>
  <si>
    <t>Garcia Hernandez</t>
  </si>
  <si>
    <t>Mary Ann Abucejo</t>
  </si>
  <si>
    <t>LGU Alburquerque</t>
  </si>
  <si>
    <t>Alburquerque</t>
  </si>
  <si>
    <t>Cresente Bernaldes</t>
  </si>
  <si>
    <t>Magsaysay Lower Farmers Association (MLFA)</t>
  </si>
  <si>
    <t>Angelito Oroyan</t>
  </si>
  <si>
    <t>cage</t>
  </si>
  <si>
    <t>UBFF</t>
  </si>
  <si>
    <t>Excel Breeders</t>
  </si>
  <si>
    <t>28,200 pcs.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</si>
  <si>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</si>
  <si>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t>Freshwater Prawn:</t>
  </si>
  <si>
    <t xml:space="preserve">  Freshwater:</t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</si>
  <si>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</si>
  <si>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February 2020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</si>
  <si>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281</t>
    </r>
  </si>
  <si>
    <t>Male:</t>
  </si>
  <si>
    <t xml:space="preserve">                    a. Individuals</t>
  </si>
  <si>
    <r>
      <rPr>
        <sz val="10"/>
        <color theme="1"/>
        <rFont val="Arial"/>
      </rPr>
      <t>Others:</t>
    </r>
    <r>
      <rPr>
        <i/>
        <sz val="10"/>
        <color theme="1"/>
        <rFont val="Arial"/>
      </rPr>
      <t>(S.C./PWD)</t>
    </r>
    <r>
      <rPr>
        <sz val="10"/>
        <color theme="1"/>
        <rFont val="Arial"/>
      </rPr>
      <t xml:space="preserve">: </t>
    </r>
    <r>
      <rPr>
        <b/>
        <u/>
        <sz val="10"/>
        <color theme="1"/>
        <rFont val="Arial"/>
      </rPr>
      <t>47</t>
    </r>
  </si>
  <si>
    <t>February 3-5, 2020</t>
  </si>
  <si>
    <t>Salvador majomot</t>
  </si>
  <si>
    <t>Anthony Cadenas</t>
  </si>
  <si>
    <t>Renie Jazo</t>
  </si>
  <si>
    <t>Total</t>
  </si>
  <si>
    <t>Simplecio Balonga Jr</t>
  </si>
  <si>
    <t>Cabiguhan</t>
  </si>
  <si>
    <t>Hito</t>
  </si>
  <si>
    <t>Koi</t>
  </si>
  <si>
    <t>Jessie Camanzo</t>
  </si>
  <si>
    <t>Eduardo Saroje</t>
  </si>
  <si>
    <t>Guiang</t>
  </si>
  <si>
    <t>Guindulman</t>
  </si>
  <si>
    <t>Rogelio Sendo</t>
  </si>
  <si>
    <t>HITO</t>
  </si>
  <si>
    <t>Moisel Bernales</t>
  </si>
  <si>
    <t>Guio-ang</t>
  </si>
  <si>
    <t>Swordtail</t>
  </si>
  <si>
    <t>Johnny Jamil</t>
  </si>
  <si>
    <t>Cambacay</t>
  </si>
  <si>
    <t>Pedro Gumapac</t>
  </si>
  <si>
    <t>La Hacienda</t>
  </si>
  <si>
    <t>Hermie Sunag</t>
  </si>
  <si>
    <t>Baunos</t>
  </si>
  <si>
    <t>Saturnina Maputi</t>
  </si>
  <si>
    <t>Villa Teresita</t>
  </si>
  <si>
    <t xml:space="preserve">Jaime Barace </t>
  </si>
  <si>
    <t>Jonel Saldom</t>
  </si>
  <si>
    <t>Bugang Sur</t>
  </si>
  <si>
    <t>Eldie Travero</t>
  </si>
  <si>
    <t>Getafe</t>
  </si>
  <si>
    <t>Rosie Gamalo</t>
  </si>
  <si>
    <t>Inaghuban</t>
  </si>
  <si>
    <t>Niemesio Tutor</t>
  </si>
  <si>
    <t>Cherry Ann Gualde</t>
  </si>
  <si>
    <t>La Libertad</t>
  </si>
  <si>
    <t>Koicarp</t>
  </si>
  <si>
    <t>Manuel Decasa</t>
  </si>
  <si>
    <t xml:space="preserve">Bicao </t>
  </si>
  <si>
    <t>Joel Torculas</t>
  </si>
  <si>
    <t>Arthur Hinampas</t>
  </si>
  <si>
    <t>Meriam Avenido</t>
  </si>
  <si>
    <t>Loli Eldiser</t>
  </si>
  <si>
    <t>Victorio Mira</t>
  </si>
  <si>
    <t>Mark Loue Sarong</t>
  </si>
  <si>
    <t>Dennis Parinasan</t>
  </si>
  <si>
    <t>Liloan</t>
  </si>
  <si>
    <t>Rolando Planos</t>
  </si>
  <si>
    <t>dagohoy</t>
  </si>
  <si>
    <t>Petra Pesanos</t>
  </si>
  <si>
    <t>Michael Linteria</t>
  </si>
  <si>
    <t>Buangan</t>
  </si>
  <si>
    <t>Anecito Avenido</t>
  </si>
  <si>
    <t>Avelino Puracan</t>
  </si>
  <si>
    <t>Gregorio Torrepalma</t>
  </si>
  <si>
    <t>Alberto Albarido Jr</t>
  </si>
  <si>
    <t>Ilaya</t>
  </si>
  <si>
    <t>Nicanor Cabug-os</t>
  </si>
  <si>
    <t>Mario Doroy</t>
  </si>
  <si>
    <t>San Ramon</t>
  </si>
  <si>
    <t>Leno Mañigo</t>
  </si>
  <si>
    <t>Gelberto Socorin</t>
  </si>
  <si>
    <t>Antonio Soria</t>
  </si>
  <si>
    <t>Bario Daan</t>
  </si>
  <si>
    <t>Rosa Quilaton</t>
  </si>
  <si>
    <t>Garcia</t>
  </si>
  <si>
    <t>Belinda Daza</t>
  </si>
  <si>
    <t>Cabatuan</t>
  </si>
  <si>
    <t>Elma Amihan</t>
  </si>
  <si>
    <t>Joseph Amihan</t>
  </si>
  <si>
    <t>Anastacio Janiola</t>
  </si>
  <si>
    <t>Guindulaman</t>
  </si>
  <si>
    <t>Ritchie Escobido</t>
  </si>
  <si>
    <t>Kauswagan</t>
  </si>
  <si>
    <t>Gerardo Melencion</t>
  </si>
  <si>
    <t>Jaime Justol</t>
  </si>
  <si>
    <t>Mariel Kenneth Edusma</t>
  </si>
  <si>
    <t>Genoveva</t>
  </si>
  <si>
    <t>Maria Agon</t>
  </si>
  <si>
    <t>Candumayao</t>
  </si>
  <si>
    <t>Benner Valmoria</t>
  </si>
  <si>
    <t>Edgar Deloso</t>
  </si>
  <si>
    <t>Upper Lapaz</t>
  </si>
  <si>
    <t>Anthony Torrefranca</t>
  </si>
  <si>
    <t>Kenneth Mellomida</t>
  </si>
  <si>
    <t>Ubujan</t>
  </si>
  <si>
    <t>Lord Vincent Degaum</t>
  </si>
  <si>
    <t>Baang</t>
  </si>
  <si>
    <t>Lolita Añosa</t>
  </si>
  <si>
    <t>Ronald Anzano</t>
  </si>
  <si>
    <t>Mercy Dagatan</t>
  </si>
  <si>
    <t>Rolando Tayone</t>
  </si>
  <si>
    <t>Donato Albaroto</t>
  </si>
  <si>
    <t>Ben Rosales</t>
  </si>
  <si>
    <t>Alegria</t>
  </si>
  <si>
    <t>February 5-12, 2020</t>
  </si>
  <si>
    <t>Sergio Maligro</t>
  </si>
  <si>
    <t>Bonifacio Escatron</t>
  </si>
  <si>
    <t>Roland Baguio</t>
  </si>
  <si>
    <t>Nestor Deloso</t>
  </si>
  <si>
    <t>Apolinario Siga</t>
  </si>
  <si>
    <t>Victor Hinacay</t>
  </si>
  <si>
    <t>Nicolas Cabusao</t>
  </si>
  <si>
    <t>Silbestre Mellomida</t>
  </si>
  <si>
    <t>Cornelio Glamiton</t>
  </si>
  <si>
    <t>Felipe Galamiton</t>
  </si>
  <si>
    <t>Saturnino Galamiton</t>
  </si>
  <si>
    <t>Edgar Galamition</t>
  </si>
  <si>
    <t>Gemma Vertudazo</t>
  </si>
  <si>
    <t>Glenford Galamiton</t>
  </si>
  <si>
    <t>Prospero Galamiton</t>
  </si>
  <si>
    <t>Normie Besande</t>
  </si>
  <si>
    <t>Glenn Bautista</t>
  </si>
  <si>
    <t>Elpedio Bernados</t>
  </si>
  <si>
    <t>Erwin Aguhob</t>
  </si>
  <si>
    <t>Jessie Asilo</t>
  </si>
  <si>
    <t>Bentig</t>
  </si>
  <si>
    <t>Gregorio Torrefalma</t>
  </si>
  <si>
    <t>Carlos Pesanos</t>
  </si>
  <si>
    <t>John Christian Torijos</t>
  </si>
  <si>
    <t>Leonard Trago</t>
  </si>
  <si>
    <t>Ruth Estoce</t>
  </si>
  <si>
    <t>Rolando Santander</t>
  </si>
  <si>
    <t>Dorol</t>
  </si>
  <si>
    <t>Vanessa Laroda</t>
  </si>
  <si>
    <t>Jessie Cabatac</t>
  </si>
  <si>
    <t>Abundio Caloyloy</t>
  </si>
  <si>
    <t>Roberto Tiongco</t>
  </si>
  <si>
    <t>Ernesto Palanan</t>
  </si>
  <si>
    <t>Randy Suaybaguio</t>
  </si>
  <si>
    <t>Ulpiano Garcera</t>
  </si>
  <si>
    <t>Fermin Gumanoy</t>
  </si>
  <si>
    <t>Anastacia Omaña</t>
  </si>
  <si>
    <t>Dalfon Sentillas</t>
  </si>
  <si>
    <t xml:space="preserve">kauswagan </t>
  </si>
  <si>
    <t>Rey Bigcal</t>
  </si>
  <si>
    <t>Agapito Roslinda</t>
  </si>
  <si>
    <t>Criscel Mae Omolon</t>
  </si>
  <si>
    <t>Teodosia Ramirez</t>
  </si>
  <si>
    <t>Glenn Divinigracia</t>
  </si>
  <si>
    <t>Sta. Fe</t>
  </si>
  <si>
    <t>Samuel Aparece</t>
  </si>
  <si>
    <t>Expedito Aparece</t>
  </si>
  <si>
    <t>Rufino Toso</t>
  </si>
  <si>
    <t>Teodoro Lomod</t>
  </si>
  <si>
    <t>Jonrey Generalao</t>
  </si>
  <si>
    <t>Adel Aparece</t>
  </si>
  <si>
    <t>Flora Comoda</t>
  </si>
  <si>
    <t>Virginio Daguplo</t>
  </si>
  <si>
    <t>Catagdaan</t>
  </si>
  <si>
    <t>Mario Anagon</t>
  </si>
  <si>
    <t>Alberto Trazo</t>
  </si>
  <si>
    <t>Teodulo Guiritan Jr.</t>
  </si>
  <si>
    <t>Crispin Guardarama</t>
  </si>
  <si>
    <t>Tabuan</t>
  </si>
  <si>
    <t>Ernesto Tabia</t>
  </si>
  <si>
    <t>Hagbuaya</t>
  </si>
  <si>
    <t>Jonas Soson</t>
  </si>
  <si>
    <t>Alfredo Corage</t>
  </si>
  <si>
    <t>Genonocan</t>
  </si>
  <si>
    <t>Jay Carl Cuba</t>
  </si>
  <si>
    <t>Poblacion Norte</t>
  </si>
  <si>
    <t>Marcelo Mahumot</t>
  </si>
  <si>
    <t>Victor Olasiman</t>
  </si>
  <si>
    <t>Edgar Buslon</t>
  </si>
  <si>
    <t>Paterno Monteron</t>
  </si>
  <si>
    <t>Cesar Perocho</t>
  </si>
  <si>
    <t>February 12-13, 2020</t>
  </si>
  <si>
    <t>Cirilo Campion</t>
  </si>
  <si>
    <t>Arames Justol</t>
  </si>
  <si>
    <t>Kagawsan</t>
  </si>
  <si>
    <t>Cheryl Mosqueda</t>
  </si>
  <si>
    <t>35500+6500</t>
  </si>
  <si>
    <t>Costadio Pareño</t>
  </si>
  <si>
    <t>Baucan</t>
  </si>
  <si>
    <t>Efren ramirez</t>
  </si>
  <si>
    <t>raymundo Crelegia</t>
  </si>
  <si>
    <t>Edison Torrenfira</t>
  </si>
  <si>
    <t>Cerila Luzano</t>
  </si>
  <si>
    <t>Ryan Macalam</t>
  </si>
  <si>
    <t>Francisco Azarcon</t>
  </si>
  <si>
    <t>Manuel Gutas</t>
  </si>
  <si>
    <t>Francisco Valentus</t>
  </si>
  <si>
    <t>Marcelino Rubia</t>
  </si>
  <si>
    <t>Villahermoso</t>
  </si>
  <si>
    <t>Rey Lagitao</t>
  </si>
  <si>
    <t>Sergio Inferido</t>
  </si>
  <si>
    <t>Domino Pelecio</t>
  </si>
  <si>
    <t>Zamora</t>
  </si>
  <si>
    <t>Ponciano Hontalba</t>
  </si>
  <si>
    <t>Felix Cutanda</t>
  </si>
  <si>
    <t>M-Roxas</t>
  </si>
  <si>
    <t>Ciriaco Celocia</t>
  </si>
  <si>
    <t>Joel Moñuz</t>
  </si>
  <si>
    <t>Delfin Divino</t>
  </si>
  <si>
    <t>Mantalungon</t>
  </si>
  <si>
    <t>Marcelito Lingatong</t>
  </si>
  <si>
    <t>SAAD</t>
  </si>
  <si>
    <t>February 13-17, 2020</t>
  </si>
  <si>
    <t>TARGET</t>
  </si>
  <si>
    <t>Teofilo Ando</t>
  </si>
  <si>
    <t>Pedro Valentos</t>
  </si>
  <si>
    <t>Monica Laboniete</t>
  </si>
  <si>
    <t>Del Monte</t>
  </si>
  <si>
    <t>Eusebio Ajoc</t>
  </si>
  <si>
    <t>Ariel Sequira</t>
  </si>
  <si>
    <t>Romeo jaum</t>
  </si>
  <si>
    <t>Eduardo Jaum</t>
  </si>
  <si>
    <t>Martin Nogalada</t>
  </si>
  <si>
    <t>Marilyn Menguillu</t>
  </si>
  <si>
    <t>Pacita Juanich</t>
  </si>
  <si>
    <t>Edwin Baguio</t>
  </si>
  <si>
    <t>Jomel Logroño</t>
  </si>
  <si>
    <t>Urcesio Logroño</t>
  </si>
  <si>
    <t>Baluarte</t>
  </si>
  <si>
    <t>Cristina Campaner</t>
  </si>
  <si>
    <t>Elly William Ramirez</t>
  </si>
  <si>
    <t>Raul Jala</t>
  </si>
  <si>
    <t>Julito Dangcalan</t>
  </si>
  <si>
    <t>Jonathan del Rosario</t>
  </si>
  <si>
    <t>Tuntunan</t>
  </si>
  <si>
    <t>Ricardo Tinahura</t>
  </si>
  <si>
    <t>Francisco Valintos</t>
  </si>
  <si>
    <t>Arman Albiso</t>
  </si>
  <si>
    <t>Gregorio Tampon</t>
  </si>
  <si>
    <t>Missy Lucking</t>
  </si>
  <si>
    <t>Florencio Hernane</t>
  </si>
  <si>
    <t>Jhun Fernandez</t>
  </si>
  <si>
    <t>Arturo Sugala</t>
  </si>
  <si>
    <t>Warren Maghanoy</t>
  </si>
  <si>
    <t>Raffy Baldonado</t>
  </si>
  <si>
    <t>Alejandro Oliveros</t>
  </si>
  <si>
    <t>Sto. Niño</t>
  </si>
  <si>
    <t>Junrey Ponte</t>
  </si>
  <si>
    <t>Bagtic</t>
  </si>
  <si>
    <t>Ike Beltran</t>
  </si>
  <si>
    <t>Samuel Pagod</t>
  </si>
  <si>
    <t>Lila</t>
  </si>
  <si>
    <t>Dionisio Gonzalos</t>
  </si>
  <si>
    <t>Jay Joseph Areglo</t>
  </si>
  <si>
    <t>John Ponio</t>
  </si>
  <si>
    <t>Taloto</t>
  </si>
  <si>
    <t>Margarito Macabudbud</t>
  </si>
  <si>
    <t>Feliciano Jamil</t>
  </si>
  <si>
    <t>Ma. Cristine Bonganciso</t>
  </si>
  <si>
    <t>Buenas Aires</t>
  </si>
  <si>
    <t>Lino Requillo</t>
  </si>
  <si>
    <t>Cresencio Bacosmo</t>
  </si>
  <si>
    <t>Pedro Llemit</t>
  </si>
  <si>
    <t>Vilma Zabala</t>
  </si>
  <si>
    <t>Rob Simpson</t>
  </si>
  <si>
    <t>Tangnan</t>
  </si>
  <si>
    <t>Panglao</t>
  </si>
  <si>
    <t>Ernesto Dailanan</t>
  </si>
  <si>
    <t>Febraury 18 20, 2020</t>
  </si>
  <si>
    <t>Enrico Apao</t>
  </si>
  <si>
    <t>Dominica Gogola</t>
  </si>
  <si>
    <t xml:space="preserve">San Isidro </t>
  </si>
  <si>
    <t>Danilo Garcia</t>
  </si>
  <si>
    <t>Emilio Macua</t>
  </si>
  <si>
    <t>Jayson Virador</t>
  </si>
  <si>
    <t>Leo Logroño</t>
  </si>
  <si>
    <t>Mariano Loremia</t>
  </si>
  <si>
    <t>Danilo Logroño</t>
  </si>
  <si>
    <t>Liloan Sur</t>
  </si>
  <si>
    <t>Jimmy Labor</t>
  </si>
  <si>
    <t>Aris Gitgano</t>
  </si>
  <si>
    <t>Loon</t>
  </si>
  <si>
    <t>John Alnair</t>
  </si>
  <si>
    <t>Tagum Norte</t>
  </si>
  <si>
    <t>Dante Bautista</t>
  </si>
  <si>
    <t>Lucio Bautista</t>
  </si>
  <si>
    <t>Jeremy Boncales</t>
  </si>
  <si>
    <t>San Vicente</t>
  </si>
  <si>
    <t>Rogelio Anino</t>
  </si>
  <si>
    <t>Cantolimbo</t>
  </si>
  <si>
    <t>Liezel Bojo</t>
  </si>
  <si>
    <t>Wendilyn Alipoyo</t>
  </si>
  <si>
    <t>Zosimo Pracullos</t>
  </si>
  <si>
    <t>Kapayas</t>
  </si>
  <si>
    <t>Jinky Soson</t>
  </si>
  <si>
    <t>Leonarda Sumatra</t>
  </si>
  <si>
    <t>Crispin Lumantas</t>
  </si>
  <si>
    <t>Calinga-an</t>
  </si>
  <si>
    <t>Arline Aurena</t>
  </si>
  <si>
    <t>Malvin Jaum</t>
  </si>
  <si>
    <t>Mantoceda</t>
  </si>
  <si>
    <t>Ruel Barace</t>
  </si>
  <si>
    <t>Ma. Fe Miñoza</t>
  </si>
  <si>
    <t>J.A. Clarin</t>
  </si>
  <si>
    <t>Genesis Abrav</t>
  </si>
  <si>
    <t>Dennis Doroy</t>
  </si>
  <si>
    <t>Cantumocad</t>
  </si>
  <si>
    <t>Marissa Vistal</t>
  </si>
  <si>
    <t>Lungsodaan</t>
  </si>
  <si>
    <t>Jorge Lemoneras</t>
  </si>
  <si>
    <t>Edwin Canillo</t>
  </si>
  <si>
    <t>Cambinorte</t>
  </si>
  <si>
    <t>Jumardone Casenillas</t>
  </si>
  <si>
    <t>Joseph Baja</t>
  </si>
  <si>
    <t>Edgar Quimpan</t>
  </si>
  <si>
    <t>February 20-26, 2020</t>
  </si>
  <si>
    <t>Alex Palapar</t>
  </si>
  <si>
    <t>Eutemio Busaco</t>
  </si>
  <si>
    <t>Daniel Torres</t>
  </si>
  <si>
    <t>Carlos Cagape</t>
  </si>
  <si>
    <t>Cansungay</t>
  </si>
  <si>
    <t>Rolitp Bolinio</t>
  </si>
  <si>
    <t>Mauricia Opiala</t>
  </si>
  <si>
    <t>April Rose Bermoy</t>
  </si>
  <si>
    <t>Bagumbayan</t>
  </si>
  <si>
    <t>Bernardo Candor</t>
  </si>
  <si>
    <t>Mayana</t>
  </si>
  <si>
    <t>Jason Panutsol</t>
  </si>
  <si>
    <t>Triple Union</t>
  </si>
  <si>
    <t>Jocelyn Unabia</t>
  </si>
  <si>
    <t>Tito Unajan</t>
  </si>
  <si>
    <t>Poblacion Sur</t>
  </si>
  <si>
    <t>Jessie Crame</t>
  </si>
  <si>
    <t>Sohoton</t>
  </si>
  <si>
    <t>Rolando Estoce Jr.</t>
  </si>
  <si>
    <t>Edith Avergonzado</t>
  </si>
  <si>
    <t>Adel Joseph Wong</t>
  </si>
  <si>
    <t>Dasitam</t>
  </si>
  <si>
    <t>Baclayon</t>
  </si>
  <si>
    <t>Benjor Cutin</t>
  </si>
  <si>
    <t xml:space="preserve">Patrocinio </t>
  </si>
  <si>
    <t>Fermen Jemenos</t>
  </si>
  <si>
    <t>Arnel Cabuga</t>
  </si>
  <si>
    <t xml:space="preserve">Canmaya </t>
  </si>
  <si>
    <t>Wilfredo Cambarijan</t>
  </si>
  <si>
    <t>Mark Calamba</t>
  </si>
  <si>
    <t>Godofredo Gudelosao</t>
  </si>
  <si>
    <t>Mark Ian Gumanid</t>
  </si>
  <si>
    <t>Kevin Estillore</t>
  </si>
  <si>
    <t>Erna Lucagbo</t>
  </si>
  <si>
    <t>Jesus de Asis</t>
  </si>
  <si>
    <t>Marlon Pogoy</t>
  </si>
  <si>
    <t>Villarcayo</t>
  </si>
  <si>
    <t>Dennis Supieza</t>
  </si>
  <si>
    <t>La Esperanza</t>
  </si>
  <si>
    <t>Rosalino Polinar Jr.</t>
  </si>
  <si>
    <t>Cabug</t>
  </si>
  <si>
    <t>Ma. Rosita Luzon</t>
  </si>
  <si>
    <t>La Victoria</t>
  </si>
  <si>
    <t>Eddie Avergonzado</t>
  </si>
  <si>
    <t>Raymond John Niepes</t>
  </si>
  <si>
    <t>San Agustine</t>
  </si>
  <si>
    <t>Nerio Morales</t>
  </si>
  <si>
    <t xml:space="preserve">Pob. West </t>
  </si>
  <si>
    <t>Aurelio Torregosa</t>
  </si>
  <si>
    <t>Irene Secotito</t>
  </si>
  <si>
    <t>Zenaida Dalagan</t>
  </si>
  <si>
    <t>Roseler Estoreon</t>
  </si>
  <si>
    <t>Tabok</t>
  </si>
  <si>
    <t>Tirso Gamalo</t>
  </si>
  <si>
    <t>Inaghubau</t>
  </si>
  <si>
    <t>Ariel Aparicio</t>
  </si>
  <si>
    <t>Eduardo Busalanan</t>
  </si>
  <si>
    <t>Hibale</t>
  </si>
  <si>
    <t>Peter Jone Nogalada</t>
  </si>
  <si>
    <t>Jimmy Leonar</t>
  </si>
  <si>
    <t>Caluwasan</t>
  </si>
  <si>
    <t>Francisco Añora</t>
  </si>
  <si>
    <t>Angelito Amarille</t>
  </si>
  <si>
    <t>Mataub</t>
  </si>
  <si>
    <t>Mario Manlangit</t>
  </si>
  <si>
    <t>William Gamorot</t>
  </si>
  <si>
    <t>Tiguis</t>
  </si>
  <si>
    <t>Glenn Balonga</t>
  </si>
  <si>
    <t>Direct Client:</t>
  </si>
  <si>
    <t>815,130 pcs</t>
  </si>
  <si>
    <t>Coordinating Office:</t>
  </si>
  <si>
    <t>86,700 pcs</t>
  </si>
  <si>
    <t>C. Carp:</t>
  </si>
  <si>
    <t>Ornamental Fish:</t>
  </si>
  <si>
    <t>848 pcs</t>
  </si>
  <si>
    <t>AQUA II/OIC-Center Chief</t>
  </si>
  <si>
    <t>Catfish:</t>
  </si>
  <si>
    <t>2,890 pcs</t>
  </si>
  <si>
    <t>215,851 sq.m.</t>
  </si>
  <si>
    <t xml:space="preserve">  Brackishwater:</t>
  </si>
  <si>
    <t>February, 2020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</si>
  <si>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9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</si>
  <si>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</si>
  <si>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</si>
  <si>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t xml:space="preserve">                    a. Groups</t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</si>
  <si>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</si>
  <si>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Antequera</t>
  </si>
  <si>
    <t>Paterna Premagado</t>
  </si>
  <si>
    <t>PFO Cebu</t>
  </si>
  <si>
    <t>Edgardo Delfin</t>
  </si>
  <si>
    <t>Panghagban Tilapia Grower Assoc.</t>
  </si>
  <si>
    <t>Samuel Lucero</t>
  </si>
  <si>
    <t>Kasama sa Reporma Los Angeles Community for Integrated Livelihood Assoc.</t>
  </si>
  <si>
    <t>Josefina Tacmoy</t>
  </si>
  <si>
    <t>Sto. Niño Farmers Assoc.</t>
  </si>
  <si>
    <t>Emilio Agbon</t>
  </si>
  <si>
    <t>City Agriculture Office - Guihulngan City</t>
  </si>
  <si>
    <t>Guihulngan City, Negros Oriental</t>
  </si>
  <si>
    <t>Joel Cadiz</t>
  </si>
  <si>
    <t>LGU - San Isidro</t>
  </si>
  <si>
    <t>Ruel Cabug-os</t>
  </si>
  <si>
    <r>
      <rPr>
        <sz val="9"/>
        <color theme="1"/>
        <rFont val="Arial"/>
      </rPr>
      <t xml:space="preserve">Direct Client: </t>
    </r>
    <r>
      <rPr>
        <b/>
        <u/>
        <sz val="9"/>
        <color theme="1"/>
        <rFont val="Arial"/>
      </rPr>
      <t>12,000 pcs</t>
    </r>
  </si>
  <si>
    <r>
      <rPr>
        <sz val="9"/>
        <color theme="1"/>
        <rFont val="Arial"/>
      </rPr>
      <t xml:space="preserve">Coordinating Office: </t>
    </r>
    <r>
      <rPr>
        <b/>
        <u/>
        <sz val="9"/>
        <color theme="1"/>
        <rFont val="Arial"/>
      </rPr>
      <t>146,000 pcs</t>
    </r>
  </si>
  <si>
    <r>
      <rPr>
        <sz val="9"/>
        <color theme="1"/>
        <rFont val="Arial"/>
      </rPr>
      <t xml:space="preserve">C. Carp: </t>
    </r>
    <r>
      <rPr>
        <b/>
        <u/>
        <sz val="9"/>
        <color theme="1"/>
        <rFont val="Arial"/>
      </rPr>
      <t>0</t>
    </r>
  </si>
  <si>
    <r>
      <rPr>
        <sz val="9"/>
        <color theme="1"/>
        <rFont val="Arial"/>
      </rPr>
      <t xml:space="preserve">Ornamental Fish: </t>
    </r>
    <r>
      <rPr>
        <b/>
        <u/>
        <sz val="9"/>
        <color theme="1"/>
        <rFont val="Arial"/>
      </rPr>
      <t>30 pcs</t>
    </r>
  </si>
  <si>
    <r>
      <rPr>
        <sz val="9"/>
        <color theme="1"/>
        <rFont val="Arial"/>
      </rPr>
      <t xml:space="preserve">Catfish: </t>
    </r>
    <r>
      <rPr>
        <b/>
        <u/>
        <sz val="9"/>
        <color theme="1"/>
        <rFont val="Arial"/>
      </rPr>
      <t>3,000 pcs</t>
    </r>
  </si>
  <si>
    <t>AQUA II/OIC- Center Chief</t>
  </si>
  <si>
    <r>
      <rPr>
        <sz val="9"/>
        <color theme="1"/>
        <rFont val="Arial"/>
      </rPr>
      <t xml:space="preserve">Freshwater Prawn: </t>
    </r>
    <r>
      <rPr>
        <b/>
        <u/>
        <sz val="9"/>
        <color theme="1"/>
        <rFont val="Arial"/>
      </rPr>
      <t>0</t>
    </r>
  </si>
  <si>
    <r>
      <rPr>
        <sz val="9"/>
        <color theme="1"/>
        <rFont val="Arial"/>
      </rPr>
      <t xml:space="preserve">  Freshwater: </t>
    </r>
    <r>
      <rPr>
        <b/>
        <u/>
        <sz val="9"/>
        <color theme="1"/>
        <rFont val="Arial"/>
      </rPr>
      <t>31,600 sq. m.</t>
    </r>
  </si>
  <si>
    <t xml:space="preserve">                   March 2020</t>
  </si>
  <si>
    <t xml:space="preserve">Total No. Of Beneficiaries: </t>
  </si>
  <si>
    <t xml:space="preserve">Others:(S.C./PWD) </t>
  </si>
  <si>
    <t>Nilo Niones</t>
  </si>
  <si>
    <t>Bonifacio Aranas</t>
  </si>
  <si>
    <t>Lajog</t>
  </si>
  <si>
    <t>Ponciano Viador</t>
  </si>
  <si>
    <t>Datag</t>
  </si>
  <si>
    <t>Pepe gamalo</t>
  </si>
  <si>
    <t>Inaghubaw</t>
  </si>
  <si>
    <t>Florencio Lague</t>
  </si>
  <si>
    <t>Gil Cadenas</t>
  </si>
  <si>
    <t>Mario Andot</t>
  </si>
  <si>
    <t>Aries Dela Torre</t>
  </si>
  <si>
    <t>Crisel Bulan</t>
  </si>
  <si>
    <t>Dampas</t>
  </si>
  <si>
    <t>Alan Lucero</t>
  </si>
  <si>
    <t>Felicitas Deliman</t>
  </si>
  <si>
    <t>Ebenezer Abergas</t>
  </si>
  <si>
    <t>Pablo Lozada Jr.</t>
  </si>
  <si>
    <t>Cansaguit</t>
  </si>
  <si>
    <t>Gabriel Espejo</t>
  </si>
  <si>
    <t>Rogelio Ombajin</t>
  </si>
  <si>
    <t>Aram Gacera</t>
  </si>
  <si>
    <t>Sto. Rosario</t>
  </si>
  <si>
    <t>James Torregosa</t>
  </si>
  <si>
    <t>Edgardo Podador</t>
  </si>
  <si>
    <t>Jimmy Olarita</t>
  </si>
  <si>
    <t>Marino Montojo</t>
  </si>
  <si>
    <t>Arlene Cabusao</t>
  </si>
  <si>
    <t>Marvie Basmayor</t>
  </si>
  <si>
    <t>Almer Dungol</t>
  </si>
  <si>
    <t xml:space="preserve">Kinan-owan </t>
  </si>
  <si>
    <t>Glenn Divinagracia</t>
  </si>
  <si>
    <t>Paulino dagamac</t>
  </si>
  <si>
    <t>Demetria Helbero</t>
  </si>
  <si>
    <t>Jason Entero</t>
  </si>
  <si>
    <t>Hagbuyo</t>
  </si>
  <si>
    <t>Maximo Mejorada</t>
  </si>
  <si>
    <t>Yulsib Curib</t>
  </si>
  <si>
    <t>Jimmy Maleta</t>
  </si>
  <si>
    <t>Ulbujan</t>
  </si>
  <si>
    <t>Honorio Penonia</t>
  </si>
  <si>
    <t>Thelly Barde</t>
  </si>
  <si>
    <t>Felipe Babida</t>
  </si>
  <si>
    <t>Jerajane Namindang</t>
  </si>
  <si>
    <t>Canmanico</t>
  </si>
  <si>
    <t>Ma. Dulce Magdayo</t>
  </si>
  <si>
    <t>Antipolo</t>
  </si>
  <si>
    <t>garcia Hernandez</t>
  </si>
  <si>
    <t>Susan Valmoria</t>
  </si>
  <si>
    <t>Renerio jacob</t>
  </si>
  <si>
    <t>Roven Luma</t>
  </si>
  <si>
    <t>Marcelo Bague</t>
  </si>
  <si>
    <t>Danilo Torres</t>
  </si>
  <si>
    <t>Oliver Boncales</t>
  </si>
  <si>
    <t>a</t>
  </si>
  <si>
    <t>Kawayan</t>
  </si>
  <si>
    <t>Benvienido Galviso</t>
  </si>
  <si>
    <t>Larry Felias</t>
  </si>
  <si>
    <t>Kinan-owan</t>
  </si>
  <si>
    <t>Tinidad</t>
  </si>
  <si>
    <t>Exuperio Matabilas</t>
  </si>
  <si>
    <t>Jessie Tesio</t>
  </si>
  <si>
    <t>Alfonso dela Peña</t>
  </si>
  <si>
    <t>Silvestre Busilak</t>
  </si>
  <si>
    <t>Genaro Musoy</t>
  </si>
  <si>
    <t>Ananias Butoy</t>
  </si>
  <si>
    <t>March 2-5, 2020</t>
  </si>
  <si>
    <t>Joed Tiongson</t>
  </si>
  <si>
    <t>Helen Daguplo</t>
  </si>
  <si>
    <t>La Suerte</t>
  </si>
  <si>
    <t>Cecilio Pedrasita</t>
  </si>
  <si>
    <t>Joeve Hinampas</t>
  </si>
  <si>
    <t>COMM CARP</t>
  </si>
  <si>
    <t>Felipe Duropan</t>
  </si>
  <si>
    <t>Bayabas</t>
  </si>
  <si>
    <t>Joveno Datajan</t>
  </si>
  <si>
    <t>Ma. Michelle Felisan</t>
  </si>
  <si>
    <t>Clemente Manla</t>
  </si>
  <si>
    <t>Bataun</t>
  </si>
  <si>
    <t>Calingaan</t>
  </si>
  <si>
    <t>70sqm</t>
  </si>
  <si>
    <t>Marino Magbanua</t>
  </si>
  <si>
    <t>Martin Bitang</t>
  </si>
  <si>
    <t>Mary Jane Quibol</t>
  </si>
  <si>
    <t>Mandaug</t>
  </si>
  <si>
    <t>Roniel Amila</t>
  </si>
  <si>
    <t>Inahuban</t>
  </si>
  <si>
    <t>Leo Payot</t>
  </si>
  <si>
    <t>Binifacio Quibol</t>
  </si>
  <si>
    <t xml:space="preserve">Mandaug </t>
  </si>
  <si>
    <t>Avelino Café</t>
  </si>
  <si>
    <t>Abachanan</t>
  </si>
  <si>
    <t>Neldo Largo</t>
  </si>
  <si>
    <t>Alexander Padillo</t>
  </si>
  <si>
    <t>Camelo Ramirez</t>
  </si>
  <si>
    <t>Crisologo Doria</t>
  </si>
  <si>
    <t>Ricky Meomeo</t>
  </si>
  <si>
    <t>Elde Catalan</t>
  </si>
  <si>
    <t>Libertad Norte</t>
  </si>
  <si>
    <t>Nilda Salas</t>
  </si>
  <si>
    <t>Benie Auxello</t>
  </si>
  <si>
    <t>Dionisio Quijano</t>
  </si>
  <si>
    <t>Sagbayan Sur</t>
  </si>
  <si>
    <t>Edelberto Gallo</t>
  </si>
  <si>
    <t>Cabanugan</t>
  </si>
  <si>
    <t>Emmanuel Bitgue</t>
  </si>
  <si>
    <t>Marites Alleluya</t>
  </si>
  <si>
    <t>Lilie Estorgio</t>
  </si>
  <si>
    <t>Francis Cinco</t>
  </si>
  <si>
    <t>Jose Alan Andales</t>
  </si>
  <si>
    <t>Bugsoc</t>
  </si>
  <si>
    <t>Juan Vito</t>
  </si>
  <si>
    <t>Edelberto Tiongson</t>
  </si>
  <si>
    <t>Exequila Pracullos</t>
  </si>
  <si>
    <t>Capayas</t>
  </si>
  <si>
    <t>Hilario Niñofranco</t>
  </si>
  <si>
    <t>Rhoy Nogalada</t>
  </si>
  <si>
    <t>Cora Cereligia</t>
  </si>
  <si>
    <t>Caltrava</t>
  </si>
  <si>
    <t>Editha Limbago</t>
  </si>
  <si>
    <t>Danilo Torrenueva</t>
  </si>
  <si>
    <t>Leonardo Mara</t>
  </si>
  <si>
    <t>Alene Libot</t>
  </si>
  <si>
    <t>Arnulfa Macabudbuud</t>
  </si>
  <si>
    <t>Pio Asucan</t>
  </si>
  <si>
    <t>Villa Aurora</t>
  </si>
  <si>
    <t>Raniro Miano</t>
  </si>
  <si>
    <t>Lahog</t>
  </si>
  <si>
    <t>David Auxterio</t>
  </si>
  <si>
    <t>Jennifer Agad</t>
  </si>
  <si>
    <t>Lobgob</t>
  </si>
  <si>
    <t>Narciso Molos</t>
  </si>
  <si>
    <t>Arlene Estillore</t>
  </si>
  <si>
    <t>Renaldo Generalao</t>
  </si>
  <si>
    <t>Jaymar Derosahento</t>
  </si>
  <si>
    <t>Sta. Catalina</t>
  </si>
  <si>
    <t>Edison Torrentira</t>
  </si>
  <si>
    <t>Hernel Centinales</t>
  </si>
  <si>
    <t>Banahaw</t>
  </si>
  <si>
    <t>Ruel Tiongco</t>
  </si>
  <si>
    <t>Lucio Apostol</t>
  </si>
  <si>
    <t>Michael Birad</t>
  </si>
  <si>
    <t>Rob Simpsom</t>
  </si>
  <si>
    <t>Israel Oliveros</t>
  </si>
  <si>
    <t>Guinobatan</t>
  </si>
  <si>
    <t>Joel Cuba</t>
  </si>
  <si>
    <t>Raymundo Cereligia</t>
  </si>
  <si>
    <t>Romeo Jaya</t>
  </si>
  <si>
    <t>Roxas</t>
  </si>
  <si>
    <t>Merly Busano</t>
  </si>
  <si>
    <t>Pascual Lagunda</t>
  </si>
  <si>
    <t>Daginawan</t>
  </si>
  <si>
    <t>Wilson Adanza</t>
  </si>
  <si>
    <t>Owak</t>
  </si>
  <si>
    <t>Roel Madrio</t>
  </si>
  <si>
    <t>Limocol Ilaud</t>
  </si>
  <si>
    <t>Gerardo Tabuada</t>
  </si>
  <si>
    <t>Anibonga</t>
  </si>
  <si>
    <t>Primo Cimene</t>
  </si>
  <si>
    <t>Artemio Dampog</t>
  </si>
  <si>
    <t xml:space="preserve">Alegria </t>
  </si>
  <si>
    <t>Hubert Malinao</t>
  </si>
  <si>
    <t>Lapu-lapu City</t>
  </si>
  <si>
    <t>March 9-12, 2020</t>
  </si>
  <si>
    <t>Edward Viñan</t>
  </si>
  <si>
    <t>Butong, Argao</t>
  </si>
  <si>
    <t>Myrna Gutual</t>
  </si>
  <si>
    <t>Dispesed</t>
  </si>
  <si>
    <t>Reynaldo Casayas</t>
  </si>
  <si>
    <t>Cagay, Sibonga</t>
  </si>
  <si>
    <t>Teodoso Anay</t>
  </si>
  <si>
    <t>Arimata Maula</t>
  </si>
  <si>
    <t>Manuel Baliling</t>
  </si>
  <si>
    <t>Renato Baliling</t>
  </si>
  <si>
    <t>Candelario Tusoy</t>
  </si>
  <si>
    <t>Cris Doria</t>
  </si>
  <si>
    <t>Teodoro Lagang</t>
  </si>
  <si>
    <t>Florencio Balos</t>
  </si>
  <si>
    <t>John Gil Moscosa</t>
  </si>
  <si>
    <t>Marino Mar</t>
  </si>
  <si>
    <t>Lapacan</t>
  </si>
  <si>
    <t>Alfredo marabilis</t>
  </si>
  <si>
    <t>Maria Lynell Tagsip</t>
  </si>
  <si>
    <t>Renato Galvinez</t>
  </si>
  <si>
    <t>Richard Madronero</t>
  </si>
  <si>
    <t>Onijon</t>
  </si>
  <si>
    <t>Abundio Lagang</t>
  </si>
  <si>
    <t>Pedro Abregana</t>
  </si>
  <si>
    <t>Dionesio Abregana</t>
  </si>
  <si>
    <t>Khembrian Navarro</t>
  </si>
  <si>
    <t>Eduardo Alburo</t>
  </si>
  <si>
    <t>Sergio Balentocas Jr.</t>
  </si>
  <si>
    <t>Percival Hormachuelos</t>
  </si>
  <si>
    <t>Ricardo Carpentero</t>
  </si>
  <si>
    <t>Cang-inas</t>
  </si>
  <si>
    <t>March 13-16, 2020</t>
  </si>
  <si>
    <t>Aime Durante</t>
  </si>
  <si>
    <t>Bernardita Torrentira</t>
  </si>
  <si>
    <t>Lydia Calderon</t>
  </si>
  <si>
    <t>Eugenio Dapar</t>
  </si>
  <si>
    <t>Fortunato Rabi</t>
  </si>
  <si>
    <t>Fernando Oyangorin</t>
  </si>
  <si>
    <t>Joseph Zafra</t>
  </si>
  <si>
    <t>Leo Omamalin</t>
  </si>
  <si>
    <t>Rolando Ore</t>
  </si>
  <si>
    <t>Chadie Pagao</t>
  </si>
  <si>
    <t>Tanghaligue</t>
  </si>
  <si>
    <t>Rodulfo Artiaga</t>
  </si>
  <si>
    <t>Jessie Batingal</t>
  </si>
  <si>
    <t>Sim Hangad</t>
  </si>
  <si>
    <t>Samuel Ejares</t>
  </si>
  <si>
    <t>Pasanan</t>
  </si>
  <si>
    <t>Kylee Tecson</t>
  </si>
  <si>
    <t>Edgar Aladad</t>
  </si>
  <si>
    <t>Pablo Omamalin</t>
  </si>
  <si>
    <t>Edito Matunhay</t>
  </si>
  <si>
    <t>March 18-20, 2020</t>
  </si>
  <si>
    <t>Alfredo Bagolor</t>
  </si>
  <si>
    <t>Ilijan</t>
  </si>
  <si>
    <t>Ramon Mejorada</t>
  </si>
  <si>
    <t>Fesilva Estillore</t>
  </si>
  <si>
    <t>Jun Buaya</t>
  </si>
  <si>
    <t>Jay Teorima</t>
  </si>
  <si>
    <t>Pevie Orilla</t>
  </si>
  <si>
    <t>Virginia Saluberes</t>
  </si>
  <si>
    <t>Matias Manlangit</t>
  </si>
  <si>
    <t xml:space="preserve">San Roque </t>
  </si>
  <si>
    <t>Sanny Ebua</t>
  </si>
  <si>
    <t>Cambitoon</t>
  </si>
  <si>
    <t>Elenita Remoreras</t>
  </si>
  <si>
    <t>Ranilo Cajote</t>
  </si>
  <si>
    <t>Raffy Vedra</t>
  </si>
  <si>
    <t>Roland Valentus</t>
  </si>
  <si>
    <t>Jorge Salo</t>
  </si>
  <si>
    <t>Candajec</t>
  </si>
  <si>
    <t>Cirilo Marson</t>
  </si>
  <si>
    <t>Simplecio Pecolados</t>
  </si>
  <si>
    <t>Gregorio Bunao</t>
  </si>
  <si>
    <t>Alain Petalcorin</t>
  </si>
  <si>
    <t>Lutao</t>
  </si>
  <si>
    <t>Arnel Lomad</t>
  </si>
  <si>
    <t>Nessan Pecolados</t>
  </si>
  <si>
    <t>Ian Lanet</t>
  </si>
  <si>
    <t>March 20-26, 2020</t>
  </si>
  <si>
    <t>Lemuel Aduabe</t>
  </si>
  <si>
    <t>Tangaran</t>
  </si>
  <si>
    <t>Daryl Paul Añabieza</t>
  </si>
  <si>
    <t>Alejandro Salera</t>
  </si>
  <si>
    <t>Lord Divinagracia</t>
  </si>
  <si>
    <t>Lord Vincent Digaum</t>
  </si>
  <si>
    <t>Roldan Lico</t>
  </si>
  <si>
    <t>Rez Jemes Bongato</t>
  </si>
  <si>
    <t>March 30-31, 2020</t>
  </si>
  <si>
    <t>Assistant Under the Office of the Regional Director</t>
  </si>
  <si>
    <t>March,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</si>
  <si>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</si>
  <si>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</si>
  <si>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</si>
  <si>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</si>
  <si>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Valencia</t>
  </si>
  <si>
    <t>LGU Antiquera</t>
  </si>
  <si>
    <t>Tupas</t>
  </si>
  <si>
    <t>Antiquera</t>
  </si>
  <si>
    <t>Bertillo Tongco</t>
  </si>
  <si>
    <t>C. carp</t>
  </si>
  <si>
    <t>LGU Maribojoc</t>
  </si>
  <si>
    <t>Faith Angelie Inot</t>
  </si>
  <si>
    <t>LGU Mabini</t>
  </si>
  <si>
    <t>Marcelino Taghap</t>
  </si>
  <si>
    <t>LGU San Isidro</t>
  </si>
  <si>
    <t>LGU Pilar</t>
  </si>
  <si>
    <t>Malinaw Dam</t>
  </si>
  <si>
    <t>Carmen Cubrado</t>
  </si>
  <si>
    <t>Assistant Under The Office Of The Regional Director</t>
  </si>
  <si>
    <t xml:space="preserve">                   April 2020</t>
  </si>
  <si>
    <t>Abehilan</t>
  </si>
  <si>
    <t>Eduardo Navaro</t>
  </si>
  <si>
    <t>Terry Cook</t>
  </si>
  <si>
    <t>Juliser Mangmang</t>
  </si>
  <si>
    <t>Nelson Suralta</t>
  </si>
  <si>
    <t>Ritchie Botoy</t>
  </si>
  <si>
    <t>Pedro Valentus</t>
  </si>
  <si>
    <t>Efren Lumenario</t>
  </si>
  <si>
    <t>Arnel Sanchez</t>
  </si>
  <si>
    <t>Jacinto Torreon</t>
  </si>
  <si>
    <t>Reynaldo Omamalin</t>
  </si>
  <si>
    <t>Aloysius Siarot</t>
  </si>
  <si>
    <t>Francisco Fernandez</t>
  </si>
  <si>
    <t>Reynaldo Espina</t>
  </si>
  <si>
    <t>Terso Cerencio Sr.</t>
  </si>
  <si>
    <t>April 1-8, 2020</t>
  </si>
  <si>
    <t>Marcelino Ecat</t>
  </si>
  <si>
    <t>Dann Vaño</t>
  </si>
  <si>
    <t>Joena Parohinog</t>
  </si>
  <si>
    <t>Nemesio Oronan</t>
  </si>
  <si>
    <t>Geoffrey Cepedoza</t>
  </si>
  <si>
    <t>Ma. Rodela</t>
  </si>
  <si>
    <t>Noel Patayan</t>
  </si>
  <si>
    <t>Alejandro Mejias</t>
  </si>
  <si>
    <t>Lonoy</t>
  </si>
  <si>
    <t>Eleuterio Remoreras Jr.</t>
  </si>
  <si>
    <t>April 8-14, 2020</t>
  </si>
  <si>
    <t>Felipe Galamiton Jr.</t>
  </si>
  <si>
    <t>Matin-aw</t>
  </si>
  <si>
    <t>Jessei Canilao</t>
  </si>
  <si>
    <t>Songculan</t>
  </si>
  <si>
    <t>Dauis</t>
  </si>
  <si>
    <t>Christine Salisi</t>
  </si>
  <si>
    <t>Mario Suralta</t>
  </si>
  <si>
    <t>Rolando Anaba</t>
  </si>
  <si>
    <t>Pob Sur</t>
  </si>
  <si>
    <t>Jose Llano</t>
  </si>
  <si>
    <t>Leonardo Bulala</t>
  </si>
  <si>
    <t>Jhon Punio</t>
  </si>
  <si>
    <t xml:space="preserve">Lajog </t>
  </si>
  <si>
    <t>Koi carp</t>
  </si>
  <si>
    <t>Vilmar Marimon</t>
  </si>
  <si>
    <t>Jawsmar Flores</t>
  </si>
  <si>
    <t>Comaang</t>
  </si>
  <si>
    <t>Noel Gomez</t>
  </si>
  <si>
    <t>Romeo Gandolfus</t>
  </si>
  <si>
    <t>Jorge Comahig</t>
  </si>
  <si>
    <t>Cogon</t>
  </si>
  <si>
    <t>Renan Edulsa</t>
  </si>
  <si>
    <t>Richard Paraguya</t>
  </si>
  <si>
    <t>Paul John Vincent Malaran</t>
  </si>
  <si>
    <t>Marc Candado</t>
  </si>
  <si>
    <t>Angelina Hoffman</t>
  </si>
  <si>
    <t>Milyn Estillore</t>
  </si>
  <si>
    <t>Nerie Buaya</t>
  </si>
  <si>
    <t>Janlud</t>
  </si>
  <si>
    <t>Jeffre Prito</t>
  </si>
  <si>
    <t>Meliza Espinal</t>
  </si>
  <si>
    <t>Felipa Alicame</t>
  </si>
  <si>
    <t>Jocelyn Yagong</t>
  </si>
  <si>
    <t>Caboy</t>
  </si>
  <si>
    <t>Alfredo Delfino</t>
  </si>
  <si>
    <t>Roldan Sumaylo</t>
  </si>
  <si>
    <t>Jessie Camazo</t>
  </si>
  <si>
    <t>Nicolas Hangad</t>
  </si>
  <si>
    <t>Patrocino</t>
  </si>
  <si>
    <t>Rogelio Patayan</t>
  </si>
  <si>
    <t>Jose Maldora</t>
  </si>
  <si>
    <t>Rogelio Jagotin</t>
  </si>
  <si>
    <t>Ruel Lucero</t>
  </si>
  <si>
    <t>Constancio Manatad</t>
  </si>
  <si>
    <t>John Limar Patayan</t>
  </si>
  <si>
    <t>Louie Alboroto</t>
  </si>
  <si>
    <t>Sergio Vergara</t>
  </si>
  <si>
    <t>Pedro Tagupa</t>
  </si>
  <si>
    <t>Salvador Rosales</t>
  </si>
  <si>
    <t>Leonardo Inson</t>
  </si>
  <si>
    <t>Nueva Vida Norte</t>
  </si>
  <si>
    <t>Jessie Cag-ong</t>
  </si>
  <si>
    <t>April 21-24, 2020</t>
  </si>
  <si>
    <t>Batoy Aparicio</t>
  </si>
  <si>
    <t>Cirilia Paran</t>
  </si>
  <si>
    <t>Coluniz Pacaldo</t>
  </si>
  <si>
    <t>Daet</t>
  </si>
  <si>
    <t>Gabriel Narisma</t>
  </si>
  <si>
    <t>Cabayogan</t>
  </si>
  <si>
    <t>koi</t>
  </si>
  <si>
    <t>Tomas Estorba</t>
  </si>
  <si>
    <t>Paulo Cajote</t>
  </si>
  <si>
    <t>Emelito Duallo</t>
  </si>
  <si>
    <t>Crenario Ratilla</t>
  </si>
  <si>
    <t>Ryan Espirito</t>
  </si>
  <si>
    <t>Fulgencio Celetra</t>
  </si>
  <si>
    <t>Annamarie Patayan</t>
  </si>
  <si>
    <t>Joena Paruhinog</t>
  </si>
  <si>
    <t>Fortunato Corciega</t>
  </si>
  <si>
    <t>Junil Tronoyba</t>
  </si>
  <si>
    <t>Marito Pador</t>
  </si>
  <si>
    <t>Gegino Butron</t>
  </si>
  <si>
    <t>Pamaksalan</t>
  </si>
  <si>
    <t>Emedio Baylon</t>
  </si>
  <si>
    <t>Jose Jupe Esto</t>
  </si>
  <si>
    <t>April 25-29, 2020</t>
  </si>
  <si>
    <t>Behind the Clouds</t>
  </si>
  <si>
    <t>Ruben Astronomo</t>
  </si>
  <si>
    <t>Sinakayanan</t>
  </si>
  <si>
    <t>Eduardo Concon</t>
  </si>
  <si>
    <t>Fatima</t>
  </si>
  <si>
    <t>Felicisimo Batingal</t>
  </si>
  <si>
    <t>Dindo Buñao</t>
  </si>
  <si>
    <t>Mario Vistal</t>
  </si>
  <si>
    <t>Aurelio Logroño</t>
  </si>
  <si>
    <t>Marino Cosgafa Jr.</t>
  </si>
  <si>
    <t>Candungao</t>
  </si>
  <si>
    <t>Allen Ombajin</t>
  </si>
  <si>
    <t>April,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</si>
  <si>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</si>
  <si>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</si>
  <si>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</si>
  <si>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</si>
  <si>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Loboc</t>
  </si>
  <si>
    <t>Loboc</t>
  </si>
  <si>
    <t>Jelen Nalugon</t>
  </si>
  <si>
    <t>river</t>
  </si>
  <si>
    <t>Romeo Torralba</t>
  </si>
  <si>
    <t>KADIWA on WHEELS</t>
  </si>
  <si>
    <t>Marketable Tilapia</t>
  </si>
  <si>
    <t xml:space="preserve">                   May 2020</t>
  </si>
  <si>
    <t>Rey Indiana</t>
  </si>
  <si>
    <t>Glenn Estrosas</t>
  </si>
  <si>
    <t>Daryl Añabieza</t>
  </si>
  <si>
    <t>Liloan Norte</t>
  </si>
  <si>
    <t>Koi Carp</t>
  </si>
  <si>
    <t>Jam Alfie Lagrimas</t>
  </si>
  <si>
    <t>Tinibgan</t>
  </si>
  <si>
    <t>Mark Pihongo</t>
  </si>
  <si>
    <t>Ilijan Sur</t>
  </si>
  <si>
    <t>Elden Betalmos</t>
  </si>
  <si>
    <t>Nonie Milagrosa</t>
  </si>
  <si>
    <t>Gregory Paul Batausa</t>
  </si>
  <si>
    <t>Aga Niño Franco</t>
  </si>
  <si>
    <t>Cantuyok</t>
  </si>
  <si>
    <t>John Mark Tapales</t>
  </si>
  <si>
    <t>Avito Cano</t>
  </si>
  <si>
    <t>Pinayagan</t>
  </si>
  <si>
    <t>Ailyn Lapoja</t>
  </si>
  <si>
    <t>Canmaya</t>
  </si>
  <si>
    <t>Mario Maglajos</t>
  </si>
  <si>
    <t>Ma. Cristina Casia</t>
  </si>
  <si>
    <t>Dominador Camencia</t>
  </si>
  <si>
    <t>Loloy Espinal</t>
  </si>
  <si>
    <t>Bernabe De Guzman</t>
  </si>
  <si>
    <t>Del Carmen</t>
  </si>
  <si>
    <t>Daniel Degamo</t>
  </si>
  <si>
    <t>Roy Balaba</t>
  </si>
  <si>
    <t>Can Oling</t>
  </si>
  <si>
    <t>Martin Comamao</t>
  </si>
  <si>
    <t>Pedro Itallo</t>
  </si>
  <si>
    <t>Felipe Petalco</t>
  </si>
  <si>
    <t>Banahao</t>
  </si>
  <si>
    <t>Lucio Ones</t>
  </si>
  <si>
    <t>Bactol</t>
  </si>
  <si>
    <t>Ariel Lagare</t>
  </si>
  <si>
    <t>Omjon</t>
  </si>
  <si>
    <t>Jhesfir Torrentira</t>
  </si>
  <si>
    <t>Allan Sentorias</t>
  </si>
  <si>
    <t>Juanita Amparado</t>
  </si>
  <si>
    <t>Rufino Boco</t>
  </si>
  <si>
    <t>Paulito Budiongan</t>
  </si>
  <si>
    <t>Arniel Tabor</t>
  </si>
  <si>
    <t>Christian Paul Baton</t>
  </si>
  <si>
    <t>Cabog</t>
  </si>
  <si>
    <t>Rolando Lara</t>
  </si>
  <si>
    <t>Leonardo Lagaran</t>
  </si>
  <si>
    <t>Albert Lacea</t>
  </si>
  <si>
    <t>Joseph Esmalin</t>
  </si>
  <si>
    <t>Mary Magdalen Calipes</t>
  </si>
  <si>
    <t>Primitiva Tayag</t>
  </si>
  <si>
    <t>Diosdado Balagolan</t>
  </si>
  <si>
    <t>Pob. Vieja</t>
  </si>
  <si>
    <t>Gaudencio Maritan</t>
  </si>
  <si>
    <t>Leonides Maritan</t>
  </si>
  <si>
    <t>May 4-5, 2020</t>
  </si>
  <si>
    <t>Petronio Dali-on</t>
  </si>
  <si>
    <t>Ian Philip Magbanua</t>
  </si>
  <si>
    <t>Francisco Balayan</t>
  </si>
  <si>
    <t>Retchie John Botoy</t>
  </si>
  <si>
    <t>Nelson Cordilla</t>
  </si>
  <si>
    <t>Bernardo Enoc</t>
  </si>
  <si>
    <t>Lino Tuasac</t>
  </si>
  <si>
    <t>Jaime Barace</t>
  </si>
  <si>
    <t>Ian Calimutan</t>
  </si>
  <si>
    <t>Noel Genabia</t>
  </si>
  <si>
    <t>Bosongon</t>
  </si>
  <si>
    <t>Ronelo Boco</t>
  </si>
  <si>
    <t>Felipe Israel</t>
  </si>
  <si>
    <t>Orland Anub</t>
  </si>
  <si>
    <t>Tamblot</t>
  </si>
  <si>
    <t>Teodoro Adaya</t>
  </si>
  <si>
    <t>Edwin Sentillas</t>
  </si>
  <si>
    <t>Putting Bato</t>
  </si>
  <si>
    <t>Luisa Karkkainen</t>
  </si>
  <si>
    <t>Maribilis</t>
  </si>
  <si>
    <t>Mc Leodel Tolon</t>
  </si>
  <si>
    <t>Joselito Ambaic</t>
  </si>
  <si>
    <t>Danahao</t>
  </si>
  <si>
    <t>Romualdo Degamon</t>
  </si>
  <si>
    <t>Ruel Torreon</t>
  </si>
  <si>
    <t>Bato</t>
  </si>
  <si>
    <t>Eustiquio Batulanon</t>
  </si>
  <si>
    <t>Edwin Yabo</t>
  </si>
  <si>
    <t>Mario Almirante</t>
  </si>
  <si>
    <t>Nahod</t>
  </si>
  <si>
    <t>May 6-8, 2020</t>
  </si>
  <si>
    <t>Marl Ortiz</t>
  </si>
  <si>
    <t>Ronan Lumapat</t>
  </si>
  <si>
    <t>Emilio Lanoy</t>
  </si>
  <si>
    <t>Cheriel Amper</t>
  </si>
  <si>
    <t>Mary grace Aguilar</t>
  </si>
  <si>
    <t>Haguilaran</t>
  </si>
  <si>
    <t>Rosendo Verador</t>
  </si>
  <si>
    <t>Roland Cenabre</t>
  </si>
  <si>
    <t>Nonita Manatad</t>
  </si>
  <si>
    <t>Razel Marabilis</t>
  </si>
  <si>
    <t>Ramil Gementiza</t>
  </si>
  <si>
    <t>Erwin Aguhon</t>
  </si>
  <si>
    <t>Romeo Gandolfos</t>
  </si>
  <si>
    <t>Jaymel Refugio</t>
  </si>
  <si>
    <t>Marilyn Cemine</t>
  </si>
  <si>
    <t>Cang-iras</t>
  </si>
  <si>
    <t>Artemio Durante Jr.</t>
  </si>
  <si>
    <t>Randy Guroguio</t>
  </si>
  <si>
    <t>Reynaldo Tecson</t>
  </si>
  <si>
    <t>Emma Ytano</t>
  </si>
  <si>
    <t>Jonathan Tecson</t>
  </si>
  <si>
    <t>Fervin Tortor</t>
  </si>
  <si>
    <t>Busongon</t>
  </si>
  <si>
    <t>Raulito Ucay</t>
  </si>
  <si>
    <t>Maribel Abober</t>
  </si>
  <si>
    <t>Geney Christian Blanco</t>
  </si>
  <si>
    <t>Calceta St.</t>
  </si>
  <si>
    <t>Polymer Ojendras</t>
  </si>
  <si>
    <t>Arnold Sales</t>
  </si>
  <si>
    <t>Remedios</t>
  </si>
  <si>
    <t>Regin Lumapit</t>
  </si>
  <si>
    <t>James Ronquillo</t>
  </si>
  <si>
    <t>Cangawa</t>
  </si>
  <si>
    <t>Jose Socong</t>
  </si>
  <si>
    <t>Julieto Ceniza</t>
  </si>
  <si>
    <t>Longino Baydal Jr.</t>
  </si>
  <si>
    <t>Raul Bacaling</t>
  </si>
  <si>
    <t>JC Ray Inoc</t>
  </si>
  <si>
    <t>Julius Laurden</t>
  </si>
  <si>
    <t>May 9-13, 2020</t>
  </si>
  <si>
    <t>Banedicto Yagong</t>
  </si>
  <si>
    <t>Federico Aparri</t>
  </si>
  <si>
    <t>Simplicio Dolotina</t>
  </si>
  <si>
    <t>Vallehermosa</t>
  </si>
  <si>
    <t>Jhonjhette Salfucial</t>
  </si>
  <si>
    <t>Mauro Escabusa</t>
  </si>
  <si>
    <t xml:space="preserve">Cagawasan </t>
  </si>
  <si>
    <t>Jonas Suson</t>
  </si>
  <si>
    <t>Alvin Mante</t>
  </si>
  <si>
    <t>Felizardo Gudelosao</t>
  </si>
  <si>
    <t>Severino Escabusa</t>
  </si>
  <si>
    <t>Carmencito Uli</t>
  </si>
  <si>
    <t>Bryan Escabusa</t>
  </si>
  <si>
    <t>Julian dela Serna</t>
  </si>
  <si>
    <t>Sotero Doydoy</t>
  </si>
  <si>
    <t>Librado maquilang</t>
  </si>
  <si>
    <t>Melchora Escabusa</t>
  </si>
  <si>
    <t>Jason Buslon</t>
  </si>
  <si>
    <t>Charlito Espina</t>
  </si>
  <si>
    <t>Reynaldo Omac</t>
  </si>
  <si>
    <t>Gregoria Mae Cadorna</t>
  </si>
  <si>
    <t>Martiniano Soliano</t>
  </si>
  <si>
    <t>Tirso Abit</t>
  </si>
  <si>
    <t>Cresencio Soriano</t>
  </si>
  <si>
    <t>Jaime Buslon</t>
  </si>
  <si>
    <t>Antonio Cubrado</t>
  </si>
  <si>
    <t>Moises Omac</t>
  </si>
  <si>
    <t>Joselito Aboabo</t>
  </si>
  <si>
    <t>Joren Vesere</t>
  </si>
  <si>
    <t>Sammy Sumatra</t>
  </si>
  <si>
    <t>Raph Jay Bongato</t>
  </si>
  <si>
    <t>May 15-19, 2020</t>
  </si>
  <si>
    <t>Chembelyn Nicanor</t>
  </si>
  <si>
    <t xml:space="preserve">Libertad </t>
  </si>
  <si>
    <t>Junbert Gudes</t>
  </si>
  <si>
    <t>Emelyn Lingatong</t>
  </si>
  <si>
    <t xml:space="preserve">Aloja </t>
  </si>
  <si>
    <t>Ruel Sarpamonis</t>
  </si>
  <si>
    <t>James Bryant Añasco</t>
  </si>
  <si>
    <t>Armando Albiso</t>
  </si>
  <si>
    <t>Felix Jamora</t>
  </si>
  <si>
    <t>Bangwalog</t>
  </si>
  <si>
    <t>Dodong Naquila</t>
  </si>
  <si>
    <t>Julieto Purog</t>
  </si>
  <si>
    <t>Caluasan</t>
  </si>
  <si>
    <t>Alfredo Maribiles</t>
  </si>
  <si>
    <t>Asuncion Pacatang</t>
  </si>
  <si>
    <t>Emmanuel Biloy</t>
  </si>
  <si>
    <t>Socrates Pacatang</t>
  </si>
  <si>
    <t>Daryl Biloy</t>
  </si>
  <si>
    <t>May,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</si>
  <si>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</si>
  <si>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</si>
  <si>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</si>
  <si>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</si>
  <si>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Manga National High School</t>
  </si>
  <si>
    <t>Manga</t>
  </si>
  <si>
    <t>Pablita Cabarles</t>
  </si>
  <si>
    <t>LGU Buenavista</t>
  </si>
  <si>
    <t>Lino Divinagracia</t>
  </si>
  <si>
    <t>LGU Bilar</t>
  </si>
  <si>
    <t>Rosendo Bantugan</t>
  </si>
  <si>
    <t>Common carp</t>
  </si>
  <si>
    <t>LGU Sevilla</t>
  </si>
  <si>
    <t>Ewon</t>
  </si>
  <si>
    <t>lake</t>
  </si>
  <si>
    <t xml:space="preserve">                   June 2020</t>
  </si>
  <si>
    <t>Mario Lozada</t>
  </si>
  <si>
    <t>Domeciano Valentos</t>
  </si>
  <si>
    <t>Tambo-an</t>
  </si>
  <si>
    <t>Manuel Valentos</t>
  </si>
  <si>
    <t>Ramil Sumagaysay</t>
  </si>
  <si>
    <t>dispersal</t>
  </si>
  <si>
    <t>Ariel Aplacador</t>
  </si>
  <si>
    <t>Jaime Regala</t>
  </si>
  <si>
    <t>Antonio Peracho</t>
  </si>
  <si>
    <t>Samuel Cabangbang</t>
  </si>
  <si>
    <t>Linly Sarmiento</t>
  </si>
  <si>
    <t>Gelardo Jumandos</t>
  </si>
  <si>
    <t>Ja-ker Baug-bog</t>
  </si>
  <si>
    <t>Anthony Alimpolos</t>
  </si>
  <si>
    <t>Roberto Cañete</t>
  </si>
  <si>
    <t>Arnel Pasilan Jr.</t>
  </si>
  <si>
    <t>Jonathan Avelino</t>
  </si>
  <si>
    <t>Jerry Cole</t>
  </si>
  <si>
    <t>Buenauerte</t>
  </si>
  <si>
    <t>Luis Requirme</t>
  </si>
  <si>
    <t>Romeo Gandulfos</t>
  </si>
  <si>
    <t>Elmar Igcalinos</t>
  </si>
  <si>
    <t>Gina Wahing</t>
  </si>
  <si>
    <t>Nerissa Lapasaran</t>
  </si>
  <si>
    <t>Lourdes Gella</t>
  </si>
  <si>
    <t>Paulino Malig-on</t>
  </si>
  <si>
    <t>Jaylyn Rizaldo</t>
  </si>
  <si>
    <t>Ronnel Rizaldo</t>
  </si>
  <si>
    <t>Julius Alcantara</t>
  </si>
  <si>
    <t>Rosendo Vales</t>
  </si>
  <si>
    <t>Zaldy Marimon</t>
  </si>
  <si>
    <t>Napo</t>
  </si>
  <si>
    <t>Edgar Lomochoso</t>
  </si>
  <si>
    <t>Cansague Sur</t>
  </si>
  <si>
    <t>Jovelyn Curay</t>
  </si>
  <si>
    <t>Bulilis</t>
  </si>
  <si>
    <t>John Kenneth Huiso</t>
  </si>
  <si>
    <t>Diowi John Sarpamones</t>
  </si>
  <si>
    <t>Matabo</t>
  </si>
  <si>
    <t>Winston Fulguirinas</t>
  </si>
  <si>
    <t>Hayahay</t>
  </si>
  <si>
    <t>June 2-6, 2020</t>
  </si>
  <si>
    <t>Veneranda Salinas</t>
  </si>
  <si>
    <t>Cambaylan</t>
  </si>
  <si>
    <t>Ronald Tedio</t>
  </si>
  <si>
    <t>COMMON CARP</t>
  </si>
  <si>
    <t>Dick Torrefranca</t>
  </si>
  <si>
    <t>Rogelio Cardenas</t>
  </si>
  <si>
    <t>Ma. Marites Baratbate</t>
  </si>
  <si>
    <t>Brando Indiana</t>
  </si>
  <si>
    <t>Isagane Ramos</t>
  </si>
  <si>
    <t>Marilou Vito</t>
  </si>
  <si>
    <t>Kent Sarmiento</t>
  </si>
  <si>
    <t xml:space="preserve">La Paz </t>
  </si>
  <si>
    <t>Cherielyn Galia</t>
  </si>
  <si>
    <t>Bryan Chatto</t>
  </si>
  <si>
    <t>Maslog</t>
  </si>
  <si>
    <t>Anthony Tambis</t>
  </si>
  <si>
    <t>Artemio Palma</t>
  </si>
  <si>
    <t>Eutiquio Bayron</t>
  </si>
  <si>
    <t>Dusita</t>
  </si>
  <si>
    <t>Arsenio Agustin</t>
  </si>
  <si>
    <t>Fe M. Vertudazo</t>
  </si>
  <si>
    <t>Alexander Logroño</t>
  </si>
  <si>
    <t>Jessie Butron</t>
  </si>
  <si>
    <t>Conception</t>
  </si>
  <si>
    <t>Ma. Ana Dinoy</t>
  </si>
  <si>
    <t>Artanio Cubio</t>
  </si>
  <si>
    <t>Joseph Lodoria</t>
  </si>
  <si>
    <t>Lapacan Sur</t>
  </si>
  <si>
    <t>Dodo Vito</t>
  </si>
  <si>
    <t>Francis Mejais</t>
  </si>
  <si>
    <t>Joel Rizon</t>
  </si>
  <si>
    <t>Roldan Amihan</t>
  </si>
  <si>
    <t>Madelene Pacot</t>
  </si>
  <si>
    <t>Bantolinao</t>
  </si>
  <si>
    <t>Marvin Batolanon</t>
  </si>
  <si>
    <t>Marivic Torrejano</t>
  </si>
  <si>
    <t>Fidel Astillo</t>
  </si>
  <si>
    <t>Cornelio Tago</t>
  </si>
  <si>
    <t>Cabagakian</t>
  </si>
  <si>
    <t>Perlita Cordova</t>
  </si>
  <si>
    <t>Christian Roland Laurden</t>
  </si>
  <si>
    <t>BISU</t>
  </si>
  <si>
    <t>Jerie Brawis</t>
  </si>
  <si>
    <t>Montesonting</t>
  </si>
  <si>
    <t>Rafael Inson</t>
  </si>
  <si>
    <t>Edwin Libatnon</t>
  </si>
  <si>
    <t>Jacinto Bulawan</t>
  </si>
  <si>
    <t>jakeh Baugbog</t>
  </si>
  <si>
    <t>Samson Pancho</t>
  </si>
  <si>
    <t>Ryan Silagan</t>
  </si>
  <si>
    <t>Benjamin Valentos</t>
  </si>
  <si>
    <t>Tamboan</t>
  </si>
  <si>
    <t>Marino Gumapac</t>
  </si>
  <si>
    <t>Jaquilou Cereligia</t>
  </si>
  <si>
    <t>Annabelle Larido</t>
  </si>
  <si>
    <t>Longino Baydal</t>
  </si>
  <si>
    <t>Karin Inson</t>
  </si>
  <si>
    <t>Rodrigo Perocillo</t>
  </si>
  <si>
    <t>Jerson Lumictin</t>
  </si>
  <si>
    <t>Adrian Verana</t>
  </si>
  <si>
    <t>Abucayan Sur</t>
  </si>
  <si>
    <t>Elmer Nuez</t>
  </si>
  <si>
    <t>Dennis Gabriel Carungay</t>
  </si>
  <si>
    <t>Raymond Omaña</t>
  </si>
  <si>
    <t>Jeremy Remorosa</t>
  </si>
  <si>
    <t>Maurito Viodor</t>
  </si>
  <si>
    <t>Arlene Dacula</t>
  </si>
  <si>
    <t>Wilmer Racho</t>
  </si>
  <si>
    <t>montesuerte</t>
  </si>
  <si>
    <t>June 7-10, 2020</t>
  </si>
  <si>
    <t>Dindo Indiana</t>
  </si>
  <si>
    <t>Danilo Palomares</t>
  </si>
  <si>
    <t>Shoney Ponte</t>
  </si>
  <si>
    <t>Geoffrey Cepidoza</t>
  </si>
  <si>
    <t>Dave Gomez</t>
  </si>
  <si>
    <t>Danilo Pacatang</t>
  </si>
  <si>
    <t>Sabino Butal</t>
  </si>
  <si>
    <t>Joseph Estampa</t>
  </si>
  <si>
    <t>Sergio Bongansiso</t>
  </si>
  <si>
    <t>C. Carp</t>
  </si>
  <si>
    <t>Felix Mahumot</t>
  </si>
  <si>
    <t>Cherry dela Serna</t>
  </si>
  <si>
    <t>Agustin Torrenueva</t>
  </si>
  <si>
    <t>Cawag</t>
  </si>
  <si>
    <t>Jimuel Barikit</t>
  </si>
  <si>
    <t>Rico Malig-on</t>
  </si>
  <si>
    <t>Melitona Canino</t>
  </si>
  <si>
    <t>Jaime Danila</t>
  </si>
  <si>
    <t>Rosalio Garcia</t>
  </si>
  <si>
    <t>Elena Marie Casenas</t>
  </si>
  <si>
    <t>Lito Maligro</t>
  </si>
  <si>
    <t>Dennis Mellejor</t>
  </si>
  <si>
    <t>Maribeth Gudarido</t>
  </si>
  <si>
    <t>Pedro Anib</t>
  </si>
  <si>
    <t>Tito Ubas</t>
  </si>
  <si>
    <t>Randy Aparri</t>
  </si>
  <si>
    <t>Gerlon Relacion</t>
  </si>
  <si>
    <t>Ulyses Carnice</t>
  </si>
  <si>
    <t>Judito Alasco</t>
  </si>
  <si>
    <t>Louie Alberto</t>
  </si>
  <si>
    <t>Wilson Tejas</t>
  </si>
  <si>
    <t>Aiza Arrogante</t>
  </si>
  <si>
    <t>Niño Harold Quiño</t>
  </si>
  <si>
    <t>Martin Gambe</t>
  </si>
  <si>
    <t>Canmaya Catro</t>
  </si>
  <si>
    <t>Elmer Manlangit</t>
  </si>
  <si>
    <t>Medardo Osio</t>
  </si>
  <si>
    <t>Perpetuo Adlaon</t>
  </si>
  <si>
    <t>Villafloe</t>
  </si>
  <si>
    <t>Rodelo Aparece</t>
  </si>
  <si>
    <t>Casilay</t>
  </si>
  <si>
    <t>Valeriano Rosaupan</t>
  </si>
  <si>
    <t>John Basman</t>
  </si>
  <si>
    <t>Capitol Site</t>
  </si>
  <si>
    <t>Marefe Hintapan</t>
  </si>
  <si>
    <t>Charlito Quijano</t>
  </si>
  <si>
    <t>Agustin Gonzaga</t>
  </si>
  <si>
    <t>Rodrigo Sajulga</t>
  </si>
  <si>
    <t>Carlos Crujido</t>
  </si>
  <si>
    <t>Dharel Dacula</t>
  </si>
  <si>
    <t>June 16-17, 2020</t>
  </si>
  <si>
    <t>Alvin Jay Initay</t>
  </si>
  <si>
    <t>Upper de la Paz</t>
  </si>
  <si>
    <t>Jan Ryan Arcayos</t>
  </si>
  <si>
    <t>Melvin Lamoste</t>
  </si>
  <si>
    <t>Elmer Tiempo</t>
  </si>
  <si>
    <t>Floreven Saan</t>
  </si>
  <si>
    <t>Danilo Mara</t>
  </si>
  <si>
    <t>C. CARP</t>
  </si>
  <si>
    <t>Julieto Ombajin</t>
  </si>
  <si>
    <t>Narciso Estampa Jr.</t>
  </si>
  <si>
    <t>Lilian Guitguiten</t>
  </si>
  <si>
    <t>John Hadrian Dagondon</t>
  </si>
  <si>
    <t>Godofredo Dumalag</t>
  </si>
  <si>
    <t>Presciano Niñeza</t>
  </si>
  <si>
    <t>Ermie Dapitilla</t>
  </si>
  <si>
    <t>Cansubayon</t>
  </si>
  <si>
    <t>Jess Dominise</t>
  </si>
  <si>
    <t>Labu-on</t>
  </si>
  <si>
    <t>Jhonrey Lacea</t>
  </si>
  <si>
    <t>Renante Nuera</t>
  </si>
  <si>
    <t>Jaime Bordano</t>
  </si>
  <si>
    <t>Leoncio Cequiña</t>
  </si>
  <si>
    <t>Nestor Laolao</t>
  </si>
  <si>
    <t>Harvey Langay</t>
  </si>
  <si>
    <t>Panadtaran</t>
  </si>
  <si>
    <t>Jay Melencion</t>
  </si>
  <si>
    <t>June 18-19, 2020</t>
  </si>
  <si>
    <t>Jubert Magsino</t>
  </si>
  <si>
    <t>Ambuan</t>
  </si>
  <si>
    <t>Raul Baliong</t>
  </si>
  <si>
    <t>Hanopol</t>
  </si>
  <si>
    <t>Ariel Ejurango</t>
  </si>
  <si>
    <t>Marylin Arat</t>
  </si>
  <si>
    <t>Pablo Cabal</t>
  </si>
  <si>
    <t>Editha Cabal</t>
  </si>
  <si>
    <t>Elodia Mutuc</t>
  </si>
  <si>
    <t>Felimon Secorin</t>
  </si>
  <si>
    <t>Jonel Comaya</t>
  </si>
  <si>
    <t>Jose Juneser Ursos</t>
  </si>
  <si>
    <t>John Mark Patayn</t>
  </si>
  <si>
    <t>Efren Abdalon</t>
  </si>
  <si>
    <t>John Carlou Villamor</t>
  </si>
  <si>
    <t>Dennis Serohijos</t>
  </si>
  <si>
    <t>Jose Manlangit</t>
  </si>
  <si>
    <t>Jenaciel Pacatang</t>
  </si>
  <si>
    <t>Leo Rizon</t>
  </si>
  <si>
    <t>Timoteo Tatad</t>
  </si>
  <si>
    <t>Chande May Lagures</t>
  </si>
  <si>
    <t>Casimero Hormillada</t>
  </si>
  <si>
    <t>Bilisan</t>
  </si>
  <si>
    <t>Floro Oclarit</t>
  </si>
  <si>
    <t>East Ulbujan</t>
  </si>
  <si>
    <t>Jhunrey Ocoy</t>
  </si>
  <si>
    <t>Marcos Pagas</t>
  </si>
  <si>
    <t>Adelo Legaspe</t>
  </si>
  <si>
    <t>Emelio Lanoy Jr.</t>
  </si>
  <si>
    <t>Genus Aspe</t>
  </si>
  <si>
    <t>Janice Eshelman</t>
  </si>
  <si>
    <t>Joseph Kim Celmar</t>
  </si>
  <si>
    <t>June 20-26, 2020</t>
  </si>
  <si>
    <t>Leonardo Ecat</t>
  </si>
  <si>
    <t>Wilson Samuya</t>
  </si>
  <si>
    <t>Timoteo Anub</t>
  </si>
  <si>
    <t>Ryo Lucero</t>
  </si>
  <si>
    <t>Ideza Calimbo</t>
  </si>
  <si>
    <t>Baryong Daan</t>
  </si>
  <si>
    <t>Rey Jhon Ibañez</t>
  </si>
  <si>
    <t>Jenefer Timbal</t>
  </si>
  <si>
    <t>Lorenzo Añana</t>
  </si>
  <si>
    <t>Nahud</t>
  </si>
  <si>
    <t>Ma. Rowena Añana</t>
  </si>
  <si>
    <t>June,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</si>
  <si>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</si>
  <si>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</si>
  <si>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</si>
  <si>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</si>
  <si>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Ubay</t>
  </si>
  <si>
    <t>Andres Apa-ap</t>
  </si>
  <si>
    <t>dam</t>
  </si>
  <si>
    <t>LGU Sierra Bullones</t>
  </si>
  <si>
    <t>Medardo Digal</t>
  </si>
  <si>
    <t>Renerio Tejada</t>
  </si>
  <si>
    <t>Sto. Niño Water Impounding &amp; Irrigators Assoc.</t>
  </si>
  <si>
    <t>Meneo Auxtero</t>
  </si>
  <si>
    <t>fish cage</t>
  </si>
  <si>
    <t>LGU Talibon</t>
  </si>
  <si>
    <t>Retchel Escartin</t>
  </si>
  <si>
    <t>LGU Guindulman</t>
  </si>
  <si>
    <t>Jaime Aranay</t>
  </si>
  <si>
    <t>LGU Carmen</t>
  </si>
  <si>
    <t>LGU Cortes</t>
  </si>
  <si>
    <t>Ma. Luz Alcala</t>
  </si>
  <si>
    <t>July,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</si>
  <si>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</si>
  <si>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</si>
  <si>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</si>
  <si>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</si>
  <si>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Sikatuna</t>
  </si>
  <si>
    <t>Ireneo Gabato</t>
  </si>
  <si>
    <t>PFO Bohol</t>
  </si>
  <si>
    <t>Victor Doblas</t>
  </si>
  <si>
    <t>LGU Clarin</t>
  </si>
  <si>
    <t>Emmanuel Gulayan</t>
  </si>
  <si>
    <r>
      <rPr>
        <sz val="9"/>
        <color theme="1"/>
        <rFont val="Arial"/>
      </rPr>
      <t xml:space="preserve">Coordinating Office: </t>
    </r>
    <r>
      <rPr>
        <b/>
        <u/>
        <sz val="9"/>
        <color theme="1"/>
        <rFont val="Arial"/>
      </rPr>
      <t>24,780 pcs.</t>
    </r>
  </si>
  <si>
    <t>190 pcs.</t>
  </si>
  <si>
    <t xml:space="preserve">                   July 2020</t>
  </si>
  <si>
    <t>Francisco Bernaldez</t>
  </si>
  <si>
    <t>Sudlon</t>
  </si>
  <si>
    <t>Lenny Badiang</t>
  </si>
  <si>
    <t>Norman Hinautan</t>
  </si>
  <si>
    <t>Cleo Tante</t>
  </si>
  <si>
    <t>Belenda Bautista</t>
  </si>
  <si>
    <t>Rey Omac</t>
  </si>
  <si>
    <t>Teodoro Quilag</t>
  </si>
  <si>
    <t>Victor Adlaon</t>
  </si>
  <si>
    <t>Victor Magallane</t>
  </si>
  <si>
    <t>Jonas Edtirgio</t>
  </si>
  <si>
    <t>Lusong</t>
  </si>
  <si>
    <t>Ronel Meliza</t>
  </si>
  <si>
    <t>Marivic Amang</t>
  </si>
  <si>
    <t>Cabacnitan</t>
  </si>
  <si>
    <t>Simplicio Maputol</t>
  </si>
  <si>
    <t>Celvan Decenilla</t>
  </si>
  <si>
    <t>Jeremy Remoroza</t>
  </si>
  <si>
    <t>Zito Dañe</t>
  </si>
  <si>
    <t>Joel Soson</t>
  </si>
  <si>
    <t>Anecito Fernandez</t>
  </si>
  <si>
    <t>Rozas</t>
  </si>
  <si>
    <t>Fernando Perejan</t>
  </si>
  <si>
    <t>Nueva Montana</t>
  </si>
  <si>
    <t>Danilo Suello</t>
  </si>
  <si>
    <t>Janin Lumagbas</t>
  </si>
  <si>
    <t>Jevelyn Torrentira</t>
  </si>
  <si>
    <t>Charline Suarez</t>
  </si>
  <si>
    <t>Cirilo Ampasin</t>
  </si>
  <si>
    <t>Dodo Seguera</t>
  </si>
  <si>
    <t>Jefferson Enad</t>
  </si>
  <si>
    <t>Jerson Pamulagan</t>
  </si>
  <si>
    <t>Gregorio Arpon</t>
  </si>
  <si>
    <t>Arbel Acorda</t>
  </si>
  <si>
    <t>Juanito Leparto</t>
  </si>
  <si>
    <t>Joey Ledesma</t>
  </si>
  <si>
    <t>Looc Pangangan</t>
  </si>
  <si>
    <t>Nhilboy Gumapac</t>
  </si>
  <si>
    <t>Luciano Lacaba Sr.</t>
  </si>
  <si>
    <t>Evaresto Busalanan</t>
  </si>
  <si>
    <t>Elbert Gumamoy</t>
  </si>
  <si>
    <t>Jimmy Jumao-as</t>
  </si>
  <si>
    <t>Bryan Tomarong</t>
  </si>
  <si>
    <t>Elizardo Laquinte</t>
  </si>
  <si>
    <t>Junas Igot</t>
  </si>
  <si>
    <t>Nathaniel Adiong Jr.</t>
  </si>
  <si>
    <t>Rogelio Eyas</t>
  </si>
  <si>
    <t>Joseph Ortega</t>
  </si>
  <si>
    <t>Arnulfo Gumamoy</t>
  </si>
  <si>
    <t>Jun Dell Panio</t>
  </si>
  <si>
    <t>Antonio Saure</t>
  </si>
  <si>
    <t>Babag</t>
  </si>
  <si>
    <t xml:space="preserve">Lawis </t>
  </si>
  <si>
    <t>Arnold Almedilla</t>
  </si>
  <si>
    <t xml:space="preserve">Tomoc </t>
  </si>
  <si>
    <t>Aquileo Columnas</t>
  </si>
  <si>
    <t>Paul Gumamoy</t>
  </si>
  <si>
    <t>Joevinal Espejo</t>
  </si>
  <si>
    <t>Orlando Melloria</t>
  </si>
  <si>
    <t>Nilo Jumawid</t>
  </si>
  <si>
    <t>Ma. Liza Sena</t>
  </si>
  <si>
    <t>John Philip Curimatmat</t>
  </si>
  <si>
    <t>Paul James Olandria</t>
  </si>
  <si>
    <t>Christopher Melencion</t>
  </si>
  <si>
    <t>Lapacan Norte</t>
  </si>
  <si>
    <t>Bernabe Añana</t>
  </si>
  <si>
    <t>Armando Campion</t>
  </si>
  <si>
    <t>Bayongan</t>
  </si>
  <si>
    <t>Boy Rosaupan</t>
  </si>
  <si>
    <t>Cesario Suello</t>
  </si>
  <si>
    <t>JC Rey Inoc</t>
  </si>
  <si>
    <t>Alan abenita</t>
  </si>
  <si>
    <t>Rez James Bongato</t>
  </si>
  <si>
    <t>Hilario Dantes</t>
  </si>
  <si>
    <t>Gerry Loquellano</t>
  </si>
  <si>
    <t>Mayacabac</t>
  </si>
  <si>
    <t>Teodoro Derosahento</t>
  </si>
  <si>
    <t>Alfred Igcalinos</t>
  </si>
  <si>
    <t>Aramis Justol</t>
  </si>
  <si>
    <t>Jezreel Ibalig</t>
  </si>
  <si>
    <t>Victor Valentos</t>
  </si>
  <si>
    <t>Gilbert Man-on</t>
  </si>
  <si>
    <t>Ruben Bañoc</t>
  </si>
  <si>
    <t>Leonardo Infanzo</t>
  </si>
  <si>
    <t>Reger Nuez</t>
  </si>
  <si>
    <t>Kitch Oroyan</t>
  </si>
  <si>
    <t>John Bulilan</t>
  </si>
  <si>
    <t>Pooc Oriental</t>
  </si>
  <si>
    <t>Fredie Macalam</t>
  </si>
  <si>
    <t>Carap-agan</t>
  </si>
  <si>
    <t>Ananias Bautista</t>
  </si>
  <si>
    <t>Eulogio Rodriguez</t>
  </si>
  <si>
    <t>Cesario Buscano</t>
  </si>
  <si>
    <t>Joeser Campuso</t>
  </si>
  <si>
    <t>Ernesto Batolanon</t>
  </si>
  <si>
    <t>Alvin Dequit</t>
  </si>
  <si>
    <t>Pabling Salise</t>
  </si>
  <si>
    <t>Carlito Salise</t>
  </si>
  <si>
    <t>Francisco Centino</t>
  </si>
  <si>
    <t>Jayme Torrejano</t>
  </si>
  <si>
    <t>Paul Rey Somosot</t>
  </si>
  <si>
    <t>Marlon Tagsa</t>
  </si>
  <si>
    <t>Cambailan</t>
  </si>
  <si>
    <t>JULY 1-6, 2020</t>
  </si>
  <si>
    <t>Renerio Gempesao</t>
  </si>
  <si>
    <t>Lea Infanso</t>
  </si>
  <si>
    <t>Gilbert Casaverde</t>
  </si>
  <si>
    <t>Jhonrey Suaybaguio</t>
  </si>
  <si>
    <t>Marvin Morales</t>
  </si>
  <si>
    <t>Loreto</t>
  </si>
  <si>
    <t>Nelson Oracion</t>
  </si>
  <si>
    <t>Haguilanan</t>
  </si>
  <si>
    <t>Juanito Cruspero</t>
  </si>
  <si>
    <t>Dario Sombrio</t>
  </si>
  <si>
    <t>Dario Degamo</t>
  </si>
  <si>
    <t>Femy Sebusa</t>
  </si>
  <si>
    <t>Aresenia Racho</t>
  </si>
  <si>
    <t>Necitas Valentos</t>
  </si>
  <si>
    <t>Germelyn Valentos</t>
  </si>
  <si>
    <t>Noel Cano</t>
  </si>
  <si>
    <t>Jenrey Iyana</t>
  </si>
  <si>
    <t>Caimbug</t>
  </si>
  <si>
    <t>Sherly Lerion</t>
  </si>
  <si>
    <t>Matias Vertudazo</t>
  </si>
  <si>
    <t>Noriel James Hernaez</t>
  </si>
  <si>
    <t>Tito Ajoc</t>
  </si>
  <si>
    <t>Leonil Bucia</t>
  </si>
  <si>
    <t>Licinio Dapar</t>
  </si>
  <si>
    <t>Eleuterio Rizon</t>
  </si>
  <si>
    <t>Mark Joseph Egcol</t>
  </si>
  <si>
    <t>Eduardo Matunhay</t>
  </si>
  <si>
    <t>Pascual Torregosa</t>
  </si>
  <si>
    <t>Niño Tabuno</t>
  </si>
  <si>
    <t>Winston Cempron</t>
  </si>
  <si>
    <t>Jeson Cañete</t>
  </si>
  <si>
    <t>Richard Pepito</t>
  </si>
  <si>
    <t>Rhio Suarez</t>
  </si>
  <si>
    <t>Farah Guitgano</t>
  </si>
  <si>
    <t>Roy Corbita</t>
  </si>
  <si>
    <t>Vicente Tahanlangit</t>
  </si>
  <si>
    <t>Juniel Laborte</t>
  </si>
  <si>
    <t>Bogsok</t>
  </si>
  <si>
    <t>Samuel Acaso</t>
  </si>
  <si>
    <t>Lucob</t>
  </si>
  <si>
    <t>Regino Remoroza</t>
  </si>
  <si>
    <t>Emeliie Sombrio</t>
  </si>
  <si>
    <t>Sta Fe</t>
  </si>
  <si>
    <t>Nicolas Bongato</t>
  </si>
  <si>
    <t>Rube Tangkilan</t>
  </si>
  <si>
    <t>Rogelio Batistis</t>
  </si>
  <si>
    <t xml:space="preserve">Buenos </t>
  </si>
  <si>
    <t>Aires</t>
  </si>
  <si>
    <t>Rejie Egagamao</t>
  </si>
  <si>
    <t>Canlambong</t>
  </si>
  <si>
    <t>Diosdado Salces</t>
  </si>
  <si>
    <t>Candigdas</t>
  </si>
  <si>
    <t>Leonardo Malig-on</t>
  </si>
  <si>
    <t>Rolando Guadicos</t>
  </si>
  <si>
    <t>Pat Bag-ao</t>
  </si>
  <si>
    <t>BFAR Strain</t>
  </si>
  <si>
    <t>Alexander Amihan</t>
  </si>
  <si>
    <t>Karen Day</t>
  </si>
  <si>
    <t>Florencia Infantado</t>
  </si>
  <si>
    <t>Sinky Soson</t>
  </si>
  <si>
    <t>Panfilo Nuñez</t>
  </si>
  <si>
    <t>Pangahagban</t>
  </si>
  <si>
    <t>Epifacio Canino Jr.</t>
  </si>
  <si>
    <t>Jessie Cepedoza</t>
  </si>
  <si>
    <t>Jhon Michael Banilad</t>
  </si>
  <si>
    <t>Bernie Sabaricos</t>
  </si>
  <si>
    <t>Ruel Gallo</t>
  </si>
  <si>
    <t>Ruben Balugo</t>
  </si>
  <si>
    <t>Adrian Oñes</t>
  </si>
  <si>
    <t>Raymond Lastimoso</t>
  </si>
  <si>
    <t>Candihay</t>
  </si>
  <si>
    <t>Gerson Divinagracia</t>
  </si>
  <si>
    <t>Basilio Estorgio</t>
  </si>
  <si>
    <t>Elizabeth Betalmos</t>
  </si>
  <si>
    <t>Hermogenes Pacional</t>
  </si>
  <si>
    <t>Johnray Israel</t>
  </si>
  <si>
    <t>Mario Simbajon</t>
  </si>
  <si>
    <t>Elena Israel</t>
  </si>
  <si>
    <t>Mary Jane Maisa</t>
  </si>
  <si>
    <t>Jay Villamia</t>
  </si>
  <si>
    <t xml:space="preserve">Danahaw </t>
  </si>
  <si>
    <t>Cirilo Manatad Jr.</t>
  </si>
  <si>
    <t>Jevin Guhil</t>
  </si>
  <si>
    <t>Cantoyoc</t>
  </si>
  <si>
    <t>Timoteo Catad</t>
  </si>
  <si>
    <t>Abundio Putane</t>
  </si>
  <si>
    <t>carmen</t>
  </si>
  <si>
    <t>Edna Jumawit</t>
  </si>
  <si>
    <t>Marylen Anib</t>
  </si>
  <si>
    <t>Ronel Lozada</t>
  </si>
  <si>
    <t xml:space="preserve">San Miguel </t>
  </si>
  <si>
    <t>Ricky Quilit</t>
  </si>
  <si>
    <t>Aquilina Hapay</t>
  </si>
  <si>
    <t>Julius Jay Balaba</t>
  </si>
  <si>
    <t>Mangga District</t>
  </si>
  <si>
    <t>Romulo Cayacay</t>
  </si>
  <si>
    <t>Rosalina Bayron</t>
  </si>
  <si>
    <t>Evangeline Ardiente</t>
  </si>
  <si>
    <t>Tata Carnice</t>
  </si>
  <si>
    <t>Maitum</t>
  </si>
  <si>
    <t>July 7-13, 2020</t>
  </si>
  <si>
    <t>Rex Tayabas</t>
  </si>
  <si>
    <t>Ronaldo Rolida</t>
  </si>
  <si>
    <t>Zennia Geolagon</t>
  </si>
  <si>
    <t>Aireen Agura</t>
  </si>
  <si>
    <t>Romulo Bolotabo</t>
  </si>
  <si>
    <t>Agustino Bautista</t>
  </si>
  <si>
    <t>Jesus Responso</t>
  </si>
  <si>
    <t>Joel Algodon</t>
  </si>
  <si>
    <t>Felix Degamo</t>
  </si>
  <si>
    <t>Kimberly Pialan</t>
  </si>
  <si>
    <t>Chresolyn Mae Sedano</t>
  </si>
  <si>
    <t>Junrie Ceniza</t>
  </si>
  <si>
    <t>Erwin Astronomo</t>
  </si>
  <si>
    <t>Marcelo Quijoy</t>
  </si>
  <si>
    <t>Epe Lamoste</t>
  </si>
  <si>
    <t>Mantalongon</t>
  </si>
  <si>
    <t>John Rey Quitoriano</t>
  </si>
  <si>
    <t>Nemesio Doria</t>
  </si>
  <si>
    <t>Roy Buay</t>
  </si>
  <si>
    <t>Nelson Baldapan</t>
  </si>
  <si>
    <t>Philbert Neneria</t>
  </si>
  <si>
    <t>Baogo</t>
  </si>
  <si>
    <t>Jemark Paul Ragodo</t>
  </si>
  <si>
    <t>Rufino Sambayon</t>
  </si>
  <si>
    <t>Recarte Mansa</t>
  </si>
  <si>
    <t>Ruel Moran</t>
  </si>
  <si>
    <t>Calunasan</t>
  </si>
  <si>
    <t>July 14-15, 2020</t>
  </si>
  <si>
    <t>Janrey Ragas</t>
  </si>
  <si>
    <t>U-og</t>
  </si>
  <si>
    <t>Julieta Sablas</t>
  </si>
  <si>
    <t>Ronel Bagsaling</t>
  </si>
  <si>
    <t>Tomas Torrenueva</t>
  </si>
  <si>
    <t>Jose Torrenueva</t>
  </si>
  <si>
    <t>Alfie Pabonita</t>
  </si>
  <si>
    <t>Calangahan</t>
  </si>
  <si>
    <t>Jervy Estaño</t>
  </si>
  <si>
    <t>Bingag</t>
  </si>
  <si>
    <t>Jhonlie Monte</t>
  </si>
  <si>
    <t>Merial Mae Tinaja</t>
  </si>
  <si>
    <t>Rolan Ancero</t>
  </si>
  <si>
    <t>Precioso Lagapa Jr.</t>
  </si>
  <si>
    <t>Alfonso Cordova</t>
  </si>
  <si>
    <t>Celio Biwis</t>
  </si>
  <si>
    <t>Kanulinugit</t>
  </si>
  <si>
    <t>Antidio Chatto</t>
  </si>
  <si>
    <t>Florito Espanzo</t>
  </si>
  <si>
    <t>Edcel Petecio</t>
  </si>
  <si>
    <t>Inelito Mar</t>
  </si>
  <si>
    <t>Harvey John Culanag</t>
  </si>
  <si>
    <t>Delia Castillo</t>
  </si>
  <si>
    <t>Mansasa</t>
  </si>
  <si>
    <t>Nestor Amores</t>
  </si>
  <si>
    <t xml:space="preserve">Canmano </t>
  </si>
  <si>
    <t>Franklin Bongato</t>
  </si>
  <si>
    <t>Manuel Garcia</t>
  </si>
  <si>
    <t>Nueva Esperanza</t>
  </si>
  <si>
    <t>Bien Unido</t>
  </si>
  <si>
    <t>Sally Dela Cerna</t>
  </si>
  <si>
    <t>Lucia Cemine</t>
  </si>
  <si>
    <t>Eufemio Tupas</t>
  </si>
  <si>
    <t>Deolita Cabagnot</t>
  </si>
  <si>
    <t>Nelson Pelayo</t>
  </si>
  <si>
    <t>Domingo Jamil</t>
  </si>
  <si>
    <t>Francisco Gumamoy</t>
  </si>
  <si>
    <t>Loreto Albialde</t>
  </si>
  <si>
    <t>Jovencio Cempron Jr.</t>
  </si>
  <si>
    <t>Merryland</t>
  </si>
  <si>
    <t>Jun Fernandez</t>
  </si>
  <si>
    <t>Leonardo Amores</t>
  </si>
  <si>
    <t>Ambrocio Dasoc</t>
  </si>
  <si>
    <t>Bood</t>
  </si>
  <si>
    <t>Jose Bongator</t>
  </si>
  <si>
    <t>Dennis Lague</t>
  </si>
  <si>
    <t>Rita Meradores</t>
  </si>
  <si>
    <t>Angelito Generalao</t>
  </si>
  <si>
    <t>July 16-17, 2020</t>
  </si>
  <si>
    <t>Kevin Abellaneda</t>
  </si>
  <si>
    <t>Meliton Pe</t>
  </si>
  <si>
    <t>Jon Benedict Mellejor</t>
  </si>
  <si>
    <t>Maricel Mira</t>
  </si>
  <si>
    <t>Cesar Tadle</t>
  </si>
  <si>
    <t>Boctol</t>
  </si>
  <si>
    <t>Novo Vaño</t>
  </si>
  <si>
    <t>Eddie Nocolan</t>
  </si>
  <si>
    <t>Alfredo Gamalo</t>
  </si>
  <si>
    <t>July 18-28, 2020</t>
  </si>
  <si>
    <t>Ronald Aparece</t>
  </si>
  <si>
    <t>Fernando Galendez</t>
  </si>
  <si>
    <t>Charlie Bautista</t>
  </si>
  <si>
    <t>Maribeth Arcayos</t>
  </si>
  <si>
    <t>Patrick james Velez</t>
  </si>
  <si>
    <t>Lemuel Geroy</t>
  </si>
  <si>
    <t>Peregrina Aumentado</t>
  </si>
  <si>
    <t>Cogon District</t>
  </si>
  <si>
    <t>Corazon Ohina</t>
  </si>
  <si>
    <t>Olivia Ruiz</t>
  </si>
  <si>
    <t>Necifora Ramos</t>
  </si>
  <si>
    <t>Ma. Ana Rebusora</t>
  </si>
  <si>
    <t>Abucayan Norte</t>
  </si>
  <si>
    <t xml:space="preserve">                   August 2020</t>
  </si>
  <si>
    <t>Modesto Coquilla</t>
  </si>
  <si>
    <t>Ricardo Balag</t>
  </si>
  <si>
    <t>Zoren Jay Puertos</t>
  </si>
  <si>
    <t>Michelle Grace Lanoy</t>
  </si>
  <si>
    <t>Camila Puertos</t>
  </si>
  <si>
    <t>Lucila Timbal</t>
  </si>
  <si>
    <t>Ronal Melicor</t>
  </si>
  <si>
    <t>Bonifacio Baro</t>
  </si>
  <si>
    <t>Ambrosio Lomay</t>
  </si>
  <si>
    <t>Prose Sucgang</t>
  </si>
  <si>
    <t>Aric Leorna</t>
  </si>
  <si>
    <t>Gleceria Gaudicos</t>
  </si>
  <si>
    <t>Paolo Cajote</t>
  </si>
  <si>
    <t>Nestor Lingatong</t>
  </si>
  <si>
    <t>Arvin Tampos</t>
  </si>
  <si>
    <t>Yurie Manayaga</t>
  </si>
  <si>
    <t>Beviano Basio</t>
  </si>
  <si>
    <t>Efronio Sepe</t>
  </si>
  <si>
    <t>Marcial Galler</t>
  </si>
  <si>
    <t>Juvy Cantaros</t>
  </si>
  <si>
    <t>Sta Cruz</t>
  </si>
  <si>
    <t>John Mervin Cosmo</t>
  </si>
  <si>
    <t>Johnrey Bermido</t>
  </si>
  <si>
    <t>Lenny Caldoza</t>
  </si>
  <si>
    <t>Teodoro Lagrosa Jr.</t>
  </si>
  <si>
    <t>Allen Aparici</t>
  </si>
  <si>
    <t>Som</t>
  </si>
  <si>
    <t>Carmelita Lague</t>
  </si>
  <si>
    <t>Adriano Maghamil</t>
  </si>
  <si>
    <t>Oliver Saure</t>
  </si>
  <si>
    <t>Reynaldo Marson</t>
  </si>
  <si>
    <t>Kabasakan</t>
  </si>
  <si>
    <t>Rosalina Dagamac</t>
  </si>
  <si>
    <t>Leandre Artiaga</t>
  </si>
  <si>
    <t>San Francisco</t>
  </si>
  <si>
    <t>Lito Luminarias</t>
  </si>
  <si>
    <t>Arne Carpenteros</t>
  </si>
  <si>
    <t>Tubodaco</t>
  </si>
  <si>
    <t>Salem Colina</t>
  </si>
  <si>
    <t xml:space="preserve">Bolod </t>
  </si>
  <si>
    <t>Elmer Lomocso</t>
  </si>
  <si>
    <t>batuan</t>
  </si>
  <si>
    <t>Manuel Cardinas</t>
  </si>
  <si>
    <t>Ronald Susada</t>
  </si>
  <si>
    <t>Fredelito Pellotes</t>
  </si>
  <si>
    <t>James Besinga</t>
  </si>
  <si>
    <t>Feljune Poquita</t>
  </si>
  <si>
    <t>John Kim Bautista</t>
  </si>
  <si>
    <t>Allan Maghanoy</t>
  </si>
  <si>
    <t>katipunan</t>
  </si>
  <si>
    <t>James Requillo</t>
  </si>
  <si>
    <t>Pablo Baay</t>
  </si>
  <si>
    <t>Jovy Belila</t>
  </si>
  <si>
    <t>Richard dela Peña</t>
  </si>
  <si>
    <t>Nelson Cerio</t>
  </si>
  <si>
    <t>Guinubatan</t>
  </si>
  <si>
    <t>Juanito Balili</t>
  </si>
  <si>
    <t>Michael Birap</t>
  </si>
  <si>
    <t>Jordan Cervantes</t>
  </si>
  <si>
    <t>Panaytayon</t>
  </si>
  <si>
    <t>Ronilo Canda</t>
  </si>
  <si>
    <t>Noel Pagaran</t>
  </si>
  <si>
    <t>Magdalino Betaizar</t>
  </si>
  <si>
    <t xml:space="preserve">Can-oling </t>
  </si>
  <si>
    <t>Wendel Boligor</t>
  </si>
  <si>
    <t>Emma Tutor</t>
  </si>
  <si>
    <t>candijay</t>
  </si>
  <si>
    <t>Dominador Ehntraelgo</t>
  </si>
  <si>
    <t>Pablito Orestila</t>
  </si>
  <si>
    <t>Melovin Salfucial</t>
  </si>
  <si>
    <t>Domingo Limpot</t>
  </si>
  <si>
    <t>Alvin Malanog</t>
  </si>
  <si>
    <t>Canaugkaan</t>
  </si>
  <si>
    <t>Enrico Bangkil</t>
  </si>
  <si>
    <t>Alpaul Artiaga</t>
  </si>
  <si>
    <t>Isidro Jumao-as</t>
  </si>
  <si>
    <t>Boy Vistal</t>
  </si>
  <si>
    <t>Daganwan</t>
  </si>
  <si>
    <t>Susan Macawala</t>
  </si>
  <si>
    <t>Christian Labor</t>
  </si>
  <si>
    <t>Ronald Alipoyo</t>
  </si>
  <si>
    <t>Farrah Gitgano</t>
  </si>
  <si>
    <t>Nueva Vbida</t>
  </si>
  <si>
    <t>Ghasen Dalapo</t>
  </si>
  <si>
    <t>Tamsion</t>
  </si>
  <si>
    <t>Evelyn Magallen</t>
  </si>
  <si>
    <t>Orlando Ceballos</t>
  </si>
  <si>
    <t>Camanaga</t>
  </si>
  <si>
    <t>Julius Limbago</t>
  </si>
  <si>
    <t>Jayson Limbago</t>
  </si>
  <si>
    <t>Jonas Estorgio</t>
  </si>
  <si>
    <t>`1</t>
  </si>
  <si>
    <t>Bacani</t>
  </si>
  <si>
    <t>Kimjono Lumagod</t>
  </si>
  <si>
    <t>Marciano Casusula</t>
  </si>
  <si>
    <t>Jelmer Casusula</t>
  </si>
  <si>
    <t>Delma Dumapias</t>
  </si>
  <si>
    <t>Marilou Lofranco</t>
  </si>
  <si>
    <t>Ruel Lofranco</t>
  </si>
  <si>
    <t>Alberto Estillore</t>
  </si>
  <si>
    <t>Longino Daguinod</t>
  </si>
  <si>
    <t>Bartolome Coyacot</t>
  </si>
  <si>
    <t>Alfredo Vistal</t>
  </si>
  <si>
    <t>Arnold Jumawid</t>
  </si>
  <si>
    <t>Felix Celestra</t>
  </si>
  <si>
    <t>Moises Sarong</t>
  </si>
  <si>
    <t>Bugang Norte</t>
  </si>
  <si>
    <t>Modesto Ombajen</t>
  </si>
  <si>
    <t>Marianita Saavedra</t>
  </si>
  <si>
    <t>Del Carmen Sur</t>
  </si>
  <si>
    <t>Joel Diccion</t>
  </si>
  <si>
    <t>Roseller John Ocsin</t>
  </si>
  <si>
    <t>Rey Saldy Marimon</t>
  </si>
  <si>
    <t>Mayeth Tagsa</t>
  </si>
  <si>
    <t>Dodong Garsosa</t>
  </si>
  <si>
    <t>Carlos Fajardo</t>
  </si>
  <si>
    <t>Teresita Mara</t>
  </si>
  <si>
    <t>Serelle Reyes</t>
  </si>
  <si>
    <t>Oscar Bencito</t>
  </si>
  <si>
    <t>Arnel Betasolo</t>
  </si>
  <si>
    <t>Jerry Josol</t>
  </si>
  <si>
    <t>Candumayaw</t>
  </si>
  <si>
    <t>Edwin Betasolo</t>
  </si>
  <si>
    <t>August 4-9, 2020</t>
  </si>
  <si>
    <t>Grunt Padilla</t>
  </si>
  <si>
    <t>John Gandulfos</t>
  </si>
  <si>
    <t>Andre Dondon Lomod</t>
  </si>
  <si>
    <t>Paulino Edu</t>
  </si>
  <si>
    <t>Julito Mejorada</t>
  </si>
  <si>
    <t>Arcangel Piapes</t>
  </si>
  <si>
    <t>Dipatlong</t>
  </si>
  <si>
    <t>Josefina Cabel</t>
  </si>
  <si>
    <t>Anilmark Antequisa</t>
  </si>
  <si>
    <t>Pinayagan Norte</t>
  </si>
  <si>
    <t>Archie Japos</t>
  </si>
  <si>
    <t>Melody Ligan</t>
  </si>
  <si>
    <t>Felixis Solijon</t>
  </si>
  <si>
    <t>New Lourdes</t>
  </si>
  <si>
    <t>Arnel Diaz</t>
  </si>
  <si>
    <t>Edgardo Monteberde</t>
  </si>
  <si>
    <t>Losiano Generalao</t>
  </si>
  <si>
    <t>Mark Louiz Hagonos</t>
  </si>
  <si>
    <t>Nida Rizal</t>
  </si>
  <si>
    <t>Johnry Rodriguez</t>
  </si>
  <si>
    <t>Dexter Petalco</t>
  </si>
  <si>
    <t>Rolando Muñez</t>
  </si>
  <si>
    <t>Heldrich Mae Biadnes</t>
  </si>
  <si>
    <t>Marcos Persigas</t>
  </si>
  <si>
    <t>Leonardo Gupita</t>
  </si>
  <si>
    <t>Ricardo Majomot</t>
  </si>
  <si>
    <t>Cagawitan</t>
  </si>
  <si>
    <t>Henry Coquilla</t>
  </si>
  <si>
    <t>Edcel Cajelo</t>
  </si>
  <si>
    <t>Randolf Lade</t>
  </si>
  <si>
    <t>Venerando Divino</t>
  </si>
  <si>
    <t>Ramon Café</t>
  </si>
  <si>
    <t>Diogracio Café</t>
  </si>
  <si>
    <t>Agerio Café</t>
  </si>
  <si>
    <t>Rodel Buaya</t>
  </si>
  <si>
    <t>Manuel Juanich</t>
  </si>
  <si>
    <t>Christopher Genabre</t>
  </si>
  <si>
    <t>Joseph Tambacan</t>
  </si>
  <si>
    <t>Pedrito Buñao</t>
  </si>
  <si>
    <t>Arnel Quimpang</t>
  </si>
  <si>
    <t>Cleofe Quimpang</t>
  </si>
  <si>
    <t>Ernesto Torotot</t>
  </si>
  <si>
    <t>Cristy Melloria</t>
  </si>
  <si>
    <t>Jerry Gimpisao</t>
  </si>
  <si>
    <t>Leo Andoy</t>
  </si>
  <si>
    <t>swordtail</t>
  </si>
  <si>
    <t>Maria Mari</t>
  </si>
  <si>
    <t>Teodoro Esclamado</t>
  </si>
  <si>
    <t>Lendel Duallo</t>
  </si>
  <si>
    <t>Alfredo Buslon</t>
  </si>
  <si>
    <t>Norberto Mellomida</t>
  </si>
  <si>
    <t>Fernando Botoy</t>
  </si>
  <si>
    <t>Ledie Lanoy</t>
  </si>
  <si>
    <t>Tomoc</t>
  </si>
  <si>
    <t>Marcian Almedilla</t>
  </si>
  <si>
    <t>Monico Suello</t>
  </si>
  <si>
    <t>Ritchel Manatad</t>
  </si>
  <si>
    <t>Eurile Suello</t>
  </si>
  <si>
    <t>Overland</t>
  </si>
  <si>
    <t>Nel Ricafort</t>
  </si>
  <si>
    <t>Cecelio Legetimas</t>
  </si>
  <si>
    <t>Gabriela Añoza</t>
  </si>
  <si>
    <t>Floriano Boncales jr.</t>
  </si>
  <si>
    <t>Felipa Bantilan</t>
  </si>
  <si>
    <t>Gaudencia Cainghog</t>
  </si>
  <si>
    <t>Avelino Bacayo</t>
  </si>
  <si>
    <t>Philipi Cadenas</t>
  </si>
  <si>
    <t>Rodrigo Dalion</t>
  </si>
  <si>
    <t>Alfredo Gumapac</t>
  </si>
  <si>
    <t>Romeo Balansag</t>
  </si>
  <si>
    <t>August 11-12, 2020</t>
  </si>
  <si>
    <t>Manolito Torrejano</t>
  </si>
  <si>
    <t>Leo Cano</t>
  </si>
  <si>
    <t>Ricardo de Leon Jr.</t>
  </si>
  <si>
    <t>Ronald Cano</t>
  </si>
  <si>
    <t>Virgilio Sarsale</t>
  </si>
  <si>
    <t>Talincera</t>
  </si>
  <si>
    <t>Florentino Andoy</t>
  </si>
  <si>
    <t>Miano Andres Salem</t>
  </si>
  <si>
    <t>Tuntonan</t>
  </si>
  <si>
    <t>Losong</t>
  </si>
  <si>
    <t>An-An Torrefiel</t>
  </si>
  <si>
    <t>Elleser Maputol Jr.</t>
  </si>
  <si>
    <t>Andy Vidal</t>
  </si>
  <si>
    <t>Benjie Alima</t>
  </si>
  <si>
    <t>San Vicente Norte</t>
  </si>
  <si>
    <t>Vania Orapa</t>
  </si>
  <si>
    <t>Ma. Gemma Anasco</t>
  </si>
  <si>
    <t>Wilson Biloy</t>
  </si>
  <si>
    <t>Oy</t>
  </si>
  <si>
    <t>Agapito Garcera</t>
  </si>
  <si>
    <t>Alvin Enoc</t>
  </si>
  <si>
    <t>Raul Vitor</t>
  </si>
  <si>
    <t>Bernardo Concha</t>
  </si>
  <si>
    <t>Talenceras</t>
  </si>
  <si>
    <t>Dennis Dumanayos</t>
  </si>
  <si>
    <t xml:space="preserve">San Jose </t>
  </si>
  <si>
    <t xml:space="preserve">Bugang </t>
  </si>
  <si>
    <t>Arnel Murro</t>
  </si>
  <si>
    <t>Francisco Vistal</t>
  </si>
  <si>
    <t>Rodrigo Estoria</t>
  </si>
  <si>
    <t xml:space="preserve">Datog </t>
  </si>
  <si>
    <t>Edelberto Bermones</t>
  </si>
  <si>
    <t>Virgilio Buslon</t>
  </si>
  <si>
    <t>Patrick Lacea</t>
  </si>
  <si>
    <t>Gloria Sanchez</t>
  </si>
  <si>
    <t>Edwin Sanchez</t>
  </si>
  <si>
    <t>Rodrigo Batausa</t>
  </si>
  <si>
    <t>Jam Alphie Lagrimas</t>
  </si>
  <si>
    <t>Carledino Ligutan</t>
  </si>
  <si>
    <t>Ranulfo Tiongco</t>
  </si>
  <si>
    <t>San Juan</t>
  </si>
  <si>
    <t>Roselyn Gempesao</t>
  </si>
  <si>
    <t>Lahug</t>
  </si>
  <si>
    <t>Feliciano Segera</t>
  </si>
  <si>
    <t>Restituto Salise</t>
  </si>
  <si>
    <t>Eladio Salise</t>
  </si>
  <si>
    <t>Casiano Salise</t>
  </si>
  <si>
    <t>Genaro Divinagracia</t>
  </si>
  <si>
    <t>Rolando Nuez</t>
  </si>
  <si>
    <t>Hagboyo</t>
  </si>
  <si>
    <t>Cresencio Auza</t>
  </si>
  <si>
    <t>Alfredo Sanchez</t>
  </si>
  <si>
    <t>Leonisa Javate</t>
  </si>
  <si>
    <t>Agustin Bautista</t>
  </si>
  <si>
    <t>Raymond Abonite</t>
  </si>
  <si>
    <t>Warren Bahala</t>
  </si>
  <si>
    <t>Rey Mark Balbaguio</t>
  </si>
  <si>
    <t>Celerino Coquilla</t>
  </si>
  <si>
    <t>Nemesio Tutor</t>
  </si>
  <si>
    <t>Orencio Aparece</t>
  </si>
  <si>
    <t>Agustin Garcia</t>
  </si>
  <si>
    <t>Rodrigo Jumamoy</t>
  </si>
  <si>
    <t>Volter Gonzales</t>
  </si>
  <si>
    <t>Juniser Rosas</t>
  </si>
  <si>
    <t>August 12-15, 2020</t>
  </si>
  <si>
    <t>Blackmolly</t>
  </si>
  <si>
    <t>Melvin Alcantara</t>
  </si>
  <si>
    <t>Adriano Auzano</t>
  </si>
  <si>
    <t>Sua</t>
  </si>
  <si>
    <t>Julius Marino</t>
  </si>
  <si>
    <t>Leo Aparecio</t>
  </si>
  <si>
    <t>John Daryl Biloy</t>
  </si>
  <si>
    <t>CPG St.</t>
  </si>
  <si>
    <t>Frina Mulhall</t>
  </si>
  <si>
    <t>Clyde Merkado</t>
  </si>
  <si>
    <t>Magtongtong</t>
  </si>
  <si>
    <t>Jean Mansueto</t>
  </si>
  <si>
    <t>Hanna Potane</t>
  </si>
  <si>
    <t>Nenita Corpuz</t>
  </si>
  <si>
    <t>Tony Abogho</t>
  </si>
  <si>
    <t>Roel Lofranco</t>
  </si>
  <si>
    <t>Avelino Buntod</t>
  </si>
  <si>
    <t>Jovani Panotsol</t>
  </si>
  <si>
    <t>Renante Remorosa</t>
  </si>
  <si>
    <t>Edwin Oyao</t>
  </si>
  <si>
    <t>Noel Tajale</t>
  </si>
  <si>
    <t>Jason Ybañez</t>
  </si>
  <si>
    <t>Fernando Aparece</t>
  </si>
  <si>
    <t>Benerando Divino</t>
  </si>
  <si>
    <t>Gil Vincent Pocot</t>
  </si>
  <si>
    <t>Vitaliano Macawala</t>
  </si>
  <si>
    <t>Janjie Navarro</t>
  </si>
  <si>
    <t>Mary Vic Torrejano</t>
  </si>
  <si>
    <t>Zyra Malaran</t>
  </si>
  <si>
    <t>Emmanuel Dialo</t>
  </si>
  <si>
    <t>Nerie Asucan</t>
  </si>
  <si>
    <t>Jake Vinson Omani</t>
  </si>
  <si>
    <t>Pob. Centro</t>
  </si>
  <si>
    <t>Jeffre Prieto</t>
  </si>
  <si>
    <t>Triple</t>
  </si>
  <si>
    <t>Edgar Alimpolos</t>
  </si>
  <si>
    <t>August 16-17, 2020</t>
  </si>
  <si>
    <t>Ceferino Tagsip</t>
  </si>
  <si>
    <t xml:space="preserve">Banahaw </t>
  </si>
  <si>
    <t>Ariel Corda</t>
  </si>
  <si>
    <t>Ronald Iyana</t>
  </si>
  <si>
    <t>Anatallo Magallon</t>
  </si>
  <si>
    <t>Jason Ganjon</t>
  </si>
  <si>
    <t>Ginub-an</t>
  </si>
  <si>
    <t>Algie Rulona</t>
  </si>
  <si>
    <t>Juven Maglinao</t>
  </si>
  <si>
    <t>Arnulfo Igcalinos</t>
  </si>
  <si>
    <t>Christian Cubos</t>
  </si>
  <si>
    <t>Hanopol Este</t>
  </si>
  <si>
    <t>Mark Raffy Sendrijas</t>
  </si>
  <si>
    <t>Sam Jose</t>
  </si>
  <si>
    <t>Wawie Sunbert Juson</t>
  </si>
  <si>
    <t>Philip Villanueva</t>
  </si>
  <si>
    <t>Robert Odtuhan</t>
  </si>
  <si>
    <t>Laurence Glean Apacible</t>
  </si>
  <si>
    <t>Ma. Cecelia Moreno</t>
  </si>
  <si>
    <t>Generoso Gumawid</t>
  </si>
  <si>
    <t>Gregorio Llegonas</t>
  </si>
  <si>
    <t>Nicanor Blanco</t>
  </si>
  <si>
    <t>Adela Dellosa</t>
  </si>
  <si>
    <t>Jessa Anunciado</t>
  </si>
  <si>
    <t>Erica Javate</t>
  </si>
  <si>
    <t>Arnel Abanuel</t>
  </si>
  <si>
    <t>Eusebio Mejorada</t>
  </si>
  <si>
    <t>Dioscoro Orehuela</t>
  </si>
  <si>
    <t>Lyndon Bongato</t>
  </si>
  <si>
    <t>Sanny Boy Añasco</t>
  </si>
  <si>
    <t>Dait Sur</t>
  </si>
  <si>
    <t>Allan Lucero</t>
  </si>
  <si>
    <t>Lioncio Sequenia</t>
  </si>
  <si>
    <t>Antonio Siesmondo</t>
  </si>
  <si>
    <t>Jonathan Tabaranza</t>
  </si>
  <si>
    <t>Harold Lumictin</t>
  </si>
  <si>
    <t>Ignacio Villaces</t>
  </si>
  <si>
    <t>Diosdado Casing</t>
  </si>
  <si>
    <t>Rachel Basoling</t>
  </si>
  <si>
    <t>Julio Bautista</t>
  </si>
  <si>
    <t>Clangahan</t>
  </si>
  <si>
    <t>Eldrin Suaybaguio</t>
  </si>
  <si>
    <t>Nueva Vida Este</t>
  </si>
  <si>
    <t>Ricardo Bonajos</t>
  </si>
  <si>
    <t>Marvin Añana</t>
  </si>
  <si>
    <t>Rolando Molina</t>
  </si>
  <si>
    <t>Jonnel Laborte</t>
  </si>
  <si>
    <t>Jessel Oroyan</t>
  </si>
  <si>
    <t>Alberto Manuales</t>
  </si>
  <si>
    <t>Kan-iras</t>
  </si>
  <si>
    <t>Dominador Artiaga</t>
  </si>
  <si>
    <t>Gabi</t>
  </si>
  <si>
    <t>August 18-19</t>
  </si>
  <si>
    <t>Zenon Lenteria</t>
  </si>
  <si>
    <t>Serapin Tampon</t>
  </si>
  <si>
    <t>Casiano Castro Jr.</t>
  </si>
  <si>
    <t>Bacong</t>
  </si>
  <si>
    <t>Anda</t>
  </si>
  <si>
    <t>Junior Cabangbang</t>
  </si>
  <si>
    <t>Dennis Amoncio</t>
  </si>
  <si>
    <t>Rosaleo Anagon</t>
  </si>
  <si>
    <t>Warren Auxterio</t>
  </si>
  <si>
    <t>Arnel Birad</t>
  </si>
  <si>
    <t>Jenifer Agad</t>
  </si>
  <si>
    <t>Nelson Elipian</t>
  </si>
  <si>
    <t>Juan Marabilis</t>
  </si>
  <si>
    <t>Doydoy Nalupa</t>
  </si>
  <si>
    <t>Punong</t>
  </si>
  <si>
    <t>Albur</t>
  </si>
  <si>
    <t>Jovincent Suarez</t>
  </si>
  <si>
    <t>Lenoy</t>
  </si>
  <si>
    <t>Johnryl Baba</t>
  </si>
  <si>
    <t>Mark Anthony Cabulao</t>
  </si>
  <si>
    <t>Virgilio Canoy</t>
  </si>
  <si>
    <t>Fred Niño</t>
  </si>
  <si>
    <t>Rosita Anzano</t>
  </si>
  <si>
    <t>Nerio Dolotina</t>
  </si>
  <si>
    <t>Crisenciano Quijano Jr.</t>
  </si>
  <si>
    <t>Mary Jane Utom</t>
  </si>
  <si>
    <t>Dinah Quiño</t>
  </si>
  <si>
    <t>Casiano Mar</t>
  </si>
  <si>
    <t>Numeriano Carias Jr.</t>
  </si>
  <si>
    <t>Gidion Cabanez</t>
  </si>
  <si>
    <t>Anito Ybañez</t>
  </si>
  <si>
    <t>Juliet Saramillas</t>
  </si>
  <si>
    <t>Walter Nuñez</t>
  </si>
  <si>
    <t>August 21-23</t>
  </si>
  <si>
    <t>Esmeraldo Cano</t>
  </si>
  <si>
    <t>Jerem Naraga</t>
  </si>
  <si>
    <t>Cambansag</t>
  </si>
  <si>
    <t>Bernabe Alampayan</t>
  </si>
  <si>
    <t>Romulo Estellore</t>
  </si>
  <si>
    <t>Christian Satore</t>
  </si>
  <si>
    <t>Diosdado Mangmang</t>
  </si>
  <si>
    <t>Frank Compasion</t>
  </si>
  <si>
    <t>Sagabayan</t>
  </si>
  <si>
    <t>Anastacio Ewican</t>
  </si>
  <si>
    <t>Nicolas Inferido</t>
  </si>
  <si>
    <t>Nickerson Sumalinog</t>
  </si>
  <si>
    <t>Hazel Alcordo</t>
  </si>
  <si>
    <t>Danilo Lugod</t>
  </si>
  <si>
    <t>Earlado Calimpusan</t>
  </si>
  <si>
    <t>Michael Mindaña</t>
  </si>
  <si>
    <t>Primo Brignas</t>
  </si>
  <si>
    <t>Evelyn Maputol</t>
  </si>
  <si>
    <t>Arnel Salo</t>
  </si>
  <si>
    <t>Cornelio Salo</t>
  </si>
  <si>
    <t>Melgie Daguinod</t>
  </si>
  <si>
    <t>Jake Vinson Inferido</t>
  </si>
  <si>
    <t>Romeo Toledo</t>
  </si>
  <si>
    <t>John Laurence Rosaupan</t>
  </si>
  <si>
    <t>Ariel Enriquez</t>
  </si>
  <si>
    <t>Andres Miano</t>
  </si>
  <si>
    <t>Gerald dela Torre</t>
  </si>
  <si>
    <t>Ramil Melencion</t>
  </si>
  <si>
    <t>Bunot-bunot</t>
  </si>
  <si>
    <t>Emilio Polinar</t>
  </si>
  <si>
    <t>Germanette Quintano</t>
  </si>
  <si>
    <t>Licinio Tapares</t>
  </si>
  <si>
    <t>Domingo Yagong</t>
  </si>
  <si>
    <t>Ruel Añosa</t>
  </si>
  <si>
    <t>Ondo Buhayang</t>
  </si>
  <si>
    <t>Gomer Pacatang</t>
  </si>
  <si>
    <t>Arnold Odtohan</t>
  </si>
  <si>
    <t>Victor Torotot</t>
  </si>
  <si>
    <t>Jone Ray Gonzaga</t>
  </si>
  <si>
    <t>Ariel Labastilla</t>
  </si>
  <si>
    <t>Janeth Saletrero</t>
  </si>
  <si>
    <t>Erlin Cano</t>
  </si>
  <si>
    <t>Pangangan</t>
  </si>
  <si>
    <t>Christian Laborte</t>
  </si>
  <si>
    <t>Buntod</t>
  </si>
  <si>
    <t>Michael Giogio</t>
  </si>
  <si>
    <t>Mark Jagonus</t>
  </si>
  <si>
    <t>Carlito Avelino</t>
  </si>
  <si>
    <t>Jose Rebusora</t>
  </si>
  <si>
    <t>Roman Jaum</t>
  </si>
  <si>
    <t>Lindon Genabe</t>
  </si>
  <si>
    <t>Zeno Paquibot</t>
  </si>
  <si>
    <t>Jay Anay</t>
  </si>
  <si>
    <t>August 25-27</t>
  </si>
  <si>
    <t>Rolando Baldapan</t>
  </si>
  <si>
    <t>breeders</t>
  </si>
  <si>
    <t>90pcs</t>
  </si>
  <si>
    <t>Michel Virad</t>
  </si>
  <si>
    <t>Bagtik</t>
  </si>
  <si>
    <t>Nador Aron</t>
  </si>
  <si>
    <t>Silvestre Cuamag</t>
  </si>
  <si>
    <t>Antonio Orevillo</t>
  </si>
  <si>
    <t>Maximo Tabaranza</t>
  </si>
  <si>
    <t>Nico Ramos</t>
  </si>
  <si>
    <t>Marlyn Genson</t>
  </si>
  <si>
    <t>Jackelyn Navea</t>
  </si>
  <si>
    <t>Lea Cempron</t>
  </si>
  <si>
    <t>Riche Datahan</t>
  </si>
  <si>
    <t>Canta-ub</t>
  </si>
  <si>
    <t>impounding</t>
  </si>
  <si>
    <t>Irma Villanueva</t>
  </si>
  <si>
    <t>August,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</si>
  <si>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</si>
  <si>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</si>
  <si>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</si>
  <si>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</si>
  <si>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- Clarin</t>
  </si>
  <si>
    <t>Bagtic Masagana Multi-Purpose Coop.</t>
  </si>
  <si>
    <t>Mario Balio</t>
  </si>
  <si>
    <t>LGU - Tubigon</t>
  </si>
  <si>
    <t>LGU - Jagna</t>
  </si>
  <si>
    <t>Pangdan</t>
  </si>
  <si>
    <t>Roderick Vertudazo</t>
  </si>
  <si>
    <t>PFO - Bohol</t>
  </si>
  <si>
    <t>Dao District</t>
  </si>
  <si>
    <t>LGU - San Isdiro</t>
  </si>
  <si>
    <t>sold</t>
  </si>
  <si>
    <t>LGU - Antequera</t>
  </si>
  <si>
    <t>Tupas Lake</t>
  </si>
  <si>
    <t>September, 2020</t>
  </si>
  <si>
    <t>Simplicio Balonga Jr.</t>
  </si>
  <si>
    <t>Daniel Sabior</t>
  </si>
  <si>
    <t>Analyn Gamella</t>
  </si>
  <si>
    <t>Rosalita Buaya</t>
  </si>
  <si>
    <t>Eduardo Yagonia</t>
  </si>
  <si>
    <t>Deuel Puracan</t>
  </si>
  <si>
    <t>Nelson Tonido</t>
  </si>
  <si>
    <t>Mario Alvarez</t>
  </si>
  <si>
    <t>Roger Tinampay</t>
  </si>
  <si>
    <t>Joseph Escalante</t>
  </si>
  <si>
    <t>Mark Joseph Gara</t>
  </si>
  <si>
    <t>Jaime Quinio</t>
  </si>
  <si>
    <t>San Pascual</t>
  </si>
  <si>
    <t>Maximo Assister</t>
  </si>
  <si>
    <t>Ares dela Torre</t>
  </si>
  <si>
    <t>Marvin Lubiano</t>
  </si>
  <si>
    <t>Romeo Lenteria</t>
  </si>
  <si>
    <t>Roselier Estorion</t>
  </si>
  <si>
    <t>Roshel Melicor</t>
  </si>
  <si>
    <t>Ma. Stella Genita</t>
  </si>
  <si>
    <t>Gerry Camenade</t>
  </si>
  <si>
    <t>Mantasida</t>
  </si>
  <si>
    <t>Leonardo Batausa</t>
  </si>
  <si>
    <t>Nick Guisado</t>
  </si>
  <si>
    <t>Roger Sipsip</t>
  </si>
  <si>
    <t>Melvin Lanoy</t>
  </si>
  <si>
    <t>Marjoe Rey Labonite</t>
  </si>
  <si>
    <t>Eulises Carnice</t>
  </si>
  <si>
    <t>Rudy Celosia</t>
  </si>
  <si>
    <t>Jonas Lamoste</t>
  </si>
  <si>
    <t>Loloy Baay</t>
  </si>
  <si>
    <t>Anthony Tandugon</t>
  </si>
  <si>
    <t>Apolonio Avelino</t>
  </si>
  <si>
    <t>Antonino Genita</t>
  </si>
  <si>
    <t>Alex Amihan</t>
  </si>
  <si>
    <t>Boyet Fabiolas</t>
  </si>
  <si>
    <t>Ryan Genita</t>
  </si>
  <si>
    <t>Roger Alima</t>
  </si>
  <si>
    <t>Arnel Jumawid</t>
  </si>
  <si>
    <t>Ronito Noira</t>
  </si>
  <si>
    <t>Edgar Alalad</t>
  </si>
  <si>
    <t>Junior Alipoyo</t>
  </si>
  <si>
    <t>Terry Cooke</t>
  </si>
  <si>
    <t>Perfecto Dag-um Jr.</t>
  </si>
  <si>
    <t>Miller Albarasin</t>
  </si>
  <si>
    <t>Alberto Rasonabe</t>
  </si>
  <si>
    <t>Roi Balaba</t>
  </si>
  <si>
    <t>Gil Maraguinot</t>
  </si>
  <si>
    <t>Anelyn Temblor</t>
  </si>
  <si>
    <t>Teodulo Leornas</t>
  </si>
  <si>
    <t>Villanueva</t>
  </si>
  <si>
    <t>Enrique Suello</t>
  </si>
  <si>
    <t>Rodrigo Suello</t>
  </si>
  <si>
    <t>Gerry Asna</t>
  </si>
  <si>
    <t>Cabudburan</t>
  </si>
  <si>
    <t>Roland Rulona</t>
  </si>
  <si>
    <t>Mary Grace Sanchez</t>
  </si>
  <si>
    <t>Albert Candole</t>
  </si>
  <si>
    <t>Sherwin Lanoy</t>
  </si>
  <si>
    <t>Guillermo Lanoy</t>
  </si>
  <si>
    <t>Marcos Temblor</t>
  </si>
  <si>
    <t>Sep 1-6, 2020</t>
  </si>
  <si>
    <t>Nestor Bagabaldo</t>
  </si>
  <si>
    <t>Tilapia</t>
  </si>
  <si>
    <t>Marivic Mamburao</t>
  </si>
  <si>
    <t>Marycris Tanaid</t>
  </si>
  <si>
    <t>Tata Aladad</t>
  </si>
  <si>
    <t>Ranero Miano</t>
  </si>
  <si>
    <t>Danielo Asucan</t>
  </si>
  <si>
    <t>Merle Estrera</t>
  </si>
  <si>
    <t>Ornamental</t>
  </si>
  <si>
    <t>Jovil Baldesco</t>
  </si>
  <si>
    <t>Gliezer Gabriel Bongato</t>
  </si>
  <si>
    <t>Cepriano Mandin</t>
  </si>
  <si>
    <t>Candabong</t>
  </si>
  <si>
    <t>Eugenio Degal</t>
  </si>
  <si>
    <t>Nelson Lagare</t>
  </si>
  <si>
    <t>Agustin Casol</t>
  </si>
  <si>
    <t>Jerson Rara</t>
  </si>
  <si>
    <t>John Punio</t>
  </si>
  <si>
    <t>Domingo Pugoy</t>
  </si>
  <si>
    <t>Daniel Bautista</t>
  </si>
  <si>
    <t>Leonides Buñao</t>
  </si>
  <si>
    <t>Eduardo Café</t>
  </si>
  <si>
    <t>Leoncio Quitoriano</t>
  </si>
  <si>
    <t>Conrado Mahumot</t>
  </si>
  <si>
    <t>Sep 7-8, 2020</t>
  </si>
  <si>
    <t>Marmar Flores</t>
  </si>
  <si>
    <t>Mark Jaden Aguilar</t>
  </si>
  <si>
    <t>Ferdinand Oroyan</t>
  </si>
  <si>
    <t>Jay Dacullo</t>
  </si>
  <si>
    <t>Cantoba</t>
  </si>
  <si>
    <t>Jonathan Rosas</t>
  </si>
  <si>
    <t>Antonio Pacaldo Sr.</t>
  </si>
  <si>
    <t>Antonio Pacaldo Jr.</t>
  </si>
  <si>
    <t>Salvador Majomot</t>
  </si>
  <si>
    <t>Cristie Salise</t>
  </si>
  <si>
    <t>Alberto Carisosa</t>
  </si>
  <si>
    <t>Medarda Eronia</t>
  </si>
  <si>
    <t>Ramil Millan</t>
  </si>
  <si>
    <t>Abel Dansila</t>
  </si>
  <si>
    <t>Erlon Vein Quiño</t>
  </si>
  <si>
    <t>Samuel Sumipo</t>
  </si>
  <si>
    <t>Tony Logroño</t>
  </si>
  <si>
    <t>Ramel Pailanan</t>
  </si>
  <si>
    <t>Jovito Lobon</t>
  </si>
  <si>
    <t>Benito Gelbolingo</t>
  </si>
  <si>
    <t xml:space="preserve">Poblacion </t>
  </si>
  <si>
    <t>Casemiro Ligonas</t>
  </si>
  <si>
    <t>Jaime Gonzaga</t>
  </si>
  <si>
    <t>Jecerlou Mante</t>
  </si>
  <si>
    <t>Jaypee Celocia</t>
  </si>
  <si>
    <t>Locelie Sab</t>
  </si>
  <si>
    <t>Nelson Bautista</t>
  </si>
  <si>
    <t>Ma. Daniela Navea</t>
  </si>
  <si>
    <t>Niño Lomocso</t>
  </si>
  <si>
    <t>Comang</t>
  </si>
  <si>
    <t>Anastacio Niñolas</t>
  </si>
  <si>
    <t>Rolan Antero</t>
  </si>
  <si>
    <t>Romeo Gandulpos</t>
  </si>
  <si>
    <t>Jethro Cuaco</t>
  </si>
  <si>
    <t>Panie Cariño</t>
  </si>
  <si>
    <t>Neilfred Flores</t>
  </si>
  <si>
    <t>Cristino Sanchez</t>
  </si>
  <si>
    <t>Avelino Fernandez</t>
  </si>
  <si>
    <t>Cerino Liba</t>
  </si>
  <si>
    <t>Ivan Balili</t>
  </si>
  <si>
    <t>Ambian</t>
  </si>
  <si>
    <t>Sep 11-13, 2020</t>
  </si>
  <si>
    <t>John Lester Emborong</t>
  </si>
  <si>
    <t>Avelino Camanzo Jr.</t>
  </si>
  <si>
    <t>Mahayag Norte</t>
  </si>
  <si>
    <t>Arnold Oro</t>
  </si>
  <si>
    <t>Santos Clordearta</t>
  </si>
  <si>
    <t>Bagacay</t>
  </si>
  <si>
    <t>Norman Rijas</t>
  </si>
  <si>
    <t>Juan Calatrava Jr.</t>
  </si>
  <si>
    <t>Malayo Sur</t>
  </si>
  <si>
    <t>Rogelina Gonzaga</t>
  </si>
  <si>
    <t>Edgar Pacaldo</t>
  </si>
  <si>
    <t>Alfreda Flores</t>
  </si>
  <si>
    <t>Mabuhay Tabul</t>
  </si>
  <si>
    <t>Junel Melencion</t>
  </si>
  <si>
    <t>Jenilo Tuba</t>
  </si>
  <si>
    <t>Rogelio Verador</t>
  </si>
  <si>
    <t>Gilbert Agot</t>
  </si>
  <si>
    <t xml:space="preserve">Loreto </t>
  </si>
  <si>
    <t>Jacinto Agot</t>
  </si>
  <si>
    <t>Angelou Cainghog</t>
  </si>
  <si>
    <t>Ramon Pardillo</t>
  </si>
  <si>
    <t>Zacarias Lood</t>
  </si>
  <si>
    <t>Restituto Bun-ao</t>
  </si>
  <si>
    <t>Ronilo Dag-um</t>
  </si>
  <si>
    <t>Alipio Babad Jr.</t>
  </si>
  <si>
    <t>Hector Anthony Yu</t>
  </si>
  <si>
    <t>Calanggaman</t>
  </si>
  <si>
    <t>Roy Socias</t>
  </si>
  <si>
    <t>Reynaldo Ramos</t>
  </si>
  <si>
    <t>Marcelino Edusma</t>
  </si>
  <si>
    <t>Ryan jumawid</t>
  </si>
  <si>
    <t>Nazario Retutas</t>
  </si>
  <si>
    <t>Mariano Gemine</t>
  </si>
  <si>
    <t>Eulita Estilloro</t>
  </si>
  <si>
    <t>Pablito Estilloro</t>
  </si>
  <si>
    <t>Patrick Brena</t>
  </si>
  <si>
    <t>James Paul Digal</t>
  </si>
  <si>
    <t>Alan Suarez</t>
  </si>
  <si>
    <t>Carolyn Mejorada</t>
  </si>
  <si>
    <t>Rufino Ampo</t>
  </si>
  <si>
    <t>Alberto Valentos</t>
  </si>
  <si>
    <t>Tambuan</t>
  </si>
  <si>
    <t>Froilan Calamba</t>
  </si>
  <si>
    <t>Cansumbol</t>
  </si>
  <si>
    <t>Jay-r Daguing</t>
  </si>
  <si>
    <t>Jan Jaykll Mares</t>
  </si>
  <si>
    <t>Poblacion 3</t>
  </si>
  <si>
    <t>Abraham Salvalion</t>
  </si>
  <si>
    <t>Miles Cerlo Arcayos</t>
  </si>
  <si>
    <t>Rodulfo Sabijon</t>
  </si>
  <si>
    <t>Alberto Rasonable</t>
  </si>
  <si>
    <t>Pearl Jean Betalmos</t>
  </si>
  <si>
    <t>Maria Rosario</t>
  </si>
  <si>
    <t>Hilario Ybañez</t>
  </si>
  <si>
    <t>Guenevete Gumapac</t>
  </si>
  <si>
    <t>Arlene Mallorca</t>
  </si>
  <si>
    <t>Longsodaan</t>
  </si>
  <si>
    <t>Arnel Corda</t>
  </si>
  <si>
    <t>Angelo Cainghog</t>
  </si>
  <si>
    <t>Luzviminda Torreon</t>
  </si>
  <si>
    <t>Cagayan</t>
  </si>
  <si>
    <t>Marilou Duetes</t>
  </si>
  <si>
    <t>Ambowan</t>
  </si>
  <si>
    <t>Erwin Alimpolos</t>
  </si>
  <si>
    <t>Rogelio Cadinas</t>
  </si>
  <si>
    <t>Joaquin Enad Jr.</t>
  </si>
  <si>
    <t>Sep. 14-16, 2020</t>
  </si>
  <si>
    <t>Rogelio Lastimado</t>
  </si>
  <si>
    <t>Cesar Libot</t>
  </si>
  <si>
    <t>C.Carp</t>
  </si>
  <si>
    <t>Alistair Bagaslao</t>
  </si>
  <si>
    <t>Jonrey Villamor</t>
  </si>
  <si>
    <t>Renato Duyog</t>
  </si>
  <si>
    <t>Junrey Villamor</t>
  </si>
  <si>
    <t>Nilo Galo</t>
  </si>
  <si>
    <t>Allan Sasan</t>
  </si>
  <si>
    <t>Florita Patulilic</t>
  </si>
  <si>
    <t>Mahatag</t>
  </si>
  <si>
    <t>Anecito Lacierda</t>
  </si>
  <si>
    <t xml:space="preserve">Sto. Niño </t>
  </si>
  <si>
    <t>Reynaldo Hapay</t>
  </si>
  <si>
    <t>Brilgeb Divinagracia</t>
  </si>
  <si>
    <t>Mario Bastasa</t>
  </si>
  <si>
    <t>James Ivan Niepes</t>
  </si>
  <si>
    <t>Anna Faith Inson</t>
  </si>
  <si>
    <t>Marissa Melencion</t>
  </si>
  <si>
    <t>Ismael Bahinting</t>
  </si>
  <si>
    <t>Aaron Pogoy</t>
  </si>
  <si>
    <t>Saturnino Jalop</t>
  </si>
  <si>
    <t>Antonio Jalop</t>
  </si>
  <si>
    <t>Braydon Jalop</t>
  </si>
  <si>
    <t>Jeffrey Jalop</t>
  </si>
  <si>
    <t>Nestor Jalop</t>
  </si>
  <si>
    <t>Isagani Fortes</t>
  </si>
  <si>
    <t>Delfin Divino Jr.</t>
  </si>
  <si>
    <t>Anelito Palingkod</t>
  </si>
  <si>
    <t>Juanito Dacul</t>
  </si>
  <si>
    <t>Alcantara</t>
  </si>
  <si>
    <t>Raul Tiongson</t>
  </si>
  <si>
    <t>Manuel Tabaranza</t>
  </si>
  <si>
    <t>Marcial Dumandan</t>
  </si>
  <si>
    <t>James Pelayo</t>
  </si>
  <si>
    <t>Cawayan</t>
  </si>
  <si>
    <t>Rolando Abaniel</t>
  </si>
  <si>
    <t>Jaytee Alberca</t>
  </si>
  <si>
    <t>Sangbayan</t>
  </si>
  <si>
    <t>Wennrey Reserva</t>
  </si>
  <si>
    <t>Kabulihan</t>
  </si>
  <si>
    <t>Andonec Quisora</t>
  </si>
  <si>
    <t>Geronimo Jumawid</t>
  </si>
  <si>
    <t>Nelson Bornajos</t>
  </si>
  <si>
    <t>Dionesio Balatero</t>
  </si>
  <si>
    <t>Peñaflor</t>
  </si>
  <si>
    <t>Julius Liwa</t>
  </si>
  <si>
    <t>Lalanne Lourdes Fuertes</t>
  </si>
  <si>
    <t>Ruel Alcain</t>
  </si>
  <si>
    <t>Mark Sherwin Jayoma</t>
  </si>
  <si>
    <t>Crisela Jayoma</t>
  </si>
  <si>
    <t>Nestor Valeroso</t>
  </si>
  <si>
    <t>Wilben Soldia</t>
  </si>
  <si>
    <t>Poblacion Este</t>
  </si>
  <si>
    <t>Mary Jean Bahinting</t>
  </si>
  <si>
    <t>Cresencio Polinar</t>
  </si>
  <si>
    <t>Leo Amatorio</t>
  </si>
  <si>
    <t>Rey Fuentes</t>
  </si>
  <si>
    <t>Leo Suma-uy</t>
  </si>
  <si>
    <t>Diosdado Lubrigas</t>
  </si>
  <si>
    <t>Melenia Cario</t>
  </si>
  <si>
    <t>Proceso Vallecer</t>
  </si>
  <si>
    <t>Raul Tongco</t>
  </si>
  <si>
    <t>Angie Mejorada</t>
  </si>
  <si>
    <t>Mirasol Biose</t>
  </si>
  <si>
    <t>Rodel Felisilda</t>
  </si>
  <si>
    <t>Myrna Aro</t>
  </si>
  <si>
    <t>Roman Baron</t>
  </si>
  <si>
    <t>Emelin Doblas</t>
  </si>
  <si>
    <t>Nueva Granada</t>
  </si>
  <si>
    <t>Marjon Sumipo</t>
  </si>
  <si>
    <t>Danilo Bantilan</t>
  </si>
  <si>
    <t>Basilio Tumanda</t>
  </si>
  <si>
    <t>September 17-20, 2020</t>
  </si>
  <si>
    <t>Elpedio Bugas</t>
  </si>
  <si>
    <t>Durol</t>
  </si>
  <si>
    <t>Mario Allen Oñes</t>
  </si>
  <si>
    <t>Julibie Gunayan</t>
  </si>
  <si>
    <t>Sagasay</t>
  </si>
  <si>
    <t>Gilbert Poquita</t>
  </si>
  <si>
    <t>Rufino Torreon</t>
  </si>
  <si>
    <t>Salog</t>
  </si>
  <si>
    <t>Jetafe</t>
  </si>
  <si>
    <t>Joel Muñoz</t>
  </si>
  <si>
    <t>Letecia Niñofarnco</t>
  </si>
  <si>
    <t>Ricky Poquita</t>
  </si>
  <si>
    <t>Rene Celocia</t>
  </si>
  <si>
    <t>Dait</t>
  </si>
  <si>
    <t>Florencio Bitang</t>
  </si>
  <si>
    <t>Calubijan</t>
  </si>
  <si>
    <t>Anastacio Biloy</t>
  </si>
  <si>
    <t>Cepriano Cempron</t>
  </si>
  <si>
    <t>Marino Lofranco</t>
  </si>
  <si>
    <t>Renerio Remoriras</t>
  </si>
  <si>
    <t>Narciso Madelo</t>
  </si>
  <si>
    <t>Danicop</t>
  </si>
  <si>
    <t>Alexander retutas</t>
  </si>
  <si>
    <t>Mariano Cemine</t>
  </si>
  <si>
    <t>Nazario Retutas Sr.</t>
  </si>
  <si>
    <t>Nazario Retutas Jr.</t>
  </si>
  <si>
    <t>Ritche Mante</t>
  </si>
  <si>
    <t>Avelina Pataganao</t>
  </si>
  <si>
    <t>Ronald Egcol</t>
  </si>
  <si>
    <t>Melchor Boquel</t>
  </si>
  <si>
    <t>Candasig</t>
  </si>
  <si>
    <t>Argie Boquel</t>
  </si>
  <si>
    <t>Reji Boquel</t>
  </si>
  <si>
    <t>Mary Jane Apad</t>
  </si>
  <si>
    <t>Daryl Demetita</t>
  </si>
  <si>
    <t>Teodoro Sabijon</t>
  </si>
  <si>
    <t>Lino Palua</t>
  </si>
  <si>
    <t>Danilo Jimenez</t>
  </si>
  <si>
    <t>Lendon Joseph Calope</t>
  </si>
  <si>
    <t>Del Carmen Norte</t>
  </si>
  <si>
    <t>Ciriaco Melencion</t>
  </si>
  <si>
    <t>Arnold Adlaon</t>
  </si>
  <si>
    <t>La Ezperanza</t>
  </si>
  <si>
    <t>James Miano</t>
  </si>
  <si>
    <t>Virgilio Busalanan</t>
  </si>
  <si>
    <t>Eugen Lumayag</t>
  </si>
  <si>
    <t xml:space="preserve">Buenos Aires </t>
  </si>
  <si>
    <t>Jonas Gumapac</t>
  </si>
  <si>
    <t>Teofilo Jumamoy</t>
  </si>
  <si>
    <t>Gaudioso Lumiguid Jr.</t>
  </si>
  <si>
    <t xml:space="preserve">Bagtic </t>
  </si>
  <si>
    <t>Nikel Laroga</t>
  </si>
  <si>
    <t>Ronald Ceballos</t>
  </si>
  <si>
    <t>Jerry Suaybaguio</t>
  </si>
  <si>
    <t>Gabriel Lapirap</t>
  </si>
  <si>
    <t>Rocelo Genita</t>
  </si>
  <si>
    <t>Felix Hildero</t>
  </si>
  <si>
    <t>Placido Estillore</t>
  </si>
  <si>
    <t>Erwin Orquiza</t>
  </si>
  <si>
    <t>Romulo Buno</t>
  </si>
  <si>
    <t xml:space="preserve">San Agustin </t>
  </si>
  <si>
    <t>Michelle Requirme</t>
  </si>
  <si>
    <t>Aurelia Eugenia Mayol</t>
  </si>
  <si>
    <t>Marcos Tagsip</t>
  </si>
  <si>
    <t>Edison Torrentera</t>
  </si>
  <si>
    <t>Ricardo Brina</t>
  </si>
  <si>
    <t>Elino Degamo</t>
  </si>
  <si>
    <t>Allan Añasco</t>
  </si>
  <si>
    <t>Arthur Ian Bolay-og</t>
  </si>
  <si>
    <t>Renante Ancla</t>
  </si>
  <si>
    <t>Erjunfel Catalan</t>
  </si>
  <si>
    <t>Celso Marcojso</t>
  </si>
  <si>
    <t>Romeo Bonajos</t>
  </si>
  <si>
    <t>Nueva Furza</t>
  </si>
  <si>
    <t>Adrian Grabaderos</t>
  </si>
  <si>
    <t>Geraldo Marzon</t>
  </si>
  <si>
    <t>Rome Dag-um</t>
  </si>
  <si>
    <t>Ronald Camiguing</t>
  </si>
  <si>
    <t>Rufino Galleto</t>
  </si>
  <si>
    <t>Roldan Galleto</t>
  </si>
  <si>
    <t>Rolando Galleto</t>
  </si>
  <si>
    <t>Glenn Mahilum</t>
  </si>
  <si>
    <t>Jethro Luega</t>
  </si>
  <si>
    <t>Arlinda Celis</t>
  </si>
  <si>
    <t>Divina Lumayag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</si>
  <si>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</si>
  <si>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</si>
  <si>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</si>
  <si>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</si>
  <si>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MAO - LGU San Miguel</t>
  </si>
  <si>
    <t>LGU - Garcia Hernandez</t>
  </si>
  <si>
    <t>LGU - Pilar</t>
  </si>
  <si>
    <t>LGU - Cortes</t>
  </si>
  <si>
    <t>Maria Luz Alcala</t>
  </si>
  <si>
    <t>October, 2020</t>
  </si>
  <si>
    <t>Ronald Injog</t>
  </si>
  <si>
    <t>Clenton Estellore</t>
  </si>
  <si>
    <t>Nagawan</t>
  </si>
  <si>
    <t>Reynaldo Infiesto</t>
  </si>
  <si>
    <t>Glecerio Tajale</t>
  </si>
  <si>
    <t>Eleonor Cubos</t>
  </si>
  <si>
    <t>Victor Mercado</t>
  </si>
  <si>
    <t>Terry Alisoso</t>
  </si>
  <si>
    <t>Mata-ub</t>
  </si>
  <si>
    <t>Alexander Mulato</t>
  </si>
  <si>
    <t>Cabulihan</t>
  </si>
  <si>
    <t>Jerome Reyes</t>
  </si>
  <si>
    <t>Hillside</t>
  </si>
  <si>
    <t>Ramil Binangbang</t>
  </si>
  <si>
    <t>Jasmin Baculta</t>
  </si>
  <si>
    <t>Divine Lisondra</t>
  </si>
  <si>
    <t>Tereso Comia</t>
  </si>
  <si>
    <t>Yman Carreon</t>
  </si>
  <si>
    <t>Jaime Cabulao</t>
  </si>
  <si>
    <t>Gary Cresencio</t>
  </si>
  <si>
    <t>Melflores Bitang</t>
  </si>
  <si>
    <t>Francis Lance Cañejares</t>
  </si>
  <si>
    <t>Ronel Lusica</t>
  </si>
  <si>
    <t>Alberto Cabillon</t>
  </si>
  <si>
    <t>Jonard Bajao</t>
  </si>
  <si>
    <t>Jose Rusel Melencion</t>
  </si>
  <si>
    <t>Dionesio Suarez</t>
  </si>
  <si>
    <t>Renato Boquila</t>
  </si>
  <si>
    <t>Pelagio Garcera</t>
  </si>
  <si>
    <t>Almer Castino</t>
  </si>
  <si>
    <t>Nixon Mojeres</t>
  </si>
  <si>
    <t>Ciriaco Tusoy</t>
  </si>
  <si>
    <t>Ricardo Matela</t>
  </si>
  <si>
    <t>Junbert Togonon</t>
  </si>
  <si>
    <t>Agido Mansueto</t>
  </si>
  <si>
    <t>Loyd Alipoyo</t>
  </si>
  <si>
    <t>Potohan</t>
  </si>
  <si>
    <t>Vidal Paje</t>
  </si>
  <si>
    <t>October 1-4, 2020</t>
  </si>
  <si>
    <t>Gilmar Abuyo</t>
  </si>
  <si>
    <t>Arjie Betarmos</t>
  </si>
  <si>
    <t>Lucede Rejas</t>
  </si>
  <si>
    <t>Teofilo Batausa</t>
  </si>
  <si>
    <t>TJ Cambangay</t>
  </si>
  <si>
    <t>Jerameel Mulos</t>
  </si>
  <si>
    <t>Alberto Labarico Jr.</t>
  </si>
  <si>
    <t>Hinlayagan Ilaya</t>
  </si>
  <si>
    <t>Jay Cral Cuba</t>
  </si>
  <si>
    <t>Andres Espinal</t>
  </si>
  <si>
    <t>Beverly Baldapan</t>
  </si>
  <si>
    <t>Ramon Tampepe</t>
  </si>
  <si>
    <t>Jaylord Badillea</t>
  </si>
  <si>
    <t>Arman Anunciado</t>
  </si>
  <si>
    <t>Eustaquio Labonete</t>
  </si>
  <si>
    <t>Epifanio Baba</t>
  </si>
  <si>
    <t>Bonifacio Tayabas</t>
  </si>
  <si>
    <t>David Auxtero</t>
  </si>
  <si>
    <t>Oliver Lagad</t>
  </si>
  <si>
    <t>Mae Ann Agias</t>
  </si>
  <si>
    <t>San Agustion</t>
  </si>
  <si>
    <t>Celestino Ngoho</t>
  </si>
  <si>
    <t>Rogelio Nogalada</t>
  </si>
  <si>
    <t>Oligario Gales Jr.</t>
  </si>
  <si>
    <t>Olimpio Torregosa</t>
  </si>
  <si>
    <t>Allen Ray Piezas</t>
  </si>
  <si>
    <t>Poblacion Centro</t>
  </si>
  <si>
    <t>Jacinto Crujedo</t>
  </si>
  <si>
    <t>Raymund Marabiles</t>
  </si>
  <si>
    <t>Emma Cutamora</t>
  </si>
  <si>
    <t>Cristina Logatoc</t>
  </si>
  <si>
    <t>Nueva Vida norte</t>
  </si>
  <si>
    <t>Ricardo Limbago</t>
  </si>
  <si>
    <t>Delfin Gingone</t>
  </si>
  <si>
    <t>Rogelio Lapore</t>
  </si>
  <si>
    <t>Argie Vistal</t>
  </si>
  <si>
    <t>Jasmine Castino</t>
  </si>
  <si>
    <t>Alan Estellore</t>
  </si>
  <si>
    <t>Mark Lou Generalao</t>
  </si>
  <si>
    <t>Mark Levin Ladez</t>
  </si>
  <si>
    <t>Rosalino Pesidas</t>
  </si>
  <si>
    <t>Vincent Divinosa</t>
  </si>
  <si>
    <t>Ignacio Billaces</t>
  </si>
  <si>
    <t>Cantomimbo</t>
  </si>
  <si>
    <t>Alberto Belamia</t>
  </si>
  <si>
    <t>Petronio Sobiono</t>
  </si>
  <si>
    <t>Carmelito Ponte</t>
  </si>
  <si>
    <t>Regan Degamo</t>
  </si>
  <si>
    <t>Jay Marfe</t>
  </si>
  <si>
    <t>Simplecio Maputol</t>
  </si>
  <si>
    <t>Ernie Pongase</t>
  </si>
  <si>
    <t>Mantaceda</t>
  </si>
  <si>
    <t>Maricel Adaya</t>
  </si>
  <si>
    <t>La Paz Carmen</t>
  </si>
  <si>
    <t>Eduardo Pelesores</t>
  </si>
  <si>
    <t>Kahayag, Pangangan Island</t>
  </si>
  <si>
    <t>Dario Daculpo</t>
  </si>
  <si>
    <t>Liberty</t>
  </si>
  <si>
    <t>Rowena Balaba</t>
  </si>
  <si>
    <t>Desiderio Legaspi</t>
  </si>
  <si>
    <t>Wilson Florenosos</t>
  </si>
  <si>
    <t>Eddie Quisto</t>
  </si>
  <si>
    <t>Jhapet Bongato</t>
  </si>
  <si>
    <t>John Ace Jumawid</t>
  </si>
  <si>
    <t>Dominador Entrialgo</t>
  </si>
  <si>
    <t>Arcadio Quilas</t>
  </si>
  <si>
    <t>Alexander Saga</t>
  </si>
  <si>
    <t>Leonilo Estillore</t>
  </si>
  <si>
    <t>Domingo Senon</t>
  </si>
  <si>
    <t>Aloy Dulang</t>
  </si>
  <si>
    <t>Vella</t>
  </si>
  <si>
    <t>P. Carlos Garcia</t>
  </si>
  <si>
    <t>Rogelio Gementiza</t>
  </si>
  <si>
    <t>Ernesto Suarez</t>
  </si>
  <si>
    <t>Rosa Bongato</t>
  </si>
  <si>
    <t>Efren Genita</t>
  </si>
  <si>
    <t>Reynante Fuertes</t>
  </si>
  <si>
    <t>Rheyniel Mostajo</t>
  </si>
  <si>
    <t>Christopher Pascual</t>
  </si>
  <si>
    <t>Anale Melencion</t>
  </si>
  <si>
    <t>Maligaya</t>
  </si>
  <si>
    <t>Nora Genabre</t>
  </si>
  <si>
    <t>John Ounio</t>
  </si>
  <si>
    <t>Emalyn Belano</t>
  </si>
  <si>
    <t>Shiera Lascoña</t>
  </si>
  <si>
    <t>Lito Manatad</t>
  </si>
  <si>
    <t>Boyog</t>
  </si>
  <si>
    <t>Ernesto Batulanan</t>
  </si>
  <si>
    <t>Joselito Bulilis</t>
  </si>
  <si>
    <t>Marcial Cosicol</t>
  </si>
  <si>
    <t>Billmark Yu</t>
  </si>
  <si>
    <t>Ian Belida</t>
  </si>
  <si>
    <t>Orlando Gaudicos</t>
  </si>
  <si>
    <t>Paterna Rasonable</t>
  </si>
  <si>
    <t>Aquilina Nocalan</t>
  </si>
  <si>
    <t>Victor Boncales</t>
  </si>
  <si>
    <t xml:space="preserve">               </t>
  </si>
  <si>
    <t>Richard Berdin</t>
  </si>
  <si>
    <t>October 14-23</t>
  </si>
  <si>
    <t>Andy Jala</t>
  </si>
  <si>
    <t>Cambuak</t>
  </si>
  <si>
    <t>Dispersal</t>
  </si>
  <si>
    <t>Mark Edwin Gempesao</t>
  </si>
  <si>
    <t>Grace Laganipa</t>
  </si>
  <si>
    <t>Tilapia Breed's.</t>
  </si>
  <si>
    <t>Pory Moreno</t>
  </si>
  <si>
    <t>Cristobal Evardo</t>
  </si>
  <si>
    <t>Jerson Duyog</t>
  </si>
  <si>
    <t>Anoling</t>
  </si>
  <si>
    <t>Gilbert Oluden</t>
  </si>
  <si>
    <t>Robert Jalop</t>
  </si>
  <si>
    <t>Anibongan</t>
  </si>
  <si>
    <t>Arsenio Jalop</t>
  </si>
  <si>
    <t>Geraldo Tabuada</t>
  </si>
  <si>
    <t>Alberto Tado Sr.</t>
  </si>
  <si>
    <t>Alberto Tado Jr.</t>
  </si>
  <si>
    <t>Nestor Bitancor</t>
  </si>
  <si>
    <t>Rieke Mae Policios</t>
  </si>
  <si>
    <t>Rey Anthony Torredes</t>
  </si>
  <si>
    <t>Alberto Albarido</t>
  </si>
  <si>
    <t>Hinlayagan Ylaya</t>
  </si>
  <si>
    <t>Mary Farah Grace Gitgano</t>
  </si>
  <si>
    <t>Marino Cosgafa</t>
  </si>
  <si>
    <t>Roey Sajul</t>
  </si>
  <si>
    <t>Grace Lim</t>
  </si>
  <si>
    <t>Canbitoon</t>
  </si>
  <si>
    <t>Ma. Nicolasa Genson</t>
  </si>
  <si>
    <t>Arnulfo Uypala</t>
  </si>
  <si>
    <t>Jayson Gudarido</t>
  </si>
  <si>
    <t>Fatima Grace Degamo</t>
  </si>
  <si>
    <t>Ma. Fe Liganas</t>
  </si>
  <si>
    <t>Estrellita Mante</t>
  </si>
  <si>
    <t>Caimbang</t>
  </si>
  <si>
    <t>Jay Caberio</t>
  </si>
  <si>
    <t>Victor Cubos</t>
  </si>
  <si>
    <t>Pamie Espenar</t>
  </si>
  <si>
    <t>Asterio Canmaong</t>
  </si>
  <si>
    <t>Cristino Dag-um</t>
  </si>
  <si>
    <t>Tamban</t>
  </si>
  <si>
    <t>Victorino Amodia</t>
  </si>
  <si>
    <t>John Penebroso</t>
  </si>
  <si>
    <t>Edwin Lobingco</t>
  </si>
  <si>
    <t>Pedro Macabudbod</t>
  </si>
  <si>
    <t>Dodong Agohayon</t>
  </si>
  <si>
    <t>Ma. Hazel Amarille</t>
  </si>
  <si>
    <t>Jonas Origenes</t>
  </si>
  <si>
    <t>Elizabeth Lumanip</t>
  </si>
  <si>
    <t>Diosdado Petalcorin</t>
  </si>
  <si>
    <t>Roel Genabre</t>
  </si>
  <si>
    <t>Guillermo Manabag Jr.</t>
  </si>
  <si>
    <t>Pahina</t>
  </si>
  <si>
    <t>Huagdan</t>
  </si>
  <si>
    <t>Joey Genaro</t>
  </si>
  <si>
    <t>Roel Lungay</t>
  </si>
  <si>
    <t>Dennis Agbon</t>
  </si>
  <si>
    <t>Lourdes Laag</t>
  </si>
  <si>
    <t>Alvin Añabra</t>
  </si>
  <si>
    <t>Ginaluz Dano</t>
  </si>
  <si>
    <t>Razel Lara</t>
  </si>
  <si>
    <t>Fernando Bertodazo</t>
  </si>
  <si>
    <t>Elmer Bacatan</t>
  </si>
  <si>
    <t>Renan Petalcorin</t>
  </si>
  <si>
    <t>Elmie Cañedo</t>
  </si>
  <si>
    <t>Eugenio Ramos</t>
  </si>
  <si>
    <t>Elizar Bagsarsa</t>
  </si>
  <si>
    <t>Lundag</t>
  </si>
  <si>
    <t>Carlos Felisilda</t>
  </si>
  <si>
    <t>Mark Rio Torotot</t>
  </si>
  <si>
    <t>Adrian Amarele</t>
  </si>
  <si>
    <t>Lea Anino</t>
  </si>
  <si>
    <t>Michael Soria</t>
  </si>
  <si>
    <t>Jonas Petalcorin</t>
  </si>
  <si>
    <t>Junior Soliba</t>
  </si>
  <si>
    <t>Lourdes</t>
  </si>
  <si>
    <t>Bryan Cutanda</t>
  </si>
  <si>
    <t>Angelito Lapeña</t>
  </si>
  <si>
    <t>Edith Nielsen</t>
  </si>
  <si>
    <t>Jarild Espel</t>
  </si>
  <si>
    <t>Salvador Torregosa</t>
  </si>
  <si>
    <t>Matabao</t>
  </si>
  <si>
    <t>Clark Kent Mindoro</t>
  </si>
  <si>
    <t>Jaymar Derosarento</t>
  </si>
  <si>
    <t>Erwin Jala</t>
  </si>
  <si>
    <t>Matacida</t>
  </si>
  <si>
    <t>Ruth Unabia</t>
  </si>
  <si>
    <t>Jayson Degamo</t>
  </si>
  <si>
    <t>Armando Avenido</t>
  </si>
  <si>
    <t>Kabiguhan</t>
  </si>
  <si>
    <t>John Levin Jumao-as</t>
  </si>
  <si>
    <t>Canggawa</t>
  </si>
  <si>
    <t>Pandan</t>
  </si>
  <si>
    <t>Paulino Butil</t>
  </si>
  <si>
    <t>Marlon Boncales</t>
  </si>
  <si>
    <t>Victorino Feliazar</t>
  </si>
  <si>
    <t>Ruben Autentico</t>
  </si>
  <si>
    <t>Ilaya Hinlayagan</t>
  </si>
  <si>
    <t>Junjun Carillo</t>
  </si>
  <si>
    <t>Jestone Arcinal</t>
  </si>
  <si>
    <t>Ernesto Batalanon</t>
  </si>
  <si>
    <t>James Monillas</t>
  </si>
  <si>
    <t>Martiniana Nuera</t>
  </si>
  <si>
    <t>Ben Gucor</t>
  </si>
  <si>
    <t>Elionida Santiago</t>
  </si>
  <si>
    <t>Edgar Lacay</t>
  </si>
  <si>
    <t>Christian Ytac</t>
  </si>
  <si>
    <t>Alan Plaras</t>
  </si>
  <si>
    <t>Joseph Cagampang</t>
  </si>
  <si>
    <t xml:space="preserve">Mawi </t>
  </si>
  <si>
    <t>Jose Maldura</t>
  </si>
  <si>
    <t>Shenna Baluyos</t>
  </si>
  <si>
    <t>Maloy Cequiña</t>
  </si>
  <si>
    <t>Jeffrey Prieto</t>
  </si>
  <si>
    <t>Lito Maldura</t>
  </si>
  <si>
    <t>Elsie Dalay</t>
  </si>
  <si>
    <t>Danny Morillo</t>
  </si>
  <si>
    <t>Ocotber, 2020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</si>
  <si>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</si>
  <si>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</si>
  <si>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</si>
  <si>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</si>
  <si>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- Ubay</t>
  </si>
  <si>
    <t>Manolito Basilad</t>
  </si>
  <si>
    <t>LGU - Candijay</t>
  </si>
  <si>
    <t>Cogtong</t>
  </si>
  <si>
    <t>Lesvin Lasit</t>
  </si>
  <si>
    <r>
      <rPr>
        <sz val="10"/>
        <color theme="1"/>
        <rFont val="Arial"/>
      </rPr>
      <t>OPA (</t>
    </r>
    <r>
      <rPr>
        <i/>
        <sz val="10"/>
        <color theme="1"/>
        <rFont val="Arial"/>
      </rPr>
      <t>Office of the Provincial Agriculture</t>
    </r>
    <r>
      <rPr>
        <sz val="10"/>
        <color theme="1"/>
        <rFont val="Arial"/>
      </rPr>
      <t>) - Bohol</t>
    </r>
  </si>
  <si>
    <t>Renante Subingsubing</t>
  </si>
  <si>
    <t>Rey Hongayo</t>
  </si>
  <si>
    <t>Roderick Vertudaso</t>
  </si>
  <si>
    <t>LGU-Trinidad</t>
  </si>
  <si>
    <r>
      <rPr>
        <b/>
        <i/>
        <sz val="11"/>
        <color theme="1"/>
        <rFont val="Calibri"/>
      </rPr>
      <t>78,500 pcs.</t>
    </r>
    <r>
      <rPr>
        <sz val="11"/>
        <color theme="1"/>
        <rFont val="Calibri"/>
      </rPr>
      <t xml:space="preserve"> (</t>
    </r>
    <r>
      <rPr>
        <i/>
        <sz val="11"/>
        <color theme="1"/>
        <rFont val="Calibri"/>
      </rPr>
      <t>Tilapia Fry/Fingerlings</t>
    </r>
    <r>
      <rPr>
        <sz val="11"/>
        <color theme="1"/>
        <rFont val="Calibri"/>
      </rPr>
      <t>)</t>
    </r>
  </si>
  <si>
    <r>
      <rPr>
        <b/>
        <i/>
        <sz val="11"/>
        <color theme="1"/>
        <rFont val="Calibri"/>
      </rPr>
      <t>530 pcs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(Tilapia Breeders)</t>
    </r>
  </si>
  <si>
    <t>November, 2020</t>
  </si>
  <si>
    <t>Rustico Bitasolo</t>
  </si>
  <si>
    <t>Joseph Cadenas</t>
  </si>
  <si>
    <t>Rogelio Cadenas</t>
  </si>
  <si>
    <t>Isagani Divinagracia</t>
  </si>
  <si>
    <t>Henry Anino</t>
  </si>
  <si>
    <t>Monrevideo</t>
  </si>
  <si>
    <t>Victor Infesto</t>
  </si>
  <si>
    <t>Roy Agad</t>
  </si>
  <si>
    <t>Chito Peteros</t>
  </si>
  <si>
    <t>Rommel Serna</t>
  </si>
  <si>
    <t>Angelo Yabot</t>
  </si>
  <si>
    <t>Lemuel Brina</t>
  </si>
  <si>
    <t>Reynaldo Enad</t>
  </si>
  <si>
    <t>Guillermo Nangka</t>
  </si>
  <si>
    <t>Alixes Rasonable</t>
  </si>
  <si>
    <t>James Sabijon</t>
  </si>
  <si>
    <t>Mark Cabulao</t>
  </si>
  <si>
    <t>Reynan Petalcorin</t>
  </si>
  <si>
    <t>John Ralp Melo</t>
  </si>
  <si>
    <t>John Lee Banghanoy</t>
  </si>
  <si>
    <t>Keith Anthony Yu</t>
  </si>
  <si>
    <t>Calangaman</t>
  </si>
  <si>
    <t>BlackMolly</t>
  </si>
  <si>
    <t>Jenefer Bituin</t>
  </si>
  <si>
    <t>Monalisa Cosenas</t>
  </si>
  <si>
    <t>research</t>
  </si>
  <si>
    <t>Lilian Guitguitan</t>
  </si>
  <si>
    <t>Joven Libot</t>
  </si>
  <si>
    <t>Alberto Tulop Jr.</t>
  </si>
  <si>
    <t>Alfredo Flores</t>
  </si>
  <si>
    <t>Anislag</t>
  </si>
  <si>
    <t>Gilly Suarez</t>
  </si>
  <si>
    <t>Jumar Paler</t>
  </si>
  <si>
    <t>Tinago</t>
  </si>
  <si>
    <t>Dawis</t>
  </si>
  <si>
    <t>Alex Auxtero</t>
  </si>
  <si>
    <t>Luel Estillore</t>
  </si>
  <si>
    <t>Esmeraldo Tiongson</t>
  </si>
  <si>
    <t>Niño Balala</t>
  </si>
  <si>
    <t>Jerald Compasion</t>
  </si>
  <si>
    <t>Keno Montealto</t>
  </si>
  <si>
    <t>Elsa Batingal</t>
  </si>
  <si>
    <t>Renante Baes</t>
  </si>
  <si>
    <t>Ignacio Talo</t>
  </si>
  <si>
    <t>Camias</t>
  </si>
  <si>
    <t>Felipe Astronomo</t>
  </si>
  <si>
    <t>Caluwasab</t>
  </si>
  <si>
    <t>Bernard Vaño</t>
  </si>
  <si>
    <t>Cepriano Bautista</t>
  </si>
  <si>
    <t>Nemia Josol</t>
  </si>
  <si>
    <t>Junbert Godes</t>
  </si>
  <si>
    <t>Tambook</t>
  </si>
  <si>
    <t>Jerry Enzo</t>
  </si>
  <si>
    <t>Conceso Lauit</t>
  </si>
  <si>
    <t>Servando Tuzon</t>
  </si>
  <si>
    <t>Myrna Hencianos</t>
  </si>
  <si>
    <t>Liandro Rabi</t>
  </si>
  <si>
    <t>Jaymar Marfe</t>
  </si>
  <si>
    <t>Joselito Odtohan</t>
  </si>
  <si>
    <t>Joseph Ian Samputon</t>
  </si>
  <si>
    <t>Rudy Bongato</t>
  </si>
  <si>
    <t>Armando Anunciado</t>
  </si>
  <si>
    <t>Jecjec Cagulang</t>
  </si>
  <si>
    <t>Pangihawan</t>
  </si>
  <si>
    <t>Crysti Hansol</t>
  </si>
  <si>
    <t>Marcelo Torrepalma</t>
  </si>
  <si>
    <t>Alex Auxterio</t>
  </si>
  <si>
    <t>Protacio Pescones</t>
  </si>
  <si>
    <t>Tubod Dako</t>
  </si>
  <si>
    <t>Ben Dinoy</t>
  </si>
  <si>
    <t>Nash Aparece</t>
  </si>
  <si>
    <t>Marcelino dela Torre</t>
  </si>
  <si>
    <t>Marvin Rey Lomod</t>
  </si>
  <si>
    <t>Jesniel Tosloc</t>
  </si>
  <si>
    <t>Dionisio Juaton</t>
  </si>
  <si>
    <t>Presco Alvar</t>
  </si>
  <si>
    <t>Benecio Rosello Sr.</t>
  </si>
  <si>
    <t>Conie Tago</t>
  </si>
  <si>
    <t>cabagakyan</t>
  </si>
  <si>
    <t>Ross Mar Pait</t>
  </si>
  <si>
    <t>Simeon Saldom</t>
  </si>
  <si>
    <t>Mark Bryling</t>
  </si>
  <si>
    <t>Ma. Niña Tumabang</t>
  </si>
  <si>
    <t>Magno Gaudicos</t>
  </si>
  <si>
    <t>Salvador Reyes Jr.</t>
  </si>
  <si>
    <t>Juanito Agon</t>
  </si>
  <si>
    <t>Campangga</t>
  </si>
  <si>
    <t>Barili, Cebu</t>
  </si>
  <si>
    <t>Arman Avenido</t>
  </si>
  <si>
    <t>Kabaguhan</t>
  </si>
  <si>
    <t>John Berdin</t>
  </si>
  <si>
    <t>Catalina Madriñan</t>
  </si>
  <si>
    <t>Aden Montejo</t>
  </si>
  <si>
    <t>Jhon Loyd Mangmang</t>
  </si>
  <si>
    <t>Janizer Suello</t>
  </si>
  <si>
    <t>Liza Lomotos</t>
  </si>
  <si>
    <t>Rosario</t>
  </si>
  <si>
    <t>Alfredo Chatto</t>
  </si>
  <si>
    <t>Antonio Orebello</t>
  </si>
  <si>
    <t>Bernardo Torrebio</t>
  </si>
  <si>
    <t>Monique Fernando</t>
  </si>
  <si>
    <t>Jhorjhette Salfucial</t>
  </si>
  <si>
    <t>Jaime Pescones</t>
  </si>
  <si>
    <t>Arman Degamo</t>
  </si>
  <si>
    <t>Joerey Rollon</t>
  </si>
  <si>
    <t>Servillo Rejas</t>
  </si>
  <si>
    <t>Joamar Evardo</t>
  </si>
  <si>
    <t>Perlita Melloria</t>
  </si>
  <si>
    <t>Bonifacio Sernada</t>
  </si>
  <si>
    <t>Prudencia Degamo</t>
  </si>
  <si>
    <t>Anatacia Omaña</t>
  </si>
  <si>
    <t>Joe Binal Butlig</t>
  </si>
  <si>
    <t>Fernando Laborte</t>
  </si>
  <si>
    <t>Rey Bonghanoy</t>
  </si>
  <si>
    <t>Langtad</t>
  </si>
  <si>
    <t>Edwin Agang</t>
  </si>
  <si>
    <t>Anacita Ajoc</t>
  </si>
  <si>
    <t>Jhon Mark Lamoste</t>
  </si>
  <si>
    <t>Marlon Dula</t>
  </si>
  <si>
    <t>Reynold Ronquillo</t>
  </si>
  <si>
    <t>Alfredo Curimatmat</t>
  </si>
  <si>
    <t>Conelio Tago</t>
  </si>
  <si>
    <t>Jesus Pesario</t>
  </si>
  <si>
    <t>Antonio Bongansoso</t>
  </si>
  <si>
    <t>Eldren Augis</t>
  </si>
  <si>
    <t>Carlito Romanda</t>
  </si>
  <si>
    <t>Rhea Lebasnon</t>
  </si>
  <si>
    <t>Sergio Bungasiso</t>
  </si>
  <si>
    <t>Bonifacio Bautista</t>
  </si>
  <si>
    <t>Filray Dano</t>
  </si>
  <si>
    <t>Larry Recto</t>
  </si>
  <si>
    <t>Alberto Apao</t>
  </si>
  <si>
    <t>Alvin Avenido</t>
  </si>
  <si>
    <t>Mahagbo</t>
  </si>
  <si>
    <t>Gelgar Tahanlangit</t>
  </si>
  <si>
    <t>Marciano Bongato</t>
  </si>
  <si>
    <t>Virgilio Alibo</t>
  </si>
  <si>
    <t>Leopoldo Beltran</t>
  </si>
  <si>
    <t>Mario Camilotes</t>
  </si>
  <si>
    <t>Sinacayan</t>
  </si>
  <si>
    <t>Jayson Lagrosa</t>
  </si>
  <si>
    <t>Benjie Puebla</t>
  </si>
  <si>
    <t>Martin Antiga</t>
  </si>
  <si>
    <t>Vallehermoso</t>
  </si>
  <si>
    <t>Juna Ring</t>
  </si>
  <si>
    <t>Reynaldo Tamondok</t>
  </si>
  <si>
    <t>Virgilio Burato</t>
  </si>
  <si>
    <t>Gina Maquiling</t>
  </si>
  <si>
    <t>Lito Lamoste</t>
  </si>
  <si>
    <t>Guillermo Genita</t>
  </si>
  <si>
    <t>Pure Moreno</t>
  </si>
  <si>
    <t>Paustino Pabe</t>
  </si>
  <si>
    <t>Remele Camacho</t>
  </si>
  <si>
    <t>Lowe Butron</t>
  </si>
  <si>
    <t>Krisloyd Abico</t>
  </si>
  <si>
    <t>Ananias Misa</t>
  </si>
  <si>
    <t>Mario Baguio</t>
  </si>
  <si>
    <t>Rolando Suaso</t>
  </si>
  <si>
    <t>Arnold Gentallan</t>
  </si>
  <si>
    <t>Aniceto Cristal</t>
  </si>
  <si>
    <t>Marianne Bonajos</t>
  </si>
  <si>
    <t>Melecio Morino</t>
  </si>
  <si>
    <t>Volteire Gonzales</t>
  </si>
  <si>
    <t>Tawid</t>
  </si>
  <si>
    <t>Chery Labastidad</t>
  </si>
  <si>
    <t>Judeme Maranga</t>
  </si>
  <si>
    <t>Randy Asoy</t>
  </si>
  <si>
    <t>Lovely Joy Gasco</t>
  </si>
  <si>
    <t>Ramonito Lopez</t>
  </si>
  <si>
    <t>Rey Pancho</t>
  </si>
  <si>
    <t>Mabuhay</t>
  </si>
  <si>
    <t>Wencislao Suhayon</t>
  </si>
  <si>
    <t>Henry Bastatas</t>
  </si>
  <si>
    <t>Delio Torreon</t>
  </si>
  <si>
    <t>Edward Pelesores</t>
  </si>
  <si>
    <t>Jeffrey Anunciado</t>
  </si>
  <si>
    <t>Joel Ganabe</t>
  </si>
  <si>
    <t>Catmonan</t>
  </si>
  <si>
    <t>Paul Joaquin Tecson</t>
  </si>
  <si>
    <t>Boy Lamoste</t>
  </si>
  <si>
    <t>Seresio Mejias</t>
  </si>
  <si>
    <t>Emilito Duallo</t>
  </si>
  <si>
    <t>Hermogenes Matela Sr.</t>
  </si>
  <si>
    <t>Daniel Pogoy</t>
  </si>
  <si>
    <t>Necifora Melagrosa</t>
  </si>
  <si>
    <t>Julito Aguilar</t>
  </si>
  <si>
    <t>Dennis Malabute</t>
  </si>
  <si>
    <t>Angilan</t>
  </si>
  <si>
    <t>Lene Terig</t>
  </si>
  <si>
    <t>Tirche Jubajib</t>
  </si>
  <si>
    <t>Antonio Balonga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</si>
  <si>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</si>
  <si>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</si>
  <si>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</si>
  <si>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</si>
  <si>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- Dimiao</t>
  </si>
  <si>
    <t>Joselito Salvacion</t>
  </si>
  <si>
    <t>Windyl Mejias</t>
  </si>
  <si>
    <t>PFO CEBU</t>
  </si>
  <si>
    <t>CEBU</t>
  </si>
  <si>
    <t>Edgar Delfin</t>
  </si>
  <si>
    <t>BFAR - 7, LDFF</t>
  </si>
  <si>
    <t>Camotes Island</t>
  </si>
  <si>
    <t>Expedito Otida</t>
  </si>
  <si>
    <t>LGU - Sierra Bullones</t>
  </si>
  <si>
    <t>Maretsam Miculob</t>
  </si>
  <si>
    <t>TARGET &amp; SAAD</t>
  </si>
  <si>
    <t>BISU - Calape Campus</t>
  </si>
  <si>
    <t>Isabel Destor</t>
  </si>
  <si>
    <t>LGU - Catigbian</t>
  </si>
  <si>
    <t>LGU - Maribojoc</t>
  </si>
  <si>
    <t>IA - Danao Lake Irrigators Association Inc.</t>
  </si>
  <si>
    <t>LGU - Bilar</t>
  </si>
  <si>
    <t>LGU - Batuan</t>
  </si>
  <si>
    <t>Antonino Pancho</t>
  </si>
  <si>
    <t>Candido Samijon</t>
  </si>
  <si>
    <r>
      <rPr>
        <b/>
        <i/>
        <sz val="11"/>
        <color theme="1"/>
        <rFont val="Calibri"/>
      </rPr>
      <t>78,500 pcs.</t>
    </r>
    <r>
      <rPr>
        <sz val="11"/>
        <color theme="1"/>
        <rFont val="Calibri"/>
      </rPr>
      <t xml:space="preserve"> (</t>
    </r>
    <r>
      <rPr>
        <i/>
        <sz val="11"/>
        <color theme="1"/>
        <rFont val="Calibri"/>
      </rPr>
      <t>Tilapia Fry/Fingerlings</t>
    </r>
    <r>
      <rPr>
        <sz val="11"/>
        <color theme="1"/>
        <rFont val="Calibri"/>
      </rPr>
      <t>)</t>
    </r>
  </si>
  <si>
    <r>
      <rPr>
        <b/>
        <i/>
        <sz val="11"/>
        <color theme="1"/>
        <rFont val="Calibri"/>
      </rPr>
      <t>530 pcs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(Tilapia Breeders)</t>
    </r>
  </si>
  <si>
    <t>December, 2020</t>
  </si>
  <si>
    <t>Fe Aimee Betaizar</t>
  </si>
  <si>
    <t>09463684202</t>
  </si>
  <si>
    <t>Anale Cabudbud</t>
  </si>
  <si>
    <t>09306735082</t>
  </si>
  <si>
    <t>09355476127</t>
  </si>
  <si>
    <t>Elixar Bagsarsa</t>
  </si>
  <si>
    <t>Londag</t>
  </si>
  <si>
    <t>09485457023</t>
  </si>
  <si>
    <t>Jojo Oronan</t>
  </si>
  <si>
    <t>09303830667</t>
  </si>
  <si>
    <t>Eutemia Silagan</t>
  </si>
  <si>
    <t>09096377296</t>
  </si>
  <si>
    <t>Elesio Mejorada</t>
  </si>
  <si>
    <t>09639002041</t>
  </si>
  <si>
    <t>Sheilla Casol</t>
  </si>
  <si>
    <t>09469090904</t>
  </si>
  <si>
    <t>John Carl Briones</t>
  </si>
  <si>
    <t>09461643316</t>
  </si>
  <si>
    <t>Marcelino Bague</t>
  </si>
  <si>
    <t>09385984916</t>
  </si>
  <si>
    <t>09385984917</t>
  </si>
  <si>
    <t>Peter John Sesnorio</t>
  </si>
  <si>
    <t>Basdio</t>
  </si>
  <si>
    <t>09481311043</t>
  </si>
  <si>
    <t>09512356451</t>
  </si>
  <si>
    <t>09512356452</t>
  </si>
  <si>
    <t>Joneray Gonzaga</t>
  </si>
  <si>
    <t xml:space="preserve">Maitum </t>
  </si>
  <si>
    <t>09204585887</t>
  </si>
  <si>
    <t>Charito Pigte</t>
  </si>
  <si>
    <t>09083110231</t>
  </si>
  <si>
    <t>Victoriano Sambayon</t>
  </si>
  <si>
    <t>09308793038</t>
  </si>
  <si>
    <t>Charlie James Lasconia</t>
  </si>
  <si>
    <t>09270778909</t>
  </si>
  <si>
    <t>Jovelie Fuentes</t>
  </si>
  <si>
    <t>09564859788</t>
  </si>
  <si>
    <t>Mark Casol</t>
  </si>
  <si>
    <t>Junryl Soliano</t>
  </si>
  <si>
    <t>Jovan Suaybagiou</t>
  </si>
  <si>
    <t>Edwin Euderes</t>
  </si>
  <si>
    <t>Marlon Mariquet</t>
  </si>
  <si>
    <t>09517130198</t>
  </si>
  <si>
    <t>Meniez Torregosa</t>
  </si>
  <si>
    <t>Amdronico Orevillo</t>
  </si>
  <si>
    <t>09338690697</t>
  </si>
  <si>
    <t>Vevencio Juyad</t>
  </si>
  <si>
    <t>Ducita</t>
  </si>
  <si>
    <t>Roland Bayron</t>
  </si>
  <si>
    <t>Christian Buton</t>
  </si>
  <si>
    <t>09055591347</t>
  </si>
  <si>
    <t>Roel Yabo</t>
  </si>
  <si>
    <t>09291398613</t>
  </si>
  <si>
    <t>Jiejo Diano</t>
  </si>
  <si>
    <t>Mahayag Sur</t>
  </si>
  <si>
    <t>09092255699</t>
  </si>
  <si>
    <t>09092923139</t>
  </si>
  <si>
    <t>John Bryan Namuag</t>
  </si>
  <si>
    <t>09483510115</t>
  </si>
  <si>
    <t>Rufino Paragoso</t>
  </si>
  <si>
    <t>09497931330</t>
  </si>
  <si>
    <t>Emeliza Nogalada</t>
  </si>
  <si>
    <t>La Paz</t>
  </si>
  <si>
    <t>09300913024</t>
  </si>
  <si>
    <t>09205150492</t>
  </si>
  <si>
    <t>Carlydon Calderon</t>
  </si>
  <si>
    <t>09505053735</t>
  </si>
  <si>
    <t>Claire Requirme</t>
  </si>
  <si>
    <t>09753880237</t>
  </si>
  <si>
    <t>09753880238</t>
  </si>
  <si>
    <t>Jolito Miano</t>
  </si>
  <si>
    <t>Nicanor Bitasolo</t>
  </si>
  <si>
    <t>09512350064</t>
  </si>
  <si>
    <t>Wencislao Niones</t>
  </si>
  <si>
    <t>09169737535</t>
  </si>
  <si>
    <t>Alfie Basmayor</t>
  </si>
  <si>
    <t>Norman Cortejos</t>
  </si>
  <si>
    <t>09098931067</t>
  </si>
  <si>
    <t>Al Gujol</t>
  </si>
  <si>
    <t>09206099078</t>
  </si>
  <si>
    <t>Elverio Maglajos</t>
  </si>
  <si>
    <t>Gregorio Refugio</t>
  </si>
  <si>
    <t>09283135701</t>
  </si>
  <si>
    <t>Christian Suarez</t>
  </si>
  <si>
    <t>Johnson Salem</t>
  </si>
  <si>
    <t>0909954039</t>
  </si>
  <si>
    <t>Glenn Abrau</t>
  </si>
  <si>
    <t xml:space="preserve">San Vicente </t>
  </si>
  <si>
    <t>09120150683</t>
  </si>
  <si>
    <t>Danyboy Adlaon</t>
  </si>
  <si>
    <t>09123297586</t>
  </si>
  <si>
    <t>Margarita Milla</t>
  </si>
  <si>
    <t>09067200185</t>
  </si>
  <si>
    <t>Wilfredo Linogao</t>
  </si>
  <si>
    <t>09487316281</t>
  </si>
  <si>
    <t>Roel Linogao</t>
  </si>
  <si>
    <t>Michael Comaling</t>
  </si>
  <si>
    <t>09306379569</t>
  </si>
  <si>
    <t>Arnel Ampo</t>
  </si>
  <si>
    <t>09462162132</t>
  </si>
  <si>
    <t>09399282972</t>
  </si>
  <si>
    <t>Ronel Odtohan</t>
  </si>
  <si>
    <t>09308257584</t>
  </si>
  <si>
    <t>09308257585</t>
  </si>
  <si>
    <t>Rolando Manatad</t>
  </si>
  <si>
    <t>Isagani Flores</t>
  </si>
  <si>
    <t>09099869724</t>
  </si>
  <si>
    <t>Michael Mundal</t>
  </si>
  <si>
    <t>09302485597</t>
  </si>
  <si>
    <t>Ruben Auntentico</t>
  </si>
  <si>
    <t>09095525597</t>
  </si>
  <si>
    <t>Daniel Piezas</t>
  </si>
  <si>
    <t>09498542951</t>
  </si>
  <si>
    <t>09508195265</t>
  </si>
  <si>
    <t>Ruel Batausa</t>
  </si>
  <si>
    <t>09297556538</t>
  </si>
  <si>
    <t>Julito Miano</t>
  </si>
  <si>
    <t>09482222418</t>
  </si>
  <si>
    <t>Gualberto Melencion</t>
  </si>
  <si>
    <t>Magkaya</t>
  </si>
  <si>
    <t>09262233580</t>
  </si>
  <si>
    <t>09262233581</t>
  </si>
  <si>
    <t>Jeremias Artiaga</t>
  </si>
  <si>
    <t>09175166140</t>
  </si>
  <si>
    <t>09198597655</t>
  </si>
  <si>
    <t>Jerson Atillo</t>
  </si>
  <si>
    <t>09455771429</t>
  </si>
  <si>
    <t>Morigo Margarito Jr.</t>
  </si>
  <si>
    <t>Alejandro Lonzaga</t>
  </si>
  <si>
    <t>09478780779</t>
  </si>
  <si>
    <t>09106226911</t>
  </si>
  <si>
    <t>Ricky Dañas</t>
  </si>
  <si>
    <t>09638737389</t>
  </si>
  <si>
    <t>Metodio Petalco</t>
  </si>
  <si>
    <t>09067050422</t>
  </si>
  <si>
    <t>Alliord Lauronal</t>
  </si>
  <si>
    <t>09122590766</t>
  </si>
  <si>
    <t>Ana Catheren Subsuban</t>
  </si>
  <si>
    <t>09155488348</t>
  </si>
  <si>
    <t>Randy Exclamador</t>
  </si>
  <si>
    <t>09092285471</t>
  </si>
  <si>
    <t>Dario Coure</t>
  </si>
  <si>
    <t>09385137170</t>
  </si>
  <si>
    <t>09105006080</t>
  </si>
  <si>
    <t>Nestor Ayuban</t>
  </si>
  <si>
    <t>09389021270</t>
  </si>
  <si>
    <t>Roy Bahinting</t>
  </si>
  <si>
    <t>09534214405</t>
  </si>
  <si>
    <t>Jeffrey Prito</t>
  </si>
  <si>
    <t>Mark Arapoc</t>
  </si>
  <si>
    <t>Tiptip</t>
  </si>
  <si>
    <t>09178126649</t>
  </si>
  <si>
    <t>09207825979</t>
  </si>
  <si>
    <t>Deo Rulona</t>
  </si>
  <si>
    <t>09508835001</t>
  </si>
  <si>
    <t>Aldren Iyana</t>
  </si>
  <si>
    <t>09482255259</t>
  </si>
  <si>
    <t>Leonor Estrelloso</t>
  </si>
  <si>
    <t>09655664318</t>
  </si>
  <si>
    <t>Renante Madura</t>
  </si>
  <si>
    <t>09298525008</t>
  </si>
  <si>
    <t>Lino Lacea</t>
  </si>
  <si>
    <t>Hanopol Norte</t>
  </si>
  <si>
    <t>09462294888</t>
  </si>
  <si>
    <t>Mark Puiren</t>
  </si>
  <si>
    <t>09507709092</t>
  </si>
  <si>
    <t>Marissa Moreno</t>
  </si>
  <si>
    <t>09073880545</t>
  </si>
  <si>
    <t>09488607474</t>
  </si>
  <si>
    <t>Roberto Butal</t>
  </si>
  <si>
    <t>09512354296</t>
  </si>
  <si>
    <t>Edgardo Mier</t>
  </si>
  <si>
    <t>09101725682</t>
  </si>
  <si>
    <t>09101725683</t>
  </si>
  <si>
    <t>Wilbert Dapar</t>
  </si>
  <si>
    <t>09388290865</t>
  </si>
  <si>
    <t>Jayson Enad</t>
  </si>
  <si>
    <t>09462963996</t>
  </si>
  <si>
    <t>Leo Doysabas</t>
  </si>
  <si>
    <t>09296475162</t>
  </si>
  <si>
    <t>Luciano Batoon</t>
  </si>
  <si>
    <t xml:space="preserve">Quirino </t>
  </si>
  <si>
    <t>09481065926</t>
  </si>
  <si>
    <t>Edgardo Batinggal</t>
  </si>
  <si>
    <t>Cabod</t>
  </si>
  <si>
    <t>Rogelio Sagliba</t>
  </si>
  <si>
    <t>09467620159</t>
  </si>
  <si>
    <t>Reneil Baba</t>
  </si>
  <si>
    <t>Eufemio Paderog</t>
  </si>
  <si>
    <t>09473479479</t>
  </si>
  <si>
    <t>Earl Lacierda</t>
  </si>
  <si>
    <t>Abucayan</t>
  </si>
  <si>
    <t>09166824667</t>
  </si>
  <si>
    <t>09355276121</t>
  </si>
  <si>
    <t>Waren Lofranco</t>
  </si>
  <si>
    <t>Suwa</t>
  </si>
  <si>
    <t>Glenn Torreon</t>
  </si>
  <si>
    <t>Cantigib</t>
  </si>
  <si>
    <t>09106726119</t>
  </si>
  <si>
    <t>09122241135</t>
  </si>
  <si>
    <t>09122241136</t>
  </si>
  <si>
    <t>Virginia Madanggit</t>
  </si>
  <si>
    <t>090727821214</t>
  </si>
  <si>
    <t>09771607276</t>
  </si>
  <si>
    <t>Felix Gujil</t>
  </si>
  <si>
    <t>09753211656</t>
  </si>
  <si>
    <t>Leoncio Lodripas Jr.</t>
  </si>
  <si>
    <t>Jose Sarvida</t>
  </si>
  <si>
    <t>Exequela Pracullos</t>
  </si>
  <si>
    <t>Floro Morgia</t>
  </si>
  <si>
    <t>Jay Vallendo</t>
  </si>
  <si>
    <t>Jhongi Baay</t>
  </si>
  <si>
    <t>Julito Purog</t>
  </si>
  <si>
    <t>Calvasan</t>
  </si>
  <si>
    <t>Carlito Bulawan</t>
  </si>
  <si>
    <t>09753133220</t>
  </si>
  <si>
    <t>Sergio Bunajos</t>
  </si>
  <si>
    <t>09634487998</t>
  </si>
  <si>
    <t>Miguel Montuya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</si>
  <si>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</si>
  <si>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</si>
  <si>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</si>
  <si>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</si>
  <si>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Matin-ao Small Irrigation Assoc. (MSIA)</t>
  </si>
  <si>
    <t>09108585722</t>
  </si>
  <si>
    <t xml:space="preserve">LGU - Valencia </t>
  </si>
  <si>
    <t>09579315579</t>
  </si>
  <si>
    <r>
      <rPr>
        <b/>
        <i/>
        <sz val="11"/>
        <color theme="1"/>
        <rFont val="Calibri"/>
      </rPr>
      <t>78,500 pcs.</t>
    </r>
    <r>
      <rPr>
        <sz val="11"/>
        <color theme="1"/>
        <rFont val="Calibri"/>
      </rPr>
      <t xml:space="preserve"> (</t>
    </r>
    <r>
      <rPr>
        <i/>
        <sz val="11"/>
        <color theme="1"/>
        <rFont val="Calibri"/>
      </rPr>
      <t>Tilapia Fry/Fingerlings</t>
    </r>
    <r>
      <rPr>
        <sz val="11"/>
        <color theme="1"/>
        <rFont val="Calibri"/>
      </rPr>
      <t>)</t>
    </r>
  </si>
  <si>
    <r>
      <rPr>
        <b/>
        <i/>
        <sz val="11"/>
        <color theme="1"/>
        <rFont val="Calibri"/>
      </rPr>
      <t>530 pcs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(Tilapia Breeders)</t>
    </r>
  </si>
  <si>
    <t>FEBRUARY</t>
  </si>
  <si>
    <t>JUNE</t>
  </si>
  <si>
    <t>AUGUST</t>
  </si>
  <si>
    <t>SEPTEMBER</t>
  </si>
  <si>
    <t>OCTOBER</t>
  </si>
  <si>
    <t>NOVEMBER</t>
  </si>
  <si>
    <t>DECEMBER</t>
  </si>
  <si>
    <t>Nestor Ayubin</t>
  </si>
  <si>
    <t>2020 CFFF PRODUCTION</t>
  </si>
  <si>
    <t>Date</t>
  </si>
  <si>
    <t>Sword</t>
  </si>
  <si>
    <t>Jan. 1-7</t>
  </si>
  <si>
    <t>Jan. 8-12</t>
  </si>
  <si>
    <t>Jan. 16-20</t>
  </si>
  <si>
    <t>Jan. 21-29</t>
  </si>
  <si>
    <t>Feb. 3-5</t>
  </si>
  <si>
    <t>Feb. 5-12</t>
  </si>
  <si>
    <t>Feb. 12-13</t>
  </si>
  <si>
    <t>Feb. 13-17</t>
  </si>
  <si>
    <t>Feb. 18-20</t>
  </si>
  <si>
    <t>Feb. 20-26</t>
  </si>
  <si>
    <t>Feb. 27</t>
  </si>
  <si>
    <t>Mar. 2-5</t>
  </si>
  <si>
    <t>March 9-12</t>
  </si>
  <si>
    <t>Mar. 13-16</t>
  </si>
  <si>
    <t>March 18-20</t>
  </si>
  <si>
    <t>March 20-26</t>
  </si>
  <si>
    <t>March 30-31</t>
  </si>
  <si>
    <t>April 1-8</t>
  </si>
  <si>
    <t>April 8-14</t>
  </si>
  <si>
    <t>Apr 16-21</t>
  </si>
  <si>
    <t>Apr 21-24</t>
  </si>
  <si>
    <t>Apr 25-28</t>
  </si>
  <si>
    <t>May 4-5</t>
  </si>
  <si>
    <t>May 6-8</t>
  </si>
  <si>
    <t>May 9-13</t>
  </si>
  <si>
    <t>May 15-19</t>
  </si>
  <si>
    <t>May 26-27</t>
  </si>
  <si>
    <t>June 2-6</t>
  </si>
  <si>
    <t>June 7-10</t>
  </si>
  <si>
    <t>June 16-17</t>
  </si>
  <si>
    <t>June 18-19</t>
  </si>
  <si>
    <t>June 20-26</t>
  </si>
  <si>
    <t>July 1-6</t>
  </si>
  <si>
    <t>July 7-13</t>
  </si>
  <si>
    <t>July 14-15</t>
  </si>
  <si>
    <t>July 16-17</t>
  </si>
  <si>
    <t>July 18-28</t>
  </si>
  <si>
    <t>August 4-8</t>
  </si>
  <si>
    <t>Aug. 10</t>
  </si>
  <si>
    <t>Aug 11-12</t>
  </si>
  <si>
    <t>Aug 12-15</t>
  </si>
  <si>
    <t>Aug. 16-17</t>
  </si>
  <si>
    <t>Aug 18-19</t>
  </si>
  <si>
    <t>Aug 21-23</t>
  </si>
  <si>
    <t>Aug 25-27</t>
  </si>
  <si>
    <t>Sep 1-6</t>
  </si>
  <si>
    <t>Sep 7-8</t>
  </si>
  <si>
    <t>Sep 11-13</t>
  </si>
  <si>
    <t>Sep 14-16</t>
  </si>
  <si>
    <t>Sep 17-20</t>
  </si>
  <si>
    <t>Sep 21-25</t>
  </si>
  <si>
    <t>October 1-4</t>
  </si>
  <si>
    <t>Oct 5-7</t>
  </si>
  <si>
    <t>Oct 7-9</t>
  </si>
  <si>
    <t>Oct 10-13</t>
  </si>
  <si>
    <t>Oct 14-23</t>
  </si>
  <si>
    <t>Oct 24-28</t>
  </si>
  <si>
    <t>Tilapia breeders</t>
  </si>
  <si>
    <t>Nov 4-6</t>
  </si>
  <si>
    <t>LDFF</t>
  </si>
  <si>
    <t>Nov 7-9</t>
  </si>
  <si>
    <t>Causin</t>
  </si>
  <si>
    <t>Nov 14-17</t>
  </si>
  <si>
    <t>Nov 18-23</t>
  </si>
  <si>
    <t>Nov 24-25</t>
  </si>
  <si>
    <t>Dec 2-4</t>
  </si>
  <si>
    <t>Dec 7-8</t>
  </si>
  <si>
    <t>Dec 10-15</t>
  </si>
  <si>
    <t>Dec 21-22</t>
  </si>
  <si>
    <t>TOTAL Produced</t>
  </si>
  <si>
    <t>% Accomp</t>
  </si>
  <si>
    <t>Total Distributed</t>
  </si>
  <si>
    <t>Total Production</t>
  </si>
  <si>
    <t>May 26-28</t>
  </si>
  <si>
    <t>Aug 16-17</t>
  </si>
  <si>
    <t>Oct 1-4</t>
  </si>
  <si>
    <t>Nov 12-25</t>
  </si>
  <si>
    <t>Dec 2-22</t>
  </si>
  <si>
    <t>COMMODITY</t>
  </si>
  <si>
    <t>JANUARY</t>
  </si>
  <si>
    <t>MARCH</t>
  </si>
  <si>
    <t>APRIL</t>
  </si>
  <si>
    <t>MAY</t>
  </si>
  <si>
    <t>JULY</t>
  </si>
  <si>
    <t>TOTAL DISTRIBUTED</t>
  </si>
  <si>
    <t>TOTAL PRODUCTION</t>
  </si>
  <si>
    <t>FRESHWATER PRAWN</t>
  </si>
  <si>
    <t>CATFISH</t>
  </si>
  <si>
    <r>
      <rPr>
        <b/>
        <sz val="13"/>
        <color theme="1"/>
        <rFont val="Calibri"/>
      </rPr>
      <t>1</t>
    </r>
    <r>
      <rPr>
        <b/>
        <vertAlign val="superscript"/>
        <sz val="13"/>
        <color theme="1"/>
        <rFont val="Calibri"/>
      </rPr>
      <t>st</t>
    </r>
    <r>
      <rPr>
        <b/>
        <sz val="13"/>
        <color theme="1"/>
        <rFont val="Calibri"/>
      </rPr>
      <t xml:space="preserve"> DISTRICT</t>
    </r>
  </si>
  <si>
    <r>
      <rPr>
        <b/>
        <sz val="13"/>
        <color theme="1"/>
        <rFont val="Calibri"/>
      </rPr>
      <t>2</t>
    </r>
    <r>
      <rPr>
        <b/>
        <vertAlign val="superscript"/>
        <sz val="13"/>
        <color theme="1"/>
        <rFont val="Calibri"/>
      </rPr>
      <t>nd</t>
    </r>
    <r>
      <rPr>
        <b/>
        <sz val="13"/>
        <color theme="1"/>
        <rFont val="Calibri"/>
      </rPr>
      <t xml:space="preserve"> DISTRICT</t>
    </r>
  </si>
  <si>
    <r>
      <rPr>
        <b/>
        <sz val="13"/>
        <color theme="1"/>
        <rFont val="Calibri"/>
      </rPr>
      <t>3</t>
    </r>
    <r>
      <rPr>
        <b/>
        <vertAlign val="superscript"/>
        <sz val="13"/>
        <color theme="1"/>
        <rFont val="Calibri"/>
      </rPr>
      <t>rd</t>
    </r>
    <r>
      <rPr>
        <b/>
        <sz val="13"/>
        <color theme="1"/>
        <rFont val="Calibri"/>
      </rPr>
      <t xml:space="preserve"> DISTRICT</t>
    </r>
  </si>
  <si>
    <t>President Garcia</t>
  </si>
  <si>
    <t>Loay</t>
  </si>
  <si>
    <t>Tagbilaran City</t>
  </si>
  <si>
    <r>
      <rPr>
        <b/>
        <sz val="13"/>
        <color theme="1"/>
        <rFont val="Calibri"/>
      </rPr>
      <t>1</t>
    </r>
    <r>
      <rPr>
        <b/>
        <vertAlign val="superscript"/>
        <sz val="13"/>
        <color theme="1"/>
        <rFont val="Calibri"/>
      </rPr>
      <t>st</t>
    </r>
    <r>
      <rPr>
        <b/>
        <sz val="13"/>
        <color theme="1"/>
        <rFont val="Calibri"/>
      </rPr>
      <t xml:space="preserve"> DISTRICT</t>
    </r>
  </si>
  <si>
    <t>2020 TILAPIA MONTHLY DISPERSAL</t>
  </si>
  <si>
    <r>
      <rPr>
        <b/>
        <sz val="13"/>
        <color theme="1"/>
        <rFont val="Calibri"/>
      </rPr>
      <t>1</t>
    </r>
    <r>
      <rPr>
        <b/>
        <vertAlign val="superscript"/>
        <sz val="13"/>
        <color theme="1"/>
        <rFont val="Calibri"/>
      </rPr>
      <t>st</t>
    </r>
    <r>
      <rPr>
        <b/>
        <sz val="13"/>
        <color theme="1"/>
        <rFont val="Calibri"/>
      </rPr>
      <t xml:space="preserve"> DISTRICT</t>
    </r>
  </si>
  <si>
    <t>JAN</t>
  </si>
  <si>
    <t>FEB</t>
  </si>
  <si>
    <t>MAR</t>
  </si>
  <si>
    <t>APR</t>
  </si>
  <si>
    <t>AUG</t>
  </si>
  <si>
    <t>SEPT</t>
  </si>
  <si>
    <t>OCT</t>
  </si>
  <si>
    <t>NOV</t>
  </si>
  <si>
    <t>DEC</t>
  </si>
  <si>
    <t>TILAPIA MONTHLY DISPERSAL</t>
  </si>
  <si>
    <r>
      <rPr>
        <b/>
        <sz val="13"/>
        <color theme="1"/>
        <rFont val="Calibri"/>
      </rPr>
      <t>2</t>
    </r>
    <r>
      <rPr>
        <b/>
        <vertAlign val="superscript"/>
        <sz val="13"/>
        <color theme="1"/>
        <rFont val="Calibri"/>
      </rPr>
      <t>nd</t>
    </r>
    <r>
      <rPr>
        <b/>
        <sz val="13"/>
        <color theme="1"/>
        <rFont val="Calibri"/>
      </rPr>
      <t xml:space="preserve"> DISTRICT</t>
    </r>
  </si>
  <si>
    <r>
      <rPr>
        <b/>
        <sz val="13"/>
        <color theme="1"/>
        <rFont val="Calibri"/>
      </rPr>
      <t>3</t>
    </r>
    <r>
      <rPr>
        <b/>
        <vertAlign val="superscript"/>
        <sz val="13"/>
        <color theme="1"/>
        <rFont val="Calibri"/>
      </rPr>
      <t>rd</t>
    </r>
    <r>
      <rPr>
        <b/>
        <sz val="13"/>
        <color theme="1"/>
        <rFont val="Calibri"/>
      </rPr>
      <t xml:space="preserve"> DISTRICT</t>
    </r>
  </si>
  <si>
    <t>REGION 7 - 2020 MONTHLY TILAPIA PRODUCTION</t>
  </si>
  <si>
    <t>MONTH</t>
  </si>
  <si>
    <t>CFFF, Clarin</t>
  </si>
  <si>
    <t>LDFF, Camotes</t>
  </si>
  <si>
    <t>UBFF - Ubay</t>
  </si>
  <si>
    <t>DISTRIBUTED</t>
  </si>
  <si>
    <t>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</si>
</sst>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[$-409]d\-mmm\-yyyy"/>
    <numFmt numFmtId="166" formatCode="_(* #,##0.00_);_(* \(#,##0.00\);_(* &quot;-&quot;??_);_(@_)"/>
    <numFmt numFmtId="167" formatCode="m/d/yyyy"/>
    <numFmt numFmtId="168" formatCode="#,##0.0"/>
    <numFmt numFmtId="169" formatCode="_(* #,##0.0_);_(* \(#,##0.0\);_(* &quot;-&quot;?_);_(@_)"/>
    <numFmt numFmtId="170" formatCode="_(* #,##0_);_(* \(#,##0\);_(* &quot;-&quot;?_);_(@_)"/>
  </numFmts>
  <fonts count="65">
    <font>
      <sz val="11"/>
      <color theme="1"/>
      <name val="Calibri"/>
      <scheme val="minor"/>
    </font>
    <font>
      <b/>
      <sz val="18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14"/>
      <color theme="1"/>
      <name val="Arial"/>
    </font>
    <font>
      <sz val="9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sz val="11"/>
      <name val="Calibri"/>
    </font>
    <font>
      <b/>
      <sz val="8"/>
      <color theme="1"/>
      <name val="Arial"/>
    </font>
    <font>
      <b/>
      <sz val="9"/>
      <color theme="1"/>
      <name val="Arial"/>
    </font>
    <font>
      <sz val="8"/>
      <color theme="1"/>
      <name val="Arial"/>
    </font>
    <font>
      <b/>
      <sz val="11"/>
      <color theme="1"/>
      <name val="Calibri"/>
    </font>
    <font>
      <sz val="11"/>
      <color rgb="FFFF0000"/>
      <name val="Calibri"/>
    </font>
    <font>
      <b/>
      <sz val="13"/>
      <color theme="1"/>
      <name val="Arial"/>
    </font>
    <font>
      <sz val="13"/>
      <color theme="1"/>
      <name val="Calibri"/>
    </font>
    <font>
      <b/>
      <sz val="13"/>
      <color theme="1"/>
      <name val="Calibri"/>
    </font>
    <font>
      <b/>
      <sz val="13"/>
      <color theme="1"/>
      <name val="Cambria"/>
    </font>
    <font>
      <b/>
      <i/>
      <sz val="13"/>
      <color theme="1"/>
      <name val="Calibri"/>
    </font>
    <font>
      <b/>
      <u/>
      <sz val="9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9"/>
      <color theme="1"/>
      <name val="Arial"/>
    </font>
    <font>
      <b/>
      <u/>
      <sz val="9"/>
      <color theme="1"/>
      <name val="Arial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u/>
      <sz val="9"/>
      <color theme="1"/>
      <name val="Arial"/>
    </font>
    <font>
      <b/>
      <i/>
      <sz val="11"/>
      <color rgb="FFFF0000"/>
      <name val="Calibri"/>
    </font>
    <font>
      <b/>
      <sz val="12"/>
      <color theme="1"/>
      <name val="Calibri"/>
    </font>
    <font>
      <b/>
      <u/>
      <sz val="9"/>
      <color theme="1"/>
      <name val="Arial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1"/>
      <color theme="0"/>
      <name val="Calibri"/>
    </font>
    <font>
      <b/>
      <i/>
      <sz val="10"/>
      <color theme="1"/>
      <name val="Arial"/>
    </font>
    <font>
      <b/>
      <u/>
      <sz val="11"/>
      <color theme="1"/>
      <name val="Calibri"/>
    </font>
    <font>
      <sz val="12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sz val="11"/>
      <color rgb="FF0070C0"/>
      <name val="Calibri"/>
    </font>
    <font>
      <b/>
      <i/>
      <sz val="11"/>
      <color rgb="FF1F497D"/>
      <name val="Calibri"/>
    </font>
    <font>
      <b/>
      <i/>
      <sz val="10"/>
      <color rgb="FF0070C0"/>
      <name val="Arial"/>
    </font>
    <font>
      <sz val="10"/>
      <color rgb="FF0070C0"/>
      <name val="Arial"/>
    </font>
    <font>
      <b/>
      <i/>
      <sz val="10"/>
      <color rgb="FFFF0000"/>
      <name val="Arial"/>
    </font>
    <font>
      <b/>
      <sz val="15"/>
      <color theme="1"/>
      <name val="Cambria"/>
    </font>
    <font>
      <b/>
      <sz val="14"/>
      <color theme="1"/>
      <name val="Calibri"/>
    </font>
    <font>
      <sz val="13"/>
      <color rgb="FFFF0000"/>
      <name val="Calibri"/>
    </font>
    <font>
      <b/>
      <sz val="13"/>
      <color rgb="FFFF0000"/>
      <name val="Calibri"/>
    </font>
    <font>
      <sz val="13"/>
      <color rgb="FF00B0F0"/>
      <name val="Calibri"/>
    </font>
    <font>
      <b/>
      <sz val="13"/>
      <color rgb="FF00B0F0"/>
      <name val="Calibri"/>
    </font>
    <font>
      <b/>
      <sz val="13"/>
      <color rgb="FF7030A0"/>
      <name val="Calibri"/>
    </font>
    <font>
      <sz val="13"/>
      <color rgb="FFFFFF00"/>
      <name val="Calibri"/>
    </font>
    <font>
      <b/>
      <sz val="13"/>
      <color rgb="FFFFFF00"/>
      <name val="Calibri"/>
    </font>
    <font>
      <sz val="11"/>
      <color rgb="FFDDD9C3"/>
      <name val="Calibri"/>
    </font>
    <font>
      <sz val="11"/>
      <color rgb="FFD8D8D8"/>
      <name val="Calibri"/>
    </font>
    <font>
      <b/>
      <i/>
      <sz val="20"/>
      <color rgb="FF1F497D"/>
      <name val="Cambria"/>
    </font>
    <font>
      <i/>
      <sz val="20"/>
      <color rgb="FF1F497D"/>
      <name val="Cambria"/>
    </font>
    <font>
      <b/>
      <i/>
      <sz val="15"/>
      <color rgb="FF1F497D"/>
      <name val="Calibri"/>
    </font>
    <font>
      <i/>
      <sz val="10"/>
      <color rgb="FFDDD9C3"/>
      <name val="Calibri"/>
    </font>
    <font>
      <b/>
      <i/>
      <sz val="15"/>
      <color theme="1"/>
      <name val="Calibri"/>
    </font>
    <font>
      <b/>
      <sz val="15"/>
      <color theme="1"/>
      <name val="Calibri"/>
    </font>
    <font>
      <u/>
      <sz val="10"/>
      <color theme="1"/>
      <name val="Arial"/>
    </font>
    <font>
      <u/>
      <sz val="9"/>
      <color theme="1"/>
      <name val="Arial"/>
    </font>
    <font>
      <i/>
      <sz val="10"/>
      <color theme="1"/>
      <name val="Arial"/>
    </font>
    <font>
      <b/>
      <vertAlign val="superscript"/>
      <sz val="13"/>
      <color theme="1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theme="8"/>
        <bgColor theme="8"/>
      </patternFill>
    </fill>
    <fill>
      <patternFill patternType="solid">
        <fgColor rgb="FFD99594"/>
        <bgColor rgb="FFD99594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DAEEF3"/>
        <bgColor rgb="FFDAEEF3"/>
      </patternFill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8DB3E2"/>
        <bgColor rgb="FF8DB3E2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5F497A"/>
        <bgColor rgb="FF5F497A"/>
      </patternFill>
    </fill>
    <fill>
      <patternFill patternType="solid">
        <fgColor rgb="FF00B050"/>
        <bgColor rgb="FF00B05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  <fill>
      <patternFill patternType="solid">
        <fgColor rgb="FFE5DFEC"/>
        <bgColor rgb="FFE5DFEC"/>
      </patternFill>
    </fill>
    <fill>
      <patternFill patternType="solid">
        <fgColor rgb="FFB6DDE8"/>
        <bgColor rgb="FFB6DDE8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35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38" fontId="5" fillId="0" borderId="0" xfId="0" applyNumberFormat="1" applyFont="1"/>
    <xf numFmtId="166" fontId="5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166" fontId="5" fillId="0" borderId="4" xfId="0" applyNumberFormat="1" applyFont="1" applyBorder="1"/>
    <xf numFmtId="0" fontId="6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166" fontId="5" fillId="0" borderId="2" xfId="0" applyNumberFormat="1" applyFont="1" applyBorder="1"/>
    <xf numFmtId="0" fontId="7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9" fillId="0" borderId="12" xfId="0" applyFont="1" applyBorder="1"/>
    <xf numFmtId="0" fontId="5" fillId="0" borderId="12" xfId="0" applyFont="1" applyBorder="1" applyAlignment="1">
      <alignment horizontal="right"/>
    </xf>
    <xf numFmtId="38" fontId="10" fillId="0" borderId="4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0" fontId="2" fillId="0" borderId="12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9" fillId="0" borderId="4" xfId="0" applyFont="1" applyBorder="1"/>
    <xf numFmtId="166" fontId="10" fillId="0" borderId="4" xfId="0" applyNumberFormat="1" applyFont="1" applyBorder="1"/>
    <xf numFmtId="0" fontId="3" fillId="0" borderId="13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7" fillId="0" borderId="5" xfId="0" applyFont="1" applyBorder="1"/>
    <xf numFmtId="0" fontId="10" fillId="0" borderId="5" xfId="0" applyFont="1" applyBorder="1" applyAlignment="1">
      <alignment horizontal="right"/>
    </xf>
    <xf numFmtId="38" fontId="10" fillId="0" borderId="6" xfId="0" applyNumberFormat="1" applyFont="1" applyBorder="1" applyAlignment="1">
      <alignment horizontal="center"/>
    </xf>
    <xf numFmtId="166" fontId="10" fillId="0" borderId="5" xfId="0" applyNumberFormat="1" applyFont="1" applyBorder="1"/>
    <xf numFmtId="0" fontId="7" fillId="0" borderId="5" xfId="0" applyFont="1" applyBorder="1" applyAlignment="1">
      <alignment horizontal="center"/>
    </xf>
    <xf numFmtId="0" fontId="11" fillId="0" borderId="14" xfId="0" applyFont="1" applyBorder="1"/>
    <xf numFmtId="0" fontId="3" fillId="0" borderId="14" xfId="0" applyFont="1" applyBorder="1"/>
    <xf numFmtId="166" fontId="3" fillId="0" borderId="14" xfId="0" applyNumberFormat="1" applyFont="1" applyBorder="1"/>
    <xf numFmtId="0" fontId="3" fillId="0" borderId="14" xfId="0" applyFont="1" applyBorder="1" applyAlignment="1">
      <alignment horizontal="center"/>
    </xf>
    <xf numFmtId="3" fontId="3" fillId="0" borderId="14" xfId="0" applyNumberFormat="1" applyFont="1" applyBorder="1"/>
    <xf numFmtId="3" fontId="3" fillId="0" borderId="14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0" fontId="12" fillId="0" borderId="14" xfId="0" applyFont="1" applyBorder="1"/>
    <xf numFmtId="3" fontId="3" fillId="0" borderId="0" xfId="0" applyNumberFormat="1" applyFont="1"/>
    <xf numFmtId="164" fontId="12" fillId="0" borderId="14" xfId="0" applyNumberFormat="1" applyFont="1" applyBorder="1"/>
    <xf numFmtId="3" fontId="13" fillId="0" borderId="0" xfId="0" applyNumberFormat="1" applyFont="1"/>
    <xf numFmtId="0" fontId="3" fillId="0" borderId="15" xfId="0" applyFont="1" applyBorder="1"/>
    <xf numFmtId="3" fontId="3" fillId="0" borderId="15" xfId="0" applyNumberFormat="1" applyFont="1" applyBorder="1"/>
    <xf numFmtId="166" fontId="3" fillId="0" borderId="15" xfId="0" applyNumberFormat="1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/>
    <xf numFmtId="166" fontId="3" fillId="0" borderId="5" xfId="0" applyNumberFormat="1" applyFont="1" applyBorder="1"/>
    <xf numFmtId="0" fontId="3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right"/>
    </xf>
    <xf numFmtId="3" fontId="12" fillId="0" borderId="14" xfId="0" applyNumberFormat="1" applyFont="1" applyBorder="1"/>
    <xf numFmtId="0" fontId="15" fillId="0" borderId="14" xfId="0" applyFont="1" applyBorder="1"/>
    <xf numFmtId="3" fontId="15" fillId="0" borderId="14" xfId="0" applyNumberFormat="1" applyFont="1" applyBorder="1"/>
    <xf numFmtId="0" fontId="16" fillId="0" borderId="14" xfId="0" applyFont="1" applyBorder="1" applyAlignment="1">
      <alignment horizontal="right"/>
    </xf>
    <xf numFmtId="3" fontId="16" fillId="0" borderId="14" xfId="0" applyNumberFormat="1" applyFont="1" applyBorder="1"/>
    <xf numFmtId="0" fontId="16" fillId="0" borderId="14" xfId="0" applyFont="1" applyBorder="1"/>
    <xf numFmtId="164" fontId="3" fillId="0" borderId="5" xfId="0" applyNumberFormat="1" applyFont="1" applyBorder="1"/>
    <xf numFmtId="164" fontId="3" fillId="0" borderId="14" xfId="0" applyNumberFormat="1" applyFont="1" applyBorder="1"/>
    <xf numFmtId="164" fontId="3" fillId="0" borderId="15" xfId="0" applyNumberFormat="1" applyFont="1" applyBorder="1"/>
    <xf numFmtId="0" fontId="18" fillId="0" borderId="14" xfId="0" applyFont="1" applyBorder="1" applyAlignment="1">
      <alignment horizontal="right"/>
    </xf>
    <xf numFmtId="0" fontId="16" fillId="0" borderId="14" xfId="0" applyFont="1" applyBorder="1" applyAlignment="1">
      <alignment horizontal="center"/>
    </xf>
    <xf numFmtId="0" fontId="13" fillId="0" borderId="5" xfId="0" applyFont="1" applyBorder="1"/>
    <xf numFmtId="0" fontId="2" fillId="0" borderId="14" xfId="0" applyFont="1" applyBorder="1" applyAlignment="1">
      <alignment horizontal="center"/>
    </xf>
    <xf numFmtId="0" fontId="7" fillId="0" borderId="14" xfId="0" applyFont="1" applyBorder="1"/>
    <xf numFmtId="166" fontId="3" fillId="0" borderId="0" xfId="0" applyNumberFormat="1" applyFont="1"/>
    <xf numFmtId="166" fontId="10" fillId="0" borderId="0" xfId="0" applyNumberFormat="1" applyFont="1"/>
    <xf numFmtId="0" fontId="5" fillId="0" borderId="0" xfId="0" applyFont="1"/>
    <xf numFmtId="0" fontId="19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center"/>
    </xf>
    <xf numFmtId="166" fontId="22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3" fontId="23" fillId="0" borderId="0" xfId="0" applyNumberFormat="1" applyFont="1" applyAlignment="1">
      <alignment horizontal="left"/>
    </xf>
    <xf numFmtId="3" fontId="5" fillId="0" borderId="0" xfId="0" applyNumberFormat="1" applyFont="1"/>
    <xf numFmtId="0" fontId="7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right"/>
    </xf>
    <xf numFmtId="0" fontId="2" fillId="0" borderId="11" xfId="0" applyFont="1" applyBorder="1"/>
    <xf numFmtId="0" fontId="24" fillId="0" borderId="4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9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4" fontId="3" fillId="0" borderId="2" xfId="0" applyNumberFormat="1" applyFont="1" applyBorder="1"/>
    <xf numFmtId="0" fontId="10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3" fontId="9" fillId="0" borderId="4" xfId="0" applyNumberFormat="1" applyFont="1" applyBorder="1" applyAlignment="1">
      <alignment horizontal="center"/>
    </xf>
    <xf numFmtId="4" fontId="10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9" fillId="0" borderId="12" xfId="0" applyFont="1" applyBorder="1" applyAlignment="1">
      <alignment horizontal="right"/>
    </xf>
    <xf numFmtId="4" fontId="7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7" fillId="0" borderId="5" xfId="0" applyFont="1" applyBorder="1" applyAlignment="1">
      <alignment horizontal="right"/>
    </xf>
    <xf numFmtId="3" fontId="9" fillId="0" borderId="6" xfId="0" applyNumberFormat="1" applyFont="1" applyBorder="1" applyAlignment="1">
      <alignment horizontal="center"/>
    </xf>
    <xf numFmtId="4" fontId="7" fillId="0" borderId="5" xfId="0" applyNumberFormat="1" applyFont="1" applyBorder="1"/>
    <xf numFmtId="0" fontId="11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4" fontId="3" fillId="0" borderId="14" xfId="0" applyNumberFormat="1" applyFont="1" applyBorder="1"/>
    <xf numFmtId="0" fontId="3" fillId="0" borderId="14" xfId="0" applyFont="1" applyBorder="1" applyAlignment="1">
      <alignment horizontal="center" vertical="center"/>
    </xf>
    <xf numFmtId="0" fontId="5" fillId="0" borderId="14" xfId="0" applyFont="1" applyBorder="1"/>
    <xf numFmtId="3" fontId="2" fillId="0" borderId="14" xfId="0" applyNumberFormat="1" applyFont="1" applyBorder="1"/>
    <xf numFmtId="2" fontId="3" fillId="0" borderId="14" xfId="0" applyNumberFormat="1" applyFont="1" applyBorder="1"/>
    <xf numFmtId="0" fontId="2" fillId="0" borderId="14" xfId="0" applyFont="1" applyBorder="1"/>
    <xf numFmtId="0" fontId="3" fillId="0" borderId="15" xfId="0" applyFont="1" applyBorder="1" applyAlignment="1">
      <alignment horizontal="center" vertical="center"/>
    </xf>
    <xf numFmtId="0" fontId="2" fillId="0" borderId="15" xfId="0" applyFont="1" applyBorder="1"/>
    <xf numFmtId="3" fontId="2" fillId="0" borderId="15" xfId="0" applyNumberFormat="1" applyFont="1" applyBorder="1"/>
    <xf numFmtId="0" fontId="3" fillId="0" borderId="5" xfId="0" applyFont="1" applyBorder="1" applyAlignment="1">
      <alignment horizontal="center" vertical="center"/>
    </xf>
    <xf numFmtId="3" fontId="2" fillId="0" borderId="5" xfId="0" applyNumberFormat="1" applyFont="1" applyBorder="1"/>
    <xf numFmtId="0" fontId="25" fillId="0" borderId="0" xfId="0" applyFont="1"/>
    <xf numFmtId="0" fontId="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wrapText="1"/>
    </xf>
    <xf numFmtId="0" fontId="2" fillId="0" borderId="16" xfId="0" applyFont="1" applyBorder="1"/>
    <xf numFmtId="0" fontId="2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3" fontId="2" fillId="0" borderId="16" xfId="0" applyNumberFormat="1" applyFont="1" applyBorder="1" applyAlignment="1">
      <alignment vertical="center"/>
    </xf>
    <xf numFmtId="164" fontId="3" fillId="0" borderId="16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3" fontId="2" fillId="5" borderId="17" xfId="0" applyNumberFormat="1" applyFont="1" applyFill="1" applyBorder="1"/>
    <xf numFmtId="164" fontId="2" fillId="5" borderId="17" xfId="0" applyNumberFormat="1" applyFont="1" applyFill="1" applyBorder="1"/>
    <xf numFmtId="0" fontId="10" fillId="0" borderId="0" xfId="0" applyFont="1"/>
    <xf numFmtId="0" fontId="26" fillId="0" borderId="0" xfId="0" applyFont="1"/>
    <xf numFmtId="0" fontId="7" fillId="0" borderId="0" xfId="0" applyFont="1" applyAlignment="1">
      <alignment horizontal="center"/>
    </xf>
    <xf numFmtId="4" fontId="5" fillId="0" borderId="0" xfId="0" applyNumberFormat="1" applyFont="1"/>
    <xf numFmtId="4" fontId="5" fillId="0" borderId="4" xfId="0" applyNumberFormat="1" applyFont="1" applyBorder="1"/>
    <xf numFmtId="0" fontId="2" fillId="0" borderId="0" xfId="0" applyFont="1" applyAlignment="1">
      <alignment horizontal="left"/>
    </xf>
    <xf numFmtId="4" fontId="5" fillId="0" borderId="2" xfId="0" applyNumberFormat="1" applyFont="1" applyBorder="1"/>
    <xf numFmtId="4" fontId="10" fillId="0" borderId="4" xfId="0" applyNumberFormat="1" applyFont="1" applyBorder="1"/>
    <xf numFmtId="4" fontId="10" fillId="0" borderId="5" xfId="0" applyNumberFormat="1" applyFont="1" applyBorder="1"/>
    <xf numFmtId="0" fontId="3" fillId="8" borderId="14" xfId="0" applyFont="1" applyFill="1" applyBorder="1"/>
    <xf numFmtId="3" fontId="3" fillId="8" borderId="14" xfId="0" applyNumberFormat="1" applyFont="1" applyFill="1" applyBorder="1"/>
    <xf numFmtId="2" fontId="3" fillId="8" borderId="14" xfId="0" applyNumberFormat="1" applyFont="1" applyFill="1" applyBorder="1"/>
    <xf numFmtId="164" fontId="15" fillId="0" borderId="14" xfId="0" applyNumberFormat="1" applyFont="1" applyBorder="1"/>
    <xf numFmtId="164" fontId="15" fillId="7" borderId="14" xfId="0" applyNumberFormat="1" applyFont="1" applyFill="1" applyBorder="1"/>
    <xf numFmtId="0" fontId="3" fillId="5" borderId="14" xfId="0" applyFont="1" applyFill="1" applyBorder="1"/>
    <xf numFmtId="3" fontId="3" fillId="5" borderId="14" xfId="0" applyNumberFormat="1" applyFont="1" applyFill="1" applyBorder="1"/>
    <xf numFmtId="2" fontId="3" fillId="5" borderId="14" xfId="0" applyNumberFormat="1" applyFont="1" applyFill="1" applyBorder="1"/>
    <xf numFmtId="0" fontId="15" fillId="2" borderId="14" xfId="0" applyFont="1" applyFill="1" applyBorder="1"/>
    <xf numFmtId="3" fontId="15" fillId="9" borderId="14" xfId="0" applyNumberFormat="1" applyFont="1" applyFill="1" applyBorder="1"/>
    <xf numFmtId="0" fontId="3" fillId="8" borderId="15" xfId="0" applyFont="1" applyFill="1" applyBorder="1"/>
    <xf numFmtId="3" fontId="3" fillId="8" borderId="15" xfId="0" applyNumberFormat="1" applyFont="1" applyFill="1" applyBorder="1"/>
    <xf numFmtId="2" fontId="3" fillId="8" borderId="15" xfId="0" applyNumberFormat="1" applyFont="1" applyFill="1" applyBorder="1"/>
    <xf numFmtId="2" fontId="3" fillId="0" borderId="5" xfId="0" applyNumberFormat="1" applyFont="1" applyBorder="1"/>
    <xf numFmtId="2" fontId="3" fillId="0" borderId="15" xfId="0" applyNumberFormat="1" applyFont="1" applyBorder="1"/>
    <xf numFmtId="0" fontId="3" fillId="8" borderId="17" xfId="0" applyFont="1" applyFill="1" applyBorder="1"/>
    <xf numFmtId="3" fontId="3" fillId="8" borderId="17" xfId="0" applyNumberFormat="1" applyFont="1" applyFill="1" applyBorder="1"/>
    <xf numFmtId="2" fontId="3" fillId="8" borderId="17" xfId="0" applyNumberFormat="1" applyFont="1" applyFill="1" applyBorder="1"/>
    <xf numFmtId="0" fontId="12" fillId="10" borderId="14" xfId="0" applyFont="1" applyFill="1" applyBorder="1"/>
    <xf numFmtId="3" fontId="12" fillId="10" borderId="14" xfId="0" applyNumberFormat="1" applyFont="1" applyFill="1" applyBorder="1"/>
    <xf numFmtId="0" fontId="3" fillId="11" borderId="14" xfId="0" applyFont="1" applyFill="1" applyBorder="1"/>
    <xf numFmtId="3" fontId="3" fillId="11" borderId="14" xfId="0" applyNumberFormat="1" applyFont="1" applyFill="1" applyBorder="1"/>
    <xf numFmtId="2" fontId="3" fillId="11" borderId="14" xfId="0" applyNumberFormat="1" applyFont="1" applyFill="1" applyBorder="1"/>
    <xf numFmtId="0" fontId="27" fillId="11" borderId="14" xfId="0" applyFont="1" applyFill="1" applyBorder="1"/>
    <xf numFmtId="0" fontId="3" fillId="12" borderId="14" xfId="0" applyFont="1" applyFill="1" applyBorder="1"/>
    <xf numFmtId="3" fontId="3" fillId="12" borderId="14" xfId="0" applyNumberFormat="1" applyFont="1" applyFill="1" applyBorder="1"/>
    <xf numFmtId="0" fontId="3" fillId="4" borderId="19" xfId="0" applyFont="1" applyFill="1" applyBorder="1"/>
    <xf numFmtId="0" fontId="15" fillId="13" borderId="14" xfId="0" applyFont="1" applyFill="1" applyBorder="1"/>
    <xf numFmtId="3" fontId="15" fillId="13" borderId="14" xfId="0" applyNumberFormat="1" applyFont="1" applyFill="1" applyBorder="1"/>
    <xf numFmtId="0" fontId="3" fillId="5" borderId="15" xfId="0" applyFont="1" applyFill="1" applyBorder="1"/>
    <xf numFmtId="3" fontId="3" fillId="5" borderId="15" xfId="0" applyNumberFormat="1" applyFont="1" applyFill="1" applyBorder="1"/>
    <xf numFmtId="2" fontId="3" fillId="5" borderId="15" xfId="0" applyNumberFormat="1" applyFont="1" applyFill="1" applyBorder="1"/>
    <xf numFmtId="0" fontId="12" fillId="14" borderId="14" xfId="0" applyFont="1" applyFill="1" applyBorder="1"/>
    <xf numFmtId="3" fontId="12" fillId="14" borderId="14" xfId="0" applyNumberFormat="1" applyFont="1" applyFill="1" applyBorder="1"/>
    <xf numFmtId="3" fontId="29" fillId="0" borderId="0" xfId="0" applyNumberFormat="1" applyFont="1"/>
    <xf numFmtId="0" fontId="4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2" fillId="8" borderId="14" xfId="0" applyFont="1" applyFill="1" applyBorder="1"/>
    <xf numFmtId="3" fontId="2" fillId="8" borderId="14" xfId="0" applyNumberFormat="1" applyFont="1" applyFill="1" applyBorder="1"/>
    <xf numFmtId="164" fontId="2" fillId="8" borderId="14" xfId="0" applyNumberFormat="1" applyFont="1" applyFill="1" applyBorder="1"/>
    <xf numFmtId="2" fontId="2" fillId="8" borderId="14" xfId="0" applyNumberFormat="1" applyFont="1" applyFill="1" applyBorder="1"/>
    <xf numFmtId="0" fontId="2" fillId="5" borderId="15" xfId="0" applyFont="1" applyFill="1" applyBorder="1"/>
    <xf numFmtId="3" fontId="2" fillId="5" borderId="15" xfId="0" applyNumberFormat="1" applyFont="1" applyFill="1" applyBorder="1"/>
    <xf numFmtId="164" fontId="2" fillId="5" borderId="15" xfId="0" applyNumberFormat="1" applyFont="1" applyFill="1" applyBorder="1"/>
    <xf numFmtId="0" fontId="2" fillId="0" borderId="15" xfId="0" applyFont="1" applyBorder="1" applyAlignment="1">
      <alignment horizontal="center"/>
    </xf>
    <xf numFmtId="0" fontId="2" fillId="8" borderId="17" xfId="0" applyFont="1" applyFill="1" applyBorder="1"/>
    <xf numFmtId="0" fontId="2" fillId="8" borderId="17" xfId="0" applyFont="1" applyFill="1" applyBorder="1" applyAlignment="1">
      <alignment wrapText="1"/>
    </xf>
    <xf numFmtId="3" fontId="2" fillId="8" borderId="17" xfId="0" applyNumberFormat="1" applyFont="1" applyFill="1" applyBorder="1"/>
    <xf numFmtId="0" fontId="2" fillId="0" borderId="5" xfId="0" applyFont="1" applyBorder="1" applyAlignment="1">
      <alignment horizontal="center"/>
    </xf>
    <xf numFmtId="0" fontId="2" fillId="8" borderId="15" xfId="0" applyFont="1" applyFill="1" applyBorder="1"/>
    <xf numFmtId="0" fontId="2" fillId="8" borderId="15" xfId="0" applyFont="1" applyFill="1" applyBorder="1" applyAlignment="1">
      <alignment wrapText="1"/>
    </xf>
    <xf numFmtId="3" fontId="2" fillId="8" borderId="15" xfId="0" applyNumberFormat="1" applyFont="1" applyFill="1" applyBorder="1"/>
    <xf numFmtId="0" fontId="2" fillId="8" borderId="16" xfId="0" applyFont="1" applyFill="1" applyBorder="1" applyAlignment="1">
      <alignment vertical="center"/>
    </xf>
    <xf numFmtId="0" fontId="2" fillId="8" borderId="16" xfId="0" applyFont="1" applyFill="1" applyBorder="1" applyAlignment="1">
      <alignment wrapText="1"/>
    </xf>
    <xf numFmtId="0" fontId="2" fillId="0" borderId="16" xfId="0" applyFont="1" applyBorder="1" applyAlignment="1">
      <alignment horizontal="left" vertical="center"/>
    </xf>
    <xf numFmtId="0" fontId="2" fillId="8" borderId="16" xfId="0" applyFont="1" applyFill="1" applyBorder="1" applyAlignment="1">
      <alignment horizontal="left" vertical="center"/>
    </xf>
    <xf numFmtId="3" fontId="2" fillId="8" borderId="16" xfId="0" applyNumberFormat="1" applyFont="1" applyFill="1" applyBorder="1" applyAlignment="1">
      <alignment horizontal="left" vertical="center"/>
    </xf>
    <xf numFmtId="3" fontId="2" fillId="8" borderId="16" xfId="0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8" borderId="16" xfId="0" applyFont="1" applyFill="1" applyBorder="1"/>
    <xf numFmtId="3" fontId="2" fillId="8" borderId="16" xfId="0" applyNumberFormat="1" applyFont="1" applyFill="1" applyBorder="1"/>
    <xf numFmtId="0" fontId="2" fillId="0" borderId="16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3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3" fontId="2" fillId="0" borderId="16" xfId="0" applyNumberFormat="1" applyFont="1" applyBorder="1"/>
    <xf numFmtId="166" fontId="2" fillId="0" borderId="16" xfId="0" applyNumberFormat="1" applyFont="1" applyBorder="1"/>
    <xf numFmtId="0" fontId="2" fillId="0" borderId="4" xfId="0" applyFont="1" applyBorder="1"/>
    <xf numFmtId="0" fontId="3" fillId="4" borderId="14" xfId="0" applyFont="1" applyFill="1" applyBorder="1"/>
    <xf numFmtId="0" fontId="3" fillId="4" borderId="15" xfId="0" applyFont="1" applyFill="1" applyBorder="1"/>
    <xf numFmtId="0" fontId="3" fillId="4" borderId="17" xfId="0" applyFont="1" applyFill="1" applyBorder="1"/>
    <xf numFmtId="0" fontId="3" fillId="10" borderId="14" xfId="0" applyFont="1" applyFill="1" applyBorder="1"/>
    <xf numFmtId="3" fontId="16" fillId="13" borderId="14" xfId="0" applyNumberFormat="1" applyFont="1" applyFill="1" applyBorder="1"/>
    <xf numFmtId="0" fontId="16" fillId="13" borderId="14" xfId="0" applyFont="1" applyFill="1" applyBorder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0" applyNumberFormat="1" applyFont="1"/>
    <xf numFmtId="3" fontId="15" fillId="0" borderId="0" xfId="0" applyNumberFormat="1" applyFont="1"/>
    <xf numFmtId="0" fontId="15" fillId="0" borderId="0" xfId="0" applyFont="1"/>
    <xf numFmtId="0" fontId="15" fillId="15" borderId="14" xfId="0" applyFont="1" applyFill="1" applyBorder="1"/>
    <xf numFmtId="164" fontId="15" fillId="15" borderId="14" xfId="0" applyNumberFormat="1" applyFont="1" applyFill="1" applyBorder="1"/>
    <xf numFmtId="0" fontId="16" fillId="15" borderId="14" xfId="0" applyFont="1" applyFill="1" applyBorder="1"/>
    <xf numFmtId="3" fontId="16" fillId="15" borderId="14" xfId="0" applyNumberFormat="1" applyFont="1" applyFill="1" applyBorder="1"/>
    <xf numFmtId="0" fontId="3" fillId="0" borderId="16" xfId="0" applyFont="1" applyBorder="1"/>
    <xf numFmtId="3" fontId="3" fillId="0" borderId="16" xfId="0" applyNumberFormat="1" applyFont="1" applyBorder="1"/>
    <xf numFmtId="2" fontId="3" fillId="0" borderId="16" xfId="0" applyNumberFormat="1" applyFont="1" applyBorder="1"/>
    <xf numFmtId="0" fontId="3" fillId="16" borderId="15" xfId="0" applyFont="1" applyFill="1" applyBorder="1"/>
    <xf numFmtId="3" fontId="3" fillId="16" borderId="15" xfId="0" applyNumberFormat="1" applyFont="1" applyFill="1" applyBorder="1"/>
    <xf numFmtId="2" fontId="3" fillId="16" borderId="15" xfId="0" applyNumberFormat="1" applyFont="1" applyFill="1" applyBorder="1"/>
    <xf numFmtId="0" fontId="3" fillId="16" borderId="17" xfId="0" applyFont="1" applyFill="1" applyBorder="1"/>
    <xf numFmtId="0" fontId="3" fillId="17" borderId="17" xfId="0" applyFont="1" applyFill="1" applyBorder="1"/>
    <xf numFmtId="3" fontId="3" fillId="17" borderId="17" xfId="0" applyNumberFormat="1" applyFont="1" applyFill="1" applyBorder="1"/>
    <xf numFmtId="2" fontId="3" fillId="16" borderId="17" xfId="0" applyNumberFormat="1" applyFont="1" applyFill="1" applyBorder="1"/>
    <xf numFmtId="0" fontId="3" fillId="16" borderId="14" xfId="0" applyFont="1" applyFill="1" applyBorder="1"/>
    <xf numFmtId="0" fontId="3" fillId="17" borderId="14" xfId="0" applyFont="1" applyFill="1" applyBorder="1"/>
    <xf numFmtId="3" fontId="3" fillId="17" borderId="14" xfId="0" applyNumberFormat="1" applyFont="1" applyFill="1" applyBorder="1"/>
    <xf numFmtId="2" fontId="3" fillId="16" borderId="14" xfId="0" applyNumberFormat="1" applyFont="1" applyFill="1" applyBorder="1"/>
    <xf numFmtId="3" fontId="3" fillId="16" borderId="14" xfId="0" applyNumberFormat="1" applyFont="1" applyFill="1" applyBorder="1"/>
    <xf numFmtId="0" fontId="3" fillId="17" borderId="15" xfId="0" applyFont="1" applyFill="1" applyBorder="1"/>
    <xf numFmtId="3" fontId="3" fillId="17" borderId="15" xfId="0" applyNumberFormat="1" applyFont="1" applyFill="1" applyBorder="1"/>
    <xf numFmtId="3" fontId="3" fillId="16" borderId="17" xfId="0" applyNumberFormat="1" applyFont="1" applyFill="1" applyBorder="1"/>
    <xf numFmtId="0" fontId="12" fillId="16" borderId="14" xfId="0" applyFont="1" applyFill="1" applyBorder="1"/>
    <xf numFmtId="3" fontId="12" fillId="16" borderId="14" xfId="0" applyNumberFormat="1" applyFont="1" applyFill="1" applyBorder="1"/>
    <xf numFmtId="0" fontId="3" fillId="16" borderId="22" xfId="0" applyFont="1" applyFill="1" applyBorder="1"/>
    <xf numFmtId="3" fontId="3" fillId="16" borderId="22" xfId="0" applyNumberFormat="1" applyFont="1" applyFill="1" applyBorder="1"/>
    <xf numFmtId="2" fontId="3" fillId="16" borderId="22" xfId="0" applyNumberFormat="1" applyFont="1" applyFill="1" applyBorder="1"/>
    <xf numFmtId="0" fontId="3" fillId="0" borderId="4" xfId="0" applyFont="1" applyBorder="1"/>
    <xf numFmtId="1" fontId="3" fillId="0" borderId="14" xfId="0" applyNumberFormat="1" applyFont="1" applyBorder="1"/>
    <xf numFmtId="0" fontId="2" fillId="0" borderId="14" xfId="0" applyFont="1" applyBorder="1" applyAlignment="1">
      <alignment wrapText="1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3" fontId="2" fillId="0" borderId="14" xfId="0" applyNumberFormat="1" applyFont="1" applyBorder="1" applyAlignment="1">
      <alignment horizontal="left" vertical="center"/>
    </xf>
    <xf numFmtId="3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vertical="center"/>
    </xf>
    <xf numFmtId="3" fontId="3" fillId="0" borderId="14" xfId="0" applyNumberFormat="1" applyFont="1" applyBorder="1" applyAlignment="1">
      <alignment vertical="center"/>
    </xf>
    <xf numFmtId="0" fontId="2" fillId="0" borderId="14" xfId="0" applyFont="1" applyBorder="1" applyAlignment="1">
      <alignment horizontal="right" vertical="center"/>
    </xf>
    <xf numFmtId="0" fontId="3" fillId="0" borderId="23" xfId="0" applyFont="1" applyBorder="1"/>
    <xf numFmtId="3" fontId="3" fillId="0" borderId="23" xfId="0" applyNumberFormat="1" applyFont="1" applyBorder="1"/>
    <xf numFmtId="166" fontId="3" fillId="0" borderId="23" xfId="0" applyNumberFormat="1" applyFont="1" applyBorder="1"/>
    <xf numFmtId="0" fontId="3" fillId="0" borderId="23" xfId="0" applyFont="1" applyBorder="1" applyAlignment="1">
      <alignment horizontal="right"/>
    </xf>
    <xf numFmtId="0" fontId="3" fillId="0" borderId="11" xfId="0" applyFont="1" applyBorder="1"/>
    <xf numFmtId="0" fontId="7" fillId="0" borderId="13" xfId="0" applyFont="1" applyBorder="1" applyAlignment="1">
      <alignment horizontal="center"/>
    </xf>
    <xf numFmtId="0" fontId="3" fillId="0" borderId="9" xfId="0" applyFont="1" applyBorder="1"/>
    <xf numFmtId="0" fontId="3" fillId="16" borderId="24" xfId="0" applyFont="1" applyFill="1" applyBorder="1"/>
    <xf numFmtId="0" fontId="3" fillId="14" borderId="17" xfId="0" applyFont="1" applyFill="1" applyBorder="1"/>
    <xf numFmtId="3" fontId="16" fillId="0" borderId="0" xfId="0" applyNumberFormat="1" applyFont="1"/>
    <xf numFmtId="0" fontId="16" fillId="0" borderId="0" xfId="0" applyFont="1"/>
    <xf numFmtId="0" fontId="3" fillId="16" borderId="25" xfId="0" applyFont="1" applyFill="1" applyBorder="1"/>
    <xf numFmtId="0" fontId="13" fillId="16" borderId="15" xfId="0" applyFont="1" applyFill="1" applyBorder="1"/>
    <xf numFmtId="0" fontId="13" fillId="16" borderId="17" xfId="0" applyFont="1" applyFill="1" applyBorder="1"/>
    <xf numFmtId="0" fontId="3" fillId="16" borderId="26" xfId="0" applyFont="1" applyFill="1" applyBorder="1"/>
    <xf numFmtId="0" fontId="3" fillId="0" borderId="13" xfId="0" applyFont="1" applyBorder="1"/>
    <xf numFmtId="164" fontId="3" fillId="16" borderId="14" xfId="0" applyNumberFormat="1" applyFont="1" applyFill="1" applyBorder="1"/>
    <xf numFmtId="164" fontId="3" fillId="16" borderId="19" xfId="0" applyNumberFormat="1" applyFont="1" applyFill="1" applyBorder="1"/>
    <xf numFmtId="4" fontId="2" fillId="0" borderId="14" xfId="0" applyNumberFormat="1" applyFont="1" applyBorder="1"/>
    <xf numFmtId="168" fontId="3" fillId="0" borderId="14" xfId="0" applyNumberFormat="1" applyFont="1" applyBorder="1"/>
    <xf numFmtId="0" fontId="3" fillId="0" borderId="6" xfId="0" applyFont="1" applyBorder="1"/>
    <xf numFmtId="0" fontId="9" fillId="0" borderId="14" xfId="0" applyFont="1" applyBorder="1"/>
    <xf numFmtId="3" fontId="3" fillId="10" borderId="14" xfId="0" applyNumberFormat="1" applyFont="1" applyFill="1" applyBorder="1"/>
    <xf numFmtId="0" fontId="3" fillId="10" borderId="15" xfId="0" applyFont="1" applyFill="1" applyBorder="1"/>
    <xf numFmtId="3" fontId="3" fillId="10" borderId="15" xfId="0" applyNumberFormat="1" applyFont="1" applyFill="1" applyBorder="1"/>
    <xf numFmtId="0" fontId="3" fillId="10" borderId="17" xfId="0" applyFont="1" applyFill="1" applyBorder="1"/>
    <xf numFmtId="3" fontId="3" fillId="10" borderId="17" xfId="0" applyNumberFormat="1" applyFont="1" applyFill="1" applyBorder="1"/>
    <xf numFmtId="0" fontId="3" fillId="5" borderId="17" xfId="0" applyFont="1" applyFill="1" applyBorder="1"/>
    <xf numFmtId="3" fontId="3" fillId="5" borderId="17" xfId="0" applyNumberFormat="1" applyFont="1" applyFill="1" applyBorder="1"/>
    <xf numFmtId="0" fontId="3" fillId="2" borderId="17" xfId="0" applyFont="1" applyFill="1" applyBorder="1"/>
    <xf numFmtId="2" fontId="3" fillId="0" borderId="14" xfId="0" applyNumberFormat="1" applyFont="1" applyBorder="1" applyAlignment="1">
      <alignment horizontal="left"/>
    </xf>
    <xf numFmtId="4" fontId="2" fillId="0" borderId="14" xfId="0" applyNumberFormat="1" applyFont="1" applyBorder="1" applyAlignment="1">
      <alignment horizontal="left"/>
    </xf>
    <xf numFmtId="0" fontId="12" fillId="12" borderId="14" xfId="0" applyFont="1" applyFill="1" applyBorder="1" applyAlignment="1">
      <alignment horizontal="right"/>
    </xf>
    <xf numFmtId="3" fontId="12" fillId="12" borderId="14" xfId="0" applyNumberFormat="1" applyFont="1" applyFill="1" applyBorder="1"/>
    <xf numFmtId="0" fontId="12" fillId="12" borderId="14" xfId="0" applyFont="1" applyFill="1" applyBorder="1"/>
    <xf numFmtId="0" fontId="12" fillId="7" borderId="14" xfId="0" applyFont="1" applyFill="1" applyBorder="1"/>
    <xf numFmtId="3" fontId="3" fillId="7" borderId="14" xfId="0" applyNumberFormat="1" applyFont="1" applyFill="1" applyBorder="1"/>
    <xf numFmtId="0" fontId="3" fillId="7" borderId="14" xfId="0" applyFont="1" applyFill="1" applyBorder="1"/>
    <xf numFmtId="0" fontId="3" fillId="11" borderId="17" xfId="0" applyFont="1" applyFill="1" applyBorder="1" applyAlignment="1">
      <alignment horizontal="center"/>
    </xf>
    <xf numFmtId="0" fontId="12" fillId="19" borderId="14" xfId="0" applyFont="1" applyFill="1" applyBorder="1"/>
    <xf numFmtId="3" fontId="3" fillId="19" borderId="14" xfId="0" applyNumberFormat="1" applyFont="1" applyFill="1" applyBorder="1"/>
    <xf numFmtId="0" fontId="12" fillId="20" borderId="14" xfId="0" applyFont="1" applyFill="1" applyBorder="1"/>
    <xf numFmtId="3" fontId="3" fillId="20" borderId="14" xfId="0" applyNumberFormat="1" applyFont="1" applyFill="1" applyBorder="1"/>
    <xf numFmtId="0" fontId="3" fillId="21" borderId="17" xfId="0" applyFont="1" applyFill="1" applyBorder="1"/>
    <xf numFmtId="0" fontId="3" fillId="21" borderId="14" xfId="0" applyFont="1" applyFill="1" applyBorder="1"/>
    <xf numFmtId="2" fontId="3" fillId="21" borderId="15" xfId="0" applyNumberFormat="1" applyFont="1" applyFill="1" applyBorder="1"/>
    <xf numFmtId="2" fontId="3" fillId="21" borderId="14" xfId="0" applyNumberFormat="1" applyFont="1" applyFill="1" applyBorder="1"/>
    <xf numFmtId="0" fontId="12" fillId="21" borderId="14" xfId="0" applyFont="1" applyFill="1" applyBorder="1"/>
    <xf numFmtId="3" fontId="12" fillId="21" borderId="14" xfId="0" applyNumberFormat="1" applyFont="1" applyFill="1" applyBorder="1"/>
    <xf numFmtId="0" fontId="3" fillId="21" borderId="15" xfId="0" applyFont="1" applyFill="1" applyBorder="1"/>
    <xf numFmtId="2" fontId="3" fillId="10" borderId="14" xfId="0" applyNumberFormat="1" applyFont="1" applyFill="1" applyBorder="1"/>
    <xf numFmtId="3" fontId="3" fillId="21" borderId="14" xfId="0" applyNumberFormat="1" applyFont="1" applyFill="1" applyBorder="1"/>
    <xf numFmtId="2" fontId="3" fillId="10" borderId="15" xfId="0" applyNumberFormat="1" applyFont="1" applyFill="1" applyBorder="1"/>
    <xf numFmtId="0" fontId="28" fillId="18" borderId="14" xfId="0" applyFont="1" applyFill="1" applyBorder="1"/>
    <xf numFmtId="3" fontId="28" fillId="18" borderId="14" xfId="0" applyNumberFormat="1" applyFont="1" applyFill="1" applyBorder="1"/>
    <xf numFmtId="0" fontId="3" fillId="18" borderId="14" xfId="0" applyFont="1" applyFill="1" applyBorder="1"/>
    <xf numFmtId="0" fontId="12" fillId="18" borderId="14" xfId="0" applyFont="1" applyFill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2" fillId="0" borderId="14" xfId="0" applyFont="1" applyBorder="1" applyAlignment="1">
      <alignment horizontal="right"/>
    </xf>
    <xf numFmtId="4" fontId="2" fillId="0" borderId="15" xfId="0" applyNumberFormat="1" applyFont="1" applyBorder="1" applyAlignment="1">
      <alignment horizontal="left"/>
    </xf>
    <xf numFmtId="0" fontId="2" fillId="0" borderId="15" xfId="0" applyFont="1" applyBorder="1" applyAlignment="1">
      <alignment horizontal="right"/>
    </xf>
    <xf numFmtId="0" fontId="3" fillId="11" borderId="17" xfId="0" applyFont="1" applyFill="1" applyBorder="1" applyAlignment="1">
      <alignment vertical="center"/>
    </xf>
    <xf numFmtId="0" fontId="2" fillId="11" borderId="17" xfId="0" applyFont="1" applyFill="1" applyBorder="1" applyAlignment="1">
      <alignment wrapText="1"/>
    </xf>
    <xf numFmtId="0" fontId="3" fillId="11" borderId="17" xfId="0" applyFont="1" applyFill="1" applyBorder="1"/>
    <xf numFmtId="0" fontId="2" fillId="11" borderId="17" xfId="0" applyFont="1" applyFill="1" applyBorder="1" applyAlignment="1">
      <alignment vertical="center"/>
    </xf>
    <xf numFmtId="3" fontId="2" fillId="11" borderId="17" xfId="0" applyNumberFormat="1" applyFont="1" applyFill="1" applyBorder="1" applyAlignment="1">
      <alignment horizontal="left" vertical="center"/>
    </xf>
    <xf numFmtId="3" fontId="2" fillId="11" borderId="17" xfId="0" applyNumberFormat="1" applyFont="1" applyFill="1" applyBorder="1" applyAlignment="1">
      <alignment horizontal="right" vertical="center"/>
    </xf>
    <xf numFmtId="0" fontId="2" fillId="11" borderId="17" xfId="0" applyFont="1" applyFill="1" applyBorder="1" applyAlignment="1">
      <alignment horizontal="left" vertical="center"/>
    </xf>
    <xf numFmtId="0" fontId="2" fillId="11" borderId="17" xfId="0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3" fontId="3" fillId="0" borderId="15" xfId="0" applyNumberFormat="1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5" borderId="14" xfId="0" applyFont="1" applyFill="1" applyBorder="1" applyAlignment="1">
      <alignment vertical="center"/>
    </xf>
    <xf numFmtId="3" fontId="3" fillId="5" borderId="14" xfId="0" applyNumberFormat="1" applyFont="1" applyFill="1" applyBorder="1" applyAlignment="1">
      <alignment vertical="center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3" fontId="34" fillId="0" borderId="14" xfId="0" applyNumberFormat="1" applyFont="1" applyBorder="1"/>
    <xf numFmtId="3" fontId="34" fillId="0" borderId="15" xfId="0" applyNumberFormat="1" applyFont="1" applyBorder="1"/>
    <xf numFmtId="0" fontId="3" fillId="0" borderId="15" xfId="0" applyFont="1" applyBorder="1" applyAlignment="1">
      <alignment horizontal="left"/>
    </xf>
    <xf numFmtId="0" fontId="2" fillId="5" borderId="17" xfId="0" applyFont="1" applyFill="1" applyBorder="1" applyAlignment="1">
      <alignment wrapText="1"/>
    </xf>
    <xf numFmtId="0" fontId="2" fillId="5" borderId="17" xfId="0" applyFont="1" applyFill="1" applyBorder="1"/>
    <xf numFmtId="3" fontId="34" fillId="5" borderId="17" xfId="0" applyNumberFormat="1" applyFont="1" applyFill="1" applyBorder="1"/>
    <xf numFmtId="4" fontId="2" fillId="5" borderId="17" xfId="0" applyNumberFormat="1" applyFont="1" applyFill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5" fillId="0" borderId="0" xfId="0" applyFont="1"/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/>
    <xf numFmtId="2" fontId="3" fillId="0" borderId="2" xfId="0" applyNumberFormat="1" applyFont="1" applyBorder="1"/>
    <xf numFmtId="0" fontId="36" fillId="0" borderId="14" xfId="0" applyFont="1" applyBorder="1"/>
    <xf numFmtId="3" fontId="36" fillId="0" borderId="14" xfId="0" applyNumberFormat="1" applyFont="1" applyBorder="1"/>
    <xf numFmtId="0" fontId="28" fillId="0" borderId="14" xfId="0" applyFont="1" applyBorder="1"/>
    <xf numFmtId="3" fontId="28" fillId="0" borderId="14" xfId="0" applyNumberFormat="1" applyFont="1" applyBorder="1"/>
    <xf numFmtId="0" fontId="37" fillId="5" borderId="14" xfId="0" applyFont="1" applyFill="1" applyBorder="1"/>
    <xf numFmtId="0" fontId="37" fillId="5" borderId="15" xfId="0" applyFont="1" applyFill="1" applyBorder="1"/>
    <xf numFmtId="0" fontId="3" fillId="5" borderId="15" xfId="0" applyFont="1" applyFill="1" applyBorder="1" applyAlignment="1">
      <alignment horizontal="center"/>
    </xf>
    <xf numFmtId="0" fontId="13" fillId="0" borderId="0" xfId="0" applyFont="1"/>
    <xf numFmtId="2" fontId="3" fillId="5" borderId="17" xfId="0" applyNumberFormat="1" applyFont="1" applyFill="1" applyBorder="1"/>
    <xf numFmtId="0" fontId="3" fillId="0" borderId="16" xfId="0" applyFont="1" applyBorder="1" applyAlignment="1">
      <alignment horizontal="center"/>
    </xf>
    <xf numFmtId="0" fontId="3" fillId="23" borderId="14" xfId="0" applyFont="1" applyFill="1" applyBorder="1"/>
    <xf numFmtId="0" fontId="3" fillId="23" borderId="15" xfId="0" applyFont="1" applyFill="1" applyBorder="1"/>
    <xf numFmtId="0" fontId="3" fillId="23" borderId="17" xfId="0" applyFont="1" applyFill="1" applyBorder="1"/>
    <xf numFmtId="0" fontId="3" fillId="24" borderId="17" xfId="0" applyFont="1" applyFill="1" applyBorder="1"/>
    <xf numFmtId="3" fontId="3" fillId="24" borderId="17" xfId="0" applyNumberFormat="1" applyFont="1" applyFill="1" applyBorder="1"/>
    <xf numFmtId="2" fontId="3" fillId="24" borderId="17" xfId="0" applyNumberFormat="1" applyFont="1" applyFill="1" applyBorder="1"/>
    <xf numFmtId="0" fontId="3" fillId="24" borderId="14" xfId="0" applyFont="1" applyFill="1" applyBorder="1"/>
    <xf numFmtId="3" fontId="3" fillId="24" borderId="14" xfId="0" applyNumberFormat="1" applyFont="1" applyFill="1" applyBorder="1"/>
    <xf numFmtId="2" fontId="3" fillId="24" borderId="14" xfId="0" applyNumberFormat="1" applyFont="1" applyFill="1" applyBorder="1"/>
    <xf numFmtId="0" fontId="3" fillId="5" borderId="14" xfId="0" applyFont="1" applyFill="1" applyBorder="1" applyAlignment="1">
      <alignment horizontal="center"/>
    </xf>
    <xf numFmtId="0" fontId="3" fillId="5" borderId="19" xfId="0" applyFont="1" applyFill="1" applyBorder="1"/>
    <xf numFmtId="0" fontId="13" fillId="0" borderId="14" xfId="0" applyFont="1" applyBorder="1" applyAlignment="1">
      <alignment horizontal="center"/>
    </xf>
    <xf numFmtId="0" fontId="13" fillId="5" borderId="14" xfId="0" applyFont="1" applyFill="1" applyBorder="1"/>
    <xf numFmtId="0" fontId="13" fillId="0" borderId="14" xfId="0" applyFont="1" applyBorder="1"/>
    <xf numFmtId="166" fontId="3" fillId="24" borderId="14" xfId="0" applyNumberFormat="1" applyFont="1" applyFill="1" applyBorder="1"/>
    <xf numFmtId="0" fontId="3" fillId="24" borderId="15" xfId="0" applyFont="1" applyFill="1" applyBorder="1"/>
    <xf numFmtId="3" fontId="3" fillId="24" borderId="15" xfId="0" applyNumberFormat="1" applyFont="1" applyFill="1" applyBorder="1"/>
    <xf numFmtId="166" fontId="3" fillId="24" borderId="15" xfId="0" applyNumberFormat="1" applyFont="1" applyFill="1" applyBorder="1"/>
    <xf numFmtId="0" fontId="38" fillId="0" borderId="14" xfId="0" applyFont="1" applyBorder="1"/>
    <xf numFmtId="3" fontId="38" fillId="0" borderId="14" xfId="0" applyNumberFormat="1" applyFont="1" applyBorder="1"/>
    <xf numFmtId="3" fontId="13" fillId="0" borderId="14" xfId="0" applyNumberFormat="1" applyFont="1" applyBorder="1"/>
    <xf numFmtId="0" fontId="13" fillId="24" borderId="14" xfId="0" applyFont="1" applyFill="1" applyBorder="1"/>
    <xf numFmtId="3" fontId="13" fillId="24" borderId="14" xfId="0" applyNumberFormat="1" applyFont="1" applyFill="1" applyBorder="1"/>
    <xf numFmtId="0" fontId="3" fillId="11" borderId="14" xfId="0" applyFont="1" applyFill="1" applyBorder="1" applyAlignment="1">
      <alignment horizontal="center"/>
    </xf>
    <xf numFmtId="166" fontId="3" fillId="11" borderId="14" xfId="0" applyNumberFormat="1" applyFont="1" applyFill="1" applyBorder="1"/>
    <xf numFmtId="0" fontId="3" fillId="5" borderId="17" xfId="0" applyFont="1" applyFill="1" applyBorder="1" applyAlignment="1">
      <alignment horizontal="center"/>
    </xf>
    <xf numFmtId="0" fontId="13" fillId="5" borderId="17" xfId="0" applyFont="1" applyFill="1" applyBorder="1"/>
    <xf numFmtId="3" fontId="13" fillId="0" borderId="5" xfId="0" applyNumberFormat="1" applyFont="1" applyBorder="1"/>
    <xf numFmtId="0" fontId="13" fillId="2" borderId="17" xfId="0" applyFont="1" applyFill="1" applyBorder="1"/>
    <xf numFmtId="166" fontId="13" fillId="0" borderId="5" xfId="0" applyNumberFormat="1" applyFont="1" applyBorder="1"/>
    <xf numFmtId="0" fontId="39" fillId="0" borderId="0" xfId="0" applyFont="1"/>
    <xf numFmtId="3" fontId="39" fillId="0" borderId="0" xfId="0" applyNumberFormat="1" applyFont="1"/>
    <xf numFmtId="164" fontId="39" fillId="0" borderId="0" xfId="0" applyNumberFormat="1" applyFont="1"/>
    <xf numFmtId="0" fontId="38" fillId="0" borderId="0" xfId="0" applyFont="1"/>
    <xf numFmtId="3" fontId="38" fillId="0" borderId="0" xfId="0" applyNumberFormat="1" applyFont="1"/>
    <xf numFmtId="0" fontId="3" fillId="2" borderId="14" xfId="0" applyFont="1" applyFill="1" applyBorder="1"/>
    <xf numFmtId="166" fontId="13" fillId="0" borderId="14" xfId="0" applyNumberFormat="1" applyFont="1" applyBorder="1"/>
    <xf numFmtId="0" fontId="3" fillId="25" borderId="14" xfId="0" applyFont="1" applyFill="1" applyBorder="1"/>
    <xf numFmtId="0" fontId="3" fillId="25" borderId="17" xfId="0" applyFont="1" applyFill="1" applyBorder="1"/>
    <xf numFmtId="166" fontId="3" fillId="24" borderId="17" xfId="0" applyNumberFormat="1" applyFont="1" applyFill="1" applyBorder="1"/>
    <xf numFmtId="0" fontId="40" fillId="0" borderId="0" xfId="0" applyFont="1" applyAlignment="1">
      <alignment horizontal="right"/>
    </xf>
    <xf numFmtId="0" fontId="3" fillId="10" borderId="14" xfId="0" applyFont="1" applyFill="1" applyBorder="1" applyAlignment="1">
      <alignment horizontal="center"/>
    </xf>
    <xf numFmtId="0" fontId="13" fillId="5" borderId="15" xfId="0" applyFont="1" applyFill="1" applyBorder="1"/>
    <xf numFmtId="0" fontId="13" fillId="0" borderId="15" xfId="0" applyFont="1" applyBorder="1"/>
    <xf numFmtId="2" fontId="3" fillId="0" borderId="14" xfId="0" applyNumberFormat="1" applyFont="1" applyBorder="1" applyAlignment="1">
      <alignment horizontal="right"/>
    </xf>
    <xf numFmtId="4" fontId="2" fillId="0" borderId="14" xfId="0" applyNumberFormat="1" applyFont="1" applyBorder="1" applyAlignment="1">
      <alignment horizontal="right"/>
    </xf>
    <xf numFmtId="0" fontId="2" fillId="5" borderId="14" xfId="0" applyFont="1" applyFill="1" applyBorder="1" applyAlignment="1">
      <alignment wrapText="1"/>
    </xf>
    <xf numFmtId="0" fontId="2" fillId="5" borderId="14" xfId="0" applyFont="1" applyFill="1" applyBorder="1"/>
    <xf numFmtId="3" fontId="34" fillId="24" borderId="14" xfId="0" applyNumberFormat="1" applyFont="1" applyFill="1" applyBorder="1"/>
    <xf numFmtId="3" fontId="41" fillId="26" borderId="14" xfId="0" applyNumberFormat="1" applyFont="1" applyFill="1" applyBorder="1"/>
    <xf numFmtId="3" fontId="39" fillId="26" borderId="14" xfId="0" applyNumberFormat="1" applyFont="1" applyFill="1" applyBorder="1"/>
    <xf numFmtId="4" fontId="42" fillId="26" borderId="14" xfId="0" applyNumberFormat="1" applyFont="1" applyFill="1" applyBorder="1" applyAlignment="1">
      <alignment horizontal="right"/>
    </xf>
    <xf numFmtId="3" fontId="34" fillId="5" borderId="14" xfId="0" applyNumberFormat="1" applyFont="1" applyFill="1" applyBorder="1"/>
    <xf numFmtId="4" fontId="2" fillId="5" borderId="14" xfId="0" applyNumberFormat="1" applyFont="1" applyFill="1" applyBorder="1" applyAlignment="1">
      <alignment horizontal="right"/>
    </xf>
    <xf numFmtId="0" fontId="2" fillId="5" borderId="14" xfId="0" applyFont="1" applyFill="1" applyBorder="1" applyAlignment="1">
      <alignment horizontal="right"/>
    </xf>
    <xf numFmtId="0" fontId="2" fillId="5" borderId="14" xfId="0" applyFont="1" applyFill="1" applyBorder="1" applyAlignment="1">
      <alignment horizontal="left"/>
    </xf>
    <xf numFmtId="0" fontId="3" fillId="5" borderId="14" xfId="0" applyFont="1" applyFill="1" applyBorder="1" applyAlignment="1">
      <alignment vertical="center"/>
    </xf>
    <xf numFmtId="2" fontId="3" fillId="24" borderId="15" xfId="0" applyNumberFormat="1" applyFont="1" applyFill="1" applyBorder="1"/>
    <xf numFmtId="0" fontId="3" fillId="2" borderId="14" xfId="0" applyFont="1" applyFill="1" applyBorder="1" applyAlignment="1">
      <alignment horizontal="center"/>
    </xf>
    <xf numFmtId="3" fontId="3" fillId="2" borderId="14" xfId="0" applyNumberFormat="1" applyFont="1" applyFill="1" applyBorder="1"/>
    <xf numFmtId="2" fontId="3" fillId="2" borderId="14" xfId="0" applyNumberFormat="1" applyFont="1" applyFill="1" applyBorder="1"/>
    <xf numFmtId="0" fontId="3" fillId="2" borderId="17" xfId="0" applyFont="1" applyFill="1" applyBorder="1" applyAlignment="1">
      <alignment horizontal="center"/>
    </xf>
    <xf numFmtId="3" fontId="3" fillId="2" borderId="17" xfId="0" applyNumberFormat="1" applyFont="1" applyFill="1" applyBorder="1"/>
    <xf numFmtId="166" fontId="3" fillId="2" borderId="17" xfId="0" applyNumberFormat="1" applyFont="1" applyFill="1" applyBorder="1"/>
    <xf numFmtId="166" fontId="3" fillId="2" borderId="14" xfId="0" applyNumberFormat="1" applyFont="1" applyFill="1" applyBorder="1"/>
    <xf numFmtId="166" fontId="3" fillId="5" borderId="14" xfId="0" applyNumberFormat="1" applyFont="1" applyFill="1" applyBorder="1"/>
    <xf numFmtId="3" fontId="13" fillId="5" borderId="14" xfId="0" applyNumberFormat="1" applyFont="1" applyFill="1" applyBorder="1"/>
    <xf numFmtId="166" fontId="13" fillId="5" borderId="14" xfId="0" applyNumberFormat="1" applyFont="1" applyFill="1" applyBorder="1"/>
    <xf numFmtId="3" fontId="13" fillId="5" borderId="15" xfId="0" applyNumberFormat="1" applyFont="1" applyFill="1" applyBorder="1"/>
    <xf numFmtId="166" fontId="13" fillId="5" borderId="15" xfId="0" applyNumberFormat="1" applyFont="1" applyFill="1" applyBorder="1"/>
    <xf numFmtId="166" fontId="3" fillId="8" borderId="14" xfId="0" applyNumberFormat="1" applyFont="1" applyFill="1" applyBorder="1"/>
    <xf numFmtId="0" fontId="3" fillId="11" borderId="15" xfId="0" applyFont="1" applyFill="1" applyBorder="1" applyAlignment="1">
      <alignment horizontal="center"/>
    </xf>
    <xf numFmtId="0" fontId="3" fillId="11" borderId="15" xfId="0" applyFont="1" applyFill="1" applyBorder="1"/>
    <xf numFmtId="3" fontId="3" fillId="11" borderId="15" xfId="0" applyNumberFormat="1" applyFont="1" applyFill="1" applyBorder="1"/>
    <xf numFmtId="166" fontId="3" fillId="11" borderId="15" xfId="0" applyNumberFormat="1" applyFont="1" applyFill="1" applyBorder="1"/>
    <xf numFmtId="3" fontId="34" fillId="0" borderId="5" xfId="0" applyNumberFormat="1" applyFont="1" applyBorder="1"/>
    <xf numFmtId="4" fontId="2" fillId="0" borderId="5" xfId="0" applyNumberFormat="1" applyFont="1" applyBorder="1" applyAlignment="1">
      <alignment horizontal="right"/>
    </xf>
    <xf numFmtId="0" fontId="2" fillId="11" borderId="14" xfId="0" applyFont="1" applyFill="1" applyBorder="1" applyAlignment="1">
      <alignment wrapText="1"/>
    </xf>
    <xf numFmtId="0" fontId="2" fillId="11" borderId="14" xfId="0" applyFont="1" applyFill="1" applyBorder="1" applyAlignment="1">
      <alignment horizontal="center"/>
    </xf>
    <xf numFmtId="0" fontId="2" fillId="11" borderId="14" xfId="0" applyFont="1" applyFill="1" applyBorder="1"/>
    <xf numFmtId="3" fontId="34" fillId="11" borderId="14" xfId="0" applyNumberFormat="1" applyFont="1" applyFill="1" applyBorder="1"/>
    <xf numFmtId="4" fontId="2" fillId="11" borderId="14" xfId="0" applyNumberFormat="1" applyFont="1" applyFill="1" applyBorder="1" applyAlignment="1">
      <alignment horizontal="right"/>
    </xf>
    <xf numFmtId="3" fontId="41" fillId="0" borderId="14" xfId="0" applyNumberFormat="1" applyFont="1" applyBorder="1"/>
    <xf numFmtId="3" fontId="39" fillId="0" borderId="14" xfId="0" applyNumberFormat="1" applyFont="1" applyBorder="1"/>
    <xf numFmtId="4" fontId="42" fillId="0" borderId="14" xfId="0" applyNumberFormat="1" applyFont="1" applyBorder="1" applyAlignment="1">
      <alignment horizontal="right"/>
    </xf>
    <xf numFmtId="0" fontId="3" fillId="11" borderId="19" xfId="0" applyFont="1" applyFill="1" applyBorder="1"/>
    <xf numFmtId="3" fontId="3" fillId="11" borderId="19" xfId="0" applyNumberFormat="1" applyFont="1" applyFill="1" applyBorder="1"/>
    <xf numFmtId="0" fontId="3" fillId="8" borderId="19" xfId="0" applyFont="1" applyFill="1" applyBorder="1"/>
    <xf numFmtId="3" fontId="3" fillId="8" borderId="19" xfId="0" applyNumberFormat="1" applyFont="1" applyFill="1" applyBorder="1"/>
    <xf numFmtId="3" fontId="3" fillId="5" borderId="19" xfId="0" applyNumberFormat="1" applyFont="1" applyFill="1" applyBorder="1"/>
    <xf numFmtId="3" fontId="37" fillId="5" borderId="19" xfId="0" applyNumberFormat="1" applyFont="1" applyFill="1" applyBorder="1"/>
    <xf numFmtId="164" fontId="37" fillId="5" borderId="19" xfId="0" applyNumberFormat="1" applyFont="1" applyFill="1" applyBorder="1" applyAlignment="1">
      <alignment horizontal="right"/>
    </xf>
    <xf numFmtId="0" fontId="3" fillId="15" borderId="19" xfId="0" applyFont="1" applyFill="1" applyBorder="1"/>
    <xf numFmtId="3" fontId="3" fillId="15" borderId="19" xfId="0" applyNumberFormat="1" applyFont="1" applyFill="1" applyBorder="1"/>
    <xf numFmtId="0" fontId="3" fillId="8" borderId="15" xfId="0" applyFont="1" applyFill="1" applyBorder="1" applyAlignment="1">
      <alignment horizontal="center"/>
    </xf>
    <xf numFmtId="166" fontId="3" fillId="8" borderId="15" xfId="0" applyNumberFormat="1" applyFont="1" applyFill="1" applyBorder="1"/>
    <xf numFmtId="0" fontId="3" fillId="8" borderId="14" xfId="0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4" fontId="3" fillId="0" borderId="15" xfId="0" applyNumberFormat="1" applyFont="1" applyBorder="1"/>
    <xf numFmtId="0" fontId="3" fillId="0" borderId="23" xfId="0" applyFont="1" applyBorder="1" applyAlignment="1">
      <alignment horizontal="center"/>
    </xf>
    <xf numFmtId="0" fontId="5" fillId="0" borderId="23" xfId="0" applyFont="1" applyBorder="1"/>
    <xf numFmtId="3" fontId="34" fillId="0" borderId="23" xfId="0" applyNumberFormat="1" applyFont="1" applyBorder="1"/>
    <xf numFmtId="164" fontId="3" fillId="0" borderId="23" xfId="0" applyNumberFormat="1" applyFont="1" applyBorder="1"/>
    <xf numFmtId="2" fontId="3" fillId="0" borderId="23" xfId="0" applyNumberFormat="1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3" fillId="0" borderId="23" xfId="0" applyFont="1" applyBorder="1" applyAlignment="1">
      <alignment horizontal="left"/>
    </xf>
    <xf numFmtId="0" fontId="2" fillId="5" borderId="16" xfId="0" applyFont="1" applyFill="1" applyBorder="1"/>
    <xf numFmtId="3" fontId="34" fillId="0" borderId="16" xfId="0" applyNumberFormat="1" applyFont="1" applyBorder="1"/>
    <xf numFmtId="164" fontId="3" fillId="0" borderId="16" xfId="0" applyNumberFormat="1" applyFont="1" applyBorder="1"/>
    <xf numFmtId="0" fontId="2" fillId="0" borderId="16" xfId="0" applyFont="1" applyBorder="1" applyAlignment="1">
      <alignment horizontal="right"/>
    </xf>
    <xf numFmtId="0" fontId="3" fillId="0" borderId="16" xfId="0" applyFont="1" applyBorder="1" applyAlignment="1">
      <alignment horizontal="left"/>
    </xf>
    <xf numFmtId="0" fontId="2" fillId="0" borderId="5" xfId="0" applyFont="1" applyBorder="1" applyAlignment="1">
      <alignment wrapText="1"/>
    </xf>
    <xf numFmtId="4" fontId="2" fillId="0" borderId="15" xfId="0" applyNumberFormat="1" applyFont="1" applyBorder="1" applyAlignment="1">
      <alignment horizontal="right"/>
    </xf>
    <xf numFmtId="0" fontId="2" fillId="0" borderId="15" xfId="0" applyFont="1" applyBorder="1" applyAlignment="1">
      <alignment horizontal="left"/>
    </xf>
    <xf numFmtId="4" fontId="2" fillId="0" borderId="16" xfId="0" applyNumberFormat="1" applyFont="1" applyBorder="1" applyAlignment="1">
      <alignment horizontal="right"/>
    </xf>
    <xf numFmtId="0" fontId="2" fillId="0" borderId="16" xfId="0" applyFont="1" applyBorder="1" applyAlignment="1">
      <alignment horizontal="left"/>
    </xf>
    <xf numFmtId="0" fontId="2" fillId="5" borderId="16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3" fontId="34" fillId="0" borderId="16" xfId="0" applyNumberFormat="1" applyFont="1" applyBorder="1" applyAlignment="1">
      <alignment vertical="center"/>
    </xf>
    <xf numFmtId="3" fontId="3" fillId="0" borderId="16" xfId="0" applyNumberFormat="1" applyFont="1" applyBorder="1" applyAlignment="1">
      <alignment vertical="center"/>
    </xf>
    <xf numFmtId="4" fontId="2" fillId="0" borderId="16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5" borderId="16" xfId="0" applyFont="1" applyFill="1" applyBorder="1" applyAlignment="1">
      <alignment wrapText="1"/>
    </xf>
    <xf numFmtId="0" fontId="3" fillId="11" borderId="16" xfId="0" applyFont="1" applyFill="1" applyBorder="1"/>
    <xf numFmtId="0" fontId="2" fillId="11" borderId="16" xfId="0" applyFont="1" applyFill="1" applyBorder="1" applyAlignment="1">
      <alignment wrapText="1"/>
    </xf>
    <xf numFmtId="0" fontId="2" fillId="11" borderId="16" xfId="0" applyFont="1" applyFill="1" applyBorder="1" applyAlignment="1">
      <alignment horizontal="center"/>
    </xf>
    <xf numFmtId="0" fontId="2" fillId="11" borderId="16" xfId="0" applyFont="1" applyFill="1" applyBorder="1"/>
    <xf numFmtId="3" fontId="34" fillId="11" borderId="16" xfId="0" applyNumberFormat="1" applyFont="1" applyFill="1" applyBorder="1"/>
    <xf numFmtId="3" fontId="3" fillId="11" borderId="16" xfId="0" applyNumberFormat="1" applyFont="1" applyFill="1" applyBorder="1"/>
    <xf numFmtId="4" fontId="2" fillId="11" borderId="16" xfId="0" applyNumberFormat="1" applyFont="1" applyFill="1" applyBorder="1" applyAlignment="1">
      <alignment horizontal="right"/>
    </xf>
    <xf numFmtId="0" fontId="2" fillId="11" borderId="16" xfId="0" applyFont="1" applyFill="1" applyBorder="1" applyAlignment="1">
      <alignment horizontal="right"/>
    </xf>
    <xf numFmtId="0" fontId="2" fillId="11" borderId="16" xfId="0" applyFont="1" applyFill="1" applyBorder="1" applyAlignment="1">
      <alignment horizontal="left"/>
    </xf>
    <xf numFmtId="0" fontId="13" fillId="0" borderId="5" xfId="0" applyFont="1" applyBorder="1" applyAlignment="1">
      <alignment horizontal="center"/>
    </xf>
    <xf numFmtId="0" fontId="12" fillId="0" borderId="0" xfId="0" applyFont="1"/>
    <xf numFmtId="3" fontId="12" fillId="0" borderId="0" xfId="0" applyNumberFormat="1" applyFont="1"/>
    <xf numFmtId="0" fontId="3" fillId="5" borderId="16" xfId="0" applyFont="1" applyFill="1" applyBorder="1" applyAlignment="1">
      <alignment horizontal="center"/>
    </xf>
    <xf numFmtId="166" fontId="3" fillId="0" borderId="16" xfId="0" applyNumberFormat="1" applyFont="1" applyBorder="1"/>
    <xf numFmtId="0" fontId="11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5" fillId="11" borderId="14" xfId="0" applyFont="1" applyFill="1" applyBorder="1"/>
    <xf numFmtId="164" fontId="3" fillId="11" borderId="14" xfId="0" applyNumberFormat="1" applyFont="1" applyFill="1" applyBorder="1"/>
    <xf numFmtId="2" fontId="3" fillId="11" borderId="14" xfId="0" applyNumberFormat="1" applyFont="1" applyFill="1" applyBorder="1" applyAlignment="1">
      <alignment horizontal="right"/>
    </xf>
    <xf numFmtId="0" fontId="43" fillId="11" borderId="14" xfId="0" applyFont="1" applyFill="1" applyBorder="1" applyAlignment="1">
      <alignment horizontal="right"/>
    </xf>
    <xf numFmtId="0" fontId="3" fillId="11" borderId="14" xfId="0" applyFont="1" applyFill="1" applyBorder="1" applyAlignment="1">
      <alignment horizontal="right"/>
    </xf>
    <xf numFmtId="0" fontId="43" fillId="0" borderId="14" xfId="0" applyFont="1" applyBorder="1" applyAlignment="1">
      <alignment horizontal="right"/>
    </xf>
    <xf numFmtId="0" fontId="3" fillId="11" borderId="14" xfId="0" applyFont="1" applyFill="1" applyBorder="1" applyAlignment="1">
      <alignment vertical="center"/>
    </xf>
    <xf numFmtId="0" fontId="2" fillId="11" borderId="14" xfId="0" applyFont="1" applyFill="1" applyBorder="1" applyAlignment="1">
      <alignment vertical="center" wrapText="1"/>
    </xf>
    <xf numFmtId="0" fontId="2" fillId="11" borderId="14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vertical="center"/>
    </xf>
    <xf numFmtId="3" fontId="34" fillId="11" borderId="14" xfId="0" applyNumberFormat="1" applyFont="1" applyFill="1" applyBorder="1" applyAlignment="1">
      <alignment vertical="center"/>
    </xf>
    <xf numFmtId="3" fontId="3" fillId="11" borderId="14" xfId="0" applyNumberFormat="1" applyFont="1" applyFill="1" applyBorder="1" applyAlignment="1">
      <alignment vertical="center"/>
    </xf>
    <xf numFmtId="4" fontId="2" fillId="11" borderId="14" xfId="0" applyNumberFormat="1" applyFont="1" applyFill="1" applyBorder="1" applyAlignment="1">
      <alignment horizontal="right" vertical="center"/>
    </xf>
    <xf numFmtId="0" fontId="43" fillId="11" borderId="14" xfId="0" applyFont="1" applyFill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/>
    </xf>
    <xf numFmtId="3" fontId="34" fillId="0" borderId="14" xfId="0" applyNumberFormat="1" applyFont="1" applyBorder="1" applyAlignment="1">
      <alignment vertical="center"/>
    </xf>
    <xf numFmtId="4" fontId="2" fillId="0" borderId="14" xfId="0" applyNumberFormat="1" applyFont="1" applyBorder="1" applyAlignment="1">
      <alignment horizontal="right" vertical="center"/>
    </xf>
    <xf numFmtId="0" fontId="43" fillId="0" borderId="14" xfId="0" applyFont="1" applyBorder="1" applyAlignment="1">
      <alignment horizontal="right" vertical="center"/>
    </xf>
    <xf numFmtId="0" fontId="43" fillId="11" borderId="14" xfId="0" applyFont="1" applyFill="1" applyBorder="1" applyAlignment="1">
      <alignment horizontal="right" vertical="center"/>
    </xf>
    <xf numFmtId="0" fontId="3" fillId="0" borderId="14" xfId="0" quotePrefix="1" applyFont="1" applyBorder="1"/>
    <xf numFmtId="0" fontId="3" fillId="0" borderId="5" xfId="0" quotePrefix="1" applyFont="1" applyBorder="1"/>
    <xf numFmtId="0" fontId="3" fillId="0" borderId="15" xfId="0" quotePrefix="1" applyFont="1" applyBorder="1"/>
    <xf numFmtId="0" fontId="3" fillId="13" borderId="17" xfId="0" applyFont="1" applyFill="1" applyBorder="1"/>
    <xf numFmtId="3" fontId="3" fillId="13" borderId="17" xfId="0" applyNumberFormat="1" applyFont="1" applyFill="1" applyBorder="1"/>
    <xf numFmtId="0" fontId="3" fillId="13" borderId="14" xfId="0" applyFont="1" applyFill="1" applyBorder="1"/>
    <xf numFmtId="3" fontId="3" fillId="13" borderId="14" xfId="0" applyNumberFormat="1" applyFont="1" applyFill="1" applyBorder="1"/>
    <xf numFmtId="0" fontId="3" fillId="15" borderId="14" xfId="0" applyFont="1" applyFill="1" applyBorder="1"/>
    <xf numFmtId="3" fontId="3" fillId="15" borderId="14" xfId="0" applyNumberFormat="1" applyFont="1" applyFill="1" applyBorder="1"/>
    <xf numFmtId="166" fontId="3" fillId="15" borderId="14" xfId="0" applyNumberFormat="1" applyFont="1" applyFill="1" applyBorder="1"/>
    <xf numFmtId="0" fontId="3" fillId="11" borderId="14" xfId="0" quotePrefix="1" applyFont="1" applyFill="1" applyBorder="1"/>
    <xf numFmtId="3" fontId="3" fillId="13" borderId="19" xfId="0" applyNumberFormat="1" applyFont="1" applyFill="1" applyBorder="1"/>
    <xf numFmtId="3" fontId="3" fillId="2" borderId="19" xfId="0" applyNumberFormat="1" applyFont="1" applyFill="1" applyBorder="1"/>
    <xf numFmtId="3" fontId="3" fillId="11" borderId="17" xfId="0" applyNumberFormat="1" applyFont="1" applyFill="1" applyBorder="1"/>
    <xf numFmtId="166" fontId="3" fillId="11" borderId="17" xfId="0" applyNumberFormat="1" applyFont="1" applyFill="1" applyBorder="1"/>
    <xf numFmtId="0" fontId="3" fillId="0" borderId="14" xfId="0" applyFont="1" applyBorder="1" applyAlignment="1">
      <alignment wrapText="1"/>
    </xf>
    <xf numFmtId="0" fontId="3" fillId="0" borderId="14" xfId="0" quotePrefix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2" fontId="3" fillId="0" borderId="14" xfId="0" applyNumberFormat="1" applyFont="1" applyBorder="1" applyAlignment="1">
      <alignment horizontal="right" vertical="center"/>
    </xf>
    <xf numFmtId="0" fontId="27" fillId="0" borderId="14" xfId="0" applyFont="1" applyBorder="1" applyAlignment="1">
      <alignment horizontal="right"/>
    </xf>
    <xf numFmtId="0" fontId="27" fillId="0" borderId="14" xfId="0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left"/>
    </xf>
    <xf numFmtId="4" fontId="43" fillId="0" borderId="14" xfId="0" applyNumberFormat="1" applyFont="1" applyBorder="1" applyAlignment="1">
      <alignment horizontal="right"/>
    </xf>
    <xf numFmtId="3" fontId="2" fillId="0" borderId="14" xfId="0" applyNumberFormat="1" applyFont="1" applyBorder="1" applyAlignment="1">
      <alignment vertical="center"/>
    </xf>
    <xf numFmtId="4" fontId="2" fillId="0" borderId="14" xfId="0" applyNumberFormat="1" applyFont="1" applyBorder="1" applyAlignment="1">
      <alignment horizontal="left" vertical="center"/>
    </xf>
    <xf numFmtId="0" fontId="43" fillId="0" borderId="14" xfId="0" applyFont="1" applyBorder="1" applyAlignment="1">
      <alignment horizontal="right" vertical="center" wrapText="1"/>
    </xf>
    <xf numFmtId="0" fontId="45" fillId="0" borderId="14" xfId="0" applyFont="1" applyBorder="1"/>
    <xf numFmtId="0" fontId="15" fillId="0" borderId="14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15" fillId="12" borderId="14" xfId="0" applyFont="1" applyFill="1" applyBorder="1"/>
    <xf numFmtId="164" fontId="15" fillId="12" borderId="14" xfId="0" applyNumberFormat="1" applyFont="1" applyFill="1" applyBorder="1"/>
    <xf numFmtId="164" fontId="16" fillId="12" borderId="14" xfId="0" applyNumberFormat="1" applyFont="1" applyFill="1" applyBorder="1"/>
    <xf numFmtId="164" fontId="16" fillId="0" borderId="14" xfId="0" applyNumberFormat="1" applyFont="1" applyBorder="1"/>
    <xf numFmtId="0" fontId="15" fillId="6" borderId="14" xfId="0" applyFont="1" applyFill="1" applyBorder="1"/>
    <xf numFmtId="164" fontId="15" fillId="6" borderId="14" xfId="0" applyNumberFormat="1" applyFont="1" applyFill="1" applyBorder="1"/>
    <xf numFmtId="164" fontId="16" fillId="6" borderId="14" xfId="0" applyNumberFormat="1" applyFont="1" applyFill="1" applyBorder="1"/>
    <xf numFmtId="0" fontId="46" fillId="6" borderId="14" xfId="0" applyFont="1" applyFill="1" applyBorder="1"/>
    <xf numFmtId="164" fontId="46" fillId="6" borderId="14" xfId="0" applyNumberFormat="1" applyFont="1" applyFill="1" applyBorder="1"/>
    <xf numFmtId="164" fontId="47" fillId="6" borderId="14" xfId="0" applyNumberFormat="1" applyFont="1" applyFill="1" applyBorder="1"/>
    <xf numFmtId="0" fontId="46" fillId="28" borderId="14" xfId="0" applyFont="1" applyFill="1" applyBorder="1"/>
    <xf numFmtId="164" fontId="46" fillId="28" borderId="14" xfId="0" applyNumberFormat="1" applyFont="1" applyFill="1" applyBorder="1"/>
    <xf numFmtId="164" fontId="47" fillId="28" borderId="14" xfId="0" applyNumberFormat="1" applyFont="1" applyFill="1" applyBorder="1"/>
    <xf numFmtId="164" fontId="15" fillId="28" borderId="14" xfId="0" applyNumberFormat="1" applyFont="1" applyFill="1" applyBorder="1"/>
    <xf numFmtId="164" fontId="16" fillId="28" borderId="14" xfId="0" applyNumberFormat="1" applyFont="1" applyFill="1" applyBorder="1"/>
    <xf numFmtId="17" fontId="48" fillId="28" borderId="14" xfId="0" applyNumberFormat="1" applyFont="1" applyFill="1" applyBorder="1"/>
    <xf numFmtId="164" fontId="48" fillId="28" borderId="14" xfId="0" applyNumberFormat="1" applyFont="1" applyFill="1" applyBorder="1"/>
    <xf numFmtId="164" fontId="49" fillId="28" borderId="14" xfId="0" applyNumberFormat="1" applyFont="1" applyFill="1" applyBorder="1"/>
    <xf numFmtId="17" fontId="15" fillId="28" borderId="14" xfId="0" applyNumberFormat="1" applyFont="1" applyFill="1" applyBorder="1"/>
    <xf numFmtId="17" fontId="15" fillId="0" borderId="14" xfId="0" applyNumberFormat="1" applyFont="1" applyBorder="1"/>
    <xf numFmtId="164" fontId="46" fillId="0" borderId="14" xfId="0" applyNumberFormat="1" applyFont="1" applyBorder="1"/>
    <xf numFmtId="164" fontId="50" fillId="0" borderId="14" xfId="0" applyNumberFormat="1" applyFont="1" applyBorder="1"/>
    <xf numFmtId="17" fontId="15" fillId="0" borderId="14" xfId="0" applyNumberFormat="1" applyFont="1" applyBorder="1" applyAlignment="1">
      <alignment horizontal="left"/>
    </xf>
    <xf numFmtId="17" fontId="15" fillId="18" borderId="14" xfId="0" applyNumberFormat="1" applyFont="1" applyFill="1" applyBorder="1"/>
    <xf numFmtId="164" fontId="46" fillId="18" borderId="14" xfId="0" applyNumberFormat="1" applyFont="1" applyFill="1" applyBorder="1"/>
    <xf numFmtId="164" fontId="50" fillId="18" borderId="14" xfId="0" applyNumberFormat="1" applyFont="1" applyFill="1" applyBorder="1"/>
    <xf numFmtId="164" fontId="16" fillId="18" borderId="14" xfId="0" applyNumberFormat="1" applyFont="1" applyFill="1" applyBorder="1"/>
    <xf numFmtId="164" fontId="15" fillId="18" borderId="14" xfId="0" applyNumberFormat="1" applyFont="1" applyFill="1" applyBorder="1"/>
    <xf numFmtId="17" fontId="15" fillId="18" borderId="14" xfId="0" applyNumberFormat="1" applyFont="1" applyFill="1" applyBorder="1" applyAlignment="1">
      <alignment horizontal="left"/>
    </xf>
    <xf numFmtId="17" fontId="15" fillId="18" borderId="14" xfId="0" applyNumberFormat="1" applyFont="1" applyFill="1" applyBorder="1" applyAlignment="1">
      <alignment horizontal="left" vertical="center"/>
    </xf>
    <xf numFmtId="17" fontId="15" fillId="29" borderId="14" xfId="0" applyNumberFormat="1" applyFont="1" applyFill="1" applyBorder="1" applyAlignment="1">
      <alignment horizontal="left" vertical="center"/>
    </xf>
    <xf numFmtId="164" fontId="46" fillId="29" borderId="14" xfId="0" applyNumberFormat="1" applyFont="1" applyFill="1" applyBorder="1" applyAlignment="1">
      <alignment vertical="center"/>
    </xf>
    <xf numFmtId="164" fontId="50" fillId="29" borderId="14" xfId="0" applyNumberFormat="1" applyFont="1" applyFill="1" applyBorder="1" applyAlignment="1">
      <alignment vertical="center"/>
    </xf>
    <xf numFmtId="164" fontId="46" fillId="29" borderId="33" xfId="0" applyNumberFormat="1" applyFont="1" applyFill="1" applyBorder="1" applyAlignment="1">
      <alignment vertical="center"/>
    </xf>
    <xf numFmtId="164" fontId="16" fillId="29" borderId="14" xfId="0" applyNumberFormat="1" applyFont="1" applyFill="1" applyBorder="1" applyAlignment="1">
      <alignment vertical="center"/>
    </xf>
    <xf numFmtId="164" fontId="15" fillId="29" borderId="14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17" fontId="15" fillId="29" borderId="14" xfId="0" applyNumberFormat="1" applyFont="1" applyFill="1" applyBorder="1" applyAlignment="1">
      <alignment vertical="center"/>
    </xf>
    <xf numFmtId="17" fontId="15" fillId="15" borderId="14" xfId="0" applyNumberFormat="1" applyFont="1" applyFill="1" applyBorder="1" applyAlignment="1">
      <alignment vertical="center"/>
    </xf>
    <xf numFmtId="164" fontId="46" fillId="15" borderId="14" xfId="0" applyNumberFormat="1" applyFont="1" applyFill="1" applyBorder="1" applyAlignment="1">
      <alignment vertical="center"/>
    </xf>
    <xf numFmtId="164" fontId="16" fillId="15" borderId="14" xfId="0" applyNumberFormat="1" applyFont="1" applyFill="1" applyBorder="1" applyAlignment="1">
      <alignment vertical="center"/>
    </xf>
    <xf numFmtId="164" fontId="15" fillId="15" borderId="14" xfId="0" applyNumberFormat="1" applyFont="1" applyFill="1" applyBorder="1" applyAlignment="1">
      <alignment vertical="center"/>
    </xf>
    <xf numFmtId="169" fontId="3" fillId="0" borderId="0" xfId="0" applyNumberFormat="1" applyFont="1"/>
    <xf numFmtId="17" fontId="15" fillId="27" borderId="14" xfId="0" applyNumberFormat="1" applyFont="1" applyFill="1" applyBorder="1" applyAlignment="1">
      <alignment vertical="center"/>
    </xf>
    <xf numFmtId="164" fontId="46" fillId="27" borderId="14" xfId="0" applyNumberFormat="1" applyFont="1" applyFill="1" applyBorder="1" applyAlignment="1">
      <alignment vertical="center"/>
    </xf>
    <xf numFmtId="164" fontId="16" fillId="27" borderId="14" xfId="0" applyNumberFormat="1" applyFont="1" applyFill="1" applyBorder="1" applyAlignment="1">
      <alignment vertical="center"/>
    </xf>
    <xf numFmtId="164" fontId="15" fillId="27" borderId="14" xfId="0" applyNumberFormat="1" applyFont="1" applyFill="1" applyBorder="1" applyAlignment="1">
      <alignment vertical="center"/>
    </xf>
    <xf numFmtId="17" fontId="15" fillId="27" borderId="15" xfId="0" applyNumberFormat="1" applyFont="1" applyFill="1" applyBorder="1" applyAlignment="1">
      <alignment vertical="center"/>
    </xf>
    <xf numFmtId="164" fontId="46" fillId="27" borderId="15" xfId="0" applyNumberFormat="1" applyFont="1" applyFill="1" applyBorder="1" applyAlignment="1">
      <alignment vertical="center"/>
    </xf>
    <xf numFmtId="164" fontId="16" fillId="27" borderId="15" xfId="0" applyNumberFormat="1" applyFont="1" applyFill="1" applyBorder="1" applyAlignment="1">
      <alignment vertical="center"/>
    </xf>
    <xf numFmtId="164" fontId="15" fillId="27" borderId="15" xfId="0" applyNumberFormat="1" applyFont="1" applyFill="1" applyBorder="1" applyAlignment="1">
      <alignment vertical="center"/>
    </xf>
    <xf numFmtId="17" fontId="15" fillId="27" borderId="17" xfId="0" applyNumberFormat="1" applyFont="1" applyFill="1" applyBorder="1" applyAlignment="1">
      <alignment horizontal="left" vertical="center"/>
    </xf>
    <xf numFmtId="164" fontId="46" fillId="27" borderId="17" xfId="0" applyNumberFormat="1" applyFont="1" applyFill="1" applyBorder="1" applyAlignment="1">
      <alignment vertical="center"/>
    </xf>
    <xf numFmtId="164" fontId="16" fillId="27" borderId="17" xfId="0" applyNumberFormat="1" applyFont="1" applyFill="1" applyBorder="1" applyAlignment="1">
      <alignment vertical="center"/>
    </xf>
    <xf numFmtId="164" fontId="15" fillId="27" borderId="17" xfId="0" applyNumberFormat="1" applyFont="1" applyFill="1" applyBorder="1" applyAlignment="1">
      <alignment vertical="center"/>
    </xf>
    <xf numFmtId="17" fontId="15" fillId="27" borderId="17" xfId="0" applyNumberFormat="1" applyFont="1" applyFill="1" applyBorder="1" applyAlignment="1">
      <alignment vertical="center"/>
    </xf>
    <xf numFmtId="17" fontId="15" fillId="27" borderId="14" xfId="0" applyNumberFormat="1" applyFont="1" applyFill="1" applyBorder="1" applyAlignment="1">
      <alignment horizontal="left" vertical="center"/>
    </xf>
    <xf numFmtId="17" fontId="51" fillId="27" borderId="14" xfId="0" applyNumberFormat="1" applyFont="1" applyFill="1" applyBorder="1" applyAlignment="1">
      <alignment vertical="center"/>
    </xf>
    <xf numFmtId="164" fontId="51" fillId="27" borderId="14" xfId="0" applyNumberFormat="1" applyFont="1" applyFill="1" applyBorder="1" applyAlignment="1">
      <alignment vertical="center"/>
    </xf>
    <xf numFmtId="164" fontId="52" fillId="27" borderId="14" xfId="0" applyNumberFormat="1" applyFont="1" applyFill="1" applyBorder="1" applyAlignment="1">
      <alignment vertical="center"/>
    </xf>
    <xf numFmtId="17" fontId="51" fillId="27" borderId="15" xfId="0" applyNumberFormat="1" applyFont="1" applyFill="1" applyBorder="1" applyAlignment="1">
      <alignment vertical="center"/>
    </xf>
    <xf numFmtId="164" fontId="51" fillId="27" borderId="15" xfId="0" applyNumberFormat="1" applyFont="1" applyFill="1" applyBorder="1" applyAlignment="1">
      <alignment vertical="center"/>
    </xf>
    <xf numFmtId="164" fontId="52" fillId="27" borderId="15" xfId="0" applyNumberFormat="1" applyFont="1" applyFill="1" applyBorder="1" applyAlignment="1">
      <alignment vertical="center"/>
    </xf>
    <xf numFmtId="164" fontId="16" fillId="2" borderId="14" xfId="0" applyNumberFormat="1" applyFont="1" applyFill="1" applyBorder="1" applyAlignment="1">
      <alignment horizontal="center"/>
    </xf>
    <xf numFmtId="164" fontId="15" fillId="2" borderId="14" xfId="0" applyNumberFormat="1" applyFont="1" applyFill="1" applyBorder="1"/>
    <xf numFmtId="14" fontId="15" fillId="0" borderId="0" xfId="0" applyNumberFormat="1" applyFont="1"/>
    <xf numFmtId="164" fontId="12" fillId="2" borderId="14" xfId="0" applyNumberFormat="1" applyFont="1" applyFill="1" applyBorder="1" applyAlignment="1">
      <alignment horizontal="center"/>
    </xf>
    <xf numFmtId="164" fontId="3" fillId="2" borderId="14" xfId="0" applyNumberFormat="1" applyFont="1" applyFill="1" applyBorder="1"/>
    <xf numFmtId="17" fontId="15" fillId="0" borderId="14" xfId="0" applyNumberFormat="1" applyFont="1" applyBorder="1" applyAlignment="1">
      <alignment horizontal="left" vertical="center"/>
    </xf>
    <xf numFmtId="164" fontId="46" fillId="0" borderId="14" xfId="0" applyNumberFormat="1" applyFont="1" applyBorder="1" applyAlignment="1">
      <alignment vertical="center"/>
    </xf>
    <xf numFmtId="164" fontId="16" fillId="0" borderId="14" xfId="0" applyNumberFormat="1" applyFont="1" applyBorder="1" applyAlignment="1">
      <alignment vertical="center"/>
    </xf>
    <xf numFmtId="164" fontId="15" fillId="0" borderId="14" xfId="0" applyNumberFormat="1" applyFont="1" applyBorder="1" applyAlignment="1">
      <alignment vertical="center"/>
    </xf>
    <xf numFmtId="17" fontId="15" fillId="0" borderId="14" xfId="0" applyNumberFormat="1" applyFont="1" applyBorder="1" applyAlignment="1">
      <alignment vertical="center"/>
    </xf>
    <xf numFmtId="164" fontId="12" fillId="0" borderId="0" xfId="0" applyNumberFormat="1" applyFont="1"/>
    <xf numFmtId="164" fontId="16" fillId="16" borderId="14" xfId="0" applyNumberFormat="1" applyFont="1" applyFill="1" applyBorder="1"/>
    <xf numFmtId="164" fontId="55" fillId="2" borderId="14" xfId="0" applyNumberFormat="1" applyFont="1" applyFill="1" applyBorder="1" applyAlignment="1">
      <alignment vertical="center"/>
    </xf>
    <xf numFmtId="2" fontId="55" fillId="2" borderId="14" xfId="0" applyNumberFormat="1" applyFont="1" applyFill="1" applyBorder="1" applyAlignment="1">
      <alignment vertical="center"/>
    </xf>
    <xf numFmtId="0" fontId="55" fillId="2" borderId="14" xfId="0" applyFont="1" applyFill="1" applyBorder="1" applyAlignment="1">
      <alignment vertical="center"/>
    </xf>
    <xf numFmtId="0" fontId="57" fillId="0" borderId="14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164" fontId="46" fillId="0" borderId="0" xfId="0" applyNumberFormat="1" applyFont="1"/>
    <xf numFmtId="0" fontId="46" fillId="0" borderId="14" xfId="0" applyFont="1" applyBorder="1"/>
    <xf numFmtId="164" fontId="46" fillId="4" borderId="14" xfId="0" applyNumberFormat="1" applyFont="1" applyFill="1" applyBorder="1"/>
    <xf numFmtId="164" fontId="47" fillId="0" borderId="14" xfId="0" applyNumberFormat="1" applyFont="1" applyBorder="1"/>
    <xf numFmtId="17" fontId="48" fillId="0" borderId="14" xfId="0" applyNumberFormat="1" applyFont="1" applyBorder="1"/>
    <xf numFmtId="164" fontId="48" fillId="4" borderId="14" xfId="0" applyNumberFormat="1" applyFont="1" applyFill="1" applyBorder="1"/>
    <xf numFmtId="164" fontId="49" fillId="0" borderId="14" xfId="0" applyNumberFormat="1" applyFont="1" applyBorder="1"/>
    <xf numFmtId="164" fontId="48" fillId="0" borderId="0" xfId="0" applyNumberFormat="1" applyFont="1"/>
    <xf numFmtId="170" fontId="3" fillId="0" borderId="0" xfId="0" applyNumberFormat="1" applyFont="1"/>
    <xf numFmtId="17" fontId="15" fillId="16" borderId="14" xfId="0" applyNumberFormat="1" applyFont="1" applyFill="1" applyBorder="1"/>
    <xf numFmtId="164" fontId="46" fillId="16" borderId="14" xfId="0" applyNumberFormat="1" applyFont="1" applyFill="1" applyBorder="1"/>
    <xf numFmtId="169" fontId="3" fillId="16" borderId="19" xfId="0" applyNumberFormat="1" applyFont="1" applyFill="1" applyBorder="1"/>
    <xf numFmtId="17" fontId="15" fillId="16" borderId="14" xfId="0" applyNumberFormat="1" applyFont="1" applyFill="1" applyBorder="1" applyAlignment="1">
      <alignment horizontal="left"/>
    </xf>
    <xf numFmtId="169" fontId="3" fillId="18" borderId="19" xfId="0" applyNumberFormat="1" applyFont="1" applyFill="1" applyBorder="1"/>
    <xf numFmtId="17" fontId="15" fillId="29" borderId="14" xfId="0" applyNumberFormat="1" applyFont="1" applyFill="1" applyBorder="1" applyAlignment="1">
      <alignment horizontal="left"/>
    </xf>
    <xf numFmtId="164" fontId="46" fillId="29" borderId="14" xfId="0" applyNumberFormat="1" applyFont="1" applyFill="1" applyBorder="1"/>
    <xf numFmtId="164" fontId="16" fillId="29" borderId="14" xfId="0" applyNumberFormat="1" applyFont="1" applyFill="1" applyBorder="1"/>
    <xf numFmtId="169" fontId="3" fillId="29" borderId="19" xfId="0" applyNumberFormat="1" applyFont="1" applyFill="1" applyBorder="1"/>
    <xf numFmtId="164" fontId="46" fillId="0" borderId="0" xfId="0" applyNumberFormat="1" applyFont="1" applyAlignment="1">
      <alignment vertical="center"/>
    </xf>
    <xf numFmtId="17" fontId="15" fillId="2" borderId="14" xfId="0" applyNumberFormat="1" applyFont="1" applyFill="1" applyBorder="1" applyAlignment="1">
      <alignment horizontal="left"/>
    </xf>
    <xf numFmtId="164" fontId="46" fillId="2" borderId="14" xfId="0" applyNumberFormat="1" applyFont="1" applyFill="1" applyBorder="1"/>
    <xf numFmtId="164" fontId="16" fillId="2" borderId="14" xfId="0" applyNumberFormat="1" applyFont="1" applyFill="1" applyBorder="1"/>
    <xf numFmtId="169" fontId="3" fillId="2" borderId="19" xfId="0" applyNumberFormat="1" applyFont="1" applyFill="1" applyBorder="1"/>
    <xf numFmtId="17" fontId="15" fillId="5" borderId="14" xfId="0" applyNumberFormat="1" applyFont="1" applyFill="1" applyBorder="1" applyAlignment="1">
      <alignment horizontal="left"/>
    </xf>
    <xf numFmtId="164" fontId="46" fillId="5" borderId="14" xfId="0" applyNumberFormat="1" applyFont="1" applyFill="1" applyBorder="1"/>
    <xf numFmtId="164" fontId="16" fillId="5" borderId="14" xfId="0" applyNumberFormat="1" applyFont="1" applyFill="1" applyBorder="1"/>
    <xf numFmtId="169" fontId="3" fillId="5" borderId="19" xfId="0" applyNumberFormat="1" applyFont="1" applyFill="1" applyBorder="1"/>
    <xf numFmtId="0" fontId="15" fillId="0" borderId="14" xfId="0" applyFont="1" applyBorder="1" applyAlignment="1">
      <alignment horizontal="left"/>
    </xf>
    <xf numFmtId="0" fontId="16" fillId="0" borderId="14" xfId="0" applyFont="1" applyBorder="1" applyAlignment="1">
      <alignment vertical="center"/>
    </xf>
    <xf numFmtId="169" fontId="3" fillId="0" borderId="0" xfId="0" applyNumberFormat="1" applyFont="1" applyAlignment="1">
      <alignment vertical="center"/>
    </xf>
    <xf numFmtId="164" fontId="59" fillId="30" borderId="14" xfId="0" applyNumberFormat="1" applyFont="1" applyFill="1" applyBorder="1" applyAlignment="1">
      <alignment vertical="center"/>
    </xf>
    <xf numFmtId="166" fontId="59" fillId="16" borderId="14" xfId="0" applyNumberFormat="1" applyFont="1" applyFill="1" applyBorder="1"/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9" fontId="12" fillId="0" borderId="35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3" fillId="0" borderId="38" xfId="0" applyFont="1" applyBorder="1"/>
    <xf numFmtId="164" fontId="3" fillId="0" borderId="39" xfId="0" applyNumberFormat="1" applyFont="1" applyBorder="1"/>
    <xf numFmtId="164" fontId="3" fillId="0" borderId="40" xfId="0" applyNumberFormat="1" applyFont="1" applyBorder="1"/>
    <xf numFmtId="0" fontId="3" fillId="0" borderId="41" xfId="0" applyFont="1" applyBorder="1"/>
    <xf numFmtId="0" fontId="3" fillId="0" borderId="42" xfId="0" applyFont="1" applyBorder="1"/>
    <xf numFmtId="0" fontId="3" fillId="0" borderId="18" xfId="0" applyFont="1" applyBorder="1"/>
    <xf numFmtId="164" fontId="3" fillId="0" borderId="42" xfId="0" applyNumberFormat="1" applyFont="1" applyBorder="1"/>
    <xf numFmtId="164" fontId="3" fillId="0" borderId="18" xfId="0" applyNumberFormat="1" applyFont="1" applyBorder="1"/>
    <xf numFmtId="0" fontId="3" fillId="0" borderId="41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164" fontId="3" fillId="0" borderId="44" xfId="0" applyNumberFormat="1" applyFont="1" applyBorder="1"/>
    <xf numFmtId="164" fontId="3" fillId="0" borderId="45" xfId="0" applyNumberFormat="1" applyFont="1" applyBorder="1"/>
    <xf numFmtId="0" fontId="16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6" fillId="0" borderId="7" xfId="0" applyFont="1" applyBorder="1"/>
    <xf numFmtId="0" fontId="36" fillId="0" borderId="3" xfId="0" applyFont="1" applyBorder="1"/>
    <xf numFmtId="0" fontId="36" fillId="0" borderId="11" xfId="0" applyFont="1" applyBorder="1"/>
    <xf numFmtId="0" fontId="36" fillId="0" borderId="4" xfId="0" applyFont="1" applyBorder="1"/>
    <xf numFmtId="0" fontId="36" fillId="0" borderId="13" xfId="0" applyFont="1" applyBorder="1"/>
    <xf numFmtId="0" fontId="36" fillId="0" borderId="6" xfId="0" applyFont="1" applyBorder="1"/>
    <xf numFmtId="0" fontId="12" fillId="0" borderId="14" xfId="0" applyFont="1" applyBorder="1" applyAlignment="1">
      <alignment horizontal="center" vertical="center"/>
    </xf>
    <xf numFmtId="17" fontId="38" fillId="0" borderId="2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170" fontId="3" fillId="0" borderId="14" xfId="0" applyNumberFormat="1" applyFont="1" applyBorder="1"/>
    <xf numFmtId="164" fontId="3" fillId="0" borderId="14" xfId="0" applyNumberFormat="1" applyFont="1" applyBorder="1" applyAlignment="1">
      <alignment horizontal="right"/>
    </xf>
    <xf numFmtId="0" fontId="60" fillId="0" borderId="14" xfId="0" applyFont="1" applyBorder="1"/>
    <xf numFmtId="0" fontId="1" fillId="0" borderId="0" xfId="0" applyFont="1" applyAlignment="1">
      <alignment horizontal="center"/>
    </xf>
    <xf numFmtId="0" fontId="0" fillId="0" borderId="0" xfId="0"/>
    <xf numFmtId="165" fontId="4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9" fillId="0" borderId="7" xfId="0" applyFont="1" applyBorder="1" applyAlignment="1">
      <alignment horizontal="center"/>
    </xf>
    <xf numFmtId="0" fontId="8" fillId="0" borderId="8" xfId="0" applyFont="1" applyBorder="1"/>
    <xf numFmtId="0" fontId="8" fillId="0" borderId="3" xfId="0" applyFont="1" applyBorder="1"/>
    <xf numFmtId="0" fontId="7" fillId="0" borderId="9" xfId="0" applyFont="1" applyBorder="1" applyAlignment="1">
      <alignment horizontal="center"/>
    </xf>
    <xf numFmtId="0" fontId="8" fillId="0" borderId="10" xfId="0" applyFont="1" applyBorder="1"/>
    <xf numFmtId="0" fontId="7" fillId="0" borderId="11" xfId="0" applyFont="1" applyBorder="1" applyAlignment="1">
      <alignment horizontal="center"/>
    </xf>
    <xf numFmtId="0" fontId="8" fillId="0" borderId="4" xfId="0" applyFont="1" applyBorder="1"/>
    <xf numFmtId="0" fontId="3" fillId="2" borderId="9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6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8" fillId="0" borderId="6" xfId="0" applyFont="1" applyBorder="1"/>
    <xf numFmtId="0" fontId="16" fillId="6" borderId="9" xfId="0" applyFont="1" applyFill="1" applyBorder="1" applyAlignment="1">
      <alignment horizontal="center"/>
    </xf>
    <xf numFmtId="0" fontId="8" fillId="0" borderId="18" xfId="0" applyFont="1" applyBorder="1"/>
    <xf numFmtId="0" fontId="16" fillId="7" borderId="9" xfId="0" applyFont="1" applyFill="1" applyBorder="1" applyAlignment="1">
      <alignment horizontal="center"/>
    </xf>
    <xf numFmtId="0" fontId="15" fillId="0" borderId="9" xfId="0" applyFont="1" applyBorder="1" applyAlignment="1">
      <alignment horizontal="left"/>
    </xf>
    <xf numFmtId="0" fontId="15" fillId="0" borderId="9" xfId="0" applyFont="1" applyBorder="1" applyAlignment="1">
      <alignment horizontal="right"/>
    </xf>
    <xf numFmtId="0" fontId="16" fillId="9" borderId="9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15" fontId="12" fillId="14" borderId="9" xfId="0" applyNumberFormat="1" applyFont="1" applyFill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7" fontId="4" fillId="0" borderId="0" xfId="0" applyNumberFormat="1" applyFont="1" applyAlignment="1">
      <alignment horizontal="center"/>
    </xf>
    <xf numFmtId="0" fontId="16" fillId="13" borderId="9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left"/>
    </xf>
    <xf numFmtId="0" fontId="16" fillId="13" borderId="9" xfId="0" applyFont="1" applyFill="1" applyBorder="1" applyAlignment="1">
      <alignment horizontal="left"/>
    </xf>
    <xf numFmtId="0" fontId="16" fillId="15" borderId="9" xfId="0" applyFont="1" applyFill="1" applyBorder="1" applyAlignment="1">
      <alignment horizontal="center"/>
    </xf>
    <xf numFmtId="0" fontId="16" fillId="16" borderId="9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6" fillId="15" borderId="20" xfId="0" applyFont="1" applyFill="1" applyBorder="1" applyAlignment="1">
      <alignment horizontal="center"/>
    </xf>
    <xf numFmtId="0" fontId="8" fillId="0" borderId="21" xfId="0" applyFont="1" applyBorder="1"/>
    <xf numFmtId="0" fontId="30" fillId="0" borderId="9" xfId="0" applyFont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15" fontId="32" fillId="14" borderId="9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5" fillId="18" borderId="9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33" fillId="22" borderId="9" xfId="0" applyFont="1" applyFill="1" applyBorder="1" applyAlignment="1">
      <alignment horizontal="center"/>
    </xf>
    <xf numFmtId="0" fontId="3" fillId="21" borderId="9" xfId="0" applyFont="1" applyFill="1" applyBorder="1" applyAlignment="1">
      <alignment horizontal="center"/>
    </xf>
    <xf numFmtId="0" fontId="28" fillId="18" borderId="9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6" fillId="1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8" fillId="0" borderId="23" xfId="0" applyFont="1" applyBorder="1"/>
    <xf numFmtId="0" fontId="36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8" fillId="0" borderId="5" xfId="0" applyFont="1" applyBorder="1"/>
    <xf numFmtId="0" fontId="3" fillId="0" borderId="2" xfId="0" applyFont="1" applyBorder="1" applyAlignment="1">
      <alignment horizontal="center"/>
    </xf>
    <xf numFmtId="15" fontId="36" fillId="13" borderId="9" xfId="0" applyNumberFormat="1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17" fontId="12" fillId="10" borderId="9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9" xfId="0" applyFont="1" applyFill="1" applyBorder="1" applyAlignment="1">
      <alignment horizontal="center"/>
    </xf>
    <xf numFmtId="164" fontId="3" fillId="5" borderId="28" xfId="0" applyNumberFormat="1" applyFont="1" applyFill="1" applyBorder="1" applyAlignment="1">
      <alignment horizontal="center" vertical="center"/>
    </xf>
    <xf numFmtId="0" fontId="8" fillId="0" borderId="29" xfId="0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44" fillId="0" borderId="0" xfId="0" applyFont="1" applyAlignment="1">
      <alignment horizontal="center"/>
    </xf>
    <xf numFmtId="0" fontId="45" fillId="15" borderId="9" xfId="0" applyFont="1" applyFill="1" applyBorder="1" applyAlignment="1">
      <alignment horizontal="center" vertical="center"/>
    </xf>
    <xf numFmtId="0" fontId="45" fillId="2" borderId="9" xfId="0" applyFont="1" applyFill="1" applyBorder="1" applyAlignment="1">
      <alignment horizontal="center" vertical="center"/>
    </xf>
    <xf numFmtId="0" fontId="45" fillId="13" borderId="9" xfId="0" applyFont="1" applyFill="1" applyBorder="1" applyAlignment="1">
      <alignment horizontal="center" vertical="center"/>
    </xf>
    <xf numFmtId="0" fontId="45" fillId="27" borderId="9" xfId="0" applyFont="1" applyFill="1" applyBorder="1" applyAlignment="1">
      <alignment horizontal="center" vertical="center"/>
    </xf>
    <xf numFmtId="0" fontId="12" fillId="19" borderId="30" xfId="0" applyFont="1" applyFill="1" applyBorder="1" applyAlignment="1">
      <alignment horizontal="center" vertical="center"/>
    </xf>
    <xf numFmtId="0" fontId="8" fillId="0" borderId="31" xfId="0" applyFont="1" applyBorder="1"/>
    <xf numFmtId="0" fontId="8" fillId="0" borderId="32" xfId="0" applyFont="1" applyBorder="1"/>
    <xf numFmtId="164" fontId="16" fillId="2" borderId="9" xfId="0" applyNumberFormat="1" applyFont="1" applyFill="1" applyBorder="1" applyAlignment="1">
      <alignment horizontal="center"/>
    </xf>
    <xf numFmtId="0" fontId="55" fillId="2" borderId="9" xfId="0" applyFont="1" applyFill="1" applyBorder="1" applyAlignment="1">
      <alignment horizontal="center" vertical="center"/>
    </xf>
    <xf numFmtId="0" fontId="56" fillId="2" borderId="9" xfId="0" applyFont="1" applyFill="1" applyBorder="1" applyAlignment="1">
      <alignment horizontal="center" vertical="center"/>
    </xf>
    <xf numFmtId="169" fontId="53" fillId="0" borderId="9" xfId="0" applyNumberFormat="1" applyFont="1" applyBorder="1" applyAlignment="1">
      <alignment horizontal="center"/>
    </xf>
    <xf numFmtId="169" fontId="54" fillId="0" borderId="9" xfId="0" applyNumberFormat="1" applyFont="1" applyBorder="1" applyAlignment="1">
      <alignment horizontal="center"/>
    </xf>
    <xf numFmtId="0" fontId="55" fillId="2" borderId="9" xfId="0" applyFont="1" applyFill="1" applyBorder="1" applyAlignment="1">
      <alignment horizontal="center" vertical="center" wrapText="1"/>
    </xf>
    <xf numFmtId="0" fontId="45" fillId="15" borderId="30" xfId="0" applyFont="1" applyFill="1" applyBorder="1" applyAlignment="1">
      <alignment horizontal="center" vertical="center"/>
    </xf>
    <xf numFmtId="170" fontId="50" fillId="0" borderId="9" xfId="0" applyNumberFormat="1" applyFont="1" applyBorder="1" applyAlignment="1">
      <alignment horizontal="center"/>
    </xf>
    <xf numFmtId="170" fontId="50" fillId="4" borderId="9" xfId="0" applyNumberFormat="1" applyFont="1" applyFill="1" applyBorder="1" applyAlignment="1">
      <alignment horizontal="center"/>
    </xf>
    <xf numFmtId="170" fontId="50" fillId="16" borderId="9" xfId="0" applyNumberFormat="1" applyFont="1" applyFill="1" applyBorder="1" applyAlignment="1">
      <alignment horizontal="center"/>
    </xf>
    <xf numFmtId="170" fontId="16" fillId="16" borderId="9" xfId="0" applyNumberFormat="1" applyFont="1" applyFill="1" applyBorder="1" applyAlignment="1">
      <alignment horizontal="center"/>
    </xf>
    <xf numFmtId="170" fontId="16" fillId="18" borderId="9" xfId="0" applyNumberFormat="1" applyFont="1" applyFill="1" applyBorder="1" applyAlignment="1">
      <alignment horizontal="center"/>
    </xf>
    <xf numFmtId="170" fontId="16" fillId="0" borderId="9" xfId="0" applyNumberFormat="1" applyFont="1" applyBorder="1" applyAlignment="1">
      <alignment horizontal="center"/>
    </xf>
    <xf numFmtId="170" fontId="16" fillId="16" borderId="9" xfId="0" applyNumberFormat="1" applyFont="1" applyFill="1" applyBorder="1" applyAlignment="1">
      <alignment horizontal="center" vertical="center"/>
    </xf>
    <xf numFmtId="170" fontId="50" fillId="18" borderId="9" xfId="0" applyNumberFormat="1" applyFont="1" applyFill="1" applyBorder="1" applyAlignment="1">
      <alignment horizontal="center"/>
    </xf>
    <xf numFmtId="170" fontId="50" fillId="29" borderId="9" xfId="0" applyNumberFormat="1" applyFont="1" applyFill="1" applyBorder="1" applyAlignment="1">
      <alignment horizontal="center"/>
    </xf>
    <xf numFmtId="170" fontId="16" fillId="29" borderId="9" xfId="0" applyNumberFormat="1" applyFont="1" applyFill="1" applyBorder="1" applyAlignment="1">
      <alignment horizontal="center"/>
    </xf>
    <xf numFmtId="170" fontId="16" fillId="2" borderId="9" xfId="0" applyNumberFormat="1" applyFont="1" applyFill="1" applyBorder="1" applyAlignment="1">
      <alignment horizontal="center"/>
    </xf>
    <xf numFmtId="170" fontId="16" fillId="5" borderId="9" xfId="0" applyNumberFormat="1" applyFont="1" applyFill="1" applyBorder="1" applyAlignment="1">
      <alignment horizontal="center"/>
    </xf>
    <xf numFmtId="169" fontId="58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9" fillId="0" borderId="9" xfId="0" applyFont="1" applyBorder="1" applyAlignment="1">
      <alignment horizontal="center" vertical="center" wrapText="1"/>
    </xf>
    <xf numFmtId="166" fontId="59" fillId="0" borderId="9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" fontId="28" fillId="0" borderId="9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164" fontId="60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
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
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
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
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
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
<Relationships xmlns="http://schemas.openxmlformats.org/package/2006/relationships"><Relationship Id="rId1" Type="http://customschemas.google.com/relationships/workbookmetadata" Target="commentsmeta18"/></Relationships>
</file>

<file path=xl/_rels/comments20.xml.rels><?xml version="1.0" encoding="UTF-8" standalone="yes"?>
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
<Relationships xmlns="http://schemas.openxmlformats.org/package/2006/relationships"><Relationship Id="rId1" Type="http://customschemas.google.com/relationships/workbookmetadata" Target="commentsmeta20"/></Relationships>
</file>

<file path=xl/_rels/comments22.xml.rels><?xml version="1.0" encoding="UTF-8" standalone="yes"?>
<Relationships xmlns="http://schemas.openxmlformats.org/package/2006/relationships"><Relationship Id="rId1" Type="http://customschemas.google.com/relationships/workbookmetadata" Target="commentsmeta2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1000"/>
  <sheetViews>
    <sheetView workbookViewId="0"/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2" width="12.28515625" customWidth="1"/>
    <col min="13" max="13" width="10.5703125" customWidth="1"/>
    <col min="14" max="14" width="8.7109375" customWidth="1"/>
    <col min="15" max="15" width="13.28515625" customWidth="1"/>
    <col min="16" max="16" width="18" customWidth="1"/>
    <col min="17" max="17" width="15.28515625" customWidth="1"/>
    <col min="18" max="18" width="8.7109375" customWidth="1"/>
    <col min="19" max="19" width="11.5703125" customWidth="1"/>
    <col min="20" max="26" width="8.7109375" customWidth="1"/>
  </cols>
  <sheetData>
    <row r="1" spans="1:16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"/>
      <c r="M1" s="3"/>
    </row>
    <row r="2" spans="1:16" ht="18">
      <c r="A2" s="4"/>
      <c r="B2" s="5"/>
      <c r="C2" s="712" t="s">
        <v>1</v>
      </c>
      <c r="D2" s="711"/>
      <c r="E2" s="711"/>
      <c r="F2" s="711"/>
      <c r="G2" s="711"/>
      <c r="H2" s="6"/>
      <c r="I2" s="7"/>
      <c r="J2" s="8"/>
      <c r="K2" s="9"/>
      <c r="M2" s="3"/>
    </row>
    <row r="3" spans="1:16">
      <c r="A3" s="4"/>
      <c r="B3" s="5"/>
      <c r="C3" s="10"/>
      <c r="D3" s="5"/>
      <c r="E3" s="5"/>
      <c r="F3" s="2"/>
      <c r="G3" s="10"/>
      <c r="H3" s="6"/>
      <c r="I3" s="7"/>
      <c r="J3" s="11" t="s">
        <v>2</v>
      </c>
      <c r="K3" s="12"/>
      <c r="M3" s="3"/>
    </row>
    <row r="4" spans="1:16">
      <c r="A4" s="4"/>
      <c r="B4" s="5"/>
      <c r="C4" s="10"/>
      <c r="D4" s="5"/>
      <c r="E4" s="5"/>
      <c r="F4" s="2"/>
      <c r="G4" s="10"/>
      <c r="H4" s="6"/>
      <c r="I4" s="13"/>
      <c r="J4" s="1" t="s">
        <v>3</v>
      </c>
      <c r="K4" s="14">
        <v>255</v>
      </c>
      <c r="M4" s="3"/>
    </row>
    <row r="5" spans="1:16">
      <c r="A5" s="4"/>
      <c r="B5" s="5"/>
      <c r="C5" s="10"/>
      <c r="D5" s="5"/>
      <c r="E5" s="5"/>
      <c r="F5" s="2"/>
      <c r="G5" s="10"/>
      <c r="H5" s="6"/>
      <c r="I5" s="13"/>
      <c r="J5" s="1" t="s">
        <v>4</v>
      </c>
      <c r="K5" s="14">
        <v>32</v>
      </c>
      <c r="M5" s="3"/>
    </row>
    <row r="6" spans="1:16">
      <c r="A6" s="713" t="s">
        <v>5</v>
      </c>
      <c r="B6" s="714"/>
      <c r="C6" s="10"/>
      <c r="D6" s="5"/>
      <c r="E6" s="15"/>
      <c r="F6" s="2"/>
      <c r="G6" s="10"/>
      <c r="H6" s="6"/>
      <c r="I6" s="7"/>
      <c r="J6" s="16" t="s">
        <v>6</v>
      </c>
      <c r="K6" s="17"/>
      <c r="M6" s="3"/>
    </row>
    <row r="7" spans="1:16">
      <c r="A7" s="18"/>
      <c r="B7" s="19"/>
      <c r="C7" s="20"/>
      <c r="D7" s="21"/>
      <c r="E7" s="21"/>
      <c r="F7" s="715" t="s">
        <v>7</v>
      </c>
      <c r="G7" s="716"/>
      <c r="H7" s="717"/>
      <c r="I7" s="22"/>
      <c r="J7" s="718" t="s">
        <v>8</v>
      </c>
      <c r="K7" s="719"/>
      <c r="M7" s="3"/>
    </row>
    <row r="8" spans="1:16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30" t="s">
        <v>15</v>
      </c>
      <c r="J8" s="31"/>
      <c r="K8" s="32"/>
      <c r="M8" s="3"/>
    </row>
    <row r="9" spans="1:16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37"/>
      <c r="J9" s="25" t="s">
        <v>19</v>
      </c>
      <c r="K9" s="25" t="s">
        <v>20</v>
      </c>
      <c r="M9" s="3"/>
    </row>
    <row r="10" spans="1:16">
      <c r="A10" s="38"/>
      <c r="B10" s="39"/>
      <c r="C10" s="40"/>
      <c r="D10" s="41"/>
      <c r="E10" s="41"/>
      <c r="F10" s="42"/>
      <c r="G10" s="43"/>
      <c r="H10" s="44" t="s">
        <v>21</v>
      </c>
      <c r="I10" s="45"/>
      <c r="J10" s="42"/>
      <c r="K10" s="46" t="s">
        <v>22</v>
      </c>
      <c r="M10" s="3"/>
      <c r="O10" s="722" t="s">
        <v>23</v>
      </c>
      <c r="P10" s="719"/>
    </row>
    <row r="11" spans="1:16">
      <c r="A11" s="47" t="s">
        <v>24</v>
      </c>
      <c r="B11" s="48"/>
      <c r="C11" s="48"/>
      <c r="D11" s="48"/>
      <c r="E11" s="48"/>
      <c r="F11" s="48"/>
      <c r="G11" s="48"/>
      <c r="H11" s="48"/>
      <c r="I11" s="49"/>
      <c r="J11" s="48"/>
      <c r="K11" s="48"/>
      <c r="M11" s="3"/>
      <c r="O11" s="723" t="s">
        <v>25</v>
      </c>
      <c r="P11" s="719"/>
    </row>
    <row r="12" spans="1:16">
      <c r="A12" s="50">
        <v>2</v>
      </c>
      <c r="B12" s="48" t="s">
        <v>26</v>
      </c>
      <c r="C12" s="48" t="s">
        <v>27</v>
      </c>
      <c r="D12" s="48" t="s">
        <v>28</v>
      </c>
      <c r="E12" s="48" t="s">
        <v>29</v>
      </c>
      <c r="F12" s="48"/>
      <c r="G12" s="48" t="s">
        <v>30</v>
      </c>
      <c r="H12" s="51">
        <v>3500</v>
      </c>
      <c r="I12" s="49">
        <v>700</v>
      </c>
      <c r="J12" s="48" t="s">
        <v>31</v>
      </c>
      <c r="K12" s="48" t="s">
        <v>32</v>
      </c>
      <c r="M12" s="3">
        <v>800</v>
      </c>
      <c r="O12" s="48" t="s">
        <v>33</v>
      </c>
      <c r="P12" s="52">
        <v>356300</v>
      </c>
    </row>
    <row r="13" spans="1:16">
      <c r="A13" s="50">
        <v>2</v>
      </c>
      <c r="B13" s="48" t="s">
        <v>34</v>
      </c>
      <c r="C13" s="48" t="s">
        <v>27</v>
      </c>
      <c r="D13" s="48" t="s">
        <v>35</v>
      </c>
      <c r="E13" s="48" t="s">
        <v>36</v>
      </c>
      <c r="F13" s="48"/>
      <c r="G13" s="48" t="s">
        <v>30</v>
      </c>
      <c r="H13" s="51">
        <v>4000</v>
      </c>
      <c r="I13" s="49">
        <v>800</v>
      </c>
      <c r="J13" s="48" t="s">
        <v>31</v>
      </c>
      <c r="K13" s="48" t="s">
        <v>32</v>
      </c>
      <c r="M13" s="3">
        <v>600</v>
      </c>
      <c r="O13" s="48" t="s">
        <v>37</v>
      </c>
      <c r="P13" s="52">
        <v>31500</v>
      </c>
    </row>
    <row r="14" spans="1:16">
      <c r="A14" s="50">
        <v>2</v>
      </c>
      <c r="B14" s="48" t="s">
        <v>38</v>
      </c>
      <c r="C14" s="48" t="s">
        <v>39</v>
      </c>
      <c r="D14" s="48" t="s">
        <v>40</v>
      </c>
      <c r="E14" s="48" t="s">
        <v>41</v>
      </c>
      <c r="F14" s="48"/>
      <c r="G14" s="48" t="s">
        <v>30</v>
      </c>
      <c r="H14" s="51">
        <v>500</v>
      </c>
      <c r="I14" s="49">
        <v>100</v>
      </c>
      <c r="J14" s="48" t="s">
        <v>31</v>
      </c>
      <c r="K14" s="48" t="s">
        <v>32</v>
      </c>
      <c r="M14" s="3">
        <v>50</v>
      </c>
      <c r="O14" s="48"/>
      <c r="P14" s="53">
        <f>SUM(P12:P13)</f>
        <v>387800</v>
      </c>
    </row>
    <row r="15" spans="1:16">
      <c r="A15" s="50">
        <v>2</v>
      </c>
      <c r="B15" s="48" t="s">
        <v>42</v>
      </c>
      <c r="C15" s="48" t="s">
        <v>27</v>
      </c>
      <c r="D15" s="48" t="s">
        <v>43</v>
      </c>
      <c r="E15" s="48" t="s">
        <v>44</v>
      </c>
      <c r="F15" s="48"/>
      <c r="G15" s="48" t="s">
        <v>30</v>
      </c>
      <c r="H15" s="51">
        <v>1500</v>
      </c>
      <c r="I15" s="49">
        <v>300</v>
      </c>
      <c r="J15" s="48" t="s">
        <v>31</v>
      </c>
      <c r="K15" s="48" t="s">
        <v>32</v>
      </c>
      <c r="M15" s="3">
        <f t="shared" ref="M15:M17" si="0">H15/5</f>
        <v>300</v>
      </c>
      <c r="O15" s="51"/>
      <c r="P15" s="51"/>
    </row>
    <row r="16" spans="1:16">
      <c r="A16" s="50">
        <v>2</v>
      </c>
      <c r="B16" s="48" t="s">
        <v>45</v>
      </c>
      <c r="C16" s="48" t="s">
        <v>27</v>
      </c>
      <c r="D16" s="48" t="s">
        <v>46</v>
      </c>
      <c r="E16" s="48" t="s">
        <v>47</v>
      </c>
      <c r="F16" s="48"/>
      <c r="G16" s="48" t="s">
        <v>30</v>
      </c>
      <c r="H16" s="51">
        <v>2500</v>
      </c>
      <c r="I16" s="49">
        <v>500</v>
      </c>
      <c r="J16" s="48" t="s">
        <v>31</v>
      </c>
      <c r="K16" s="48" t="s">
        <v>32</v>
      </c>
      <c r="M16" s="3">
        <f t="shared" si="0"/>
        <v>500</v>
      </c>
      <c r="O16" s="723" t="s">
        <v>48</v>
      </c>
      <c r="P16" s="719"/>
    </row>
    <row r="17" spans="1:19">
      <c r="A17" s="50">
        <v>2</v>
      </c>
      <c r="B17" s="48" t="s">
        <v>49</v>
      </c>
      <c r="C17" s="48" t="s">
        <v>39</v>
      </c>
      <c r="D17" s="48" t="s">
        <v>50</v>
      </c>
      <c r="E17" s="48" t="s">
        <v>51</v>
      </c>
      <c r="F17" s="48"/>
      <c r="G17" s="48" t="s">
        <v>30</v>
      </c>
      <c r="H17" s="51">
        <v>1500</v>
      </c>
      <c r="I17" s="49">
        <v>300</v>
      </c>
      <c r="J17" s="48" t="s">
        <v>31</v>
      </c>
      <c r="K17" s="48" t="s">
        <v>32</v>
      </c>
      <c r="M17" s="3">
        <f t="shared" si="0"/>
        <v>300</v>
      </c>
      <c r="O17" s="51" t="s">
        <v>33</v>
      </c>
      <c r="P17" s="54">
        <v>234</v>
      </c>
      <c r="Q17" s="55"/>
    </row>
    <row r="18" spans="1:19">
      <c r="A18" s="50">
        <v>2</v>
      </c>
      <c r="B18" s="48" t="s">
        <v>52</v>
      </c>
      <c r="C18" s="48" t="s">
        <v>27</v>
      </c>
      <c r="D18" s="48" t="s">
        <v>53</v>
      </c>
      <c r="E18" s="48" t="s">
        <v>54</v>
      </c>
      <c r="F18" s="48"/>
      <c r="G18" s="48" t="s">
        <v>30</v>
      </c>
      <c r="H18" s="51">
        <v>3000</v>
      </c>
      <c r="I18" s="49">
        <v>600</v>
      </c>
      <c r="J18" s="48" t="s">
        <v>31</v>
      </c>
      <c r="K18" s="48" t="s">
        <v>32</v>
      </c>
      <c r="M18" s="3">
        <v>300</v>
      </c>
      <c r="O18" s="48"/>
      <c r="P18" s="48"/>
    </row>
    <row r="19" spans="1:19">
      <c r="A19" s="50">
        <v>2</v>
      </c>
      <c r="B19" s="48" t="s">
        <v>55</v>
      </c>
      <c r="C19" s="48" t="s">
        <v>27</v>
      </c>
      <c r="D19" s="48" t="s">
        <v>56</v>
      </c>
      <c r="E19" s="48" t="s">
        <v>41</v>
      </c>
      <c r="F19" s="48"/>
      <c r="G19" s="48" t="s">
        <v>30</v>
      </c>
      <c r="H19" s="51">
        <v>40000</v>
      </c>
      <c r="I19" s="49">
        <v>8000</v>
      </c>
      <c r="J19" s="48" t="s">
        <v>31</v>
      </c>
      <c r="K19" s="48" t="s">
        <v>32</v>
      </c>
      <c r="M19" s="3">
        <v>50000</v>
      </c>
      <c r="O19" s="724" t="s">
        <v>57</v>
      </c>
      <c r="P19" s="719"/>
    </row>
    <row r="20" spans="1:19">
      <c r="A20" s="50">
        <v>2</v>
      </c>
      <c r="B20" s="48" t="s">
        <v>58</v>
      </c>
      <c r="C20" s="48" t="s">
        <v>27</v>
      </c>
      <c r="D20" s="48" t="s">
        <v>59</v>
      </c>
      <c r="E20" s="48" t="s">
        <v>60</v>
      </c>
      <c r="F20" s="48"/>
      <c r="G20" s="48" t="s">
        <v>30</v>
      </c>
      <c r="H20" s="51">
        <v>4000</v>
      </c>
      <c r="I20" s="49">
        <v>800</v>
      </c>
      <c r="J20" s="48" t="s">
        <v>31</v>
      </c>
      <c r="K20" s="48" t="s">
        <v>32</v>
      </c>
      <c r="M20" s="3">
        <v>600</v>
      </c>
      <c r="O20" s="51" t="s">
        <v>33</v>
      </c>
      <c r="P20" s="56">
        <v>1100</v>
      </c>
      <c r="Q20" s="55"/>
    </row>
    <row r="21" spans="1:19" ht="15.75" customHeight="1">
      <c r="A21" s="50">
        <v>2</v>
      </c>
      <c r="B21" s="48" t="s">
        <v>58</v>
      </c>
      <c r="C21" s="48" t="s">
        <v>27</v>
      </c>
      <c r="D21" s="48" t="s">
        <v>59</v>
      </c>
      <c r="E21" s="48" t="s">
        <v>60</v>
      </c>
      <c r="F21" s="48"/>
      <c r="G21" s="48" t="s">
        <v>61</v>
      </c>
      <c r="H21" s="51">
        <v>10</v>
      </c>
      <c r="I21" s="49">
        <v>100</v>
      </c>
      <c r="J21" s="48" t="s">
        <v>31</v>
      </c>
      <c r="K21" s="48" t="s">
        <v>32</v>
      </c>
      <c r="M21" s="3"/>
      <c r="O21" s="55"/>
      <c r="P21" s="2"/>
      <c r="S21" s="57"/>
    </row>
    <row r="22" spans="1:19" ht="15.75" customHeight="1">
      <c r="A22" s="50">
        <v>2</v>
      </c>
      <c r="B22" s="48" t="s">
        <v>62</v>
      </c>
      <c r="C22" s="48" t="s">
        <v>27</v>
      </c>
      <c r="D22" s="48" t="s">
        <v>63</v>
      </c>
      <c r="E22" s="48" t="s">
        <v>29</v>
      </c>
      <c r="F22" s="48"/>
      <c r="G22" s="48" t="s">
        <v>30</v>
      </c>
      <c r="H22" s="51">
        <v>3000</v>
      </c>
      <c r="I22" s="49">
        <v>600</v>
      </c>
      <c r="J22" s="48" t="s">
        <v>31</v>
      </c>
      <c r="K22" s="48" t="s">
        <v>32</v>
      </c>
      <c r="M22" s="3">
        <v>600</v>
      </c>
      <c r="O22" s="55"/>
      <c r="P22" s="55"/>
      <c r="S22" s="55"/>
    </row>
    <row r="23" spans="1:19" ht="15.75" customHeight="1">
      <c r="A23" s="50">
        <v>2</v>
      </c>
      <c r="B23" s="48" t="s">
        <v>64</v>
      </c>
      <c r="C23" s="48" t="s">
        <v>27</v>
      </c>
      <c r="D23" s="48" t="s">
        <v>65</v>
      </c>
      <c r="E23" s="48" t="s">
        <v>36</v>
      </c>
      <c r="F23" s="48"/>
      <c r="G23" s="48" t="s">
        <v>30</v>
      </c>
      <c r="H23" s="51">
        <v>2500</v>
      </c>
      <c r="I23" s="49">
        <v>500</v>
      </c>
      <c r="J23" s="48" t="s">
        <v>31</v>
      </c>
      <c r="K23" s="48" t="s">
        <v>32</v>
      </c>
      <c r="M23" s="3">
        <v>300</v>
      </c>
      <c r="S23" s="55"/>
    </row>
    <row r="24" spans="1:19" ht="15.75" customHeight="1">
      <c r="A24" s="50">
        <v>2</v>
      </c>
      <c r="B24" s="48" t="s">
        <v>66</v>
      </c>
      <c r="C24" s="48" t="s">
        <v>27</v>
      </c>
      <c r="D24" s="48" t="s">
        <v>67</v>
      </c>
      <c r="E24" s="48" t="s">
        <v>68</v>
      </c>
      <c r="F24" s="48"/>
      <c r="G24" s="48" t="s">
        <v>30</v>
      </c>
      <c r="H24" s="51">
        <v>11000</v>
      </c>
      <c r="I24" s="49">
        <v>2200</v>
      </c>
      <c r="J24" s="48" t="s">
        <v>31</v>
      </c>
      <c r="K24" s="48" t="s">
        <v>32</v>
      </c>
      <c r="M24" s="3">
        <v>2200</v>
      </c>
    </row>
    <row r="25" spans="1:19" ht="15.75" customHeight="1">
      <c r="A25" s="50">
        <v>2</v>
      </c>
      <c r="B25" s="48" t="s">
        <v>69</v>
      </c>
      <c r="C25" s="48" t="s">
        <v>27</v>
      </c>
      <c r="D25" s="48" t="s">
        <v>70</v>
      </c>
      <c r="E25" s="48" t="s">
        <v>36</v>
      </c>
      <c r="F25" s="48"/>
      <c r="G25" s="48" t="s">
        <v>30</v>
      </c>
      <c r="H25" s="51">
        <v>500</v>
      </c>
      <c r="I25" s="49">
        <v>100</v>
      </c>
      <c r="J25" s="48" t="s">
        <v>31</v>
      </c>
      <c r="K25" s="48" t="s">
        <v>32</v>
      </c>
      <c r="M25" s="3">
        <v>150</v>
      </c>
      <c r="O25" s="55">
        <f>SUM(H12:H20,H22:H31,H40,H42:H43,H45,H47:H48,H50,H52:H53,H55,H58:H60,H62:H63,H65,H67,H70:H75,H77:H80,H83,H87,H89,H92:H94,H96:H100,H102:H103,H108:H109,H111:H119,H121,H123:H127,H129:H134,H137:H146,H150:H160,H162,H164:H165,H167:H168,H171,H173:H176,H178:H181,H183:H192,H194:H197,H199:H200,H203:H209,H212,H214:H219,H221:H222,H224:H226,H229:H230,H232:H237,H239,H241:H243,H245:H246,H248,H250:H257,H259:H261,H263:H265,H268,H270:H273,H275:H284,H286:H287,H290:H291,H293:H297,H299:H303,H305,H307,H309:H312,H314:H315,H317:H318,H323:H324,H326,H328:H331,H333:H336,H338:H357,H359:H360,H362:H364)</f>
        <v>788150</v>
      </c>
      <c r="P25" s="2"/>
    </row>
    <row r="26" spans="1:19" ht="15.75" customHeight="1">
      <c r="A26" s="50">
        <v>2</v>
      </c>
      <c r="B26" s="48" t="s">
        <v>71</v>
      </c>
      <c r="C26" s="48" t="s">
        <v>27</v>
      </c>
      <c r="D26" s="48" t="s">
        <v>72</v>
      </c>
      <c r="E26" s="48" t="s">
        <v>73</v>
      </c>
      <c r="F26" s="48"/>
      <c r="G26" s="48" t="s">
        <v>30</v>
      </c>
      <c r="H26" s="51">
        <v>2000</v>
      </c>
      <c r="I26" s="49">
        <v>400</v>
      </c>
      <c r="J26" s="48" t="s">
        <v>31</v>
      </c>
      <c r="K26" s="48" t="s">
        <v>32</v>
      </c>
      <c r="M26" s="3">
        <f>H26/5</f>
        <v>400</v>
      </c>
      <c r="O26" s="2"/>
      <c r="P26" s="2"/>
    </row>
    <row r="27" spans="1:19" ht="15.75" customHeight="1">
      <c r="A27" s="50">
        <v>2</v>
      </c>
      <c r="B27" s="48" t="s">
        <v>74</v>
      </c>
      <c r="C27" s="48" t="s">
        <v>27</v>
      </c>
      <c r="D27" s="48" t="s">
        <v>75</v>
      </c>
      <c r="E27" s="48" t="s">
        <v>76</v>
      </c>
      <c r="F27" s="48"/>
      <c r="G27" s="48" t="s">
        <v>30</v>
      </c>
      <c r="H27" s="51">
        <v>12000</v>
      </c>
      <c r="I27" s="49">
        <v>2400</v>
      </c>
      <c r="J27" s="48" t="s">
        <v>31</v>
      </c>
      <c r="K27" s="48" t="s">
        <v>32</v>
      </c>
      <c r="M27" s="3">
        <v>600</v>
      </c>
      <c r="O27" s="2"/>
      <c r="P27" s="2"/>
    </row>
    <row r="28" spans="1:19" ht="15.75" customHeight="1">
      <c r="A28" s="50">
        <v>2</v>
      </c>
      <c r="B28" s="48" t="s">
        <v>77</v>
      </c>
      <c r="C28" s="48" t="s">
        <v>27</v>
      </c>
      <c r="D28" s="48" t="s">
        <v>78</v>
      </c>
      <c r="E28" s="48" t="s">
        <v>79</v>
      </c>
      <c r="F28" s="48"/>
      <c r="G28" s="48" t="s">
        <v>30</v>
      </c>
      <c r="H28" s="51">
        <v>3400</v>
      </c>
      <c r="I28" s="49">
        <v>680</v>
      </c>
      <c r="J28" s="48" t="s">
        <v>31</v>
      </c>
      <c r="K28" s="48" t="s">
        <v>32</v>
      </c>
      <c r="M28" s="3">
        <v>1000</v>
      </c>
    </row>
    <row r="29" spans="1:19" ht="15.75" customHeight="1">
      <c r="A29" s="50">
        <v>2</v>
      </c>
      <c r="B29" s="48" t="s">
        <v>80</v>
      </c>
      <c r="C29" s="48" t="s">
        <v>27</v>
      </c>
      <c r="D29" s="48" t="s">
        <v>81</v>
      </c>
      <c r="E29" s="48" t="s">
        <v>56</v>
      </c>
      <c r="F29" s="48"/>
      <c r="G29" s="48" t="s">
        <v>30</v>
      </c>
      <c r="H29" s="51">
        <v>400</v>
      </c>
      <c r="I29" s="49">
        <v>80</v>
      </c>
      <c r="J29" s="48" t="s">
        <v>31</v>
      </c>
      <c r="K29" s="48" t="s">
        <v>32</v>
      </c>
      <c r="M29" s="3">
        <v>80</v>
      </c>
      <c r="R29" s="55"/>
    </row>
    <row r="30" spans="1:19" ht="15.75" customHeight="1">
      <c r="A30" s="50">
        <v>2</v>
      </c>
      <c r="B30" s="48" t="s">
        <v>82</v>
      </c>
      <c r="C30" s="48" t="s">
        <v>27</v>
      </c>
      <c r="D30" s="48" t="s">
        <v>83</v>
      </c>
      <c r="E30" s="48" t="s">
        <v>84</v>
      </c>
      <c r="F30" s="48"/>
      <c r="G30" s="48" t="s">
        <v>30</v>
      </c>
      <c r="H30" s="51">
        <v>500</v>
      </c>
      <c r="I30" s="49">
        <v>100</v>
      </c>
      <c r="J30" s="48" t="s">
        <v>31</v>
      </c>
      <c r="K30" s="48" t="s">
        <v>32</v>
      </c>
      <c r="M30" s="3">
        <v>300</v>
      </c>
    </row>
    <row r="31" spans="1:19" ht="15.75" customHeight="1">
      <c r="A31" s="50">
        <v>2</v>
      </c>
      <c r="B31" s="48" t="s">
        <v>85</v>
      </c>
      <c r="C31" s="48" t="s">
        <v>27</v>
      </c>
      <c r="D31" s="48" t="s">
        <v>81</v>
      </c>
      <c r="E31" s="48" t="s">
        <v>86</v>
      </c>
      <c r="F31" s="48"/>
      <c r="G31" s="48" t="s">
        <v>30</v>
      </c>
      <c r="H31" s="51">
        <v>3000</v>
      </c>
      <c r="I31" s="49">
        <v>600</v>
      </c>
      <c r="J31" s="48" t="s">
        <v>31</v>
      </c>
      <c r="K31" s="48" t="s">
        <v>32</v>
      </c>
      <c r="M31" s="3">
        <v>600</v>
      </c>
    </row>
    <row r="32" spans="1:19" ht="15.75" customHeight="1">
      <c r="A32" s="50">
        <v>2</v>
      </c>
      <c r="B32" s="48" t="s">
        <v>87</v>
      </c>
      <c r="C32" s="48" t="s">
        <v>27</v>
      </c>
      <c r="D32" s="48" t="s">
        <v>88</v>
      </c>
      <c r="E32" s="48" t="s">
        <v>89</v>
      </c>
      <c r="F32" s="48"/>
      <c r="G32" s="48" t="s">
        <v>30</v>
      </c>
      <c r="H32" s="51">
        <v>500</v>
      </c>
      <c r="I32" s="49" t="s">
        <v>90</v>
      </c>
      <c r="J32" s="48" t="s">
        <v>31</v>
      </c>
      <c r="K32" s="48" t="s">
        <v>32</v>
      </c>
      <c r="M32" s="3">
        <v>110</v>
      </c>
    </row>
    <row r="33" spans="1:18" ht="15.75" customHeight="1">
      <c r="A33" s="50">
        <v>2</v>
      </c>
      <c r="B33" s="48" t="s">
        <v>87</v>
      </c>
      <c r="C33" s="48" t="s">
        <v>27</v>
      </c>
      <c r="D33" s="48" t="s">
        <v>88</v>
      </c>
      <c r="E33" s="48" t="s">
        <v>89</v>
      </c>
      <c r="F33" s="48"/>
      <c r="G33" s="48" t="s">
        <v>61</v>
      </c>
      <c r="H33" s="51">
        <v>10</v>
      </c>
      <c r="I33" s="49">
        <v>100</v>
      </c>
      <c r="J33" s="48" t="s">
        <v>31</v>
      </c>
      <c r="K33" s="48" t="s">
        <v>32</v>
      </c>
      <c r="M33" s="3"/>
    </row>
    <row r="34" spans="1:18" ht="15.75" customHeight="1">
      <c r="A34" s="50">
        <v>2</v>
      </c>
      <c r="B34" s="48" t="s">
        <v>91</v>
      </c>
      <c r="C34" s="48" t="s">
        <v>27</v>
      </c>
      <c r="D34" s="48" t="s">
        <v>88</v>
      </c>
      <c r="E34" s="48" t="s">
        <v>89</v>
      </c>
      <c r="F34" s="48"/>
      <c r="G34" s="48" t="s">
        <v>30</v>
      </c>
      <c r="H34" s="51">
        <v>500</v>
      </c>
      <c r="I34" s="49" t="s">
        <v>90</v>
      </c>
      <c r="J34" s="48" t="s">
        <v>31</v>
      </c>
      <c r="K34" s="48" t="s">
        <v>32</v>
      </c>
      <c r="M34" s="3">
        <v>100</v>
      </c>
    </row>
    <row r="35" spans="1:18" ht="15.75" customHeight="1">
      <c r="A35" s="50">
        <v>2</v>
      </c>
      <c r="B35" s="48" t="s">
        <v>92</v>
      </c>
      <c r="C35" s="48" t="s">
        <v>27</v>
      </c>
      <c r="D35" s="48" t="s">
        <v>93</v>
      </c>
      <c r="E35" s="48" t="s">
        <v>89</v>
      </c>
      <c r="F35" s="48"/>
      <c r="G35" s="48" t="s">
        <v>30</v>
      </c>
      <c r="H35" s="51">
        <v>500</v>
      </c>
      <c r="I35" s="49" t="s">
        <v>90</v>
      </c>
      <c r="J35" s="48" t="s">
        <v>31</v>
      </c>
      <c r="K35" s="48" t="s">
        <v>32</v>
      </c>
      <c r="M35" s="3">
        <v>110</v>
      </c>
    </row>
    <row r="36" spans="1:18" ht="15.75" customHeight="1">
      <c r="A36" s="50">
        <v>2</v>
      </c>
      <c r="B36" s="48" t="s">
        <v>92</v>
      </c>
      <c r="C36" s="48" t="s">
        <v>27</v>
      </c>
      <c r="D36" s="48" t="s">
        <v>93</v>
      </c>
      <c r="E36" s="48" t="s">
        <v>89</v>
      </c>
      <c r="F36" s="48"/>
      <c r="G36" s="48" t="s">
        <v>61</v>
      </c>
      <c r="H36" s="51">
        <v>5</v>
      </c>
      <c r="I36" s="49">
        <v>50</v>
      </c>
      <c r="J36" s="48" t="s">
        <v>31</v>
      </c>
      <c r="K36" s="48" t="s">
        <v>32</v>
      </c>
      <c r="M36" s="3"/>
    </row>
    <row r="37" spans="1:18" ht="15.75" customHeight="1">
      <c r="A37" s="50">
        <v>2</v>
      </c>
      <c r="B37" s="48" t="s">
        <v>94</v>
      </c>
      <c r="C37" s="48" t="s">
        <v>39</v>
      </c>
      <c r="D37" s="48" t="s">
        <v>93</v>
      </c>
      <c r="E37" s="48" t="s">
        <v>89</v>
      </c>
      <c r="F37" s="48"/>
      <c r="G37" s="48" t="s">
        <v>30</v>
      </c>
      <c r="H37" s="51">
        <v>500</v>
      </c>
      <c r="I37" s="49" t="s">
        <v>90</v>
      </c>
      <c r="J37" s="48" t="s">
        <v>31</v>
      </c>
      <c r="K37" s="48" t="s">
        <v>32</v>
      </c>
      <c r="M37" s="3">
        <v>115</v>
      </c>
      <c r="P37" s="55"/>
    </row>
    <row r="38" spans="1:18" ht="15.75" customHeight="1">
      <c r="A38" s="50">
        <v>2</v>
      </c>
      <c r="B38" s="48" t="s">
        <v>94</v>
      </c>
      <c r="C38" s="48" t="s">
        <v>39</v>
      </c>
      <c r="D38" s="48" t="s">
        <v>93</v>
      </c>
      <c r="E38" s="48" t="s">
        <v>89</v>
      </c>
      <c r="F38" s="48"/>
      <c r="G38" s="48" t="s">
        <v>61</v>
      </c>
      <c r="H38" s="51">
        <v>5</v>
      </c>
      <c r="I38" s="49">
        <v>50</v>
      </c>
      <c r="J38" s="48" t="s">
        <v>31</v>
      </c>
      <c r="K38" s="48" t="s">
        <v>32</v>
      </c>
      <c r="M38" s="3"/>
      <c r="P38" s="55"/>
    </row>
    <row r="39" spans="1:18" ht="15.75" customHeight="1">
      <c r="A39" s="50">
        <v>2</v>
      </c>
      <c r="B39" s="48" t="s">
        <v>95</v>
      </c>
      <c r="C39" s="48" t="s">
        <v>27</v>
      </c>
      <c r="D39" s="48" t="s">
        <v>96</v>
      </c>
      <c r="E39" s="48" t="s">
        <v>44</v>
      </c>
      <c r="F39" s="48"/>
      <c r="G39" s="48" t="s">
        <v>30</v>
      </c>
      <c r="H39" s="51">
        <v>500</v>
      </c>
      <c r="I39" s="49" t="s">
        <v>90</v>
      </c>
      <c r="J39" s="48" t="s">
        <v>31</v>
      </c>
      <c r="K39" s="48" t="s">
        <v>32</v>
      </c>
      <c r="M39" s="3">
        <v>400</v>
      </c>
      <c r="P39" s="55"/>
    </row>
    <row r="40" spans="1:18" ht="15.75" customHeight="1">
      <c r="A40" s="50">
        <v>2</v>
      </c>
      <c r="B40" s="48" t="s">
        <v>95</v>
      </c>
      <c r="C40" s="48" t="s">
        <v>27</v>
      </c>
      <c r="D40" s="48" t="s">
        <v>96</v>
      </c>
      <c r="E40" s="48" t="s">
        <v>44</v>
      </c>
      <c r="F40" s="48"/>
      <c r="G40" s="48" t="s">
        <v>30</v>
      </c>
      <c r="H40" s="51">
        <v>1500</v>
      </c>
      <c r="I40" s="49">
        <v>300</v>
      </c>
      <c r="J40" s="48" t="s">
        <v>31</v>
      </c>
      <c r="K40" s="48" t="s">
        <v>32</v>
      </c>
      <c r="M40" s="3"/>
      <c r="P40" s="55"/>
    </row>
    <row r="41" spans="1:18" ht="15.75" customHeight="1">
      <c r="A41" s="50">
        <v>2</v>
      </c>
      <c r="B41" s="48" t="s">
        <v>97</v>
      </c>
      <c r="C41" s="48" t="s">
        <v>27</v>
      </c>
      <c r="D41" s="48" t="s">
        <v>98</v>
      </c>
      <c r="E41" s="48" t="s">
        <v>36</v>
      </c>
      <c r="F41" s="48"/>
      <c r="G41" s="48" t="s">
        <v>30</v>
      </c>
      <c r="H41" s="51">
        <v>500</v>
      </c>
      <c r="I41" s="49" t="s">
        <v>90</v>
      </c>
      <c r="J41" s="48" t="s">
        <v>31</v>
      </c>
      <c r="K41" s="48" t="s">
        <v>32</v>
      </c>
      <c r="M41" s="3">
        <v>1500</v>
      </c>
      <c r="P41" s="55"/>
    </row>
    <row r="42" spans="1:18" ht="15.75" customHeight="1">
      <c r="A42" s="50">
        <v>2</v>
      </c>
      <c r="B42" s="48" t="s">
        <v>97</v>
      </c>
      <c r="C42" s="48" t="s">
        <v>27</v>
      </c>
      <c r="D42" s="48" t="s">
        <v>98</v>
      </c>
      <c r="E42" s="48" t="s">
        <v>36</v>
      </c>
      <c r="F42" s="48"/>
      <c r="G42" s="48" t="s">
        <v>30</v>
      </c>
      <c r="H42" s="51">
        <v>1000</v>
      </c>
      <c r="I42" s="49">
        <v>200</v>
      </c>
      <c r="J42" s="48" t="s">
        <v>31</v>
      </c>
      <c r="K42" s="48" t="s">
        <v>32</v>
      </c>
      <c r="M42" s="3">
        <f>H42/5</f>
        <v>200</v>
      </c>
      <c r="P42" s="55"/>
      <c r="R42" s="55"/>
    </row>
    <row r="43" spans="1:18" ht="15.75" customHeight="1">
      <c r="A43" s="50">
        <v>2</v>
      </c>
      <c r="B43" s="48" t="s">
        <v>99</v>
      </c>
      <c r="C43" s="48" t="s">
        <v>27</v>
      </c>
      <c r="D43" s="48" t="s">
        <v>100</v>
      </c>
      <c r="E43" s="48" t="s">
        <v>51</v>
      </c>
      <c r="F43" s="48"/>
      <c r="G43" s="48" t="s">
        <v>30</v>
      </c>
      <c r="H43" s="51">
        <v>100</v>
      </c>
      <c r="I43" s="49">
        <v>20</v>
      </c>
      <c r="J43" s="48" t="s">
        <v>31</v>
      </c>
      <c r="K43" s="48" t="s">
        <v>32</v>
      </c>
      <c r="M43" s="3"/>
      <c r="P43" s="55"/>
    </row>
    <row r="44" spans="1:18" ht="15.75" customHeight="1">
      <c r="A44" s="50">
        <v>2</v>
      </c>
      <c r="B44" s="48" t="s">
        <v>99</v>
      </c>
      <c r="C44" s="48" t="s">
        <v>27</v>
      </c>
      <c r="D44" s="48" t="s">
        <v>100</v>
      </c>
      <c r="E44" s="48" t="s">
        <v>51</v>
      </c>
      <c r="F44" s="48"/>
      <c r="G44" s="48" t="s">
        <v>61</v>
      </c>
      <c r="H44" s="51">
        <v>20</v>
      </c>
      <c r="I44" s="49">
        <v>200</v>
      </c>
      <c r="J44" s="48" t="s">
        <v>31</v>
      </c>
      <c r="K44" s="48" t="s">
        <v>32</v>
      </c>
      <c r="M44" s="3"/>
      <c r="P44" s="55"/>
    </row>
    <row r="45" spans="1:18" ht="15.75" customHeight="1">
      <c r="A45" s="50">
        <v>2</v>
      </c>
      <c r="B45" s="48" t="s">
        <v>101</v>
      </c>
      <c r="C45" s="48" t="s">
        <v>27</v>
      </c>
      <c r="D45" s="48" t="s">
        <v>100</v>
      </c>
      <c r="E45" s="48" t="s">
        <v>102</v>
      </c>
      <c r="F45" s="48"/>
      <c r="G45" s="48" t="s">
        <v>30</v>
      </c>
      <c r="H45" s="51">
        <v>500</v>
      </c>
      <c r="I45" s="49">
        <v>100</v>
      </c>
      <c r="J45" s="48" t="s">
        <v>31</v>
      </c>
      <c r="K45" s="48" t="s">
        <v>32</v>
      </c>
      <c r="M45" s="3"/>
      <c r="P45" s="55"/>
    </row>
    <row r="46" spans="1:18" ht="15.75" customHeight="1">
      <c r="A46" s="50">
        <v>2</v>
      </c>
      <c r="B46" s="48" t="s">
        <v>101</v>
      </c>
      <c r="C46" s="48" t="s">
        <v>27</v>
      </c>
      <c r="D46" s="48" t="s">
        <v>100</v>
      </c>
      <c r="E46" s="48" t="s">
        <v>102</v>
      </c>
      <c r="F46" s="48"/>
      <c r="G46" s="48" t="s">
        <v>61</v>
      </c>
      <c r="H46" s="51">
        <v>10</v>
      </c>
      <c r="I46" s="49">
        <v>100</v>
      </c>
      <c r="J46" s="48" t="s">
        <v>31</v>
      </c>
      <c r="K46" s="48" t="s">
        <v>32</v>
      </c>
      <c r="M46" s="3"/>
      <c r="P46" s="55"/>
    </row>
    <row r="47" spans="1:18" ht="15.75" customHeight="1">
      <c r="A47" s="50">
        <v>2</v>
      </c>
      <c r="B47" s="48" t="s">
        <v>103</v>
      </c>
      <c r="C47" s="48" t="s">
        <v>27</v>
      </c>
      <c r="D47" s="48" t="s">
        <v>104</v>
      </c>
      <c r="E47" s="48" t="s">
        <v>36</v>
      </c>
      <c r="F47" s="48"/>
      <c r="G47" s="48" t="s">
        <v>30</v>
      </c>
      <c r="H47" s="51">
        <v>200</v>
      </c>
      <c r="I47" s="49">
        <v>40</v>
      </c>
      <c r="J47" s="48" t="s">
        <v>31</v>
      </c>
      <c r="K47" s="48" t="s">
        <v>32</v>
      </c>
      <c r="M47" s="3">
        <v>150</v>
      </c>
      <c r="P47" s="55"/>
    </row>
    <row r="48" spans="1:18" ht="15.75" customHeight="1">
      <c r="A48" s="50">
        <v>2</v>
      </c>
      <c r="B48" s="48" t="s">
        <v>105</v>
      </c>
      <c r="C48" s="48" t="s">
        <v>27</v>
      </c>
      <c r="D48" s="48" t="s">
        <v>106</v>
      </c>
      <c r="E48" s="48" t="s">
        <v>29</v>
      </c>
      <c r="F48" s="48"/>
      <c r="G48" s="48" t="s">
        <v>30</v>
      </c>
      <c r="H48" s="51">
        <v>2000</v>
      </c>
      <c r="I48" s="49">
        <v>400</v>
      </c>
      <c r="J48" s="48" t="s">
        <v>31</v>
      </c>
      <c r="K48" s="48" t="s">
        <v>32</v>
      </c>
      <c r="M48" s="3">
        <f>H48/5</f>
        <v>400</v>
      </c>
      <c r="P48" s="55"/>
    </row>
    <row r="49" spans="1:16" ht="15.75" customHeight="1">
      <c r="A49" s="50">
        <v>2</v>
      </c>
      <c r="B49" s="48" t="s">
        <v>107</v>
      </c>
      <c r="C49" s="48" t="s">
        <v>27</v>
      </c>
      <c r="D49" s="48" t="s">
        <v>108</v>
      </c>
      <c r="E49" s="48" t="s">
        <v>36</v>
      </c>
      <c r="F49" s="48"/>
      <c r="G49" s="48" t="s">
        <v>30</v>
      </c>
      <c r="H49" s="51">
        <v>500</v>
      </c>
      <c r="I49" s="49" t="s">
        <v>90</v>
      </c>
      <c r="J49" s="48" t="s">
        <v>31</v>
      </c>
      <c r="K49" s="48" t="s">
        <v>32</v>
      </c>
      <c r="M49" s="3">
        <v>1600</v>
      </c>
      <c r="P49" s="55"/>
    </row>
    <row r="50" spans="1:16" ht="15.75" customHeight="1">
      <c r="A50" s="50">
        <v>2</v>
      </c>
      <c r="B50" s="48" t="s">
        <v>109</v>
      </c>
      <c r="C50" s="48" t="s">
        <v>27</v>
      </c>
      <c r="D50" s="48" t="s">
        <v>110</v>
      </c>
      <c r="E50" s="48" t="s">
        <v>36</v>
      </c>
      <c r="F50" s="48"/>
      <c r="G50" s="48" t="s">
        <v>30</v>
      </c>
      <c r="H50" s="51">
        <v>1000</v>
      </c>
      <c r="I50" s="49">
        <v>200</v>
      </c>
      <c r="J50" s="48" t="s">
        <v>31</v>
      </c>
      <c r="K50" s="48" t="s">
        <v>32</v>
      </c>
      <c r="M50" s="3">
        <v>400</v>
      </c>
      <c r="P50" s="55"/>
    </row>
    <row r="51" spans="1:16" ht="15.75" customHeight="1">
      <c r="A51" s="50">
        <v>2</v>
      </c>
      <c r="B51" s="48" t="s">
        <v>109</v>
      </c>
      <c r="C51" s="48" t="s">
        <v>27</v>
      </c>
      <c r="D51" s="48" t="s">
        <v>110</v>
      </c>
      <c r="E51" s="48" t="s">
        <v>36</v>
      </c>
      <c r="F51" s="48"/>
      <c r="G51" s="48" t="s">
        <v>61</v>
      </c>
      <c r="H51" s="51">
        <v>5</v>
      </c>
      <c r="I51" s="49">
        <v>50</v>
      </c>
      <c r="J51" s="48" t="s">
        <v>31</v>
      </c>
      <c r="K51" s="48" t="s">
        <v>32</v>
      </c>
      <c r="M51" s="3"/>
      <c r="P51" s="55"/>
    </row>
    <row r="52" spans="1:16" ht="15.75" customHeight="1">
      <c r="A52" s="50">
        <v>2</v>
      </c>
      <c r="B52" s="48" t="s">
        <v>111</v>
      </c>
      <c r="C52" s="48" t="s">
        <v>27</v>
      </c>
      <c r="D52" s="48" t="s">
        <v>65</v>
      </c>
      <c r="E52" s="48" t="s">
        <v>36</v>
      </c>
      <c r="F52" s="48"/>
      <c r="G52" s="48" t="s">
        <v>30</v>
      </c>
      <c r="H52" s="51">
        <v>1000</v>
      </c>
      <c r="I52" s="49">
        <v>200</v>
      </c>
      <c r="J52" s="48" t="s">
        <v>31</v>
      </c>
      <c r="K52" s="48" t="s">
        <v>32</v>
      </c>
      <c r="M52" s="3">
        <f>H52/5</f>
        <v>200</v>
      </c>
      <c r="P52" s="55"/>
    </row>
    <row r="53" spans="1:16" ht="15.75" customHeight="1">
      <c r="A53" s="50">
        <v>2</v>
      </c>
      <c r="B53" s="48" t="s">
        <v>112</v>
      </c>
      <c r="C53" s="48" t="s">
        <v>27</v>
      </c>
      <c r="D53" s="48" t="s">
        <v>98</v>
      </c>
      <c r="E53" s="48" t="s">
        <v>36</v>
      </c>
      <c r="F53" s="48"/>
      <c r="G53" s="48" t="s">
        <v>30</v>
      </c>
      <c r="H53" s="51">
        <v>300</v>
      </c>
      <c r="I53" s="49">
        <v>60</v>
      </c>
      <c r="J53" s="48" t="s">
        <v>31</v>
      </c>
      <c r="K53" s="48" t="s">
        <v>32</v>
      </c>
      <c r="M53" s="3">
        <v>32</v>
      </c>
      <c r="P53" s="55"/>
    </row>
    <row r="54" spans="1:16" ht="15.75" customHeight="1">
      <c r="A54" s="50">
        <v>2</v>
      </c>
      <c r="B54" s="48" t="s">
        <v>112</v>
      </c>
      <c r="C54" s="48" t="s">
        <v>27</v>
      </c>
      <c r="D54" s="48" t="s">
        <v>98</v>
      </c>
      <c r="E54" s="48" t="s">
        <v>36</v>
      </c>
      <c r="F54" s="48"/>
      <c r="G54" s="48" t="s">
        <v>61</v>
      </c>
      <c r="H54" s="51">
        <v>5</v>
      </c>
      <c r="I54" s="49">
        <v>50</v>
      </c>
      <c r="J54" s="48" t="s">
        <v>31</v>
      </c>
      <c r="K54" s="48" t="s">
        <v>32</v>
      </c>
      <c r="M54" s="3"/>
      <c r="P54" s="55"/>
    </row>
    <row r="55" spans="1:16" ht="15.75" customHeight="1">
      <c r="A55" s="50">
        <v>2</v>
      </c>
      <c r="B55" s="48" t="s">
        <v>113</v>
      </c>
      <c r="C55" s="48" t="s">
        <v>27</v>
      </c>
      <c r="D55" s="48" t="s">
        <v>114</v>
      </c>
      <c r="E55" s="48" t="s">
        <v>44</v>
      </c>
      <c r="F55" s="48"/>
      <c r="G55" s="48" t="s">
        <v>30</v>
      </c>
      <c r="H55" s="51">
        <v>2800</v>
      </c>
      <c r="I55" s="49">
        <v>840</v>
      </c>
      <c r="J55" s="48" t="s">
        <v>31</v>
      </c>
      <c r="K55" s="48" t="s">
        <v>32</v>
      </c>
      <c r="M55" s="3">
        <f>H55/5</f>
        <v>560</v>
      </c>
      <c r="P55" s="55"/>
    </row>
    <row r="56" spans="1:16" ht="15.75" customHeight="1">
      <c r="A56" s="50">
        <v>2</v>
      </c>
      <c r="B56" s="48" t="s">
        <v>113</v>
      </c>
      <c r="C56" s="48" t="s">
        <v>27</v>
      </c>
      <c r="D56" s="48" t="s">
        <v>114</v>
      </c>
      <c r="E56" s="48" t="s">
        <v>44</v>
      </c>
      <c r="F56" s="48"/>
      <c r="G56" s="48" t="s">
        <v>115</v>
      </c>
      <c r="H56" s="51">
        <v>300</v>
      </c>
      <c r="I56" s="49">
        <v>300</v>
      </c>
      <c r="J56" s="48" t="s">
        <v>31</v>
      </c>
      <c r="K56" s="48" t="s">
        <v>32</v>
      </c>
      <c r="M56" s="3"/>
      <c r="P56" s="55"/>
    </row>
    <row r="57" spans="1:16" ht="15.75" customHeight="1">
      <c r="A57" s="50">
        <v>2</v>
      </c>
      <c r="B57" s="48" t="s">
        <v>113</v>
      </c>
      <c r="C57" s="48" t="s">
        <v>27</v>
      </c>
      <c r="D57" s="48" t="s">
        <v>114</v>
      </c>
      <c r="E57" s="48" t="s">
        <v>44</v>
      </c>
      <c r="F57" s="48"/>
      <c r="G57" s="48" t="s">
        <v>61</v>
      </c>
      <c r="H57" s="51">
        <v>5</v>
      </c>
      <c r="I57" s="49">
        <v>50</v>
      </c>
      <c r="J57" s="48" t="s">
        <v>31</v>
      </c>
      <c r="K57" s="48" t="s">
        <v>32</v>
      </c>
      <c r="M57" s="3"/>
      <c r="P57" s="55"/>
    </row>
    <row r="58" spans="1:16" ht="15.75" customHeight="1">
      <c r="A58" s="50">
        <v>2</v>
      </c>
      <c r="B58" s="58" t="s">
        <v>116</v>
      </c>
      <c r="C58" s="58" t="s">
        <v>39</v>
      </c>
      <c r="D58" s="58" t="s">
        <v>53</v>
      </c>
      <c r="E58" s="58" t="s">
        <v>54</v>
      </c>
      <c r="F58" s="58"/>
      <c r="G58" s="58" t="s">
        <v>30</v>
      </c>
      <c r="H58" s="59">
        <v>2500</v>
      </c>
      <c r="I58" s="60">
        <v>500</v>
      </c>
      <c r="J58" s="58" t="s">
        <v>31</v>
      </c>
      <c r="K58" s="58" t="s">
        <v>32</v>
      </c>
      <c r="M58" s="3">
        <v>500</v>
      </c>
      <c r="P58" s="55"/>
    </row>
    <row r="59" spans="1:16" ht="15.75" customHeight="1">
      <c r="A59" s="61">
        <v>3</v>
      </c>
      <c r="B59" s="62" t="s">
        <v>117</v>
      </c>
      <c r="C59" s="62" t="s">
        <v>27</v>
      </c>
      <c r="D59" s="62" t="s">
        <v>118</v>
      </c>
      <c r="E59" s="62" t="s">
        <v>29</v>
      </c>
      <c r="F59" s="62"/>
      <c r="G59" s="62" t="s">
        <v>30</v>
      </c>
      <c r="H59" s="63">
        <v>7000</v>
      </c>
      <c r="I59" s="64">
        <v>1400</v>
      </c>
      <c r="J59" s="62" t="s">
        <v>31</v>
      </c>
      <c r="K59" s="62" t="s">
        <v>32</v>
      </c>
      <c r="M59" s="3">
        <v>1200</v>
      </c>
      <c r="P59" s="55"/>
    </row>
    <row r="60" spans="1:16" ht="15.75" customHeight="1">
      <c r="A60" s="50">
        <v>3</v>
      </c>
      <c r="B60" s="48" t="s">
        <v>119</v>
      </c>
      <c r="C60" s="48" t="s">
        <v>27</v>
      </c>
      <c r="D60" s="48" t="s">
        <v>120</v>
      </c>
      <c r="E60" s="48" t="s">
        <v>86</v>
      </c>
      <c r="F60" s="48"/>
      <c r="G60" s="48" t="s">
        <v>30</v>
      </c>
      <c r="H60" s="51">
        <v>3000</v>
      </c>
      <c r="I60" s="49">
        <v>400</v>
      </c>
      <c r="J60" s="48" t="s">
        <v>31</v>
      </c>
      <c r="K60" s="48" t="s">
        <v>32</v>
      </c>
      <c r="M60" s="3">
        <v>300</v>
      </c>
    </row>
    <row r="61" spans="1:16" ht="15.75" customHeight="1">
      <c r="A61" s="50">
        <v>3</v>
      </c>
      <c r="B61" s="48" t="s">
        <v>121</v>
      </c>
      <c r="C61" s="48" t="s">
        <v>27</v>
      </c>
      <c r="D61" s="48" t="s">
        <v>98</v>
      </c>
      <c r="E61" s="48" t="s">
        <v>36</v>
      </c>
      <c r="F61" s="48"/>
      <c r="G61" s="48" t="s">
        <v>30</v>
      </c>
      <c r="H61" s="51">
        <v>500</v>
      </c>
      <c r="I61" s="49" t="s">
        <v>90</v>
      </c>
      <c r="J61" s="48" t="s">
        <v>31</v>
      </c>
      <c r="K61" s="48" t="s">
        <v>32</v>
      </c>
      <c r="M61" s="3">
        <v>100</v>
      </c>
      <c r="P61" s="55"/>
    </row>
    <row r="62" spans="1:16" ht="15.75" customHeight="1">
      <c r="A62" s="50">
        <v>3</v>
      </c>
      <c r="B62" s="48" t="s">
        <v>121</v>
      </c>
      <c r="C62" s="48" t="s">
        <v>27</v>
      </c>
      <c r="D62" s="48" t="s">
        <v>98</v>
      </c>
      <c r="E62" s="48" t="s">
        <v>36</v>
      </c>
      <c r="F62" s="48"/>
      <c r="G62" s="48" t="s">
        <v>30</v>
      </c>
      <c r="H62" s="51">
        <v>1000</v>
      </c>
      <c r="I62" s="49">
        <v>200</v>
      </c>
      <c r="J62" s="48" t="s">
        <v>31</v>
      </c>
      <c r="K62" s="48" t="s">
        <v>32</v>
      </c>
      <c r="M62" s="3">
        <v>200</v>
      </c>
      <c r="P62" s="55"/>
    </row>
    <row r="63" spans="1:16" ht="15.75" customHeight="1">
      <c r="A63" s="50">
        <v>3</v>
      </c>
      <c r="B63" s="48" t="s">
        <v>122</v>
      </c>
      <c r="C63" s="48" t="s">
        <v>27</v>
      </c>
      <c r="D63" s="48" t="s">
        <v>123</v>
      </c>
      <c r="E63" s="48" t="s">
        <v>84</v>
      </c>
      <c r="F63" s="48"/>
      <c r="G63" s="48" t="s">
        <v>30</v>
      </c>
      <c r="H63" s="51">
        <v>10000</v>
      </c>
      <c r="I63" s="49">
        <v>2000</v>
      </c>
      <c r="J63" s="48" t="s">
        <v>31</v>
      </c>
      <c r="K63" s="48" t="s">
        <v>32</v>
      </c>
      <c r="M63" s="3">
        <v>1800</v>
      </c>
      <c r="P63" s="55"/>
    </row>
    <row r="64" spans="1:16" ht="15.75" customHeight="1">
      <c r="A64" s="50">
        <v>3</v>
      </c>
      <c r="B64" s="48" t="s">
        <v>122</v>
      </c>
      <c r="C64" s="48" t="s">
        <v>27</v>
      </c>
      <c r="D64" s="48" t="s">
        <v>123</v>
      </c>
      <c r="E64" s="48" t="s">
        <v>84</v>
      </c>
      <c r="F64" s="48"/>
      <c r="G64" s="48" t="s">
        <v>61</v>
      </c>
      <c r="H64" s="51">
        <v>50</v>
      </c>
      <c r="I64" s="49">
        <v>500</v>
      </c>
      <c r="J64" s="48" t="s">
        <v>31</v>
      </c>
      <c r="K64" s="48" t="s">
        <v>32</v>
      </c>
      <c r="M64" s="3"/>
      <c r="P64" s="55"/>
    </row>
    <row r="65" spans="1:26" ht="15.75" customHeight="1">
      <c r="A65" s="50">
        <v>3</v>
      </c>
      <c r="B65" s="48" t="s">
        <v>124</v>
      </c>
      <c r="C65" s="48" t="s">
        <v>27</v>
      </c>
      <c r="D65" s="48" t="s">
        <v>68</v>
      </c>
      <c r="E65" s="48" t="s">
        <v>79</v>
      </c>
      <c r="F65" s="48"/>
      <c r="G65" s="48" t="s">
        <v>30</v>
      </c>
      <c r="H65" s="51">
        <v>4200</v>
      </c>
      <c r="I65" s="49">
        <v>840</v>
      </c>
      <c r="J65" s="48" t="s">
        <v>31</v>
      </c>
      <c r="K65" s="48" t="s">
        <v>32</v>
      </c>
      <c r="M65" s="3">
        <v>1500</v>
      </c>
      <c r="P65" s="55"/>
      <c r="R65" s="55"/>
    </row>
    <row r="66" spans="1:26" ht="15.75" customHeight="1">
      <c r="A66" s="50">
        <v>3</v>
      </c>
      <c r="B66" s="48" t="s">
        <v>125</v>
      </c>
      <c r="C66" s="48" t="s">
        <v>27</v>
      </c>
      <c r="D66" s="48" t="s">
        <v>126</v>
      </c>
      <c r="E66" s="48" t="s">
        <v>36</v>
      </c>
      <c r="F66" s="48"/>
      <c r="G66" s="48" t="s">
        <v>30</v>
      </c>
      <c r="H66" s="51">
        <v>500</v>
      </c>
      <c r="I66" s="49" t="s">
        <v>90</v>
      </c>
      <c r="J66" s="48" t="s">
        <v>31</v>
      </c>
      <c r="K66" s="48" t="s">
        <v>32</v>
      </c>
      <c r="M66" s="3">
        <v>200</v>
      </c>
      <c r="P66" s="55"/>
    </row>
    <row r="67" spans="1:26" ht="15.75" customHeight="1">
      <c r="A67" s="50">
        <v>3</v>
      </c>
      <c r="B67" s="48" t="s">
        <v>125</v>
      </c>
      <c r="C67" s="48" t="s">
        <v>27</v>
      </c>
      <c r="D67" s="48" t="s">
        <v>126</v>
      </c>
      <c r="E67" s="48" t="s">
        <v>36</v>
      </c>
      <c r="F67" s="48"/>
      <c r="G67" s="48" t="s">
        <v>30</v>
      </c>
      <c r="H67" s="51">
        <v>1000</v>
      </c>
      <c r="I67" s="49">
        <v>200</v>
      </c>
      <c r="J67" s="48" t="s">
        <v>31</v>
      </c>
      <c r="K67" s="48" t="s">
        <v>32</v>
      </c>
      <c r="M67" s="3"/>
      <c r="P67" s="55"/>
    </row>
    <row r="68" spans="1:26" ht="15.75" customHeight="1">
      <c r="A68" s="50">
        <v>3</v>
      </c>
      <c r="B68" s="48" t="s">
        <v>127</v>
      </c>
      <c r="C68" s="48" t="s">
        <v>27</v>
      </c>
      <c r="D68" s="48" t="s">
        <v>128</v>
      </c>
      <c r="E68" s="48" t="s">
        <v>44</v>
      </c>
      <c r="F68" s="48"/>
      <c r="G68" s="48" t="s">
        <v>30</v>
      </c>
      <c r="H68" s="51">
        <v>300</v>
      </c>
      <c r="I68" s="49" t="s">
        <v>90</v>
      </c>
      <c r="J68" s="48" t="s">
        <v>31</v>
      </c>
      <c r="K68" s="48" t="s">
        <v>32</v>
      </c>
      <c r="L68" s="2"/>
      <c r="M68" s="3">
        <v>50</v>
      </c>
      <c r="N68" s="2"/>
      <c r="O68" s="2"/>
      <c r="P68" s="55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0">
        <v>3</v>
      </c>
      <c r="B69" s="48" t="s">
        <v>127</v>
      </c>
      <c r="C69" s="48" t="s">
        <v>27</v>
      </c>
      <c r="D69" s="48" t="s">
        <v>128</v>
      </c>
      <c r="E69" s="48" t="s">
        <v>44</v>
      </c>
      <c r="F69" s="48"/>
      <c r="G69" s="48" t="s">
        <v>61</v>
      </c>
      <c r="H69" s="51">
        <v>10</v>
      </c>
      <c r="I69" s="49">
        <v>100</v>
      </c>
      <c r="J69" s="48" t="s">
        <v>31</v>
      </c>
      <c r="K69" s="48" t="s">
        <v>32</v>
      </c>
      <c r="M69" s="3"/>
      <c r="P69" s="55"/>
      <c r="R69" s="55"/>
    </row>
    <row r="70" spans="1:26" ht="15.75" customHeight="1">
      <c r="A70" s="50">
        <v>3</v>
      </c>
      <c r="B70" s="48" t="s">
        <v>129</v>
      </c>
      <c r="C70" s="48" t="s">
        <v>27</v>
      </c>
      <c r="D70" s="48" t="s">
        <v>130</v>
      </c>
      <c r="E70" s="48" t="s">
        <v>51</v>
      </c>
      <c r="F70" s="48"/>
      <c r="G70" s="48" t="s">
        <v>30</v>
      </c>
      <c r="H70" s="51">
        <v>1500</v>
      </c>
      <c r="I70" s="49">
        <v>300</v>
      </c>
      <c r="J70" s="48" t="s">
        <v>31</v>
      </c>
      <c r="K70" s="48" t="s">
        <v>32</v>
      </c>
      <c r="M70" s="3">
        <v>300</v>
      </c>
      <c r="P70" s="55"/>
    </row>
    <row r="71" spans="1:26" ht="15.75" customHeight="1">
      <c r="A71" s="50">
        <v>3</v>
      </c>
      <c r="B71" s="48" t="s">
        <v>131</v>
      </c>
      <c r="C71" s="48" t="s">
        <v>27</v>
      </c>
      <c r="D71" s="48" t="s">
        <v>132</v>
      </c>
      <c r="E71" s="48" t="s">
        <v>86</v>
      </c>
      <c r="F71" s="48"/>
      <c r="G71" s="48" t="s">
        <v>30</v>
      </c>
      <c r="H71" s="51">
        <v>1000</v>
      </c>
      <c r="I71" s="49">
        <v>200</v>
      </c>
      <c r="J71" s="48" t="s">
        <v>31</v>
      </c>
      <c r="K71" s="48" t="s">
        <v>32</v>
      </c>
      <c r="M71" s="3">
        <v>300</v>
      </c>
      <c r="P71" s="55"/>
    </row>
    <row r="72" spans="1:26" ht="15.75" customHeight="1">
      <c r="A72" s="50">
        <v>3</v>
      </c>
      <c r="B72" s="48" t="s">
        <v>133</v>
      </c>
      <c r="C72" s="48" t="s">
        <v>27</v>
      </c>
      <c r="D72" s="48" t="s">
        <v>134</v>
      </c>
      <c r="E72" s="48" t="s">
        <v>135</v>
      </c>
      <c r="F72" s="48"/>
      <c r="G72" s="48" t="s">
        <v>30</v>
      </c>
      <c r="H72" s="51">
        <v>500</v>
      </c>
      <c r="I72" s="49">
        <v>100</v>
      </c>
      <c r="J72" s="48" t="s">
        <v>31</v>
      </c>
      <c r="K72" s="48" t="s">
        <v>32</v>
      </c>
      <c r="M72" s="3">
        <v>100</v>
      </c>
      <c r="P72" s="55"/>
    </row>
    <row r="73" spans="1:26" ht="15.75" customHeight="1">
      <c r="A73" s="50">
        <v>3</v>
      </c>
      <c r="B73" s="48" t="s">
        <v>136</v>
      </c>
      <c r="C73" s="48" t="s">
        <v>27</v>
      </c>
      <c r="D73" s="48" t="s">
        <v>137</v>
      </c>
      <c r="E73" s="48" t="s">
        <v>73</v>
      </c>
      <c r="F73" s="48"/>
      <c r="G73" s="48" t="s">
        <v>30</v>
      </c>
      <c r="H73" s="51">
        <v>500</v>
      </c>
      <c r="I73" s="49">
        <v>100</v>
      </c>
      <c r="J73" s="48" t="s">
        <v>31</v>
      </c>
      <c r="K73" s="48" t="s">
        <v>32</v>
      </c>
      <c r="M73" s="3">
        <v>100</v>
      </c>
      <c r="P73" s="55"/>
    </row>
    <row r="74" spans="1:26" ht="15.75" customHeight="1">
      <c r="A74" s="50">
        <v>3</v>
      </c>
      <c r="B74" s="48" t="s">
        <v>138</v>
      </c>
      <c r="C74" s="48" t="s">
        <v>27</v>
      </c>
      <c r="D74" s="48" t="s">
        <v>139</v>
      </c>
      <c r="E74" s="48" t="s">
        <v>140</v>
      </c>
      <c r="F74" s="48"/>
      <c r="G74" s="48" t="s">
        <v>30</v>
      </c>
      <c r="H74" s="51">
        <v>500</v>
      </c>
      <c r="I74" s="49">
        <v>100</v>
      </c>
      <c r="J74" s="48" t="s">
        <v>31</v>
      </c>
      <c r="K74" s="48" t="s">
        <v>32</v>
      </c>
      <c r="M74" s="3">
        <v>100</v>
      </c>
      <c r="P74" s="55"/>
    </row>
    <row r="75" spans="1:26" ht="15.75" customHeight="1">
      <c r="A75" s="50">
        <v>3</v>
      </c>
      <c r="B75" s="48" t="s">
        <v>141</v>
      </c>
      <c r="C75" s="48" t="s">
        <v>39</v>
      </c>
      <c r="D75" s="48" t="s">
        <v>142</v>
      </c>
      <c r="E75" s="48" t="s">
        <v>102</v>
      </c>
      <c r="F75" s="48"/>
      <c r="G75" s="48" t="s">
        <v>30</v>
      </c>
      <c r="H75" s="51">
        <v>300</v>
      </c>
      <c r="I75" s="49">
        <v>60</v>
      </c>
      <c r="J75" s="48" t="s">
        <v>31</v>
      </c>
      <c r="K75" s="48" t="s">
        <v>32</v>
      </c>
      <c r="M75" s="3">
        <v>70</v>
      </c>
      <c r="P75" s="55"/>
    </row>
    <row r="76" spans="1:26" ht="15.75" customHeight="1">
      <c r="A76" s="50">
        <v>3</v>
      </c>
      <c r="B76" s="48" t="s">
        <v>141</v>
      </c>
      <c r="C76" s="48" t="s">
        <v>39</v>
      </c>
      <c r="D76" s="48" t="s">
        <v>142</v>
      </c>
      <c r="E76" s="48" t="s">
        <v>102</v>
      </c>
      <c r="F76" s="48"/>
      <c r="G76" s="48" t="s">
        <v>61</v>
      </c>
      <c r="H76" s="51">
        <v>10</v>
      </c>
      <c r="I76" s="49">
        <v>100</v>
      </c>
      <c r="J76" s="48" t="s">
        <v>31</v>
      </c>
      <c r="K76" s="48" t="s">
        <v>32</v>
      </c>
      <c r="M76" s="3"/>
      <c r="P76" s="55"/>
    </row>
    <row r="77" spans="1:26" ht="15.75" customHeight="1">
      <c r="A77" s="50">
        <v>3</v>
      </c>
      <c r="B77" s="48" t="s">
        <v>143</v>
      </c>
      <c r="C77" s="48" t="s">
        <v>39</v>
      </c>
      <c r="D77" s="48" t="s">
        <v>144</v>
      </c>
      <c r="E77" s="48" t="s">
        <v>145</v>
      </c>
      <c r="F77" s="48"/>
      <c r="G77" s="48" t="s">
        <v>30</v>
      </c>
      <c r="H77" s="51">
        <v>2000</v>
      </c>
      <c r="I77" s="49">
        <v>400</v>
      </c>
      <c r="J77" s="48" t="s">
        <v>31</v>
      </c>
      <c r="K77" s="48" t="s">
        <v>32</v>
      </c>
      <c r="M77" s="3">
        <f>2000*5</f>
        <v>10000</v>
      </c>
      <c r="P77" s="55"/>
      <c r="R77" s="55"/>
    </row>
    <row r="78" spans="1:26" ht="15.75" customHeight="1">
      <c r="A78" s="50">
        <v>3</v>
      </c>
      <c r="B78" s="48" t="s">
        <v>146</v>
      </c>
      <c r="C78" s="48" t="s">
        <v>27</v>
      </c>
      <c r="D78" s="48" t="s">
        <v>147</v>
      </c>
      <c r="E78" s="48" t="s">
        <v>148</v>
      </c>
      <c r="F78" s="48"/>
      <c r="G78" s="48" t="s">
        <v>30</v>
      </c>
      <c r="H78" s="51">
        <v>2000</v>
      </c>
      <c r="I78" s="49">
        <v>400</v>
      </c>
      <c r="J78" s="48" t="s">
        <v>31</v>
      </c>
      <c r="K78" s="48" t="s">
        <v>32</v>
      </c>
      <c r="M78" s="3">
        <v>400</v>
      </c>
      <c r="P78" s="55"/>
    </row>
    <row r="79" spans="1:26" ht="15.75" customHeight="1">
      <c r="A79" s="50">
        <v>3</v>
      </c>
      <c r="B79" s="48" t="s">
        <v>149</v>
      </c>
      <c r="C79" s="48" t="s">
        <v>27</v>
      </c>
      <c r="D79" s="48" t="s">
        <v>150</v>
      </c>
      <c r="E79" s="48" t="s">
        <v>151</v>
      </c>
      <c r="F79" s="48"/>
      <c r="G79" s="48" t="s">
        <v>30</v>
      </c>
      <c r="H79" s="51">
        <v>1000</v>
      </c>
      <c r="I79" s="49">
        <v>200</v>
      </c>
      <c r="J79" s="48" t="s">
        <v>31</v>
      </c>
      <c r="K79" s="48" t="s">
        <v>32</v>
      </c>
      <c r="M79" s="3">
        <v>300</v>
      </c>
      <c r="P79" s="55"/>
    </row>
    <row r="80" spans="1:26" ht="15.75" customHeight="1">
      <c r="A80" s="50">
        <v>3</v>
      </c>
      <c r="B80" s="48" t="s">
        <v>152</v>
      </c>
      <c r="C80" s="48" t="s">
        <v>27</v>
      </c>
      <c r="D80" s="48" t="s">
        <v>153</v>
      </c>
      <c r="E80" s="48" t="s">
        <v>89</v>
      </c>
      <c r="F80" s="48"/>
      <c r="G80" s="48" t="s">
        <v>30</v>
      </c>
      <c r="H80" s="51">
        <v>1000</v>
      </c>
      <c r="I80" s="49">
        <v>200</v>
      </c>
      <c r="J80" s="48" t="s">
        <v>31</v>
      </c>
      <c r="K80" s="48" t="s">
        <v>32</v>
      </c>
      <c r="M80" s="3">
        <v>100</v>
      </c>
      <c r="P80" s="55"/>
    </row>
    <row r="81" spans="1:18" ht="15.75" customHeight="1">
      <c r="A81" s="50">
        <v>3</v>
      </c>
      <c r="B81" s="48" t="s">
        <v>152</v>
      </c>
      <c r="C81" s="48" t="s">
        <v>27</v>
      </c>
      <c r="D81" s="48" t="s">
        <v>153</v>
      </c>
      <c r="E81" s="48" t="s">
        <v>89</v>
      </c>
      <c r="F81" s="48"/>
      <c r="G81" s="48" t="s">
        <v>61</v>
      </c>
      <c r="H81" s="51">
        <v>10</v>
      </c>
      <c r="I81" s="49">
        <v>100</v>
      </c>
      <c r="J81" s="48" t="s">
        <v>31</v>
      </c>
      <c r="K81" s="48" t="s">
        <v>32</v>
      </c>
      <c r="M81" s="3"/>
      <c r="P81" s="55"/>
      <c r="R81" s="55"/>
    </row>
    <row r="82" spans="1:18" ht="15.75" customHeight="1">
      <c r="A82" s="50">
        <v>3</v>
      </c>
      <c r="B82" s="48" t="s">
        <v>154</v>
      </c>
      <c r="C82" s="48" t="s">
        <v>39</v>
      </c>
      <c r="D82" s="48" t="s">
        <v>56</v>
      </c>
      <c r="E82" s="48" t="s">
        <v>51</v>
      </c>
      <c r="F82" s="48"/>
      <c r="G82" s="48" t="s">
        <v>30</v>
      </c>
      <c r="H82" s="51">
        <v>500</v>
      </c>
      <c r="I82" s="49" t="s">
        <v>90</v>
      </c>
      <c r="J82" s="48" t="s">
        <v>31</v>
      </c>
      <c r="K82" s="48" t="s">
        <v>32</v>
      </c>
      <c r="M82" s="3">
        <v>1400</v>
      </c>
      <c r="P82" s="55"/>
    </row>
    <row r="83" spans="1:18" ht="15.75" customHeight="1">
      <c r="A83" s="50">
        <v>3</v>
      </c>
      <c r="B83" s="48" t="s">
        <v>154</v>
      </c>
      <c r="C83" s="48" t="s">
        <v>39</v>
      </c>
      <c r="D83" s="48" t="s">
        <v>56</v>
      </c>
      <c r="E83" s="48" t="s">
        <v>51</v>
      </c>
      <c r="F83" s="48"/>
      <c r="G83" s="48" t="s">
        <v>30</v>
      </c>
      <c r="H83" s="51">
        <v>4500</v>
      </c>
      <c r="I83" s="49">
        <v>900</v>
      </c>
      <c r="J83" s="48" t="s">
        <v>31</v>
      </c>
      <c r="K83" s="48" t="s">
        <v>32</v>
      </c>
      <c r="M83" s="725">
        <v>3200</v>
      </c>
      <c r="P83" s="55"/>
    </row>
    <row r="84" spans="1:18" ht="15.75" customHeight="1">
      <c r="A84" s="50">
        <v>3</v>
      </c>
      <c r="B84" s="48" t="s">
        <v>154</v>
      </c>
      <c r="C84" s="48" t="s">
        <v>39</v>
      </c>
      <c r="D84" s="48" t="s">
        <v>56</v>
      </c>
      <c r="E84" s="48" t="s">
        <v>51</v>
      </c>
      <c r="F84" s="48"/>
      <c r="G84" s="48" t="s">
        <v>61</v>
      </c>
      <c r="H84" s="51">
        <v>20</v>
      </c>
      <c r="I84" s="49">
        <v>200</v>
      </c>
      <c r="J84" s="48" t="s">
        <v>31</v>
      </c>
      <c r="K84" s="48" t="s">
        <v>32</v>
      </c>
      <c r="M84" s="711"/>
      <c r="P84" s="55"/>
    </row>
    <row r="85" spans="1:18" ht="15.75" customHeight="1">
      <c r="A85" s="50">
        <v>3</v>
      </c>
      <c r="B85" s="48" t="s">
        <v>155</v>
      </c>
      <c r="C85" s="48" t="s">
        <v>39</v>
      </c>
      <c r="D85" s="48" t="s">
        <v>156</v>
      </c>
      <c r="E85" s="48" t="s">
        <v>102</v>
      </c>
      <c r="F85" s="48"/>
      <c r="G85" s="48" t="s">
        <v>30</v>
      </c>
      <c r="H85" s="51">
        <v>1500</v>
      </c>
      <c r="I85" s="49" t="s">
        <v>90</v>
      </c>
      <c r="J85" s="48" t="s">
        <v>31</v>
      </c>
      <c r="K85" s="48" t="s">
        <v>32</v>
      </c>
      <c r="M85" s="711"/>
      <c r="P85" s="55"/>
    </row>
    <row r="86" spans="1:18" ht="15.75" customHeight="1">
      <c r="A86" s="50">
        <v>3</v>
      </c>
      <c r="B86" s="48" t="s">
        <v>157</v>
      </c>
      <c r="C86" s="48" t="s">
        <v>27</v>
      </c>
      <c r="D86" s="48" t="s">
        <v>156</v>
      </c>
      <c r="E86" s="48" t="s">
        <v>102</v>
      </c>
      <c r="F86" s="48"/>
      <c r="G86" s="48" t="s">
        <v>30</v>
      </c>
      <c r="H86" s="51">
        <v>1500</v>
      </c>
      <c r="I86" s="49" t="s">
        <v>90</v>
      </c>
      <c r="J86" s="48" t="s">
        <v>31</v>
      </c>
      <c r="K86" s="48" t="s">
        <v>32</v>
      </c>
      <c r="M86" s="711"/>
      <c r="P86" s="55"/>
    </row>
    <row r="87" spans="1:18" ht="15.75" customHeight="1">
      <c r="A87" s="50">
        <v>3</v>
      </c>
      <c r="B87" s="48" t="s">
        <v>157</v>
      </c>
      <c r="C87" s="48" t="s">
        <v>27</v>
      </c>
      <c r="D87" s="48" t="s">
        <v>156</v>
      </c>
      <c r="E87" s="48" t="s">
        <v>102</v>
      </c>
      <c r="F87" s="48"/>
      <c r="G87" s="48" t="s">
        <v>30</v>
      </c>
      <c r="H87" s="51">
        <v>1500</v>
      </c>
      <c r="I87" s="49">
        <v>300</v>
      </c>
      <c r="J87" s="48" t="s">
        <v>31</v>
      </c>
      <c r="K87" s="48" t="s">
        <v>32</v>
      </c>
      <c r="M87" s="711"/>
      <c r="P87" s="55"/>
    </row>
    <row r="88" spans="1:18" ht="15.75" customHeight="1">
      <c r="A88" s="50">
        <v>3</v>
      </c>
      <c r="B88" s="48" t="s">
        <v>158</v>
      </c>
      <c r="C88" s="48" t="s">
        <v>27</v>
      </c>
      <c r="D88" s="48" t="s">
        <v>156</v>
      </c>
      <c r="E88" s="48" t="s">
        <v>102</v>
      </c>
      <c r="F88" s="48"/>
      <c r="G88" s="48" t="s">
        <v>30</v>
      </c>
      <c r="H88" s="51">
        <v>1500</v>
      </c>
      <c r="I88" s="49" t="s">
        <v>90</v>
      </c>
      <c r="J88" s="48" t="s">
        <v>31</v>
      </c>
      <c r="K88" s="48" t="s">
        <v>32</v>
      </c>
      <c r="M88" s="711"/>
      <c r="P88" s="55"/>
    </row>
    <row r="89" spans="1:18" ht="15.75" customHeight="1">
      <c r="A89" s="50">
        <v>3</v>
      </c>
      <c r="B89" s="48" t="s">
        <v>158</v>
      </c>
      <c r="C89" s="48" t="s">
        <v>27</v>
      </c>
      <c r="D89" s="48" t="s">
        <v>156</v>
      </c>
      <c r="E89" s="48" t="s">
        <v>102</v>
      </c>
      <c r="F89" s="48"/>
      <c r="G89" s="48" t="s">
        <v>30</v>
      </c>
      <c r="H89" s="51">
        <v>1000</v>
      </c>
      <c r="I89" s="49">
        <v>200</v>
      </c>
      <c r="J89" s="48" t="s">
        <v>31</v>
      </c>
      <c r="K89" s="48" t="s">
        <v>32</v>
      </c>
      <c r="M89" s="711"/>
      <c r="P89" s="55"/>
    </row>
    <row r="90" spans="1:18" ht="15.75" customHeight="1">
      <c r="A90" s="50">
        <v>3</v>
      </c>
      <c r="B90" s="48" t="s">
        <v>159</v>
      </c>
      <c r="C90" s="48" t="s">
        <v>27</v>
      </c>
      <c r="D90" s="48" t="s">
        <v>156</v>
      </c>
      <c r="E90" s="48" t="s">
        <v>102</v>
      </c>
      <c r="F90" s="48"/>
      <c r="G90" s="48" t="s">
        <v>30</v>
      </c>
      <c r="H90" s="51">
        <v>1500</v>
      </c>
      <c r="I90" s="49" t="s">
        <v>90</v>
      </c>
      <c r="J90" s="48" t="s">
        <v>31</v>
      </c>
      <c r="K90" s="48" t="s">
        <v>32</v>
      </c>
      <c r="M90" s="711"/>
      <c r="P90" s="55"/>
    </row>
    <row r="91" spans="1:18" ht="15.75" customHeight="1">
      <c r="A91" s="50">
        <v>3</v>
      </c>
      <c r="B91" s="48" t="s">
        <v>160</v>
      </c>
      <c r="C91" s="48" t="s">
        <v>27</v>
      </c>
      <c r="D91" s="48" t="s">
        <v>156</v>
      </c>
      <c r="E91" s="48" t="s">
        <v>102</v>
      </c>
      <c r="F91" s="48"/>
      <c r="G91" s="48" t="s">
        <v>30</v>
      </c>
      <c r="H91" s="51">
        <v>1500</v>
      </c>
      <c r="I91" s="49" t="s">
        <v>90</v>
      </c>
      <c r="J91" s="48" t="s">
        <v>31</v>
      </c>
      <c r="K91" s="48" t="s">
        <v>32</v>
      </c>
      <c r="M91" s="711"/>
      <c r="P91" s="55"/>
    </row>
    <row r="92" spans="1:18" ht="15.75" customHeight="1">
      <c r="A92" s="50">
        <v>3</v>
      </c>
      <c r="B92" s="48" t="s">
        <v>160</v>
      </c>
      <c r="C92" s="48" t="s">
        <v>27</v>
      </c>
      <c r="D92" s="48" t="s">
        <v>156</v>
      </c>
      <c r="E92" s="48" t="s">
        <v>102</v>
      </c>
      <c r="F92" s="48"/>
      <c r="G92" s="48" t="s">
        <v>30</v>
      </c>
      <c r="H92" s="51">
        <v>1500</v>
      </c>
      <c r="I92" s="49">
        <v>300</v>
      </c>
      <c r="J92" s="48" t="s">
        <v>31</v>
      </c>
      <c r="K92" s="48" t="s">
        <v>32</v>
      </c>
      <c r="M92" s="711"/>
      <c r="P92" s="55"/>
    </row>
    <row r="93" spans="1:18" ht="15.75" customHeight="1">
      <c r="A93" s="50">
        <v>3</v>
      </c>
      <c r="B93" s="48" t="s">
        <v>161</v>
      </c>
      <c r="C93" s="48" t="s">
        <v>27</v>
      </c>
      <c r="D93" s="48" t="s">
        <v>156</v>
      </c>
      <c r="E93" s="48" t="s">
        <v>102</v>
      </c>
      <c r="F93" s="48"/>
      <c r="G93" s="48" t="s">
        <v>30</v>
      </c>
      <c r="H93" s="51">
        <v>3000</v>
      </c>
      <c r="I93" s="49">
        <v>600</v>
      </c>
      <c r="J93" s="48" t="s">
        <v>31</v>
      </c>
      <c r="K93" s="48" t="s">
        <v>32</v>
      </c>
      <c r="M93" s="3">
        <v>450</v>
      </c>
      <c r="P93" s="55"/>
    </row>
    <row r="94" spans="1:18" ht="15.75" customHeight="1">
      <c r="A94" s="50">
        <v>3</v>
      </c>
      <c r="B94" s="48" t="s">
        <v>162</v>
      </c>
      <c r="C94" s="48" t="s">
        <v>27</v>
      </c>
      <c r="D94" s="48" t="s">
        <v>163</v>
      </c>
      <c r="E94" s="48" t="s">
        <v>47</v>
      </c>
      <c r="F94" s="48"/>
      <c r="G94" s="48" t="s">
        <v>30</v>
      </c>
      <c r="H94" s="51">
        <v>20000</v>
      </c>
      <c r="I94" s="49">
        <v>4000</v>
      </c>
      <c r="J94" s="48" t="s">
        <v>31</v>
      </c>
      <c r="K94" s="48" t="s">
        <v>32</v>
      </c>
      <c r="M94" s="3">
        <f>H94/5</f>
        <v>4000</v>
      </c>
      <c r="P94" s="55"/>
    </row>
    <row r="95" spans="1:18" ht="15.75" customHeight="1">
      <c r="A95" s="50">
        <v>3</v>
      </c>
      <c r="B95" s="48" t="s">
        <v>164</v>
      </c>
      <c r="C95" s="48" t="s">
        <v>27</v>
      </c>
      <c r="D95" s="48" t="s">
        <v>165</v>
      </c>
      <c r="E95" s="48" t="s">
        <v>84</v>
      </c>
      <c r="F95" s="48"/>
      <c r="G95" s="48" t="s">
        <v>115</v>
      </c>
      <c r="H95" s="51">
        <v>500</v>
      </c>
      <c r="I95" s="49">
        <v>500</v>
      </c>
      <c r="J95" s="48" t="s">
        <v>31</v>
      </c>
      <c r="K95" s="48" t="s">
        <v>32</v>
      </c>
      <c r="M95" s="3"/>
      <c r="P95" s="55"/>
    </row>
    <row r="96" spans="1:18" ht="15.75" customHeight="1">
      <c r="A96" s="50">
        <v>3</v>
      </c>
      <c r="B96" s="48" t="s">
        <v>166</v>
      </c>
      <c r="C96" s="48" t="s">
        <v>27</v>
      </c>
      <c r="D96" s="48" t="s">
        <v>100</v>
      </c>
      <c r="E96" s="48" t="s">
        <v>84</v>
      </c>
      <c r="F96" s="48"/>
      <c r="G96" s="48" t="s">
        <v>30</v>
      </c>
      <c r="H96" s="51">
        <v>800</v>
      </c>
      <c r="I96" s="49">
        <v>160</v>
      </c>
      <c r="J96" s="48" t="s">
        <v>31</v>
      </c>
      <c r="K96" s="48" t="s">
        <v>32</v>
      </c>
      <c r="M96" s="3">
        <f>H96/5</f>
        <v>160</v>
      </c>
      <c r="P96" s="55"/>
    </row>
    <row r="97" spans="1:16" ht="15.75" customHeight="1">
      <c r="A97" s="50">
        <v>3</v>
      </c>
      <c r="B97" s="48" t="s">
        <v>167</v>
      </c>
      <c r="C97" s="48" t="s">
        <v>27</v>
      </c>
      <c r="D97" s="48" t="s">
        <v>168</v>
      </c>
      <c r="E97" s="48" t="s">
        <v>169</v>
      </c>
      <c r="F97" s="48"/>
      <c r="G97" s="48" t="s">
        <v>30</v>
      </c>
      <c r="H97" s="51">
        <v>3000</v>
      </c>
      <c r="I97" s="49">
        <v>600</v>
      </c>
      <c r="J97" s="48" t="s">
        <v>31</v>
      </c>
      <c r="K97" s="48" t="s">
        <v>32</v>
      </c>
      <c r="M97" s="3">
        <v>600</v>
      </c>
      <c r="P97" s="55"/>
    </row>
    <row r="98" spans="1:16" ht="15.75" customHeight="1">
      <c r="A98" s="50">
        <v>3</v>
      </c>
      <c r="B98" s="48" t="s">
        <v>170</v>
      </c>
      <c r="C98" s="48" t="s">
        <v>27</v>
      </c>
      <c r="D98" s="48" t="s">
        <v>171</v>
      </c>
      <c r="E98" s="48" t="s">
        <v>145</v>
      </c>
      <c r="F98" s="48"/>
      <c r="G98" s="48" t="s">
        <v>30</v>
      </c>
      <c r="H98" s="51">
        <v>2000</v>
      </c>
      <c r="I98" s="49">
        <v>400</v>
      </c>
      <c r="J98" s="48" t="s">
        <v>31</v>
      </c>
      <c r="K98" s="48" t="s">
        <v>32</v>
      </c>
      <c r="M98" s="3">
        <v>400</v>
      </c>
      <c r="P98" s="55"/>
    </row>
    <row r="99" spans="1:16" ht="15.75" customHeight="1">
      <c r="A99" s="50">
        <v>3</v>
      </c>
      <c r="B99" s="48" t="s">
        <v>172</v>
      </c>
      <c r="C99" s="48" t="s">
        <v>27</v>
      </c>
      <c r="D99" s="48" t="s">
        <v>173</v>
      </c>
      <c r="E99" s="48" t="s">
        <v>84</v>
      </c>
      <c r="F99" s="48"/>
      <c r="G99" s="48" t="s">
        <v>30</v>
      </c>
      <c r="H99" s="51">
        <v>2000</v>
      </c>
      <c r="I99" s="49">
        <v>400</v>
      </c>
      <c r="J99" s="48" t="s">
        <v>31</v>
      </c>
      <c r="K99" s="48" t="s">
        <v>32</v>
      </c>
      <c r="M99" s="3">
        <v>600</v>
      </c>
      <c r="P99" s="55"/>
    </row>
    <row r="100" spans="1:16" ht="15.75" customHeight="1">
      <c r="A100" s="50">
        <v>3</v>
      </c>
      <c r="B100" s="48" t="s">
        <v>174</v>
      </c>
      <c r="C100" s="48" t="s">
        <v>27</v>
      </c>
      <c r="D100" s="48" t="s">
        <v>175</v>
      </c>
      <c r="E100" s="48" t="s">
        <v>86</v>
      </c>
      <c r="F100" s="48"/>
      <c r="G100" s="48" t="s">
        <v>30</v>
      </c>
      <c r="H100" s="51">
        <v>1000</v>
      </c>
      <c r="I100" s="49">
        <v>200</v>
      </c>
      <c r="J100" s="48" t="s">
        <v>31</v>
      </c>
      <c r="K100" s="48" t="s">
        <v>32</v>
      </c>
      <c r="M100" s="3"/>
      <c r="P100" s="55"/>
    </row>
    <row r="101" spans="1:16" ht="15.75" customHeight="1">
      <c r="A101" s="50">
        <v>3</v>
      </c>
      <c r="B101" s="48" t="s">
        <v>174</v>
      </c>
      <c r="C101" s="48" t="s">
        <v>27</v>
      </c>
      <c r="D101" s="48" t="s">
        <v>175</v>
      </c>
      <c r="E101" s="48" t="s">
        <v>86</v>
      </c>
      <c r="F101" s="48"/>
      <c r="G101" s="48" t="s">
        <v>61</v>
      </c>
      <c r="H101" s="51">
        <v>4</v>
      </c>
      <c r="I101" s="49">
        <v>40</v>
      </c>
      <c r="J101" s="48" t="s">
        <v>31</v>
      </c>
      <c r="K101" s="48" t="s">
        <v>32</v>
      </c>
      <c r="M101" s="3"/>
      <c r="P101" s="55"/>
    </row>
    <row r="102" spans="1:16" ht="15.75" customHeight="1">
      <c r="A102" s="50">
        <v>3</v>
      </c>
      <c r="B102" s="48" t="s">
        <v>176</v>
      </c>
      <c r="C102" s="48" t="s">
        <v>27</v>
      </c>
      <c r="D102" s="48" t="s">
        <v>177</v>
      </c>
      <c r="E102" s="48" t="s">
        <v>44</v>
      </c>
      <c r="F102" s="48"/>
      <c r="G102" s="48" t="s">
        <v>30</v>
      </c>
      <c r="H102" s="51">
        <v>100</v>
      </c>
      <c r="I102" s="49">
        <v>20</v>
      </c>
      <c r="J102" s="48" t="s">
        <v>31</v>
      </c>
      <c r="K102" s="48" t="s">
        <v>32</v>
      </c>
      <c r="M102" s="3"/>
      <c r="P102" s="55"/>
    </row>
    <row r="103" spans="1:16" ht="15.75" customHeight="1">
      <c r="A103" s="50">
        <v>3</v>
      </c>
      <c r="B103" s="48" t="s">
        <v>178</v>
      </c>
      <c r="C103" s="48" t="s">
        <v>39</v>
      </c>
      <c r="D103" s="48" t="s">
        <v>110</v>
      </c>
      <c r="E103" s="48" t="s">
        <v>36</v>
      </c>
      <c r="F103" s="48"/>
      <c r="G103" s="48" t="s">
        <v>30</v>
      </c>
      <c r="H103" s="51">
        <v>500</v>
      </c>
      <c r="I103" s="49">
        <v>100</v>
      </c>
      <c r="J103" s="48" t="s">
        <v>31</v>
      </c>
      <c r="K103" s="48" t="s">
        <v>32</v>
      </c>
      <c r="M103" s="3">
        <v>300</v>
      </c>
      <c r="P103" s="55"/>
    </row>
    <row r="104" spans="1:16" ht="15.75" customHeight="1">
      <c r="A104" s="50">
        <v>3</v>
      </c>
      <c r="B104" s="48" t="s">
        <v>179</v>
      </c>
      <c r="C104" s="48" t="s">
        <v>39</v>
      </c>
      <c r="D104" s="48" t="s">
        <v>180</v>
      </c>
      <c r="E104" s="48" t="s">
        <v>36</v>
      </c>
      <c r="F104" s="48"/>
      <c r="G104" s="48" t="s">
        <v>30</v>
      </c>
      <c r="H104" s="51">
        <v>500</v>
      </c>
      <c r="I104" s="49" t="s">
        <v>90</v>
      </c>
      <c r="J104" s="48" t="s">
        <v>31</v>
      </c>
      <c r="K104" s="48" t="s">
        <v>32</v>
      </c>
      <c r="M104" s="726">
        <v>400</v>
      </c>
      <c r="P104" s="55"/>
    </row>
    <row r="105" spans="1:16" ht="15.75" customHeight="1">
      <c r="A105" s="50">
        <v>3</v>
      </c>
      <c r="B105" s="48" t="s">
        <v>181</v>
      </c>
      <c r="C105" s="48" t="s">
        <v>27</v>
      </c>
      <c r="D105" s="48" t="s">
        <v>180</v>
      </c>
      <c r="E105" s="48" t="s">
        <v>36</v>
      </c>
      <c r="F105" s="48"/>
      <c r="G105" s="48" t="s">
        <v>30</v>
      </c>
      <c r="H105" s="51">
        <v>500</v>
      </c>
      <c r="I105" s="49" t="s">
        <v>90</v>
      </c>
      <c r="J105" s="48" t="s">
        <v>31</v>
      </c>
      <c r="K105" s="48" t="s">
        <v>32</v>
      </c>
      <c r="M105" s="711"/>
      <c r="P105" s="55"/>
    </row>
    <row r="106" spans="1:16" ht="15.75" customHeight="1">
      <c r="A106" s="50">
        <v>3</v>
      </c>
      <c r="B106" s="48" t="s">
        <v>182</v>
      </c>
      <c r="C106" s="48" t="s">
        <v>27</v>
      </c>
      <c r="D106" s="48" t="s">
        <v>180</v>
      </c>
      <c r="E106" s="48" t="s">
        <v>36</v>
      </c>
      <c r="F106" s="48"/>
      <c r="G106" s="48" t="s">
        <v>30</v>
      </c>
      <c r="H106" s="51">
        <v>500</v>
      </c>
      <c r="I106" s="49" t="s">
        <v>90</v>
      </c>
      <c r="J106" s="48" t="s">
        <v>31</v>
      </c>
      <c r="K106" s="48" t="s">
        <v>32</v>
      </c>
      <c r="M106" s="711"/>
      <c r="P106" s="55"/>
    </row>
    <row r="107" spans="1:16" ht="15.75" customHeight="1">
      <c r="A107" s="65">
        <v>3</v>
      </c>
      <c r="B107" s="58" t="s">
        <v>183</v>
      </c>
      <c r="C107" s="58" t="s">
        <v>27</v>
      </c>
      <c r="D107" s="58" t="s">
        <v>180</v>
      </c>
      <c r="E107" s="58" t="s">
        <v>36</v>
      </c>
      <c r="F107" s="58"/>
      <c r="G107" s="58" t="s">
        <v>30</v>
      </c>
      <c r="H107" s="59">
        <v>500</v>
      </c>
      <c r="I107" s="60" t="s">
        <v>90</v>
      </c>
      <c r="J107" s="58" t="s">
        <v>31</v>
      </c>
      <c r="K107" s="58" t="s">
        <v>32</v>
      </c>
      <c r="M107" s="711"/>
      <c r="P107" s="55"/>
    </row>
    <row r="108" spans="1:16" ht="15.75" customHeight="1">
      <c r="A108" s="61">
        <v>4</v>
      </c>
      <c r="B108" s="62" t="s">
        <v>184</v>
      </c>
      <c r="C108" s="62" t="s">
        <v>27</v>
      </c>
      <c r="D108" s="62" t="s">
        <v>98</v>
      </c>
      <c r="E108" s="62" t="s">
        <v>36</v>
      </c>
      <c r="F108" s="62"/>
      <c r="G108" s="62" t="s">
        <v>30</v>
      </c>
      <c r="H108" s="63">
        <v>900</v>
      </c>
      <c r="I108" s="64">
        <v>180</v>
      </c>
      <c r="J108" s="62" t="s">
        <v>31</v>
      </c>
      <c r="K108" s="62" t="s">
        <v>32</v>
      </c>
      <c r="M108" s="3">
        <v>300</v>
      </c>
      <c r="P108" s="55"/>
    </row>
    <row r="109" spans="1:16" ht="15.75" customHeight="1">
      <c r="A109" s="50">
        <v>4</v>
      </c>
      <c r="B109" s="48" t="s">
        <v>185</v>
      </c>
      <c r="C109" s="48" t="s">
        <v>27</v>
      </c>
      <c r="D109" s="48" t="s">
        <v>186</v>
      </c>
      <c r="E109" s="48" t="s">
        <v>73</v>
      </c>
      <c r="F109" s="48"/>
      <c r="G109" s="48" t="s">
        <v>30</v>
      </c>
      <c r="H109" s="51">
        <v>500</v>
      </c>
      <c r="I109" s="49">
        <v>100</v>
      </c>
      <c r="J109" s="62" t="s">
        <v>31</v>
      </c>
      <c r="K109" s="62" t="s">
        <v>32</v>
      </c>
      <c r="M109" s="3"/>
      <c r="P109" s="55"/>
    </row>
    <row r="110" spans="1:16" ht="15.75" customHeight="1">
      <c r="A110" s="50">
        <v>4</v>
      </c>
      <c r="B110" s="48" t="s">
        <v>187</v>
      </c>
      <c r="C110" s="48" t="s">
        <v>27</v>
      </c>
      <c r="D110" s="48" t="s">
        <v>188</v>
      </c>
      <c r="E110" s="48" t="s">
        <v>36</v>
      </c>
      <c r="F110" s="48"/>
      <c r="G110" s="48" t="s">
        <v>30</v>
      </c>
      <c r="H110" s="51">
        <v>500</v>
      </c>
      <c r="I110" s="49" t="s">
        <v>90</v>
      </c>
      <c r="J110" s="62" t="s">
        <v>31</v>
      </c>
      <c r="K110" s="62" t="s">
        <v>32</v>
      </c>
      <c r="M110" s="3">
        <v>300</v>
      </c>
      <c r="P110" s="55"/>
    </row>
    <row r="111" spans="1:16" ht="15.75" customHeight="1">
      <c r="A111" s="50">
        <v>4</v>
      </c>
      <c r="B111" s="48" t="s">
        <v>187</v>
      </c>
      <c r="C111" s="48" t="s">
        <v>27</v>
      </c>
      <c r="D111" s="48" t="s">
        <v>188</v>
      </c>
      <c r="E111" s="48" t="s">
        <v>36</v>
      </c>
      <c r="F111" s="48"/>
      <c r="G111" s="48" t="s">
        <v>30</v>
      </c>
      <c r="H111" s="51">
        <v>500</v>
      </c>
      <c r="I111" s="49">
        <v>100</v>
      </c>
      <c r="J111" s="62" t="s">
        <v>31</v>
      </c>
      <c r="K111" s="62" t="s">
        <v>32</v>
      </c>
      <c r="M111" s="3"/>
      <c r="P111" s="55"/>
    </row>
    <row r="112" spans="1:16" ht="15.75" customHeight="1">
      <c r="A112" s="50">
        <v>4</v>
      </c>
      <c r="B112" s="48" t="s">
        <v>189</v>
      </c>
      <c r="C112" s="48" t="s">
        <v>27</v>
      </c>
      <c r="D112" s="48" t="s">
        <v>65</v>
      </c>
      <c r="E112" s="48" t="s">
        <v>36</v>
      </c>
      <c r="F112" s="48"/>
      <c r="G112" s="48" t="s">
        <v>30</v>
      </c>
      <c r="H112" s="51">
        <v>300</v>
      </c>
      <c r="I112" s="49">
        <v>60</v>
      </c>
      <c r="J112" s="62" t="s">
        <v>31</v>
      </c>
      <c r="K112" s="62" t="s">
        <v>32</v>
      </c>
      <c r="M112" s="3">
        <v>60</v>
      </c>
      <c r="P112" s="55"/>
    </row>
    <row r="113" spans="1:18" ht="15.75" customHeight="1">
      <c r="A113" s="50">
        <v>4</v>
      </c>
      <c r="B113" s="48" t="s">
        <v>190</v>
      </c>
      <c r="C113" s="48" t="s">
        <v>27</v>
      </c>
      <c r="D113" s="48" t="s">
        <v>191</v>
      </c>
      <c r="E113" s="48" t="s">
        <v>36</v>
      </c>
      <c r="F113" s="48"/>
      <c r="G113" s="48" t="s">
        <v>30</v>
      </c>
      <c r="H113" s="51">
        <v>1000</v>
      </c>
      <c r="I113" s="49">
        <v>200</v>
      </c>
      <c r="J113" s="62" t="s">
        <v>31</v>
      </c>
      <c r="K113" s="62" t="s">
        <v>32</v>
      </c>
      <c r="M113" s="3">
        <v>100</v>
      </c>
      <c r="P113" s="55"/>
    </row>
    <row r="114" spans="1:18" ht="15.75" customHeight="1">
      <c r="A114" s="50">
        <v>4</v>
      </c>
      <c r="B114" s="48" t="s">
        <v>192</v>
      </c>
      <c r="C114" s="48" t="s">
        <v>27</v>
      </c>
      <c r="D114" s="48" t="s">
        <v>193</v>
      </c>
      <c r="E114" s="48" t="s">
        <v>36</v>
      </c>
      <c r="F114" s="48"/>
      <c r="G114" s="48" t="s">
        <v>30</v>
      </c>
      <c r="H114" s="51">
        <v>3000</v>
      </c>
      <c r="I114" s="49">
        <v>600</v>
      </c>
      <c r="J114" s="62" t="s">
        <v>31</v>
      </c>
      <c r="K114" s="62" t="s">
        <v>32</v>
      </c>
      <c r="M114" s="3">
        <v>480</v>
      </c>
      <c r="P114" s="55"/>
    </row>
    <row r="115" spans="1:18" ht="15.75" customHeight="1">
      <c r="A115" s="50">
        <v>4</v>
      </c>
      <c r="B115" s="48" t="s">
        <v>194</v>
      </c>
      <c r="C115" s="48" t="s">
        <v>27</v>
      </c>
      <c r="D115" s="48" t="s">
        <v>195</v>
      </c>
      <c r="E115" s="48" t="s">
        <v>86</v>
      </c>
      <c r="F115" s="48"/>
      <c r="G115" s="48" t="s">
        <v>30</v>
      </c>
      <c r="H115" s="51">
        <v>500</v>
      </c>
      <c r="I115" s="49">
        <v>100</v>
      </c>
      <c r="J115" s="62" t="s">
        <v>31</v>
      </c>
      <c r="K115" s="62" t="s">
        <v>32</v>
      </c>
      <c r="M115" s="3">
        <v>2000</v>
      </c>
      <c r="P115" s="55"/>
    </row>
    <row r="116" spans="1:18" ht="15.75" customHeight="1">
      <c r="A116" s="50">
        <v>4</v>
      </c>
      <c r="B116" s="48" t="s">
        <v>196</v>
      </c>
      <c r="C116" s="48" t="s">
        <v>27</v>
      </c>
      <c r="D116" s="48" t="s">
        <v>197</v>
      </c>
      <c r="E116" s="48" t="s">
        <v>73</v>
      </c>
      <c r="F116" s="48"/>
      <c r="G116" s="48" t="s">
        <v>30</v>
      </c>
      <c r="H116" s="51">
        <v>400</v>
      </c>
      <c r="I116" s="49">
        <v>80</v>
      </c>
      <c r="J116" s="62" t="s">
        <v>31</v>
      </c>
      <c r="K116" s="62" t="s">
        <v>32</v>
      </c>
      <c r="M116" s="3">
        <v>160</v>
      </c>
      <c r="P116" s="55"/>
    </row>
    <row r="117" spans="1:18" ht="15.75" customHeight="1">
      <c r="A117" s="50">
        <v>4</v>
      </c>
      <c r="B117" s="48" t="s">
        <v>198</v>
      </c>
      <c r="C117" s="48" t="s">
        <v>27</v>
      </c>
      <c r="D117" s="48" t="s">
        <v>193</v>
      </c>
      <c r="E117" s="48" t="s">
        <v>36</v>
      </c>
      <c r="F117" s="48"/>
      <c r="G117" s="48" t="s">
        <v>30</v>
      </c>
      <c r="H117" s="51">
        <v>6000</v>
      </c>
      <c r="I117" s="49">
        <v>1200</v>
      </c>
      <c r="J117" s="62" t="s">
        <v>31</v>
      </c>
      <c r="K117" s="62" t="s">
        <v>32</v>
      </c>
      <c r="M117" s="3">
        <f>H117/5</f>
        <v>1200</v>
      </c>
      <c r="P117" s="55"/>
    </row>
    <row r="118" spans="1:18" ht="15.75" customHeight="1">
      <c r="A118" s="50">
        <v>4</v>
      </c>
      <c r="B118" s="48" t="s">
        <v>199</v>
      </c>
      <c r="C118" s="48" t="s">
        <v>27</v>
      </c>
      <c r="D118" s="48" t="s">
        <v>200</v>
      </c>
      <c r="E118" s="48" t="s">
        <v>29</v>
      </c>
      <c r="F118" s="48"/>
      <c r="G118" s="48" t="s">
        <v>30</v>
      </c>
      <c r="H118" s="51">
        <v>5000</v>
      </c>
      <c r="I118" s="49">
        <v>1000</v>
      </c>
      <c r="J118" s="62" t="s">
        <v>31</v>
      </c>
      <c r="K118" s="62" t="s">
        <v>32</v>
      </c>
      <c r="M118" s="3">
        <v>600</v>
      </c>
      <c r="P118" s="55"/>
    </row>
    <row r="119" spans="1:18" ht="15.75" customHeight="1">
      <c r="A119" s="50">
        <v>4</v>
      </c>
      <c r="B119" s="48" t="s">
        <v>201</v>
      </c>
      <c r="C119" s="48" t="s">
        <v>27</v>
      </c>
      <c r="D119" s="48" t="s">
        <v>100</v>
      </c>
      <c r="E119" s="48" t="s">
        <v>29</v>
      </c>
      <c r="F119" s="48"/>
      <c r="G119" s="48" t="s">
        <v>30</v>
      </c>
      <c r="H119" s="51">
        <v>3000</v>
      </c>
      <c r="I119" s="49">
        <v>600</v>
      </c>
      <c r="J119" s="62" t="s">
        <v>31</v>
      </c>
      <c r="K119" s="62" t="s">
        <v>32</v>
      </c>
      <c r="M119" s="3">
        <v>600</v>
      </c>
      <c r="P119" s="55"/>
      <c r="R119" s="55"/>
    </row>
    <row r="120" spans="1:18" ht="15.75" customHeight="1">
      <c r="A120" s="50">
        <v>4</v>
      </c>
      <c r="B120" s="48" t="s">
        <v>202</v>
      </c>
      <c r="C120" s="48" t="s">
        <v>27</v>
      </c>
      <c r="D120" s="48" t="s">
        <v>100</v>
      </c>
      <c r="E120" s="48" t="s">
        <v>145</v>
      </c>
      <c r="F120" s="48"/>
      <c r="G120" s="48" t="s">
        <v>30</v>
      </c>
      <c r="H120" s="51">
        <v>500</v>
      </c>
      <c r="I120" s="49" t="s">
        <v>90</v>
      </c>
      <c r="J120" s="62" t="s">
        <v>31</v>
      </c>
      <c r="K120" s="62" t="s">
        <v>32</v>
      </c>
      <c r="M120" s="725">
        <v>400</v>
      </c>
      <c r="P120" s="55"/>
      <c r="R120" s="55"/>
    </row>
    <row r="121" spans="1:18" ht="15.75" customHeight="1">
      <c r="A121" s="50">
        <v>4</v>
      </c>
      <c r="B121" s="48" t="s">
        <v>202</v>
      </c>
      <c r="C121" s="48" t="s">
        <v>27</v>
      </c>
      <c r="D121" s="48" t="s">
        <v>100</v>
      </c>
      <c r="E121" s="48" t="s">
        <v>145</v>
      </c>
      <c r="F121" s="48"/>
      <c r="G121" s="48" t="s">
        <v>30</v>
      </c>
      <c r="H121" s="51">
        <v>1500</v>
      </c>
      <c r="I121" s="49">
        <v>300</v>
      </c>
      <c r="J121" s="62" t="s">
        <v>31</v>
      </c>
      <c r="K121" s="62" t="s">
        <v>32</v>
      </c>
      <c r="M121" s="711"/>
      <c r="P121" s="55"/>
    </row>
    <row r="122" spans="1:18" ht="15.75" customHeight="1">
      <c r="A122" s="50">
        <v>4</v>
      </c>
      <c r="B122" s="48" t="s">
        <v>203</v>
      </c>
      <c r="C122" s="48" t="s">
        <v>27</v>
      </c>
      <c r="D122" s="48" t="s">
        <v>79</v>
      </c>
      <c r="E122" s="48" t="s">
        <v>145</v>
      </c>
      <c r="F122" s="48"/>
      <c r="G122" s="48" t="s">
        <v>30</v>
      </c>
      <c r="H122" s="51">
        <v>500</v>
      </c>
      <c r="I122" s="49" t="s">
        <v>90</v>
      </c>
      <c r="J122" s="62" t="s">
        <v>31</v>
      </c>
      <c r="K122" s="62" t="s">
        <v>32</v>
      </c>
      <c r="M122" s="3">
        <v>4000</v>
      </c>
      <c r="P122" s="55"/>
    </row>
    <row r="123" spans="1:18" ht="15.75" customHeight="1">
      <c r="A123" s="50">
        <v>4</v>
      </c>
      <c r="B123" s="48" t="s">
        <v>203</v>
      </c>
      <c r="C123" s="48" t="s">
        <v>27</v>
      </c>
      <c r="D123" s="48" t="s">
        <v>79</v>
      </c>
      <c r="E123" s="48" t="s">
        <v>145</v>
      </c>
      <c r="F123" s="48"/>
      <c r="G123" s="48" t="s">
        <v>30</v>
      </c>
      <c r="H123" s="51">
        <v>5500</v>
      </c>
      <c r="I123" s="49">
        <v>1100</v>
      </c>
      <c r="J123" s="62" t="s">
        <v>31</v>
      </c>
      <c r="K123" s="62" t="s">
        <v>32</v>
      </c>
      <c r="M123" s="3"/>
      <c r="P123" s="55"/>
    </row>
    <row r="124" spans="1:18" ht="15.75" customHeight="1">
      <c r="A124" s="50">
        <v>4</v>
      </c>
      <c r="B124" s="48" t="s">
        <v>204</v>
      </c>
      <c r="C124" s="48" t="s">
        <v>39</v>
      </c>
      <c r="D124" s="48" t="s">
        <v>205</v>
      </c>
      <c r="E124" s="48" t="s">
        <v>191</v>
      </c>
      <c r="F124" s="48"/>
      <c r="G124" s="48" t="s">
        <v>30</v>
      </c>
      <c r="H124" s="51">
        <v>500</v>
      </c>
      <c r="I124" s="49">
        <v>100</v>
      </c>
      <c r="J124" s="62" t="s">
        <v>31</v>
      </c>
      <c r="K124" s="62" t="s">
        <v>32</v>
      </c>
      <c r="M124" s="3">
        <v>150</v>
      </c>
      <c r="P124" s="55"/>
    </row>
    <row r="125" spans="1:18" ht="15.75" customHeight="1">
      <c r="A125" s="50">
        <v>4</v>
      </c>
      <c r="B125" s="48" t="s">
        <v>206</v>
      </c>
      <c r="C125" s="48" t="s">
        <v>27</v>
      </c>
      <c r="D125" s="48" t="s">
        <v>130</v>
      </c>
      <c r="E125" s="48" t="s">
        <v>51</v>
      </c>
      <c r="F125" s="48"/>
      <c r="G125" s="48" t="s">
        <v>30</v>
      </c>
      <c r="H125" s="51">
        <v>1500</v>
      </c>
      <c r="I125" s="49">
        <v>300</v>
      </c>
      <c r="J125" s="62" t="s">
        <v>31</v>
      </c>
      <c r="K125" s="62" t="s">
        <v>32</v>
      </c>
      <c r="M125" s="3">
        <v>300</v>
      </c>
      <c r="P125" s="55"/>
    </row>
    <row r="126" spans="1:18" ht="15.75" customHeight="1">
      <c r="A126" s="50">
        <v>4</v>
      </c>
      <c r="B126" s="48" t="s">
        <v>207</v>
      </c>
      <c r="C126" s="48" t="s">
        <v>27</v>
      </c>
      <c r="D126" s="48" t="s">
        <v>208</v>
      </c>
      <c r="E126" s="48" t="s">
        <v>209</v>
      </c>
      <c r="F126" s="48"/>
      <c r="G126" s="48" t="s">
        <v>30</v>
      </c>
      <c r="H126" s="51">
        <v>4500</v>
      </c>
      <c r="I126" s="49">
        <v>900</v>
      </c>
      <c r="J126" s="62" t="s">
        <v>31</v>
      </c>
      <c r="K126" s="62" t="s">
        <v>32</v>
      </c>
      <c r="M126" s="3">
        <v>1200</v>
      </c>
      <c r="P126" s="55"/>
    </row>
    <row r="127" spans="1:18" ht="15.75" customHeight="1">
      <c r="A127" s="50">
        <v>4</v>
      </c>
      <c r="B127" s="48" t="s">
        <v>210</v>
      </c>
      <c r="C127" s="48" t="s">
        <v>27</v>
      </c>
      <c r="D127" s="48" t="s">
        <v>211</v>
      </c>
      <c r="E127" s="48" t="s">
        <v>36</v>
      </c>
      <c r="F127" s="48"/>
      <c r="G127" s="48" t="s">
        <v>30</v>
      </c>
      <c r="H127" s="51">
        <v>4500</v>
      </c>
      <c r="I127" s="49">
        <v>900</v>
      </c>
      <c r="J127" s="62" t="s">
        <v>31</v>
      </c>
      <c r="K127" s="62" t="s">
        <v>32</v>
      </c>
      <c r="M127" s="3">
        <v>5600</v>
      </c>
      <c r="P127" s="55"/>
    </row>
    <row r="128" spans="1:18" ht="15.75" customHeight="1">
      <c r="A128" s="50">
        <v>4</v>
      </c>
      <c r="B128" s="48" t="s">
        <v>212</v>
      </c>
      <c r="C128" s="48" t="s">
        <v>39</v>
      </c>
      <c r="D128" s="48" t="s">
        <v>213</v>
      </c>
      <c r="E128" s="48" t="s">
        <v>36</v>
      </c>
      <c r="F128" s="48"/>
      <c r="G128" s="48" t="s">
        <v>30</v>
      </c>
      <c r="H128" s="51">
        <v>500</v>
      </c>
      <c r="I128" s="49" t="s">
        <v>90</v>
      </c>
      <c r="J128" s="62" t="s">
        <v>31</v>
      </c>
      <c r="K128" s="62" t="s">
        <v>32</v>
      </c>
      <c r="M128" s="725">
        <v>600</v>
      </c>
      <c r="P128" s="55"/>
    </row>
    <row r="129" spans="1:18" ht="15.75" customHeight="1">
      <c r="A129" s="50">
        <v>4</v>
      </c>
      <c r="B129" s="48" t="s">
        <v>212</v>
      </c>
      <c r="C129" s="48" t="s">
        <v>39</v>
      </c>
      <c r="D129" s="48" t="s">
        <v>213</v>
      </c>
      <c r="E129" s="48" t="s">
        <v>36</v>
      </c>
      <c r="F129" s="48"/>
      <c r="G129" s="48" t="s">
        <v>30</v>
      </c>
      <c r="H129" s="51">
        <v>2500</v>
      </c>
      <c r="I129" s="49">
        <v>500</v>
      </c>
      <c r="J129" s="62" t="s">
        <v>31</v>
      </c>
      <c r="K129" s="62" t="s">
        <v>32</v>
      </c>
      <c r="M129" s="711"/>
      <c r="P129" s="55"/>
    </row>
    <row r="130" spans="1:18" ht="15.75" customHeight="1">
      <c r="A130" s="50">
        <v>4</v>
      </c>
      <c r="B130" s="48" t="s">
        <v>214</v>
      </c>
      <c r="C130" s="48" t="s">
        <v>27</v>
      </c>
      <c r="D130" s="48" t="s">
        <v>215</v>
      </c>
      <c r="E130" s="48" t="s">
        <v>54</v>
      </c>
      <c r="F130" s="48"/>
      <c r="G130" s="48" t="s">
        <v>30</v>
      </c>
      <c r="H130" s="51">
        <v>1700</v>
      </c>
      <c r="I130" s="49">
        <v>340</v>
      </c>
      <c r="J130" s="48" t="s">
        <v>31</v>
      </c>
      <c r="K130" s="48" t="s">
        <v>32</v>
      </c>
      <c r="M130" s="3">
        <v>300</v>
      </c>
      <c r="P130" s="55"/>
    </row>
    <row r="131" spans="1:18" ht="15.75" customHeight="1">
      <c r="A131" s="50">
        <v>4</v>
      </c>
      <c r="B131" s="48" t="s">
        <v>216</v>
      </c>
      <c r="C131" s="48" t="s">
        <v>27</v>
      </c>
      <c r="D131" s="48" t="s">
        <v>217</v>
      </c>
      <c r="E131" s="48" t="s">
        <v>209</v>
      </c>
      <c r="F131" s="48"/>
      <c r="G131" s="48" t="s">
        <v>30</v>
      </c>
      <c r="H131" s="51">
        <v>15000</v>
      </c>
      <c r="I131" s="49">
        <v>3000</v>
      </c>
      <c r="J131" s="48" t="s">
        <v>31</v>
      </c>
      <c r="K131" s="48" t="s">
        <v>32</v>
      </c>
      <c r="M131" s="3">
        <v>5000</v>
      </c>
      <c r="P131" s="55"/>
    </row>
    <row r="132" spans="1:18" ht="15.75" customHeight="1">
      <c r="A132" s="50">
        <v>4</v>
      </c>
      <c r="B132" s="48" t="s">
        <v>218</v>
      </c>
      <c r="C132" s="48" t="s">
        <v>27</v>
      </c>
      <c r="D132" s="48" t="s">
        <v>219</v>
      </c>
      <c r="E132" s="48" t="s">
        <v>220</v>
      </c>
      <c r="F132" s="48"/>
      <c r="G132" s="48" t="s">
        <v>30</v>
      </c>
      <c r="H132" s="51">
        <v>22000</v>
      </c>
      <c r="I132" s="49">
        <v>4400</v>
      </c>
      <c r="J132" s="48" t="s">
        <v>31</v>
      </c>
      <c r="K132" s="48" t="s">
        <v>32</v>
      </c>
      <c r="M132" s="3">
        <f>H132/5</f>
        <v>4400</v>
      </c>
      <c r="P132" s="55"/>
    </row>
    <row r="133" spans="1:18" ht="15.75" customHeight="1">
      <c r="A133" s="50">
        <v>4</v>
      </c>
      <c r="B133" s="48" t="s">
        <v>221</v>
      </c>
      <c r="C133" s="48" t="s">
        <v>27</v>
      </c>
      <c r="D133" s="48" t="s">
        <v>222</v>
      </c>
      <c r="E133" s="48" t="s">
        <v>223</v>
      </c>
      <c r="F133" s="48"/>
      <c r="G133" s="48" t="s">
        <v>30</v>
      </c>
      <c r="H133" s="51">
        <v>500</v>
      </c>
      <c r="I133" s="49">
        <v>100</v>
      </c>
      <c r="J133" s="48" t="s">
        <v>31</v>
      </c>
      <c r="K133" s="48" t="s">
        <v>32</v>
      </c>
      <c r="M133" s="3">
        <v>50</v>
      </c>
      <c r="P133" s="55"/>
    </row>
    <row r="134" spans="1:18" ht="15.75" customHeight="1">
      <c r="A134" s="50">
        <v>4</v>
      </c>
      <c r="B134" s="48" t="s">
        <v>224</v>
      </c>
      <c r="C134" s="48" t="s">
        <v>27</v>
      </c>
      <c r="D134" s="48" t="s">
        <v>56</v>
      </c>
      <c r="E134" s="48" t="s">
        <v>225</v>
      </c>
      <c r="F134" s="48"/>
      <c r="G134" s="48" t="s">
        <v>30</v>
      </c>
      <c r="H134" s="51">
        <v>3000</v>
      </c>
      <c r="I134" s="49">
        <v>600</v>
      </c>
      <c r="J134" s="48" t="s">
        <v>31</v>
      </c>
      <c r="K134" s="48" t="s">
        <v>32</v>
      </c>
      <c r="M134" s="3">
        <v>2000</v>
      </c>
      <c r="P134" s="55"/>
    </row>
    <row r="135" spans="1:18" ht="15.75" customHeight="1">
      <c r="A135" s="50">
        <v>4</v>
      </c>
      <c r="B135" s="48" t="s">
        <v>226</v>
      </c>
      <c r="C135" s="48" t="s">
        <v>39</v>
      </c>
      <c r="D135" s="48" t="s">
        <v>213</v>
      </c>
      <c r="E135" s="48" t="s">
        <v>36</v>
      </c>
      <c r="F135" s="48"/>
      <c r="G135" s="48" t="s">
        <v>30</v>
      </c>
      <c r="H135" s="51">
        <v>500</v>
      </c>
      <c r="I135" s="49" t="s">
        <v>90</v>
      </c>
      <c r="J135" s="48" t="s">
        <v>31</v>
      </c>
      <c r="K135" s="48" t="s">
        <v>32</v>
      </c>
      <c r="M135" s="3">
        <v>100</v>
      </c>
      <c r="P135" s="55"/>
    </row>
    <row r="136" spans="1:18" ht="15.75" customHeight="1">
      <c r="A136" s="65">
        <v>4</v>
      </c>
      <c r="B136" s="58" t="s">
        <v>227</v>
      </c>
      <c r="C136" s="58" t="s">
        <v>39</v>
      </c>
      <c r="D136" s="58" t="s">
        <v>213</v>
      </c>
      <c r="E136" s="58" t="s">
        <v>36</v>
      </c>
      <c r="F136" s="58"/>
      <c r="G136" s="58" t="s">
        <v>30</v>
      </c>
      <c r="H136" s="59">
        <v>500</v>
      </c>
      <c r="I136" s="60" t="s">
        <v>90</v>
      </c>
      <c r="J136" s="58" t="s">
        <v>31</v>
      </c>
      <c r="K136" s="58" t="s">
        <v>32</v>
      </c>
      <c r="M136" s="3">
        <v>100</v>
      </c>
      <c r="P136" s="55"/>
    </row>
    <row r="137" spans="1:18" ht="15.75" customHeight="1">
      <c r="A137" s="61">
        <v>5</v>
      </c>
      <c r="B137" s="62" t="s">
        <v>228</v>
      </c>
      <c r="C137" s="62" t="s">
        <v>39</v>
      </c>
      <c r="D137" s="62" t="s">
        <v>56</v>
      </c>
      <c r="E137" s="62" t="s">
        <v>73</v>
      </c>
      <c r="F137" s="62"/>
      <c r="G137" s="62" t="s">
        <v>30</v>
      </c>
      <c r="H137" s="63">
        <v>2500</v>
      </c>
      <c r="I137" s="64">
        <v>500</v>
      </c>
      <c r="J137" s="62" t="s">
        <v>31</v>
      </c>
      <c r="K137" s="62" t="s">
        <v>32</v>
      </c>
      <c r="M137" s="3">
        <v>1000</v>
      </c>
      <c r="P137" s="55"/>
    </row>
    <row r="138" spans="1:18" ht="15.75" customHeight="1">
      <c r="A138" s="50">
        <v>5</v>
      </c>
      <c r="B138" s="48" t="s">
        <v>229</v>
      </c>
      <c r="C138" s="48" t="s">
        <v>27</v>
      </c>
      <c r="D138" s="48" t="s">
        <v>230</v>
      </c>
      <c r="E138" s="48" t="s">
        <v>86</v>
      </c>
      <c r="F138" s="48"/>
      <c r="G138" s="48" t="s">
        <v>30</v>
      </c>
      <c r="H138" s="51">
        <v>1500</v>
      </c>
      <c r="I138" s="49">
        <v>300</v>
      </c>
      <c r="J138" s="48" t="s">
        <v>31</v>
      </c>
      <c r="K138" s="48" t="s">
        <v>32</v>
      </c>
      <c r="M138" s="3">
        <v>300</v>
      </c>
      <c r="P138" s="55"/>
    </row>
    <row r="139" spans="1:18" ht="15.75" customHeight="1">
      <c r="A139" s="50">
        <v>5</v>
      </c>
      <c r="B139" s="48" t="s">
        <v>231</v>
      </c>
      <c r="C139" s="48" t="s">
        <v>27</v>
      </c>
      <c r="D139" s="48" t="s">
        <v>232</v>
      </c>
      <c r="E139" s="48" t="s">
        <v>68</v>
      </c>
      <c r="F139" s="48"/>
      <c r="G139" s="48" t="s">
        <v>30</v>
      </c>
      <c r="H139" s="51">
        <v>5000</v>
      </c>
      <c r="I139" s="49">
        <v>1000</v>
      </c>
      <c r="J139" s="48" t="s">
        <v>31</v>
      </c>
      <c r="K139" s="48" t="s">
        <v>32</v>
      </c>
      <c r="M139" s="3">
        <v>1200</v>
      </c>
      <c r="P139" s="55"/>
      <c r="R139" s="55"/>
    </row>
    <row r="140" spans="1:18" ht="15.75" customHeight="1">
      <c r="A140" s="50">
        <v>5</v>
      </c>
      <c r="B140" s="48" t="s">
        <v>233</v>
      </c>
      <c r="C140" s="48" t="s">
        <v>27</v>
      </c>
      <c r="D140" s="48" t="s">
        <v>234</v>
      </c>
      <c r="E140" s="48" t="s">
        <v>73</v>
      </c>
      <c r="F140" s="48"/>
      <c r="G140" s="48" t="s">
        <v>30</v>
      </c>
      <c r="H140" s="51">
        <v>1500</v>
      </c>
      <c r="I140" s="49">
        <v>300</v>
      </c>
      <c r="J140" s="48" t="s">
        <v>31</v>
      </c>
      <c r="K140" s="48" t="s">
        <v>32</v>
      </c>
      <c r="M140" s="3">
        <v>800</v>
      </c>
      <c r="P140" s="55"/>
    </row>
    <row r="141" spans="1:18" ht="15.75" customHeight="1">
      <c r="A141" s="50">
        <v>5</v>
      </c>
      <c r="B141" s="48" t="s">
        <v>235</v>
      </c>
      <c r="C141" s="48" t="s">
        <v>27</v>
      </c>
      <c r="D141" s="48" t="s">
        <v>180</v>
      </c>
      <c r="E141" s="48" t="s">
        <v>36</v>
      </c>
      <c r="F141" s="48"/>
      <c r="G141" s="48" t="s">
        <v>30</v>
      </c>
      <c r="H141" s="51">
        <v>300</v>
      </c>
      <c r="I141" s="49">
        <v>60</v>
      </c>
      <c r="J141" s="48" t="s">
        <v>31</v>
      </c>
      <c r="K141" s="48" t="s">
        <v>32</v>
      </c>
      <c r="M141" s="3">
        <v>100</v>
      </c>
      <c r="P141" s="55"/>
    </row>
    <row r="142" spans="1:18" ht="15.75" customHeight="1">
      <c r="A142" s="50">
        <v>5</v>
      </c>
      <c r="B142" s="48" t="s">
        <v>236</v>
      </c>
      <c r="C142" s="48" t="s">
        <v>27</v>
      </c>
      <c r="D142" s="48" t="s">
        <v>100</v>
      </c>
      <c r="E142" s="48" t="s">
        <v>237</v>
      </c>
      <c r="F142" s="48"/>
      <c r="G142" s="48" t="s">
        <v>30</v>
      </c>
      <c r="H142" s="51">
        <v>300</v>
      </c>
      <c r="I142" s="49">
        <v>60</v>
      </c>
      <c r="J142" s="48" t="s">
        <v>31</v>
      </c>
      <c r="K142" s="48" t="s">
        <v>32</v>
      </c>
      <c r="M142" s="3">
        <v>100</v>
      </c>
      <c r="P142" s="55"/>
    </row>
    <row r="143" spans="1:18" ht="15.75" customHeight="1">
      <c r="A143" s="50">
        <v>5</v>
      </c>
      <c r="B143" s="48" t="s">
        <v>238</v>
      </c>
      <c r="C143" s="48" t="s">
        <v>27</v>
      </c>
      <c r="D143" s="48" t="s">
        <v>239</v>
      </c>
      <c r="E143" s="48" t="s">
        <v>44</v>
      </c>
      <c r="F143" s="48"/>
      <c r="G143" s="48" t="s">
        <v>30</v>
      </c>
      <c r="H143" s="51">
        <v>100</v>
      </c>
      <c r="I143" s="49">
        <v>20</v>
      </c>
      <c r="J143" s="48" t="s">
        <v>31</v>
      </c>
      <c r="K143" s="48" t="s">
        <v>32</v>
      </c>
      <c r="M143" s="3"/>
      <c r="P143" s="55"/>
    </row>
    <row r="144" spans="1:18" ht="15.75" customHeight="1">
      <c r="A144" s="50">
        <v>5</v>
      </c>
      <c r="B144" s="48" t="s">
        <v>240</v>
      </c>
      <c r="C144" s="48" t="s">
        <v>27</v>
      </c>
      <c r="D144" s="48" t="s">
        <v>56</v>
      </c>
      <c r="E144" s="48" t="s">
        <v>51</v>
      </c>
      <c r="F144" s="48"/>
      <c r="G144" s="48" t="s">
        <v>30</v>
      </c>
      <c r="H144" s="51">
        <v>1000</v>
      </c>
      <c r="I144" s="49">
        <v>200</v>
      </c>
      <c r="J144" s="48" t="s">
        <v>31</v>
      </c>
      <c r="K144" s="48" t="s">
        <v>32</v>
      </c>
      <c r="M144" s="3">
        <v>300</v>
      </c>
      <c r="P144" s="55"/>
    </row>
    <row r="145" spans="1:18" ht="15.75" customHeight="1">
      <c r="A145" s="50">
        <v>5</v>
      </c>
      <c r="B145" s="48" t="s">
        <v>241</v>
      </c>
      <c r="C145" s="48" t="s">
        <v>27</v>
      </c>
      <c r="D145" s="48" t="s">
        <v>242</v>
      </c>
      <c r="E145" s="48" t="s">
        <v>237</v>
      </c>
      <c r="F145" s="48"/>
      <c r="G145" s="48" t="s">
        <v>30</v>
      </c>
      <c r="H145" s="51">
        <v>500</v>
      </c>
      <c r="I145" s="49">
        <v>100</v>
      </c>
      <c r="J145" s="48" t="s">
        <v>31</v>
      </c>
      <c r="K145" s="48" t="s">
        <v>32</v>
      </c>
      <c r="M145" s="3">
        <v>100</v>
      </c>
      <c r="P145" s="55"/>
    </row>
    <row r="146" spans="1:18" ht="15.75" customHeight="1">
      <c r="A146" s="50">
        <v>5</v>
      </c>
      <c r="B146" s="48" t="s">
        <v>243</v>
      </c>
      <c r="C146" s="48" t="s">
        <v>27</v>
      </c>
      <c r="D146" s="48" t="s">
        <v>244</v>
      </c>
      <c r="E146" s="48" t="s">
        <v>245</v>
      </c>
      <c r="F146" s="48"/>
      <c r="G146" s="48" t="s">
        <v>30</v>
      </c>
      <c r="H146" s="51">
        <v>2500</v>
      </c>
      <c r="I146" s="49">
        <v>500</v>
      </c>
      <c r="J146" s="48" t="s">
        <v>31</v>
      </c>
      <c r="K146" s="48" t="s">
        <v>32</v>
      </c>
      <c r="M146" s="3">
        <v>800</v>
      </c>
      <c r="P146" s="55"/>
    </row>
    <row r="147" spans="1:18" ht="15.75" customHeight="1">
      <c r="A147" s="50">
        <v>5</v>
      </c>
      <c r="B147" s="48" t="s">
        <v>246</v>
      </c>
      <c r="C147" s="48" t="s">
        <v>39</v>
      </c>
      <c r="D147" s="48" t="s">
        <v>213</v>
      </c>
      <c r="E147" s="48" t="s">
        <v>36</v>
      </c>
      <c r="F147" s="48"/>
      <c r="G147" s="48" t="s">
        <v>30</v>
      </c>
      <c r="H147" s="51">
        <v>500</v>
      </c>
      <c r="I147" s="49" t="s">
        <v>90</v>
      </c>
      <c r="J147" s="48" t="s">
        <v>31</v>
      </c>
      <c r="K147" s="48" t="s">
        <v>32</v>
      </c>
      <c r="M147" s="727">
        <v>300</v>
      </c>
      <c r="P147" s="55"/>
      <c r="R147" s="55"/>
    </row>
    <row r="148" spans="1:18" ht="15.75" customHeight="1">
      <c r="A148" s="50">
        <v>5</v>
      </c>
      <c r="B148" s="48" t="s">
        <v>247</v>
      </c>
      <c r="C148" s="48" t="s">
        <v>39</v>
      </c>
      <c r="D148" s="48" t="s">
        <v>213</v>
      </c>
      <c r="E148" s="48" t="s">
        <v>36</v>
      </c>
      <c r="F148" s="48"/>
      <c r="G148" s="48" t="s">
        <v>30</v>
      </c>
      <c r="H148" s="51">
        <v>500</v>
      </c>
      <c r="I148" s="49" t="s">
        <v>90</v>
      </c>
      <c r="J148" s="48" t="s">
        <v>31</v>
      </c>
      <c r="K148" s="48" t="s">
        <v>32</v>
      </c>
      <c r="M148" s="711"/>
      <c r="P148" s="55"/>
    </row>
    <row r="149" spans="1:18" ht="15.75" customHeight="1">
      <c r="A149" s="65">
        <v>5</v>
      </c>
      <c r="B149" s="58" t="s">
        <v>248</v>
      </c>
      <c r="C149" s="58" t="s">
        <v>27</v>
      </c>
      <c r="D149" s="58" t="s">
        <v>130</v>
      </c>
      <c r="E149" s="58" t="s">
        <v>51</v>
      </c>
      <c r="F149" s="58"/>
      <c r="G149" s="58" t="s">
        <v>30</v>
      </c>
      <c r="H149" s="59">
        <v>500</v>
      </c>
      <c r="I149" s="60" t="s">
        <v>90</v>
      </c>
      <c r="J149" s="58" t="s">
        <v>31</v>
      </c>
      <c r="K149" s="58" t="s">
        <v>32</v>
      </c>
      <c r="M149" s="711"/>
      <c r="P149" s="55"/>
    </row>
    <row r="150" spans="1:18" ht="15.75" customHeight="1">
      <c r="A150" s="61">
        <v>7</v>
      </c>
      <c r="B150" s="62" t="s">
        <v>249</v>
      </c>
      <c r="C150" s="62" t="s">
        <v>27</v>
      </c>
      <c r="D150" s="62" t="s">
        <v>128</v>
      </c>
      <c r="E150" s="62" t="s">
        <v>44</v>
      </c>
      <c r="F150" s="62"/>
      <c r="G150" s="62" t="s">
        <v>30</v>
      </c>
      <c r="H150" s="63">
        <v>200</v>
      </c>
      <c r="I150" s="64">
        <v>60</v>
      </c>
      <c r="J150" s="62" t="s">
        <v>31</v>
      </c>
      <c r="K150" s="62" t="s">
        <v>32</v>
      </c>
      <c r="M150" s="3">
        <v>40</v>
      </c>
      <c r="P150" s="55"/>
    </row>
    <row r="151" spans="1:18" ht="15.75" customHeight="1">
      <c r="A151" s="61">
        <v>7</v>
      </c>
      <c r="B151" s="48" t="s">
        <v>250</v>
      </c>
      <c r="C151" s="48" t="s">
        <v>27</v>
      </c>
      <c r="D151" s="48" t="s">
        <v>251</v>
      </c>
      <c r="E151" s="48" t="s">
        <v>102</v>
      </c>
      <c r="F151" s="48"/>
      <c r="G151" s="48" t="s">
        <v>30</v>
      </c>
      <c r="H151" s="51">
        <v>100</v>
      </c>
      <c r="I151" s="49">
        <v>30</v>
      </c>
      <c r="J151" s="62" t="s">
        <v>31</v>
      </c>
      <c r="K151" s="62" t="s">
        <v>32</v>
      </c>
      <c r="M151" s="3">
        <v>20</v>
      </c>
      <c r="P151" s="55"/>
    </row>
    <row r="152" spans="1:18" ht="15.75" customHeight="1">
      <c r="A152" s="61">
        <v>7</v>
      </c>
      <c r="B152" s="48" t="s">
        <v>252</v>
      </c>
      <c r="C152" s="48" t="s">
        <v>27</v>
      </c>
      <c r="D152" s="48" t="s">
        <v>253</v>
      </c>
      <c r="E152" s="48" t="s">
        <v>54</v>
      </c>
      <c r="F152" s="48"/>
      <c r="G152" s="48" t="s">
        <v>30</v>
      </c>
      <c r="H152" s="51">
        <v>400</v>
      </c>
      <c r="I152" s="49">
        <v>160</v>
      </c>
      <c r="J152" s="62" t="s">
        <v>31</v>
      </c>
      <c r="K152" s="62" t="s">
        <v>32</v>
      </c>
      <c r="M152" s="3">
        <v>80</v>
      </c>
      <c r="P152" s="55"/>
    </row>
    <row r="153" spans="1:18" ht="15.75" customHeight="1">
      <c r="A153" s="61">
        <v>7</v>
      </c>
      <c r="B153" s="48" t="s">
        <v>254</v>
      </c>
      <c r="C153" s="48" t="s">
        <v>27</v>
      </c>
      <c r="D153" s="48" t="s">
        <v>114</v>
      </c>
      <c r="E153" s="48" t="s">
        <v>44</v>
      </c>
      <c r="F153" s="48"/>
      <c r="G153" s="48" t="s">
        <v>30</v>
      </c>
      <c r="H153" s="51">
        <v>1000</v>
      </c>
      <c r="I153" s="49">
        <v>400</v>
      </c>
      <c r="J153" s="62" t="s">
        <v>31</v>
      </c>
      <c r="K153" s="62" t="s">
        <v>32</v>
      </c>
      <c r="M153" s="3">
        <v>200</v>
      </c>
      <c r="P153" s="55"/>
    </row>
    <row r="154" spans="1:18" ht="15.75" customHeight="1">
      <c r="A154" s="61">
        <v>7</v>
      </c>
      <c r="B154" s="48" t="s">
        <v>255</v>
      </c>
      <c r="C154" s="48" t="s">
        <v>39</v>
      </c>
      <c r="D154" s="48" t="s">
        <v>256</v>
      </c>
      <c r="E154" s="48" t="s">
        <v>245</v>
      </c>
      <c r="F154" s="48"/>
      <c r="G154" s="48" t="s">
        <v>30</v>
      </c>
      <c r="H154" s="51">
        <v>500</v>
      </c>
      <c r="I154" s="49">
        <v>200</v>
      </c>
      <c r="J154" s="62" t="s">
        <v>31</v>
      </c>
      <c r="K154" s="62" t="s">
        <v>32</v>
      </c>
      <c r="M154" s="3">
        <v>200</v>
      </c>
      <c r="P154" s="55"/>
    </row>
    <row r="155" spans="1:18" ht="15.75" customHeight="1">
      <c r="A155" s="61">
        <v>7</v>
      </c>
      <c r="B155" s="48" t="s">
        <v>257</v>
      </c>
      <c r="C155" s="48" t="s">
        <v>27</v>
      </c>
      <c r="D155" s="48" t="s">
        <v>130</v>
      </c>
      <c r="E155" s="48" t="s">
        <v>51</v>
      </c>
      <c r="F155" s="48"/>
      <c r="G155" s="48" t="s">
        <v>30</v>
      </c>
      <c r="H155" s="51">
        <v>1500</v>
      </c>
      <c r="I155" s="49">
        <v>300</v>
      </c>
      <c r="J155" s="62" t="s">
        <v>31</v>
      </c>
      <c r="K155" s="62" t="s">
        <v>32</v>
      </c>
      <c r="M155" s="3">
        <v>400</v>
      </c>
      <c r="P155" s="55"/>
    </row>
    <row r="156" spans="1:18" ht="15.75" customHeight="1">
      <c r="A156" s="61">
        <v>7</v>
      </c>
      <c r="B156" s="48" t="s">
        <v>258</v>
      </c>
      <c r="C156" s="48" t="s">
        <v>27</v>
      </c>
      <c r="D156" s="48" t="s">
        <v>88</v>
      </c>
      <c r="E156" s="48" t="s">
        <v>84</v>
      </c>
      <c r="F156" s="48"/>
      <c r="G156" s="48" t="s">
        <v>30</v>
      </c>
      <c r="H156" s="51">
        <v>500</v>
      </c>
      <c r="I156" s="49">
        <v>100</v>
      </c>
      <c r="J156" s="62" t="s">
        <v>31</v>
      </c>
      <c r="K156" s="62" t="s">
        <v>32</v>
      </c>
      <c r="M156" s="3">
        <v>300</v>
      </c>
      <c r="P156" s="55"/>
    </row>
    <row r="157" spans="1:18" ht="15.75" customHeight="1">
      <c r="A157" s="61">
        <v>7</v>
      </c>
      <c r="B157" s="48" t="s">
        <v>259</v>
      </c>
      <c r="C157" s="48" t="s">
        <v>27</v>
      </c>
      <c r="D157" s="48" t="s">
        <v>153</v>
      </c>
      <c r="E157" s="48" t="s">
        <v>89</v>
      </c>
      <c r="F157" s="48"/>
      <c r="G157" s="48" t="s">
        <v>30</v>
      </c>
      <c r="H157" s="51">
        <v>5000</v>
      </c>
      <c r="I157" s="49">
        <v>1000</v>
      </c>
      <c r="J157" s="62" t="s">
        <v>31</v>
      </c>
      <c r="K157" s="62" t="s">
        <v>32</v>
      </c>
      <c r="M157" s="3">
        <v>600</v>
      </c>
      <c r="P157" s="55"/>
    </row>
    <row r="158" spans="1:18" ht="15.75" customHeight="1">
      <c r="A158" s="61">
        <v>7</v>
      </c>
      <c r="B158" s="48" t="s">
        <v>260</v>
      </c>
      <c r="C158" s="48" t="s">
        <v>27</v>
      </c>
      <c r="D158" s="48" t="s">
        <v>100</v>
      </c>
      <c r="E158" s="48" t="s">
        <v>29</v>
      </c>
      <c r="F158" s="48"/>
      <c r="G158" s="48" t="s">
        <v>30</v>
      </c>
      <c r="H158" s="51">
        <v>30000</v>
      </c>
      <c r="I158" s="49">
        <v>6000</v>
      </c>
      <c r="J158" s="62" t="s">
        <v>31</v>
      </c>
      <c r="K158" s="62" t="s">
        <v>32</v>
      </c>
      <c r="M158" s="3">
        <v>10000</v>
      </c>
      <c r="P158" s="55"/>
    </row>
    <row r="159" spans="1:18" ht="15.75" customHeight="1">
      <c r="A159" s="61">
        <v>7</v>
      </c>
      <c r="B159" s="48" t="s">
        <v>261</v>
      </c>
      <c r="C159" s="48" t="s">
        <v>27</v>
      </c>
      <c r="D159" s="48" t="s">
        <v>262</v>
      </c>
      <c r="E159" s="48" t="s">
        <v>68</v>
      </c>
      <c r="F159" s="48"/>
      <c r="G159" s="48" t="s">
        <v>30</v>
      </c>
      <c r="H159" s="51">
        <v>12000</v>
      </c>
      <c r="I159" s="49">
        <v>2400</v>
      </c>
      <c r="J159" s="62" t="s">
        <v>31</v>
      </c>
      <c r="K159" s="62" t="s">
        <v>32</v>
      </c>
      <c r="M159" s="3">
        <v>2000</v>
      </c>
      <c r="P159" s="55"/>
    </row>
    <row r="160" spans="1:18" ht="15.75" customHeight="1">
      <c r="A160" s="61">
        <v>7</v>
      </c>
      <c r="B160" s="48" t="s">
        <v>263</v>
      </c>
      <c r="C160" s="48" t="s">
        <v>27</v>
      </c>
      <c r="D160" s="48" t="s">
        <v>264</v>
      </c>
      <c r="E160" s="48" t="s">
        <v>245</v>
      </c>
      <c r="F160" s="48"/>
      <c r="G160" s="48" t="s">
        <v>30</v>
      </c>
      <c r="H160" s="51">
        <v>1500</v>
      </c>
      <c r="I160" s="49">
        <v>300</v>
      </c>
      <c r="J160" s="62" t="s">
        <v>31</v>
      </c>
      <c r="K160" s="62" t="s">
        <v>32</v>
      </c>
      <c r="M160" s="3">
        <v>300</v>
      </c>
      <c r="P160" s="55"/>
    </row>
    <row r="161" spans="1:18" ht="15.75" customHeight="1">
      <c r="A161" s="61">
        <v>7</v>
      </c>
      <c r="B161" s="48" t="s">
        <v>263</v>
      </c>
      <c r="C161" s="48" t="s">
        <v>27</v>
      </c>
      <c r="D161" s="48" t="s">
        <v>264</v>
      </c>
      <c r="E161" s="48" t="s">
        <v>245</v>
      </c>
      <c r="F161" s="48"/>
      <c r="G161" s="48" t="s">
        <v>115</v>
      </c>
      <c r="H161" s="51">
        <v>200</v>
      </c>
      <c r="I161" s="49">
        <v>200</v>
      </c>
      <c r="J161" s="62" t="s">
        <v>31</v>
      </c>
      <c r="K161" s="62" t="s">
        <v>32</v>
      </c>
      <c r="M161" s="3"/>
      <c r="P161" s="55"/>
    </row>
    <row r="162" spans="1:18" ht="15.75" customHeight="1">
      <c r="A162" s="61">
        <v>7</v>
      </c>
      <c r="B162" s="48" t="s">
        <v>265</v>
      </c>
      <c r="C162" s="48" t="s">
        <v>27</v>
      </c>
      <c r="D162" s="48" t="s">
        <v>266</v>
      </c>
      <c r="E162" s="48" t="s">
        <v>68</v>
      </c>
      <c r="F162" s="48"/>
      <c r="G162" s="48" t="s">
        <v>30</v>
      </c>
      <c r="H162" s="51">
        <v>1000</v>
      </c>
      <c r="I162" s="49">
        <v>200</v>
      </c>
      <c r="J162" s="62" t="s">
        <v>31</v>
      </c>
      <c r="K162" s="62" t="s">
        <v>32</v>
      </c>
      <c r="M162" s="3">
        <v>300</v>
      </c>
      <c r="P162" s="55"/>
    </row>
    <row r="163" spans="1:18" ht="15.75" customHeight="1">
      <c r="A163" s="61">
        <v>7</v>
      </c>
      <c r="B163" s="48" t="s">
        <v>265</v>
      </c>
      <c r="C163" s="48" t="s">
        <v>27</v>
      </c>
      <c r="D163" s="48" t="s">
        <v>266</v>
      </c>
      <c r="E163" s="48" t="s">
        <v>68</v>
      </c>
      <c r="F163" s="48"/>
      <c r="G163" s="48" t="s">
        <v>61</v>
      </c>
      <c r="H163" s="51">
        <v>5</v>
      </c>
      <c r="I163" s="49">
        <v>50</v>
      </c>
      <c r="J163" s="62" t="s">
        <v>31</v>
      </c>
      <c r="K163" s="62" t="s">
        <v>32</v>
      </c>
      <c r="M163" s="3"/>
      <c r="P163" s="55"/>
    </row>
    <row r="164" spans="1:18" ht="15.75" customHeight="1">
      <c r="A164" s="61">
        <v>7</v>
      </c>
      <c r="B164" s="48" t="s">
        <v>267</v>
      </c>
      <c r="C164" s="48" t="s">
        <v>27</v>
      </c>
      <c r="D164" s="48" t="s">
        <v>104</v>
      </c>
      <c r="E164" s="48" t="s">
        <v>36</v>
      </c>
      <c r="F164" s="48"/>
      <c r="G164" s="48" t="s">
        <v>30</v>
      </c>
      <c r="H164" s="51">
        <v>1500</v>
      </c>
      <c r="I164" s="49">
        <v>300</v>
      </c>
      <c r="J164" s="62" t="s">
        <v>31</v>
      </c>
      <c r="K164" s="62" t="s">
        <v>32</v>
      </c>
      <c r="M164" s="3">
        <v>300</v>
      </c>
      <c r="P164" s="55"/>
    </row>
    <row r="165" spans="1:18" ht="15.75" customHeight="1">
      <c r="A165" s="61">
        <v>7</v>
      </c>
      <c r="B165" s="48" t="s">
        <v>268</v>
      </c>
      <c r="C165" s="48" t="s">
        <v>27</v>
      </c>
      <c r="D165" s="48" t="s">
        <v>110</v>
      </c>
      <c r="E165" s="48" t="s">
        <v>36</v>
      </c>
      <c r="F165" s="48"/>
      <c r="G165" s="48" t="s">
        <v>30</v>
      </c>
      <c r="H165" s="51">
        <v>4000</v>
      </c>
      <c r="I165" s="49">
        <v>800</v>
      </c>
      <c r="J165" s="62" t="s">
        <v>31</v>
      </c>
      <c r="K165" s="62" t="s">
        <v>32</v>
      </c>
      <c r="M165" s="3">
        <v>1200</v>
      </c>
      <c r="P165" s="55"/>
    </row>
    <row r="166" spans="1:18" ht="15.75" customHeight="1">
      <c r="A166" s="61">
        <v>7</v>
      </c>
      <c r="B166" s="48" t="s">
        <v>269</v>
      </c>
      <c r="C166" s="48" t="s">
        <v>27</v>
      </c>
      <c r="D166" s="48" t="s">
        <v>110</v>
      </c>
      <c r="E166" s="48" t="s">
        <v>36</v>
      </c>
      <c r="F166" s="48"/>
      <c r="G166" s="48" t="s">
        <v>30</v>
      </c>
      <c r="H166" s="51">
        <v>500</v>
      </c>
      <c r="I166" s="49" t="s">
        <v>90</v>
      </c>
      <c r="J166" s="62" t="s">
        <v>31</v>
      </c>
      <c r="K166" s="62" t="s">
        <v>32</v>
      </c>
      <c r="M166" s="3">
        <v>600</v>
      </c>
      <c r="P166" s="55"/>
    </row>
    <row r="167" spans="1:18" ht="15.75" customHeight="1">
      <c r="A167" s="61">
        <v>7</v>
      </c>
      <c r="B167" s="48" t="s">
        <v>269</v>
      </c>
      <c r="C167" s="48" t="s">
        <v>27</v>
      </c>
      <c r="D167" s="48" t="s">
        <v>110</v>
      </c>
      <c r="E167" s="48" t="s">
        <v>36</v>
      </c>
      <c r="F167" s="48"/>
      <c r="G167" s="48" t="s">
        <v>30</v>
      </c>
      <c r="H167" s="51">
        <v>1500</v>
      </c>
      <c r="I167" s="49">
        <v>300</v>
      </c>
      <c r="J167" s="62" t="s">
        <v>31</v>
      </c>
      <c r="K167" s="62" t="s">
        <v>32</v>
      </c>
      <c r="M167" s="3"/>
      <c r="P167" s="55"/>
    </row>
    <row r="168" spans="1:18" ht="15.75" customHeight="1">
      <c r="A168" s="61">
        <v>7</v>
      </c>
      <c r="B168" s="48" t="s">
        <v>270</v>
      </c>
      <c r="C168" s="48" t="s">
        <v>27</v>
      </c>
      <c r="D168" s="48" t="s">
        <v>98</v>
      </c>
      <c r="E168" s="48" t="s">
        <v>36</v>
      </c>
      <c r="F168" s="48"/>
      <c r="G168" s="48" t="s">
        <v>30</v>
      </c>
      <c r="H168" s="51">
        <v>2000</v>
      </c>
      <c r="I168" s="49">
        <v>400</v>
      </c>
      <c r="J168" s="62" t="s">
        <v>31</v>
      </c>
      <c r="K168" s="62" t="s">
        <v>32</v>
      </c>
      <c r="M168" s="3">
        <v>300</v>
      </c>
      <c r="P168" s="55"/>
    </row>
    <row r="169" spans="1:18" ht="15.75" customHeight="1">
      <c r="A169" s="61">
        <v>7</v>
      </c>
      <c r="B169" s="48" t="s">
        <v>270</v>
      </c>
      <c r="C169" s="48" t="s">
        <v>27</v>
      </c>
      <c r="D169" s="48" t="s">
        <v>98</v>
      </c>
      <c r="E169" s="48" t="s">
        <v>36</v>
      </c>
      <c r="F169" s="48"/>
      <c r="G169" s="48" t="s">
        <v>115</v>
      </c>
      <c r="H169" s="51">
        <v>100</v>
      </c>
      <c r="I169" s="49">
        <v>100</v>
      </c>
      <c r="J169" s="62" t="s">
        <v>31</v>
      </c>
      <c r="K169" s="62" t="s">
        <v>32</v>
      </c>
      <c r="M169" s="3"/>
      <c r="P169" s="55"/>
    </row>
    <row r="170" spans="1:18" ht="15.75" customHeight="1">
      <c r="A170" s="50">
        <v>7</v>
      </c>
      <c r="B170" s="48" t="s">
        <v>271</v>
      </c>
      <c r="C170" s="48" t="s">
        <v>27</v>
      </c>
      <c r="D170" s="48" t="s">
        <v>128</v>
      </c>
      <c r="E170" s="48" t="s">
        <v>44</v>
      </c>
      <c r="F170" s="48"/>
      <c r="G170" s="48" t="s">
        <v>30</v>
      </c>
      <c r="H170" s="51">
        <v>500</v>
      </c>
      <c r="I170" s="49">
        <v>100</v>
      </c>
      <c r="J170" s="48" t="s">
        <v>31</v>
      </c>
      <c r="K170" s="48" t="s">
        <v>32</v>
      </c>
      <c r="M170" s="3">
        <v>100</v>
      </c>
      <c r="P170" s="55"/>
    </row>
    <row r="171" spans="1:18" ht="15.75" customHeight="1">
      <c r="A171" s="65">
        <v>7</v>
      </c>
      <c r="B171" s="58" t="s">
        <v>272</v>
      </c>
      <c r="C171" s="58" t="s">
        <v>27</v>
      </c>
      <c r="D171" s="58" t="s">
        <v>114</v>
      </c>
      <c r="E171" s="58" t="s">
        <v>273</v>
      </c>
      <c r="F171" s="58"/>
      <c r="G171" s="58" t="s">
        <v>30</v>
      </c>
      <c r="H171" s="59">
        <v>5000</v>
      </c>
      <c r="I171" s="60">
        <v>1000</v>
      </c>
      <c r="J171" s="58" t="s">
        <v>31</v>
      </c>
      <c r="K171" s="58" t="s">
        <v>32</v>
      </c>
      <c r="M171" s="3">
        <f>H171/5</f>
        <v>1000</v>
      </c>
      <c r="P171" s="55"/>
    </row>
    <row r="172" spans="1:18" ht="15.75" customHeight="1">
      <c r="A172" s="61">
        <v>8</v>
      </c>
      <c r="B172" s="62" t="s">
        <v>274</v>
      </c>
      <c r="C172" s="62" t="s">
        <v>27</v>
      </c>
      <c r="D172" s="62" t="s">
        <v>275</v>
      </c>
      <c r="E172" s="62" t="s">
        <v>51</v>
      </c>
      <c r="F172" s="62"/>
      <c r="G172" s="62" t="s">
        <v>30</v>
      </c>
      <c r="H172" s="63">
        <v>500</v>
      </c>
      <c r="I172" s="64" t="s">
        <v>90</v>
      </c>
      <c r="J172" s="62" t="s">
        <v>31</v>
      </c>
      <c r="K172" s="62" t="s">
        <v>32</v>
      </c>
      <c r="M172" s="3">
        <v>2500</v>
      </c>
      <c r="O172" s="722" t="s">
        <v>276</v>
      </c>
      <c r="P172" s="719"/>
      <c r="Q172" s="2"/>
    </row>
    <row r="173" spans="1:18" ht="15.75" customHeight="1">
      <c r="A173" s="61">
        <v>8</v>
      </c>
      <c r="B173" s="62" t="s">
        <v>274</v>
      </c>
      <c r="C173" s="62" t="s">
        <v>27</v>
      </c>
      <c r="D173" s="62" t="s">
        <v>275</v>
      </c>
      <c r="E173" s="62" t="s">
        <v>51</v>
      </c>
      <c r="F173" s="48"/>
      <c r="G173" s="48" t="s">
        <v>30</v>
      </c>
      <c r="H173" s="51">
        <v>1000</v>
      </c>
      <c r="I173" s="49">
        <v>200</v>
      </c>
      <c r="J173" s="62" t="s">
        <v>31</v>
      </c>
      <c r="K173" s="62" t="s">
        <v>32</v>
      </c>
      <c r="M173" s="3"/>
      <c r="O173" s="48"/>
      <c r="P173" s="51"/>
    </row>
    <row r="174" spans="1:18" ht="15.75" customHeight="1">
      <c r="A174" s="61">
        <v>8</v>
      </c>
      <c r="B174" s="48" t="s">
        <v>277</v>
      </c>
      <c r="C174" s="48" t="s">
        <v>27</v>
      </c>
      <c r="D174" s="48" t="s">
        <v>278</v>
      </c>
      <c r="E174" s="48" t="s">
        <v>245</v>
      </c>
      <c r="F174" s="48"/>
      <c r="G174" s="48" t="s">
        <v>30</v>
      </c>
      <c r="H174" s="51">
        <v>250</v>
      </c>
      <c r="I174" s="49">
        <v>100</v>
      </c>
      <c r="J174" s="62" t="s">
        <v>31</v>
      </c>
      <c r="K174" s="62" t="s">
        <v>32</v>
      </c>
      <c r="M174" s="3">
        <v>200</v>
      </c>
      <c r="O174" s="723" t="s">
        <v>25</v>
      </c>
      <c r="P174" s="719"/>
    </row>
    <row r="175" spans="1:18" ht="15.75" customHeight="1">
      <c r="A175" s="61">
        <v>8</v>
      </c>
      <c r="B175" s="48" t="s">
        <v>279</v>
      </c>
      <c r="C175" s="48" t="s">
        <v>27</v>
      </c>
      <c r="D175" s="48"/>
      <c r="E175" s="48" t="s">
        <v>44</v>
      </c>
      <c r="F175" s="48"/>
      <c r="G175" s="48" t="s">
        <v>30</v>
      </c>
      <c r="H175" s="51">
        <v>1000</v>
      </c>
      <c r="I175" s="49">
        <v>200</v>
      </c>
      <c r="J175" s="62" t="s">
        <v>31</v>
      </c>
      <c r="K175" s="62" t="s">
        <v>32</v>
      </c>
      <c r="M175" s="3">
        <f>H175/5</f>
        <v>200</v>
      </c>
      <c r="O175" s="48" t="s">
        <v>33</v>
      </c>
      <c r="P175" s="51">
        <f>SUM(H173:H176,H178:H181,H183:H192,H194:H197,H199:H200,H203:H209,H212,H214:H219,H221:H222,H224:H226,H229:H230)</f>
        <v>162300</v>
      </c>
      <c r="R175" s="55">
        <f>SUM(H172:H176,H178:H181,H183:H200,H203:H208,H209,H212:H219,H221:H226,H229:H231)</f>
        <v>165300</v>
      </c>
    </row>
    <row r="176" spans="1:18" ht="15.75" customHeight="1">
      <c r="A176" s="61">
        <v>8</v>
      </c>
      <c r="B176" s="48" t="s">
        <v>280</v>
      </c>
      <c r="C176" s="48" t="s">
        <v>27</v>
      </c>
      <c r="D176" s="48" t="s">
        <v>281</v>
      </c>
      <c r="E176" s="48" t="s">
        <v>44</v>
      </c>
      <c r="F176" s="48"/>
      <c r="G176" s="48" t="s">
        <v>30</v>
      </c>
      <c r="H176" s="51">
        <v>100</v>
      </c>
      <c r="I176" s="49">
        <v>40</v>
      </c>
      <c r="J176" s="62" t="s">
        <v>31</v>
      </c>
      <c r="K176" s="62" t="s">
        <v>32</v>
      </c>
      <c r="M176" s="3">
        <v>1500</v>
      </c>
      <c r="O176" s="48" t="s">
        <v>37</v>
      </c>
      <c r="P176" s="51">
        <f>SUM(H172,H193,H198,H213,H223,H231)</f>
        <v>3000</v>
      </c>
    </row>
    <row r="177" spans="1:18" ht="15.75" customHeight="1">
      <c r="A177" s="61">
        <v>8</v>
      </c>
      <c r="B177" s="48" t="s">
        <v>280</v>
      </c>
      <c r="C177" s="48" t="s">
        <v>27</v>
      </c>
      <c r="D177" s="48" t="s">
        <v>281</v>
      </c>
      <c r="E177" s="48" t="s">
        <v>44</v>
      </c>
      <c r="F177" s="48"/>
      <c r="G177" s="48" t="s">
        <v>115</v>
      </c>
      <c r="H177" s="51">
        <v>100</v>
      </c>
      <c r="I177" s="49">
        <v>100</v>
      </c>
      <c r="J177" s="62" t="s">
        <v>31</v>
      </c>
      <c r="K177" s="62" t="s">
        <v>32</v>
      </c>
      <c r="M177" s="3"/>
      <c r="O177" s="66" t="s">
        <v>282</v>
      </c>
      <c r="P177" s="67">
        <f>SUM(P175:P176)</f>
        <v>165300</v>
      </c>
    </row>
    <row r="178" spans="1:18" ht="15.75" customHeight="1">
      <c r="A178" s="61">
        <v>8</v>
      </c>
      <c r="B178" s="48" t="s">
        <v>283</v>
      </c>
      <c r="C178" s="48" t="s">
        <v>27</v>
      </c>
      <c r="D178" s="48" t="s">
        <v>98</v>
      </c>
      <c r="E178" s="48" t="s">
        <v>36</v>
      </c>
      <c r="F178" s="48"/>
      <c r="G178" s="48" t="s">
        <v>30</v>
      </c>
      <c r="H178" s="51">
        <v>500</v>
      </c>
      <c r="I178" s="49">
        <v>200</v>
      </c>
      <c r="J178" s="62" t="s">
        <v>31</v>
      </c>
      <c r="K178" s="62" t="s">
        <v>32</v>
      </c>
      <c r="M178" s="3">
        <v>200</v>
      </c>
      <c r="O178" s="48"/>
      <c r="P178" s="51"/>
    </row>
    <row r="179" spans="1:18" ht="15.75" customHeight="1">
      <c r="A179" s="61">
        <v>8</v>
      </c>
      <c r="B179" s="48" t="s">
        <v>284</v>
      </c>
      <c r="C179" s="48" t="s">
        <v>27</v>
      </c>
      <c r="D179" s="48" t="s">
        <v>285</v>
      </c>
      <c r="E179" s="48" t="s">
        <v>245</v>
      </c>
      <c r="F179" s="48"/>
      <c r="G179" s="48" t="s">
        <v>30</v>
      </c>
      <c r="H179" s="51">
        <v>500</v>
      </c>
      <c r="I179" s="49">
        <v>100</v>
      </c>
      <c r="J179" s="62" t="s">
        <v>31</v>
      </c>
      <c r="K179" s="62" t="s">
        <v>32</v>
      </c>
      <c r="M179" s="3">
        <v>100</v>
      </c>
      <c r="O179" s="723" t="s">
        <v>286</v>
      </c>
      <c r="P179" s="719"/>
    </row>
    <row r="180" spans="1:18" ht="15.75" customHeight="1">
      <c r="A180" s="61">
        <v>8</v>
      </c>
      <c r="B180" s="48" t="s">
        <v>287</v>
      </c>
      <c r="C180" s="48" t="s">
        <v>27</v>
      </c>
      <c r="D180" s="48" t="s">
        <v>43</v>
      </c>
      <c r="E180" s="48" t="s">
        <v>44</v>
      </c>
      <c r="F180" s="48"/>
      <c r="G180" s="48" t="s">
        <v>30</v>
      </c>
      <c r="H180" s="51">
        <v>4000</v>
      </c>
      <c r="I180" s="49">
        <v>1600</v>
      </c>
      <c r="J180" s="62" t="s">
        <v>31</v>
      </c>
      <c r="K180" s="62" t="s">
        <v>32</v>
      </c>
      <c r="M180" s="3">
        <v>1200</v>
      </c>
      <c r="O180" s="54" t="s">
        <v>48</v>
      </c>
      <c r="P180" s="51"/>
    </row>
    <row r="181" spans="1:18" ht="15.75" customHeight="1">
      <c r="A181" s="61">
        <v>8</v>
      </c>
      <c r="B181" s="48" t="s">
        <v>288</v>
      </c>
      <c r="C181" s="48" t="s">
        <v>27</v>
      </c>
      <c r="D181" s="48" t="s">
        <v>289</v>
      </c>
      <c r="E181" s="48" t="s">
        <v>36</v>
      </c>
      <c r="F181" s="48"/>
      <c r="G181" s="48" t="s">
        <v>30</v>
      </c>
      <c r="H181" s="51">
        <v>500</v>
      </c>
      <c r="I181" s="49">
        <v>200</v>
      </c>
      <c r="J181" s="62" t="s">
        <v>31</v>
      </c>
      <c r="K181" s="62" t="s">
        <v>32</v>
      </c>
      <c r="M181" s="3">
        <v>100</v>
      </c>
      <c r="O181" s="48" t="s">
        <v>33</v>
      </c>
      <c r="P181" s="51">
        <f>H182+H201+H202+H210+H227</f>
        <v>110</v>
      </c>
    </row>
    <row r="182" spans="1:18" ht="15.75" customHeight="1">
      <c r="A182" s="61">
        <v>8</v>
      </c>
      <c r="B182" s="48" t="s">
        <v>288</v>
      </c>
      <c r="C182" s="48" t="s">
        <v>27</v>
      </c>
      <c r="D182" s="48" t="s">
        <v>289</v>
      </c>
      <c r="E182" s="48" t="s">
        <v>36</v>
      </c>
      <c r="F182" s="48"/>
      <c r="G182" s="48" t="s">
        <v>61</v>
      </c>
      <c r="H182" s="51">
        <v>40</v>
      </c>
      <c r="I182" s="49">
        <v>400</v>
      </c>
      <c r="J182" s="62" t="s">
        <v>31</v>
      </c>
      <c r="K182" s="62" t="s">
        <v>32</v>
      </c>
      <c r="M182" s="3"/>
      <c r="O182" s="54" t="s">
        <v>290</v>
      </c>
      <c r="P182" s="51"/>
    </row>
    <row r="183" spans="1:18" ht="15.75" customHeight="1">
      <c r="A183" s="61">
        <v>8</v>
      </c>
      <c r="B183" s="48" t="s">
        <v>291</v>
      </c>
      <c r="C183" s="48" t="s">
        <v>27</v>
      </c>
      <c r="D183" s="48" t="s">
        <v>292</v>
      </c>
      <c r="E183" s="48" t="s">
        <v>47</v>
      </c>
      <c r="F183" s="48"/>
      <c r="G183" s="48" t="s">
        <v>30</v>
      </c>
      <c r="H183" s="51">
        <v>1500</v>
      </c>
      <c r="I183" s="49">
        <v>600</v>
      </c>
      <c r="J183" s="62" t="s">
        <v>31</v>
      </c>
      <c r="K183" s="62" t="s">
        <v>32</v>
      </c>
      <c r="M183" s="3">
        <v>600</v>
      </c>
      <c r="O183" s="48" t="s">
        <v>33</v>
      </c>
      <c r="P183" s="51">
        <v>20</v>
      </c>
      <c r="R183" s="55"/>
    </row>
    <row r="184" spans="1:18" ht="15.75" customHeight="1">
      <c r="A184" s="61">
        <v>8</v>
      </c>
      <c r="B184" s="48" t="s">
        <v>293</v>
      </c>
      <c r="C184" s="48" t="s">
        <v>27</v>
      </c>
      <c r="D184" s="48" t="s">
        <v>100</v>
      </c>
      <c r="E184" s="48" t="s">
        <v>68</v>
      </c>
      <c r="F184" s="48"/>
      <c r="G184" s="48" t="s">
        <v>30</v>
      </c>
      <c r="H184" s="51">
        <v>1500</v>
      </c>
      <c r="I184" s="49">
        <v>300</v>
      </c>
      <c r="J184" s="62" t="s">
        <v>31</v>
      </c>
      <c r="K184" s="62" t="s">
        <v>32</v>
      </c>
      <c r="M184" s="3">
        <v>300</v>
      </c>
      <c r="O184" s="66" t="s">
        <v>282</v>
      </c>
      <c r="P184" s="67">
        <f>SUM(P181:P183)</f>
        <v>130</v>
      </c>
    </row>
    <row r="185" spans="1:18" ht="15.75" customHeight="1">
      <c r="A185" s="61">
        <v>8</v>
      </c>
      <c r="B185" s="48" t="s">
        <v>294</v>
      </c>
      <c r="C185" s="48" t="s">
        <v>27</v>
      </c>
      <c r="D185" s="48" t="s">
        <v>295</v>
      </c>
      <c r="E185" s="48" t="s">
        <v>86</v>
      </c>
      <c r="F185" s="48"/>
      <c r="G185" s="48" t="s">
        <v>30</v>
      </c>
      <c r="H185" s="51">
        <v>1000</v>
      </c>
      <c r="I185" s="49">
        <v>200</v>
      </c>
      <c r="J185" s="62" t="s">
        <v>31</v>
      </c>
      <c r="K185" s="62" t="s">
        <v>32</v>
      </c>
      <c r="M185" s="3">
        <v>1000</v>
      </c>
      <c r="O185" s="723" t="s">
        <v>57</v>
      </c>
      <c r="P185" s="719"/>
    </row>
    <row r="186" spans="1:18" ht="15.75" customHeight="1">
      <c r="A186" s="61">
        <v>8</v>
      </c>
      <c r="B186" s="48" t="s">
        <v>296</v>
      </c>
      <c r="C186" s="48" t="s">
        <v>27</v>
      </c>
      <c r="D186" s="48" t="s">
        <v>297</v>
      </c>
      <c r="E186" s="48" t="s">
        <v>44</v>
      </c>
      <c r="F186" s="48"/>
      <c r="G186" s="48" t="s">
        <v>30</v>
      </c>
      <c r="H186" s="51">
        <v>1000</v>
      </c>
      <c r="I186" s="49">
        <v>200</v>
      </c>
      <c r="J186" s="62" t="s">
        <v>31</v>
      </c>
      <c r="K186" s="62" t="s">
        <v>32</v>
      </c>
      <c r="M186" s="3">
        <v>300</v>
      </c>
      <c r="O186" s="48" t="s">
        <v>33</v>
      </c>
      <c r="P186" s="67">
        <f>SUM(H177,H211,H220)</f>
        <v>160</v>
      </c>
    </row>
    <row r="187" spans="1:18" ht="15.75" customHeight="1">
      <c r="A187" s="61">
        <v>8</v>
      </c>
      <c r="B187" s="48" t="s">
        <v>298</v>
      </c>
      <c r="C187" s="48" t="s">
        <v>27</v>
      </c>
      <c r="D187" s="48" t="s">
        <v>299</v>
      </c>
      <c r="E187" s="48" t="s">
        <v>148</v>
      </c>
      <c r="F187" s="48"/>
      <c r="G187" s="48" t="s">
        <v>30</v>
      </c>
      <c r="H187" s="51">
        <v>1000</v>
      </c>
      <c r="I187" s="49">
        <v>200</v>
      </c>
      <c r="J187" s="62" t="s">
        <v>31</v>
      </c>
      <c r="K187" s="62" t="s">
        <v>32</v>
      </c>
      <c r="M187" s="3">
        <v>200</v>
      </c>
      <c r="P187" s="55"/>
    </row>
    <row r="188" spans="1:18" ht="15.75" customHeight="1">
      <c r="A188" s="61">
        <v>8</v>
      </c>
      <c r="B188" s="48" t="s">
        <v>300</v>
      </c>
      <c r="C188" s="48" t="s">
        <v>27</v>
      </c>
      <c r="D188" s="48" t="s">
        <v>301</v>
      </c>
      <c r="E188" s="48" t="s">
        <v>51</v>
      </c>
      <c r="F188" s="48"/>
      <c r="G188" s="48" t="s">
        <v>30</v>
      </c>
      <c r="H188" s="51">
        <v>1000</v>
      </c>
      <c r="I188" s="49">
        <v>200</v>
      </c>
      <c r="J188" s="62" t="s">
        <v>31</v>
      </c>
      <c r="K188" s="62" t="s">
        <v>32</v>
      </c>
      <c r="M188" s="3">
        <v>300</v>
      </c>
      <c r="P188" s="55"/>
    </row>
    <row r="189" spans="1:18" ht="15.75" customHeight="1">
      <c r="A189" s="61">
        <v>8</v>
      </c>
      <c r="B189" s="48" t="s">
        <v>302</v>
      </c>
      <c r="C189" s="48" t="s">
        <v>27</v>
      </c>
      <c r="D189" s="48" t="s">
        <v>65</v>
      </c>
      <c r="E189" s="48" t="s">
        <v>36</v>
      </c>
      <c r="F189" s="48"/>
      <c r="G189" s="48" t="s">
        <v>30</v>
      </c>
      <c r="H189" s="51">
        <v>1500</v>
      </c>
      <c r="I189" s="49">
        <v>300</v>
      </c>
      <c r="J189" s="62" t="s">
        <v>31</v>
      </c>
      <c r="K189" s="62" t="s">
        <v>32</v>
      </c>
      <c r="M189" s="3">
        <v>300</v>
      </c>
      <c r="P189" s="55"/>
    </row>
    <row r="190" spans="1:18" ht="15.75" customHeight="1">
      <c r="A190" s="61">
        <v>8</v>
      </c>
      <c r="B190" s="48" t="s">
        <v>303</v>
      </c>
      <c r="C190" s="48" t="s">
        <v>27</v>
      </c>
      <c r="D190" s="48" t="s">
        <v>53</v>
      </c>
      <c r="E190" s="48" t="s">
        <v>54</v>
      </c>
      <c r="F190" s="48"/>
      <c r="G190" s="48" t="s">
        <v>30</v>
      </c>
      <c r="H190" s="51">
        <v>500</v>
      </c>
      <c r="I190" s="49">
        <v>100</v>
      </c>
      <c r="J190" s="62" t="s">
        <v>31</v>
      </c>
      <c r="K190" s="62" t="s">
        <v>32</v>
      </c>
      <c r="M190" s="3">
        <v>100</v>
      </c>
      <c r="P190" s="55"/>
    </row>
    <row r="191" spans="1:18" ht="15.75" customHeight="1">
      <c r="A191" s="61">
        <v>8</v>
      </c>
      <c r="B191" s="48" t="s">
        <v>304</v>
      </c>
      <c r="C191" s="48" t="s">
        <v>39</v>
      </c>
      <c r="D191" s="48" t="s">
        <v>305</v>
      </c>
      <c r="E191" s="48" t="s">
        <v>86</v>
      </c>
      <c r="F191" s="48"/>
      <c r="G191" s="48" t="s">
        <v>30</v>
      </c>
      <c r="H191" s="51">
        <v>250</v>
      </c>
      <c r="I191" s="49">
        <v>50</v>
      </c>
      <c r="J191" s="62" t="s">
        <v>31</v>
      </c>
      <c r="K191" s="62" t="s">
        <v>32</v>
      </c>
      <c r="M191" s="3">
        <v>50</v>
      </c>
      <c r="P191" s="55"/>
    </row>
    <row r="192" spans="1:18" ht="15.75" customHeight="1">
      <c r="A192" s="61">
        <v>8</v>
      </c>
      <c r="B192" s="48" t="s">
        <v>306</v>
      </c>
      <c r="C192" s="48" t="s">
        <v>27</v>
      </c>
      <c r="D192" s="48" t="s">
        <v>305</v>
      </c>
      <c r="E192" s="48" t="s">
        <v>86</v>
      </c>
      <c r="F192" s="48"/>
      <c r="G192" s="48" t="s">
        <v>30</v>
      </c>
      <c r="H192" s="51">
        <v>1000</v>
      </c>
      <c r="I192" s="49">
        <v>200</v>
      </c>
      <c r="J192" s="62" t="s">
        <v>31</v>
      </c>
      <c r="K192" s="62" t="s">
        <v>32</v>
      </c>
      <c r="M192" s="3">
        <v>300</v>
      </c>
      <c r="P192" s="55"/>
    </row>
    <row r="193" spans="1:18" ht="15.75" customHeight="1">
      <c r="A193" s="61">
        <v>8</v>
      </c>
      <c r="B193" s="48" t="s">
        <v>307</v>
      </c>
      <c r="C193" s="48" t="s">
        <v>27</v>
      </c>
      <c r="D193" s="48" t="s">
        <v>104</v>
      </c>
      <c r="E193" s="48" t="s">
        <v>36</v>
      </c>
      <c r="F193" s="48"/>
      <c r="G193" s="48" t="s">
        <v>30</v>
      </c>
      <c r="H193" s="51">
        <v>500</v>
      </c>
      <c r="I193" s="49" t="s">
        <v>90</v>
      </c>
      <c r="J193" s="62" t="s">
        <v>31</v>
      </c>
      <c r="K193" s="62" t="s">
        <v>32</v>
      </c>
      <c r="M193" s="3">
        <v>600</v>
      </c>
      <c r="P193" s="55"/>
    </row>
    <row r="194" spans="1:18" ht="15.75" customHeight="1">
      <c r="A194" s="61">
        <v>8</v>
      </c>
      <c r="B194" s="48" t="s">
        <v>236</v>
      </c>
      <c r="C194" s="48" t="s">
        <v>27</v>
      </c>
      <c r="D194" s="48" t="s">
        <v>100</v>
      </c>
      <c r="E194" s="48" t="s">
        <v>237</v>
      </c>
      <c r="F194" s="48"/>
      <c r="G194" s="48" t="s">
        <v>30</v>
      </c>
      <c r="H194" s="51">
        <v>200</v>
      </c>
      <c r="I194" s="49">
        <v>40</v>
      </c>
      <c r="J194" s="62" t="s">
        <v>31</v>
      </c>
      <c r="K194" s="62" t="s">
        <v>32</v>
      </c>
      <c r="M194" s="3">
        <v>120</v>
      </c>
      <c r="P194" s="55"/>
    </row>
    <row r="195" spans="1:18" ht="15.75" customHeight="1">
      <c r="A195" s="61">
        <v>8</v>
      </c>
      <c r="B195" s="48" t="s">
        <v>308</v>
      </c>
      <c r="C195" s="48" t="s">
        <v>27</v>
      </c>
      <c r="D195" s="48" t="s">
        <v>309</v>
      </c>
      <c r="E195" s="48" t="s">
        <v>310</v>
      </c>
      <c r="F195" s="48"/>
      <c r="G195" s="48" t="s">
        <v>30</v>
      </c>
      <c r="H195" s="51">
        <v>500</v>
      </c>
      <c r="I195" s="49">
        <v>100</v>
      </c>
      <c r="J195" s="62" t="s">
        <v>31</v>
      </c>
      <c r="K195" s="62" t="s">
        <v>32</v>
      </c>
      <c r="M195" s="3"/>
      <c r="P195" s="55"/>
    </row>
    <row r="196" spans="1:18" ht="15.75" customHeight="1">
      <c r="A196" s="61">
        <v>8</v>
      </c>
      <c r="B196" s="48" t="s">
        <v>311</v>
      </c>
      <c r="C196" s="48" t="s">
        <v>27</v>
      </c>
      <c r="D196" s="48" t="s">
        <v>312</v>
      </c>
      <c r="E196" s="48" t="s">
        <v>73</v>
      </c>
      <c r="F196" s="48"/>
      <c r="G196" s="48" t="s">
        <v>30</v>
      </c>
      <c r="H196" s="51">
        <v>1000</v>
      </c>
      <c r="I196" s="49">
        <v>200</v>
      </c>
      <c r="J196" s="62" t="s">
        <v>31</v>
      </c>
      <c r="K196" s="62" t="s">
        <v>32</v>
      </c>
      <c r="M196" s="3"/>
      <c r="P196" s="55"/>
    </row>
    <row r="197" spans="1:18" ht="15.75" customHeight="1">
      <c r="A197" s="61">
        <v>8</v>
      </c>
      <c r="B197" s="48" t="s">
        <v>313</v>
      </c>
      <c r="C197" s="48" t="s">
        <v>27</v>
      </c>
      <c r="D197" s="48" t="s">
        <v>256</v>
      </c>
      <c r="E197" s="48" t="s">
        <v>245</v>
      </c>
      <c r="F197" s="48"/>
      <c r="G197" s="48" t="s">
        <v>30</v>
      </c>
      <c r="H197" s="51">
        <v>100</v>
      </c>
      <c r="I197" s="49">
        <v>20</v>
      </c>
      <c r="J197" s="62" t="s">
        <v>31</v>
      </c>
      <c r="K197" s="62" t="s">
        <v>32</v>
      </c>
      <c r="M197" s="3">
        <v>20</v>
      </c>
      <c r="P197" s="55"/>
    </row>
    <row r="198" spans="1:18" ht="15.75" customHeight="1">
      <c r="A198" s="61">
        <v>8</v>
      </c>
      <c r="B198" s="48" t="s">
        <v>314</v>
      </c>
      <c r="C198" s="48" t="s">
        <v>27</v>
      </c>
      <c r="D198" s="48" t="s">
        <v>130</v>
      </c>
      <c r="E198" s="48" t="s">
        <v>51</v>
      </c>
      <c r="F198" s="48"/>
      <c r="G198" s="48" t="s">
        <v>30</v>
      </c>
      <c r="H198" s="51">
        <v>500</v>
      </c>
      <c r="I198" s="49" t="s">
        <v>90</v>
      </c>
      <c r="J198" s="62" t="s">
        <v>31</v>
      </c>
      <c r="K198" s="62" t="s">
        <v>32</v>
      </c>
      <c r="M198" s="3">
        <v>1000</v>
      </c>
      <c r="P198" s="55"/>
      <c r="R198" s="55"/>
    </row>
    <row r="199" spans="1:18" ht="15.75" customHeight="1">
      <c r="A199" s="61">
        <v>8</v>
      </c>
      <c r="B199" s="48" t="s">
        <v>314</v>
      </c>
      <c r="C199" s="48" t="s">
        <v>27</v>
      </c>
      <c r="D199" s="48" t="s">
        <v>130</v>
      </c>
      <c r="E199" s="48" t="s">
        <v>51</v>
      </c>
      <c r="F199" s="48"/>
      <c r="G199" s="48" t="s">
        <v>30</v>
      </c>
      <c r="H199" s="51">
        <v>7000</v>
      </c>
      <c r="I199" s="49">
        <v>1400</v>
      </c>
      <c r="J199" s="62" t="s">
        <v>31</v>
      </c>
      <c r="K199" s="62" t="s">
        <v>32</v>
      </c>
      <c r="M199" s="3"/>
      <c r="P199" s="55"/>
    </row>
    <row r="200" spans="1:18" ht="15.75" customHeight="1">
      <c r="A200" s="61">
        <v>8</v>
      </c>
      <c r="B200" s="48" t="s">
        <v>315</v>
      </c>
      <c r="C200" s="48" t="s">
        <v>27</v>
      </c>
      <c r="D200" s="48" t="s">
        <v>65</v>
      </c>
      <c r="E200" s="48" t="s">
        <v>36</v>
      </c>
      <c r="F200" s="48"/>
      <c r="G200" s="48" t="s">
        <v>30</v>
      </c>
      <c r="H200" s="51">
        <v>1000</v>
      </c>
      <c r="I200" s="49">
        <v>200</v>
      </c>
      <c r="J200" s="62" t="s">
        <v>31</v>
      </c>
      <c r="K200" s="62" t="s">
        <v>32</v>
      </c>
      <c r="M200" s="3"/>
      <c r="P200" s="55"/>
    </row>
    <row r="201" spans="1:18" ht="15.75" customHeight="1">
      <c r="A201" s="61">
        <v>8</v>
      </c>
      <c r="B201" s="48" t="s">
        <v>315</v>
      </c>
      <c r="C201" s="48" t="s">
        <v>27</v>
      </c>
      <c r="D201" s="48" t="s">
        <v>65</v>
      </c>
      <c r="E201" s="48" t="s">
        <v>36</v>
      </c>
      <c r="F201" s="48"/>
      <c r="G201" s="48" t="s">
        <v>61</v>
      </c>
      <c r="H201" s="51">
        <v>20</v>
      </c>
      <c r="I201" s="49">
        <v>100</v>
      </c>
      <c r="J201" s="62" t="s">
        <v>31</v>
      </c>
      <c r="K201" s="62" t="s">
        <v>32</v>
      </c>
      <c r="M201" s="3"/>
      <c r="P201" s="55"/>
    </row>
    <row r="202" spans="1:18" ht="15.75" customHeight="1">
      <c r="A202" s="61">
        <v>8</v>
      </c>
      <c r="B202" s="48" t="s">
        <v>316</v>
      </c>
      <c r="C202" s="48" t="s">
        <v>27</v>
      </c>
      <c r="D202" s="48" t="s">
        <v>317</v>
      </c>
      <c r="E202" s="48" t="s">
        <v>86</v>
      </c>
      <c r="F202" s="48"/>
      <c r="G202" s="48" t="s">
        <v>61</v>
      </c>
      <c r="H202" s="51">
        <v>23</v>
      </c>
      <c r="I202" s="49">
        <v>115</v>
      </c>
      <c r="J202" s="62" t="s">
        <v>31</v>
      </c>
      <c r="K202" s="62" t="s">
        <v>32</v>
      </c>
      <c r="M202" s="3"/>
      <c r="P202" s="55"/>
    </row>
    <row r="203" spans="1:18" ht="15.75" customHeight="1">
      <c r="A203" s="61">
        <v>8</v>
      </c>
      <c r="B203" s="48" t="s">
        <v>318</v>
      </c>
      <c r="C203" s="48" t="s">
        <v>27</v>
      </c>
      <c r="D203" s="48" t="s">
        <v>319</v>
      </c>
      <c r="E203" s="48" t="s">
        <v>36</v>
      </c>
      <c r="F203" s="48"/>
      <c r="G203" s="48" t="s">
        <v>30</v>
      </c>
      <c r="H203" s="51">
        <v>900</v>
      </c>
      <c r="I203" s="49">
        <v>180</v>
      </c>
      <c r="J203" s="62" t="s">
        <v>31</v>
      </c>
      <c r="K203" s="62" t="s">
        <v>32</v>
      </c>
      <c r="M203" s="3">
        <v>150</v>
      </c>
      <c r="P203" s="55"/>
    </row>
    <row r="204" spans="1:18" ht="15.75" customHeight="1">
      <c r="A204" s="61">
        <v>8</v>
      </c>
      <c r="B204" s="48" t="s">
        <v>320</v>
      </c>
      <c r="C204" s="48" t="s">
        <v>27</v>
      </c>
      <c r="D204" s="48" t="s">
        <v>217</v>
      </c>
      <c r="E204" s="48" t="s">
        <v>209</v>
      </c>
      <c r="F204" s="48"/>
      <c r="G204" s="48" t="s">
        <v>30</v>
      </c>
      <c r="H204" s="51">
        <v>2500</v>
      </c>
      <c r="I204" s="49">
        <v>500</v>
      </c>
      <c r="J204" s="62" t="s">
        <v>31</v>
      </c>
      <c r="K204" s="62" t="s">
        <v>32</v>
      </c>
      <c r="M204" s="3">
        <v>1800</v>
      </c>
      <c r="P204" s="55"/>
    </row>
    <row r="205" spans="1:18" ht="15.75" customHeight="1">
      <c r="A205" s="61">
        <v>8</v>
      </c>
      <c r="B205" s="48" t="s">
        <v>321</v>
      </c>
      <c r="C205" s="48" t="s">
        <v>27</v>
      </c>
      <c r="D205" s="48" t="s">
        <v>322</v>
      </c>
      <c r="E205" s="48" t="s">
        <v>323</v>
      </c>
      <c r="F205" s="48"/>
      <c r="G205" s="48" t="s">
        <v>30</v>
      </c>
      <c r="H205" s="51">
        <v>3000</v>
      </c>
      <c r="I205" s="49">
        <v>600</v>
      </c>
      <c r="J205" s="62" t="s">
        <v>31</v>
      </c>
      <c r="K205" s="62" t="s">
        <v>32</v>
      </c>
      <c r="M205" s="3">
        <v>600</v>
      </c>
      <c r="P205" s="55"/>
    </row>
    <row r="206" spans="1:18" ht="15.75" customHeight="1">
      <c r="A206" s="61">
        <v>8</v>
      </c>
      <c r="B206" s="48" t="s">
        <v>324</v>
      </c>
      <c r="C206" s="48" t="s">
        <v>39</v>
      </c>
      <c r="D206" s="48" t="s">
        <v>100</v>
      </c>
      <c r="E206" s="48" t="s">
        <v>135</v>
      </c>
      <c r="F206" s="48"/>
      <c r="G206" s="48" t="s">
        <v>30</v>
      </c>
      <c r="H206" s="51">
        <v>1500</v>
      </c>
      <c r="I206" s="49">
        <v>300</v>
      </c>
      <c r="J206" s="62" t="s">
        <v>31</v>
      </c>
      <c r="K206" s="62" t="s">
        <v>32</v>
      </c>
      <c r="M206" s="3">
        <v>300</v>
      </c>
      <c r="P206" s="55"/>
    </row>
    <row r="207" spans="1:18" ht="15.75" customHeight="1">
      <c r="A207" s="61">
        <v>8</v>
      </c>
      <c r="B207" s="48" t="s">
        <v>325</v>
      </c>
      <c r="C207" s="48" t="s">
        <v>27</v>
      </c>
      <c r="D207" s="48" t="s">
        <v>326</v>
      </c>
      <c r="E207" s="48" t="s">
        <v>41</v>
      </c>
      <c r="F207" s="48"/>
      <c r="G207" s="48" t="s">
        <v>30</v>
      </c>
      <c r="H207" s="51">
        <v>40000</v>
      </c>
      <c r="I207" s="49">
        <v>8000</v>
      </c>
      <c r="J207" s="62" t="s">
        <v>31</v>
      </c>
      <c r="K207" s="62" t="s">
        <v>32</v>
      </c>
      <c r="M207" s="3">
        <v>5000</v>
      </c>
      <c r="P207" s="55"/>
    </row>
    <row r="208" spans="1:18" ht="15.75" customHeight="1">
      <c r="A208" s="61">
        <v>8</v>
      </c>
      <c r="B208" s="48" t="s">
        <v>327</v>
      </c>
      <c r="C208" s="48" t="s">
        <v>27</v>
      </c>
      <c r="D208" s="48" t="s">
        <v>100</v>
      </c>
      <c r="E208" s="48" t="s">
        <v>29</v>
      </c>
      <c r="F208" s="48"/>
      <c r="G208" s="48" t="s">
        <v>30</v>
      </c>
      <c r="H208" s="51">
        <v>15000</v>
      </c>
      <c r="I208" s="49">
        <v>3000</v>
      </c>
      <c r="J208" s="62" t="s">
        <v>31</v>
      </c>
      <c r="K208" s="62" t="s">
        <v>32</v>
      </c>
      <c r="M208" s="3">
        <v>10000</v>
      </c>
      <c r="P208" s="55"/>
    </row>
    <row r="209" spans="1:16" ht="15.75" customHeight="1">
      <c r="A209" s="61">
        <v>8</v>
      </c>
      <c r="B209" s="48" t="s">
        <v>328</v>
      </c>
      <c r="C209" s="48" t="s">
        <v>27</v>
      </c>
      <c r="D209" s="48" t="s">
        <v>100</v>
      </c>
      <c r="E209" s="48" t="s">
        <v>29</v>
      </c>
      <c r="F209" s="48"/>
      <c r="G209" s="48" t="s">
        <v>30</v>
      </c>
      <c r="H209" s="51">
        <v>30000</v>
      </c>
      <c r="I209" s="49">
        <v>6000</v>
      </c>
      <c r="J209" s="62" t="s">
        <v>31</v>
      </c>
      <c r="K209" s="62" t="s">
        <v>32</v>
      </c>
      <c r="M209" s="3"/>
      <c r="P209" s="55"/>
    </row>
    <row r="210" spans="1:16" ht="15.75" customHeight="1">
      <c r="A210" s="61">
        <v>8</v>
      </c>
      <c r="B210" s="48" t="s">
        <v>328</v>
      </c>
      <c r="C210" s="48" t="s">
        <v>27</v>
      </c>
      <c r="D210" s="48" t="s">
        <v>100</v>
      </c>
      <c r="E210" s="48" t="s">
        <v>29</v>
      </c>
      <c r="F210" s="48"/>
      <c r="G210" s="48" t="s">
        <v>61</v>
      </c>
      <c r="H210" s="51">
        <v>20</v>
      </c>
      <c r="I210" s="49">
        <v>200</v>
      </c>
      <c r="J210" s="62" t="s">
        <v>31</v>
      </c>
      <c r="K210" s="62" t="s">
        <v>32</v>
      </c>
      <c r="M210" s="3"/>
      <c r="P210" s="55"/>
    </row>
    <row r="211" spans="1:16" ht="15.75" customHeight="1">
      <c r="A211" s="65">
        <v>8</v>
      </c>
      <c r="B211" s="48" t="s">
        <v>328</v>
      </c>
      <c r="C211" s="48" t="s">
        <v>27</v>
      </c>
      <c r="D211" s="48" t="s">
        <v>100</v>
      </c>
      <c r="E211" s="48" t="s">
        <v>29</v>
      </c>
      <c r="F211" s="58"/>
      <c r="G211" s="58" t="s">
        <v>115</v>
      </c>
      <c r="H211" s="59">
        <v>10</v>
      </c>
      <c r="I211" s="60">
        <v>10</v>
      </c>
      <c r="J211" s="62" t="s">
        <v>31</v>
      </c>
      <c r="K211" s="62" t="s">
        <v>32</v>
      </c>
      <c r="M211" s="3"/>
      <c r="P211" s="55"/>
    </row>
    <row r="212" spans="1:16" ht="15.75" customHeight="1">
      <c r="A212" s="61">
        <v>9</v>
      </c>
      <c r="B212" s="62" t="s">
        <v>329</v>
      </c>
      <c r="C212" s="62" t="s">
        <v>27</v>
      </c>
      <c r="D212" s="62" t="s">
        <v>98</v>
      </c>
      <c r="E212" s="62" t="s">
        <v>36</v>
      </c>
      <c r="F212" s="62"/>
      <c r="G212" s="62" t="s">
        <v>30</v>
      </c>
      <c r="H212" s="63">
        <v>1000</v>
      </c>
      <c r="I212" s="64">
        <v>200</v>
      </c>
      <c r="J212" s="48" t="s">
        <v>31</v>
      </c>
      <c r="K212" s="62" t="s">
        <v>32</v>
      </c>
      <c r="M212" s="3">
        <v>20</v>
      </c>
      <c r="P212" s="55"/>
    </row>
    <row r="213" spans="1:16" ht="15.75" customHeight="1">
      <c r="A213" s="50">
        <v>9</v>
      </c>
      <c r="B213" s="48" t="s">
        <v>330</v>
      </c>
      <c r="C213" s="48" t="s">
        <v>39</v>
      </c>
      <c r="D213" s="48" t="s">
        <v>56</v>
      </c>
      <c r="E213" s="48" t="s">
        <v>51</v>
      </c>
      <c r="F213" s="48"/>
      <c r="G213" s="48" t="s">
        <v>30</v>
      </c>
      <c r="H213" s="51">
        <v>500</v>
      </c>
      <c r="I213" s="49" t="s">
        <v>90</v>
      </c>
      <c r="J213" s="48" t="s">
        <v>31</v>
      </c>
      <c r="K213" s="48" t="s">
        <v>32</v>
      </c>
      <c r="M213" s="3">
        <v>1500</v>
      </c>
      <c r="P213" s="55"/>
    </row>
    <row r="214" spans="1:16" ht="15.75" customHeight="1">
      <c r="A214" s="50">
        <v>9</v>
      </c>
      <c r="B214" s="48" t="s">
        <v>330</v>
      </c>
      <c r="C214" s="48" t="s">
        <v>39</v>
      </c>
      <c r="D214" s="48" t="s">
        <v>56</v>
      </c>
      <c r="E214" s="48" t="s">
        <v>51</v>
      </c>
      <c r="F214" s="48"/>
      <c r="G214" s="48" t="s">
        <v>30</v>
      </c>
      <c r="H214" s="51">
        <v>4000</v>
      </c>
      <c r="I214" s="49">
        <v>800</v>
      </c>
      <c r="J214" s="48" t="s">
        <v>31</v>
      </c>
      <c r="K214" s="48" t="s">
        <v>32</v>
      </c>
      <c r="M214" s="3"/>
      <c r="P214" s="55"/>
    </row>
    <row r="215" spans="1:16" ht="15.75" customHeight="1">
      <c r="A215" s="50">
        <v>9</v>
      </c>
      <c r="B215" s="48" t="s">
        <v>331</v>
      </c>
      <c r="C215" s="48" t="s">
        <v>39</v>
      </c>
      <c r="D215" s="48" t="s">
        <v>43</v>
      </c>
      <c r="E215" s="48" t="s">
        <v>44</v>
      </c>
      <c r="F215" s="48"/>
      <c r="G215" s="48" t="s">
        <v>30</v>
      </c>
      <c r="H215" s="51">
        <v>500</v>
      </c>
      <c r="I215" s="49">
        <v>100</v>
      </c>
      <c r="J215" s="48" t="s">
        <v>31</v>
      </c>
      <c r="K215" s="48" t="s">
        <v>32</v>
      </c>
      <c r="M215" s="3"/>
      <c r="P215" s="55"/>
    </row>
    <row r="216" spans="1:16" ht="15.75" customHeight="1">
      <c r="A216" s="50">
        <v>9</v>
      </c>
      <c r="B216" s="48" t="s">
        <v>332</v>
      </c>
      <c r="C216" s="48" t="s">
        <v>27</v>
      </c>
      <c r="D216" s="48" t="s">
        <v>333</v>
      </c>
      <c r="E216" s="48" t="s">
        <v>334</v>
      </c>
      <c r="F216" s="48"/>
      <c r="G216" s="48" t="s">
        <v>30</v>
      </c>
      <c r="H216" s="51">
        <v>4000</v>
      </c>
      <c r="I216" s="49">
        <v>800</v>
      </c>
      <c r="J216" s="48" t="s">
        <v>31</v>
      </c>
      <c r="K216" s="48" t="s">
        <v>32</v>
      </c>
      <c r="M216" s="3"/>
      <c r="P216" s="55"/>
    </row>
    <row r="217" spans="1:16" ht="15.75" customHeight="1">
      <c r="A217" s="65">
        <v>9</v>
      </c>
      <c r="B217" s="58" t="s">
        <v>335</v>
      </c>
      <c r="C217" s="58" t="s">
        <v>27</v>
      </c>
      <c r="D217" s="58" t="s">
        <v>336</v>
      </c>
      <c r="E217" s="58" t="s">
        <v>41</v>
      </c>
      <c r="F217" s="58"/>
      <c r="G217" s="58" t="s">
        <v>30</v>
      </c>
      <c r="H217" s="59">
        <v>8000</v>
      </c>
      <c r="I217" s="60">
        <v>1600</v>
      </c>
      <c r="J217" s="58" t="s">
        <v>31</v>
      </c>
      <c r="K217" s="58" t="s">
        <v>32</v>
      </c>
      <c r="M217" s="3">
        <v>600</v>
      </c>
      <c r="P217" s="55"/>
    </row>
    <row r="218" spans="1:16" ht="15.75" customHeight="1">
      <c r="A218" s="61">
        <v>10</v>
      </c>
      <c r="B218" s="62" t="s">
        <v>337</v>
      </c>
      <c r="C218" s="62" t="s">
        <v>27</v>
      </c>
      <c r="D218" s="62" t="s">
        <v>232</v>
      </c>
      <c r="E218" s="62" t="s">
        <v>169</v>
      </c>
      <c r="F218" s="62"/>
      <c r="G218" s="62" t="s">
        <v>30</v>
      </c>
      <c r="H218" s="63">
        <v>2000</v>
      </c>
      <c r="I218" s="64">
        <v>400</v>
      </c>
      <c r="J218" s="62" t="s">
        <v>31</v>
      </c>
      <c r="K218" s="62" t="s">
        <v>32</v>
      </c>
      <c r="M218" s="3">
        <v>400</v>
      </c>
      <c r="P218" s="55"/>
    </row>
    <row r="219" spans="1:16" ht="15.75" customHeight="1">
      <c r="A219" s="50">
        <v>10</v>
      </c>
      <c r="B219" s="48" t="s">
        <v>338</v>
      </c>
      <c r="C219" s="48" t="s">
        <v>27</v>
      </c>
      <c r="D219" s="48" t="s">
        <v>88</v>
      </c>
      <c r="E219" s="48" t="s">
        <v>79</v>
      </c>
      <c r="F219" s="48"/>
      <c r="G219" s="48" t="s">
        <v>30</v>
      </c>
      <c r="H219" s="51">
        <v>1500</v>
      </c>
      <c r="I219" s="49">
        <v>300</v>
      </c>
      <c r="J219" s="62" t="s">
        <v>31</v>
      </c>
      <c r="K219" s="62" t="s">
        <v>32</v>
      </c>
      <c r="M219" s="3">
        <v>300</v>
      </c>
      <c r="P219" s="55"/>
    </row>
    <row r="220" spans="1:16" ht="15.75" customHeight="1">
      <c r="A220" s="50">
        <v>10</v>
      </c>
      <c r="B220" s="48" t="s">
        <v>338</v>
      </c>
      <c r="C220" s="48" t="s">
        <v>27</v>
      </c>
      <c r="D220" s="48" t="s">
        <v>88</v>
      </c>
      <c r="E220" s="48" t="s">
        <v>79</v>
      </c>
      <c r="F220" s="48"/>
      <c r="G220" s="48" t="s">
        <v>115</v>
      </c>
      <c r="H220" s="51">
        <v>50</v>
      </c>
      <c r="I220" s="49">
        <v>50</v>
      </c>
      <c r="J220" s="62" t="s">
        <v>31</v>
      </c>
      <c r="K220" s="62" t="s">
        <v>32</v>
      </c>
      <c r="M220" s="3"/>
      <c r="P220" s="55"/>
    </row>
    <row r="221" spans="1:16" ht="15.75" customHeight="1">
      <c r="A221" s="50">
        <v>10</v>
      </c>
      <c r="B221" s="48" t="s">
        <v>339</v>
      </c>
      <c r="C221" s="48" t="s">
        <v>39</v>
      </c>
      <c r="D221" s="48" t="s">
        <v>98</v>
      </c>
      <c r="E221" s="48" t="s">
        <v>36</v>
      </c>
      <c r="F221" s="48"/>
      <c r="G221" s="48" t="s">
        <v>30</v>
      </c>
      <c r="H221" s="51">
        <v>2500</v>
      </c>
      <c r="I221" s="49">
        <v>500</v>
      </c>
      <c r="J221" s="62" t="s">
        <v>31</v>
      </c>
      <c r="K221" s="62" t="s">
        <v>32</v>
      </c>
      <c r="M221" s="3">
        <v>500</v>
      </c>
      <c r="P221" s="55"/>
    </row>
    <row r="222" spans="1:16" ht="15.75" customHeight="1">
      <c r="A222" s="50">
        <v>10</v>
      </c>
      <c r="B222" s="48" t="s">
        <v>340</v>
      </c>
      <c r="C222" s="48" t="s">
        <v>27</v>
      </c>
      <c r="D222" s="48" t="s">
        <v>232</v>
      </c>
      <c r="E222" s="48" t="s">
        <v>68</v>
      </c>
      <c r="F222" s="48"/>
      <c r="G222" s="48" t="s">
        <v>30</v>
      </c>
      <c r="H222" s="51">
        <v>5000</v>
      </c>
      <c r="I222" s="49">
        <v>1000</v>
      </c>
      <c r="J222" s="62" t="s">
        <v>31</v>
      </c>
      <c r="K222" s="62" t="s">
        <v>32</v>
      </c>
      <c r="M222" s="3">
        <v>900</v>
      </c>
      <c r="P222" s="55"/>
    </row>
    <row r="223" spans="1:16" ht="15.75" customHeight="1">
      <c r="A223" s="50">
        <v>10</v>
      </c>
      <c r="B223" s="48" t="s">
        <v>341</v>
      </c>
      <c r="C223" s="48" t="s">
        <v>27</v>
      </c>
      <c r="D223" s="48" t="s">
        <v>130</v>
      </c>
      <c r="E223" s="48" t="s">
        <v>51</v>
      </c>
      <c r="F223" s="48"/>
      <c r="G223" s="48" t="s">
        <v>30</v>
      </c>
      <c r="H223" s="51">
        <v>500</v>
      </c>
      <c r="I223" s="49" t="s">
        <v>90</v>
      </c>
      <c r="J223" s="62" t="s">
        <v>31</v>
      </c>
      <c r="K223" s="62" t="s">
        <v>32</v>
      </c>
      <c r="M223" s="3">
        <v>1800</v>
      </c>
      <c r="P223" s="55"/>
    </row>
    <row r="224" spans="1:16" ht="15.75" customHeight="1">
      <c r="A224" s="65">
        <v>10</v>
      </c>
      <c r="B224" s="48" t="s">
        <v>341</v>
      </c>
      <c r="C224" s="48" t="s">
        <v>27</v>
      </c>
      <c r="D224" s="48" t="s">
        <v>130</v>
      </c>
      <c r="E224" s="48" t="s">
        <v>51</v>
      </c>
      <c r="F224" s="58"/>
      <c r="G224" s="58" t="s">
        <v>30</v>
      </c>
      <c r="H224" s="59">
        <v>1500</v>
      </c>
      <c r="I224" s="60">
        <v>300</v>
      </c>
      <c r="J224" s="62" t="s">
        <v>31</v>
      </c>
      <c r="K224" s="62" t="s">
        <v>32</v>
      </c>
      <c r="M224" s="3"/>
      <c r="P224" s="55"/>
    </row>
    <row r="225" spans="1:16" ht="15.75" customHeight="1">
      <c r="A225" s="61">
        <v>11</v>
      </c>
      <c r="B225" s="62" t="s">
        <v>342</v>
      </c>
      <c r="C225" s="62" t="s">
        <v>27</v>
      </c>
      <c r="D225" s="62" t="s">
        <v>343</v>
      </c>
      <c r="E225" s="62" t="s">
        <v>84</v>
      </c>
      <c r="F225" s="62"/>
      <c r="G225" s="62" t="s">
        <v>30</v>
      </c>
      <c r="H225" s="63">
        <v>1500</v>
      </c>
      <c r="I225" s="64">
        <v>300</v>
      </c>
      <c r="J225" s="62" t="s">
        <v>31</v>
      </c>
      <c r="K225" s="62" t="s">
        <v>32</v>
      </c>
      <c r="M225" s="3">
        <v>150</v>
      </c>
      <c r="P225" s="55"/>
    </row>
    <row r="226" spans="1:16" ht="15.75" customHeight="1">
      <c r="A226" s="65">
        <v>11</v>
      </c>
      <c r="B226" s="58" t="s">
        <v>344</v>
      </c>
      <c r="C226" s="58" t="s">
        <v>27</v>
      </c>
      <c r="D226" s="58" t="s">
        <v>345</v>
      </c>
      <c r="E226" s="58" t="s">
        <v>36</v>
      </c>
      <c r="F226" s="58"/>
      <c r="G226" s="58" t="s">
        <v>30</v>
      </c>
      <c r="H226" s="59">
        <v>1000</v>
      </c>
      <c r="I226" s="60">
        <v>200</v>
      </c>
      <c r="J226" s="58" t="s">
        <v>31</v>
      </c>
      <c r="K226" s="58" t="s">
        <v>32</v>
      </c>
      <c r="M226" s="3">
        <v>200</v>
      </c>
      <c r="P226" s="55"/>
    </row>
    <row r="227" spans="1:16" ht="15.75" customHeight="1">
      <c r="A227" s="61">
        <v>12</v>
      </c>
      <c r="B227" s="62" t="s">
        <v>346</v>
      </c>
      <c r="C227" s="62" t="s">
        <v>27</v>
      </c>
      <c r="D227" s="62" t="s">
        <v>347</v>
      </c>
      <c r="E227" s="62" t="s">
        <v>245</v>
      </c>
      <c r="F227" s="62"/>
      <c r="G227" s="62" t="s">
        <v>61</v>
      </c>
      <c r="H227" s="63">
        <v>7</v>
      </c>
      <c r="I227" s="64">
        <v>70</v>
      </c>
      <c r="J227" s="48" t="s">
        <v>31</v>
      </c>
      <c r="K227" s="48" t="s">
        <v>32</v>
      </c>
      <c r="M227" s="3"/>
      <c r="P227" s="55"/>
    </row>
    <row r="228" spans="1:16" ht="15.75" customHeight="1">
      <c r="A228" s="50">
        <v>12</v>
      </c>
      <c r="B228" s="62" t="s">
        <v>346</v>
      </c>
      <c r="C228" s="62" t="s">
        <v>27</v>
      </c>
      <c r="D228" s="62" t="s">
        <v>347</v>
      </c>
      <c r="E228" s="62" t="s">
        <v>245</v>
      </c>
      <c r="F228" s="48"/>
      <c r="G228" s="48" t="s">
        <v>348</v>
      </c>
      <c r="H228" s="51">
        <v>20</v>
      </c>
      <c r="I228" s="49">
        <v>60</v>
      </c>
      <c r="J228" s="48" t="s">
        <v>31</v>
      </c>
      <c r="K228" s="48" t="s">
        <v>32</v>
      </c>
      <c r="M228" s="3"/>
      <c r="P228" s="55"/>
    </row>
    <row r="229" spans="1:16" ht="15.75" customHeight="1">
      <c r="A229" s="50">
        <v>12</v>
      </c>
      <c r="B229" s="48" t="s">
        <v>349</v>
      </c>
      <c r="C229" s="48" t="s">
        <v>27</v>
      </c>
      <c r="D229" s="48" t="s">
        <v>350</v>
      </c>
      <c r="E229" s="48" t="s">
        <v>29</v>
      </c>
      <c r="F229" s="48"/>
      <c r="G229" s="48" t="s">
        <v>30</v>
      </c>
      <c r="H229" s="51">
        <v>8000</v>
      </c>
      <c r="I229" s="49">
        <v>1600</v>
      </c>
      <c r="J229" s="48" t="s">
        <v>31</v>
      </c>
      <c r="K229" s="48" t="s">
        <v>32</v>
      </c>
      <c r="M229" s="3">
        <v>2000</v>
      </c>
      <c r="P229" s="55"/>
    </row>
    <row r="230" spans="1:16" ht="15.75" customHeight="1">
      <c r="A230" s="50">
        <v>12</v>
      </c>
      <c r="B230" s="48" t="s">
        <v>351</v>
      </c>
      <c r="C230" s="48" t="s">
        <v>27</v>
      </c>
      <c r="D230" s="48" t="s">
        <v>68</v>
      </c>
      <c r="E230" s="48" t="s">
        <v>79</v>
      </c>
      <c r="F230" s="48"/>
      <c r="G230" s="48" t="s">
        <v>30</v>
      </c>
      <c r="H230" s="51">
        <v>1000</v>
      </c>
      <c r="I230" s="49">
        <v>200</v>
      </c>
      <c r="J230" s="48" t="s">
        <v>31</v>
      </c>
      <c r="K230" s="48" t="s">
        <v>32</v>
      </c>
      <c r="M230" s="3"/>
      <c r="P230" s="55"/>
    </row>
    <row r="231" spans="1:16" ht="15.75" customHeight="1">
      <c r="A231" s="65">
        <v>12</v>
      </c>
      <c r="B231" s="58" t="s">
        <v>352</v>
      </c>
      <c r="C231" s="58" t="s">
        <v>27</v>
      </c>
      <c r="D231" s="58" t="s">
        <v>56</v>
      </c>
      <c r="E231" s="58" t="s">
        <v>51</v>
      </c>
      <c r="F231" s="58"/>
      <c r="G231" s="58" t="s">
        <v>30</v>
      </c>
      <c r="H231" s="59">
        <v>500</v>
      </c>
      <c r="I231" s="60" t="s">
        <v>90</v>
      </c>
      <c r="J231" s="58" t="s">
        <v>31</v>
      </c>
      <c r="K231" s="58" t="s">
        <v>32</v>
      </c>
      <c r="M231" s="3">
        <v>1800</v>
      </c>
      <c r="P231" s="55"/>
    </row>
    <row r="232" spans="1:16" ht="15.75" customHeight="1">
      <c r="A232" s="61">
        <v>16</v>
      </c>
      <c r="B232" s="62" t="s">
        <v>353</v>
      </c>
      <c r="C232" s="62" t="s">
        <v>27</v>
      </c>
      <c r="D232" s="62" t="s">
        <v>354</v>
      </c>
      <c r="E232" s="62" t="s">
        <v>54</v>
      </c>
      <c r="F232" s="62"/>
      <c r="G232" s="62" t="s">
        <v>30</v>
      </c>
      <c r="H232" s="63">
        <v>1000</v>
      </c>
      <c r="I232" s="64">
        <v>400</v>
      </c>
      <c r="J232" s="62" t="s">
        <v>31</v>
      </c>
      <c r="K232" s="62" t="s">
        <v>32</v>
      </c>
      <c r="M232" s="3">
        <v>120</v>
      </c>
      <c r="O232" s="728" t="s">
        <v>355</v>
      </c>
      <c r="P232" s="719"/>
    </row>
    <row r="233" spans="1:16" ht="15.75" customHeight="1">
      <c r="A233" s="50">
        <v>16</v>
      </c>
      <c r="B233" s="48" t="s">
        <v>356</v>
      </c>
      <c r="C233" s="48" t="s">
        <v>39</v>
      </c>
      <c r="D233" s="48" t="s">
        <v>357</v>
      </c>
      <c r="E233" s="48" t="s">
        <v>358</v>
      </c>
      <c r="F233" s="48"/>
      <c r="G233" s="48" t="s">
        <v>30</v>
      </c>
      <c r="H233" s="51">
        <v>7500</v>
      </c>
      <c r="I233" s="49">
        <v>2250</v>
      </c>
      <c r="J233" s="48" t="s">
        <v>31</v>
      </c>
      <c r="K233" s="48" t="s">
        <v>32</v>
      </c>
      <c r="M233" s="3">
        <f>H233/5</f>
        <v>1500</v>
      </c>
      <c r="O233" s="729"/>
      <c r="P233" s="719"/>
    </row>
    <row r="234" spans="1:16" ht="15.75" customHeight="1">
      <c r="A234" s="50">
        <v>16</v>
      </c>
      <c r="B234" s="48" t="s">
        <v>359</v>
      </c>
      <c r="C234" s="48" t="s">
        <v>27</v>
      </c>
      <c r="D234" s="48" t="s">
        <v>68</v>
      </c>
      <c r="E234" s="48" t="s">
        <v>79</v>
      </c>
      <c r="F234" s="48"/>
      <c r="G234" s="48" t="s">
        <v>30</v>
      </c>
      <c r="H234" s="51">
        <v>200</v>
      </c>
      <c r="I234" s="49">
        <v>60</v>
      </c>
      <c r="J234" s="48" t="s">
        <v>31</v>
      </c>
      <c r="K234" s="48" t="s">
        <v>32</v>
      </c>
      <c r="M234" s="3">
        <v>50</v>
      </c>
      <c r="O234" s="733" t="s">
        <v>25</v>
      </c>
      <c r="P234" s="719"/>
    </row>
    <row r="235" spans="1:16" ht="15.75" customHeight="1">
      <c r="A235" s="50">
        <v>16</v>
      </c>
      <c r="B235" s="48" t="s">
        <v>360</v>
      </c>
      <c r="C235" s="48" t="s">
        <v>39</v>
      </c>
      <c r="D235" s="48" t="s">
        <v>361</v>
      </c>
      <c r="E235" s="48" t="s">
        <v>79</v>
      </c>
      <c r="F235" s="48"/>
      <c r="G235" s="48" t="s">
        <v>30</v>
      </c>
      <c r="H235" s="51">
        <v>500</v>
      </c>
      <c r="I235" s="49">
        <v>100</v>
      </c>
      <c r="J235" s="48" t="s">
        <v>31</v>
      </c>
      <c r="K235" s="48" t="s">
        <v>32</v>
      </c>
      <c r="M235" s="3">
        <v>100</v>
      </c>
      <c r="O235" s="68" t="s">
        <v>33</v>
      </c>
      <c r="P235" s="69">
        <v>112800</v>
      </c>
    </row>
    <row r="236" spans="1:16" ht="15.75" customHeight="1">
      <c r="A236" s="50">
        <v>16</v>
      </c>
      <c r="B236" s="48" t="s">
        <v>362</v>
      </c>
      <c r="C236" s="48" t="s">
        <v>27</v>
      </c>
      <c r="D236" s="48" t="s">
        <v>363</v>
      </c>
      <c r="E236" s="48" t="s">
        <v>41</v>
      </c>
      <c r="F236" s="48"/>
      <c r="G236" s="48" t="s">
        <v>30</v>
      </c>
      <c r="H236" s="51">
        <v>8000</v>
      </c>
      <c r="I236" s="49">
        <v>1600</v>
      </c>
      <c r="J236" s="48" t="s">
        <v>31</v>
      </c>
      <c r="K236" s="48" t="s">
        <v>32</v>
      </c>
      <c r="M236" s="3">
        <f>H236/5</f>
        <v>1600</v>
      </c>
      <c r="O236" s="68" t="s">
        <v>37</v>
      </c>
      <c r="P236" s="69">
        <v>2500</v>
      </c>
    </row>
    <row r="237" spans="1:16" ht="15.75" customHeight="1">
      <c r="A237" s="50">
        <v>16</v>
      </c>
      <c r="B237" s="48" t="s">
        <v>364</v>
      </c>
      <c r="C237" s="48" t="s">
        <v>27</v>
      </c>
      <c r="D237" s="48" t="s">
        <v>365</v>
      </c>
      <c r="E237" s="48" t="s">
        <v>54</v>
      </c>
      <c r="F237" s="48"/>
      <c r="G237" s="48" t="s">
        <v>30</v>
      </c>
      <c r="H237" s="51">
        <v>800</v>
      </c>
      <c r="I237" s="49">
        <v>320</v>
      </c>
      <c r="J237" s="48" t="s">
        <v>31</v>
      </c>
      <c r="K237" s="48" t="s">
        <v>32</v>
      </c>
      <c r="M237" s="3">
        <f>800/5</f>
        <v>160</v>
      </c>
      <c r="O237" s="70" t="s">
        <v>282</v>
      </c>
      <c r="P237" s="71">
        <v>115300</v>
      </c>
    </row>
    <row r="238" spans="1:16" ht="15.75" customHeight="1">
      <c r="A238" s="50">
        <v>16</v>
      </c>
      <c r="B238" s="48" t="s">
        <v>364</v>
      </c>
      <c r="C238" s="48" t="s">
        <v>27</v>
      </c>
      <c r="D238" s="48" t="s">
        <v>365</v>
      </c>
      <c r="E238" s="48" t="s">
        <v>54</v>
      </c>
      <c r="F238" s="48"/>
      <c r="G238" s="48" t="s">
        <v>115</v>
      </c>
      <c r="H238" s="51">
        <v>1000</v>
      </c>
      <c r="I238" s="49">
        <v>1000</v>
      </c>
      <c r="J238" s="48" t="s">
        <v>31</v>
      </c>
      <c r="K238" s="48" t="s">
        <v>32</v>
      </c>
      <c r="M238" s="3"/>
      <c r="O238" s="733" t="s">
        <v>286</v>
      </c>
      <c r="P238" s="719"/>
    </row>
    <row r="239" spans="1:16" ht="15.75" customHeight="1">
      <c r="A239" s="50">
        <v>16</v>
      </c>
      <c r="B239" s="48" t="s">
        <v>366</v>
      </c>
      <c r="C239" s="48" t="s">
        <v>27</v>
      </c>
      <c r="D239" s="48"/>
      <c r="E239" s="48" t="s">
        <v>36</v>
      </c>
      <c r="F239" s="48"/>
      <c r="G239" s="48" t="s">
        <v>30</v>
      </c>
      <c r="H239" s="51">
        <v>2000</v>
      </c>
      <c r="I239" s="49">
        <v>600</v>
      </c>
      <c r="J239" s="48" t="s">
        <v>31</v>
      </c>
      <c r="K239" s="48" t="s">
        <v>32</v>
      </c>
      <c r="M239" s="3">
        <f>2000/5</f>
        <v>400</v>
      </c>
      <c r="O239" s="72" t="s">
        <v>48</v>
      </c>
      <c r="P239" s="69"/>
    </row>
    <row r="240" spans="1:16" ht="15.75" customHeight="1">
      <c r="A240" s="50">
        <v>16</v>
      </c>
      <c r="B240" s="48" t="s">
        <v>366</v>
      </c>
      <c r="C240" s="48" t="s">
        <v>27</v>
      </c>
      <c r="D240" s="48"/>
      <c r="E240" s="48" t="s">
        <v>36</v>
      </c>
      <c r="F240" s="48"/>
      <c r="G240" s="48" t="s">
        <v>115</v>
      </c>
      <c r="H240" s="51">
        <v>500</v>
      </c>
      <c r="I240" s="49">
        <v>500</v>
      </c>
      <c r="J240" s="48" t="s">
        <v>31</v>
      </c>
      <c r="K240" s="48" t="s">
        <v>32</v>
      </c>
      <c r="M240" s="3"/>
      <c r="O240" s="68" t="s">
        <v>33</v>
      </c>
      <c r="P240" s="69">
        <v>74</v>
      </c>
    </row>
    <row r="241" spans="1:16" ht="15.75" customHeight="1">
      <c r="A241" s="50">
        <v>16</v>
      </c>
      <c r="B241" s="48" t="s">
        <v>303</v>
      </c>
      <c r="C241" s="48" t="s">
        <v>27</v>
      </c>
      <c r="D241" s="48" t="s">
        <v>53</v>
      </c>
      <c r="E241" s="48" t="s">
        <v>54</v>
      </c>
      <c r="F241" s="48"/>
      <c r="G241" s="48" t="s">
        <v>30</v>
      </c>
      <c r="H241" s="51">
        <v>1200</v>
      </c>
      <c r="I241" s="49">
        <v>240</v>
      </c>
      <c r="J241" s="48" t="s">
        <v>31</v>
      </c>
      <c r="K241" s="48" t="s">
        <v>32</v>
      </c>
      <c r="M241" s="3">
        <v>120</v>
      </c>
      <c r="O241" s="72" t="s">
        <v>367</v>
      </c>
      <c r="P241" s="69"/>
    </row>
    <row r="242" spans="1:16" ht="15.75" customHeight="1">
      <c r="A242" s="50">
        <v>16</v>
      </c>
      <c r="B242" s="48" t="s">
        <v>368</v>
      </c>
      <c r="C242" s="48" t="s">
        <v>27</v>
      </c>
      <c r="D242" s="48" t="s">
        <v>369</v>
      </c>
      <c r="E242" s="48" t="s">
        <v>47</v>
      </c>
      <c r="F242" s="48"/>
      <c r="G242" s="48" t="s">
        <v>30</v>
      </c>
      <c r="H242" s="51">
        <v>1500</v>
      </c>
      <c r="I242" s="49">
        <v>600</v>
      </c>
      <c r="J242" s="48" t="s">
        <v>31</v>
      </c>
      <c r="K242" s="48" t="s">
        <v>32</v>
      </c>
      <c r="M242" s="3">
        <v>300</v>
      </c>
      <c r="O242" s="68" t="s">
        <v>33</v>
      </c>
      <c r="P242" s="69">
        <v>40</v>
      </c>
    </row>
    <row r="243" spans="1:16" ht="15.75" customHeight="1">
      <c r="A243" s="50">
        <v>16</v>
      </c>
      <c r="B243" s="48" t="s">
        <v>370</v>
      </c>
      <c r="C243" s="48" t="s">
        <v>27</v>
      </c>
      <c r="D243" s="48" t="s">
        <v>371</v>
      </c>
      <c r="E243" s="48" t="s">
        <v>245</v>
      </c>
      <c r="F243" s="48"/>
      <c r="G243" s="48" t="s">
        <v>30</v>
      </c>
      <c r="H243" s="51">
        <v>250</v>
      </c>
      <c r="I243" s="49">
        <v>100</v>
      </c>
      <c r="J243" s="48" t="s">
        <v>31</v>
      </c>
      <c r="K243" s="48" t="s">
        <v>32</v>
      </c>
      <c r="M243" s="3">
        <v>50</v>
      </c>
      <c r="O243" s="70" t="s">
        <v>282</v>
      </c>
      <c r="P243" s="71">
        <v>114</v>
      </c>
    </row>
    <row r="244" spans="1:16" ht="15.75" customHeight="1">
      <c r="A244" s="50">
        <v>16</v>
      </c>
      <c r="B244" s="48" t="s">
        <v>372</v>
      </c>
      <c r="C244" s="48" t="s">
        <v>27</v>
      </c>
      <c r="D244" s="48" t="s">
        <v>373</v>
      </c>
      <c r="E244" s="48" t="s">
        <v>36</v>
      </c>
      <c r="F244" s="48"/>
      <c r="G244" s="48" t="s">
        <v>30</v>
      </c>
      <c r="H244" s="51">
        <v>500</v>
      </c>
      <c r="I244" s="49" t="s">
        <v>90</v>
      </c>
      <c r="J244" s="48" t="s">
        <v>31</v>
      </c>
      <c r="K244" s="48" t="s">
        <v>32</v>
      </c>
      <c r="M244" s="3">
        <v>900</v>
      </c>
      <c r="O244" s="733" t="s">
        <v>57</v>
      </c>
      <c r="P244" s="719"/>
    </row>
    <row r="245" spans="1:16" ht="15.75" customHeight="1">
      <c r="A245" s="50">
        <v>16</v>
      </c>
      <c r="B245" s="48" t="s">
        <v>372</v>
      </c>
      <c r="C245" s="48" t="s">
        <v>27</v>
      </c>
      <c r="D245" s="48" t="s">
        <v>373</v>
      </c>
      <c r="E245" s="48" t="s">
        <v>36</v>
      </c>
      <c r="F245" s="48"/>
      <c r="G245" s="48" t="s">
        <v>30</v>
      </c>
      <c r="H245" s="51">
        <v>2500</v>
      </c>
      <c r="I245" s="49">
        <v>500</v>
      </c>
      <c r="J245" s="48" t="s">
        <v>31</v>
      </c>
      <c r="K245" s="48" t="s">
        <v>32</v>
      </c>
      <c r="M245" s="3"/>
      <c r="O245" s="68" t="s">
        <v>33</v>
      </c>
      <c r="P245" s="71">
        <v>1500</v>
      </c>
    </row>
    <row r="246" spans="1:16" ht="15.75" customHeight="1">
      <c r="A246" s="50">
        <v>16</v>
      </c>
      <c r="B246" s="48" t="s">
        <v>374</v>
      </c>
      <c r="C246" s="48" t="s">
        <v>27</v>
      </c>
      <c r="D246" s="48" t="s">
        <v>79</v>
      </c>
      <c r="E246" s="48" t="s">
        <v>73</v>
      </c>
      <c r="F246" s="48"/>
      <c r="G246" s="48" t="s">
        <v>30</v>
      </c>
      <c r="H246" s="51">
        <v>200</v>
      </c>
      <c r="I246" s="49">
        <v>80</v>
      </c>
      <c r="J246" s="48" t="s">
        <v>31</v>
      </c>
      <c r="K246" s="48" t="s">
        <v>32</v>
      </c>
      <c r="M246" s="3">
        <v>40</v>
      </c>
      <c r="P246" s="55"/>
    </row>
    <row r="247" spans="1:16" ht="15.75" customHeight="1">
      <c r="A247" s="50">
        <v>16</v>
      </c>
      <c r="B247" s="48" t="s">
        <v>374</v>
      </c>
      <c r="C247" s="48" t="s">
        <v>27</v>
      </c>
      <c r="D247" s="48" t="s">
        <v>79</v>
      </c>
      <c r="E247" s="48" t="s">
        <v>73</v>
      </c>
      <c r="F247" s="48"/>
      <c r="G247" s="48" t="s">
        <v>61</v>
      </c>
      <c r="H247" s="51">
        <v>6</v>
      </c>
      <c r="I247" s="49">
        <v>600</v>
      </c>
      <c r="J247" s="48" t="s">
        <v>31</v>
      </c>
      <c r="K247" s="48" t="s">
        <v>32</v>
      </c>
      <c r="M247" s="3"/>
      <c r="P247" s="55"/>
    </row>
    <row r="248" spans="1:16" ht="15.75" customHeight="1">
      <c r="A248" s="50">
        <v>16</v>
      </c>
      <c r="B248" s="48" t="s">
        <v>375</v>
      </c>
      <c r="C248" s="48" t="s">
        <v>27</v>
      </c>
      <c r="D248" s="48" t="s">
        <v>110</v>
      </c>
      <c r="E248" s="48" t="s">
        <v>36</v>
      </c>
      <c r="F248" s="48"/>
      <c r="G248" s="48" t="s">
        <v>30</v>
      </c>
      <c r="H248" s="51">
        <v>2000</v>
      </c>
      <c r="I248" s="49">
        <v>400</v>
      </c>
      <c r="J248" s="48" t="s">
        <v>31</v>
      </c>
      <c r="K248" s="48" t="s">
        <v>32</v>
      </c>
      <c r="M248" s="3">
        <v>600</v>
      </c>
      <c r="P248" s="55"/>
    </row>
    <row r="249" spans="1:16" ht="15.75" customHeight="1">
      <c r="A249" s="50">
        <v>16</v>
      </c>
      <c r="B249" s="48" t="s">
        <v>376</v>
      </c>
      <c r="C249" s="48" t="s">
        <v>27</v>
      </c>
      <c r="D249" s="48" t="s">
        <v>98</v>
      </c>
      <c r="E249" s="48" t="s">
        <v>36</v>
      </c>
      <c r="F249" s="48"/>
      <c r="G249" s="48" t="s">
        <v>30</v>
      </c>
      <c r="H249" s="51">
        <v>500</v>
      </c>
      <c r="I249" s="49" t="s">
        <v>90</v>
      </c>
      <c r="J249" s="48" t="s">
        <v>31</v>
      </c>
      <c r="K249" s="48" t="s">
        <v>32</v>
      </c>
      <c r="M249" s="3">
        <v>1600</v>
      </c>
      <c r="P249" s="55"/>
    </row>
    <row r="250" spans="1:16" ht="15.75" customHeight="1">
      <c r="A250" s="50">
        <v>16</v>
      </c>
      <c r="B250" s="48" t="s">
        <v>376</v>
      </c>
      <c r="C250" s="48" t="s">
        <v>27</v>
      </c>
      <c r="D250" s="48" t="s">
        <v>98</v>
      </c>
      <c r="E250" s="48" t="s">
        <v>36</v>
      </c>
      <c r="F250" s="48"/>
      <c r="G250" s="48" t="s">
        <v>30</v>
      </c>
      <c r="H250" s="51">
        <v>500</v>
      </c>
      <c r="I250" s="49">
        <v>100</v>
      </c>
      <c r="J250" s="48" t="s">
        <v>31</v>
      </c>
      <c r="K250" s="48" t="s">
        <v>32</v>
      </c>
      <c r="M250" s="3"/>
      <c r="P250" s="55"/>
    </row>
    <row r="251" spans="1:16" ht="15.75" customHeight="1">
      <c r="A251" s="50">
        <v>16</v>
      </c>
      <c r="B251" s="48" t="s">
        <v>377</v>
      </c>
      <c r="C251" s="48" t="s">
        <v>27</v>
      </c>
      <c r="D251" s="48" t="s">
        <v>128</v>
      </c>
      <c r="E251" s="48" t="s">
        <v>44</v>
      </c>
      <c r="F251" s="48"/>
      <c r="G251" s="48" t="s">
        <v>30</v>
      </c>
      <c r="H251" s="51">
        <v>200</v>
      </c>
      <c r="I251" s="49">
        <v>80</v>
      </c>
      <c r="J251" s="48" t="s">
        <v>31</v>
      </c>
      <c r="K251" s="48" t="s">
        <v>32</v>
      </c>
      <c r="M251" s="3">
        <v>20</v>
      </c>
      <c r="P251" s="55"/>
    </row>
    <row r="252" spans="1:16" ht="15.75" customHeight="1">
      <c r="A252" s="50">
        <v>16</v>
      </c>
      <c r="B252" s="58" t="s">
        <v>378</v>
      </c>
      <c r="C252" s="58" t="s">
        <v>27</v>
      </c>
      <c r="D252" s="58" t="s">
        <v>65</v>
      </c>
      <c r="E252" s="58" t="s">
        <v>36</v>
      </c>
      <c r="F252" s="58"/>
      <c r="G252" s="58" t="s">
        <v>30</v>
      </c>
      <c r="H252" s="59">
        <v>4000</v>
      </c>
      <c r="I252" s="60">
        <v>8000</v>
      </c>
      <c r="J252" s="58" t="s">
        <v>31</v>
      </c>
      <c r="K252" s="58" t="s">
        <v>32</v>
      </c>
      <c r="M252" s="3">
        <v>600</v>
      </c>
      <c r="P252" s="55"/>
    </row>
    <row r="253" spans="1:16" ht="15.75" customHeight="1">
      <c r="A253" s="61">
        <v>17</v>
      </c>
      <c r="B253" s="62" t="s">
        <v>379</v>
      </c>
      <c r="C253" s="62" t="s">
        <v>39</v>
      </c>
      <c r="D253" s="62" t="s">
        <v>53</v>
      </c>
      <c r="E253" s="62" t="s">
        <v>54</v>
      </c>
      <c r="F253" s="62"/>
      <c r="G253" s="62" t="s">
        <v>30</v>
      </c>
      <c r="H253" s="63">
        <v>3500</v>
      </c>
      <c r="I253" s="64">
        <v>700</v>
      </c>
      <c r="J253" s="62" t="s">
        <v>31</v>
      </c>
      <c r="K253" s="62" t="s">
        <v>32</v>
      </c>
      <c r="M253" s="3">
        <v>600</v>
      </c>
      <c r="P253" s="55"/>
    </row>
    <row r="254" spans="1:16" ht="15.75" customHeight="1">
      <c r="A254" s="61">
        <v>17</v>
      </c>
      <c r="B254" s="48" t="s">
        <v>380</v>
      </c>
      <c r="C254" s="48" t="s">
        <v>27</v>
      </c>
      <c r="D254" s="48" t="s">
        <v>381</v>
      </c>
      <c r="E254" s="48" t="s">
        <v>73</v>
      </c>
      <c r="F254" s="48"/>
      <c r="G254" s="48" t="s">
        <v>30</v>
      </c>
      <c r="H254" s="51">
        <v>1000</v>
      </c>
      <c r="I254" s="49">
        <v>200</v>
      </c>
      <c r="J254" s="48" t="s">
        <v>31</v>
      </c>
      <c r="K254" s="48" t="s">
        <v>32</v>
      </c>
      <c r="M254" s="3">
        <v>200</v>
      </c>
      <c r="P254" s="55"/>
    </row>
    <row r="255" spans="1:16" ht="15.75" customHeight="1">
      <c r="A255" s="61">
        <v>17</v>
      </c>
      <c r="B255" s="48" t="s">
        <v>382</v>
      </c>
      <c r="C255" s="48" t="s">
        <v>27</v>
      </c>
      <c r="D255" s="48" t="s">
        <v>191</v>
      </c>
      <c r="E255" s="48" t="s">
        <v>47</v>
      </c>
      <c r="F255" s="48"/>
      <c r="G255" s="48" t="s">
        <v>30</v>
      </c>
      <c r="H255" s="51">
        <v>4000</v>
      </c>
      <c r="I255" s="49">
        <v>800</v>
      </c>
      <c r="J255" s="48" t="s">
        <v>31</v>
      </c>
      <c r="K255" s="48" t="s">
        <v>32</v>
      </c>
      <c r="M255" s="3">
        <v>600</v>
      </c>
      <c r="P255" s="55"/>
    </row>
    <row r="256" spans="1:16" ht="15.75" customHeight="1">
      <c r="A256" s="61">
        <v>17</v>
      </c>
      <c r="B256" s="48" t="s">
        <v>383</v>
      </c>
      <c r="C256" s="48" t="s">
        <v>27</v>
      </c>
      <c r="D256" s="48" t="s">
        <v>384</v>
      </c>
      <c r="E256" s="48" t="s">
        <v>385</v>
      </c>
      <c r="F256" s="48"/>
      <c r="G256" s="48" t="s">
        <v>30</v>
      </c>
      <c r="H256" s="51">
        <v>6000</v>
      </c>
      <c r="I256" s="49">
        <v>1200</v>
      </c>
      <c r="J256" s="48" t="s">
        <v>31</v>
      </c>
      <c r="K256" s="48" t="s">
        <v>32</v>
      </c>
      <c r="M256" s="3">
        <v>1000</v>
      </c>
      <c r="P256" s="55"/>
    </row>
    <row r="257" spans="1:16" ht="15.75" customHeight="1">
      <c r="A257" s="61">
        <v>17</v>
      </c>
      <c r="B257" s="48" t="s">
        <v>386</v>
      </c>
      <c r="C257" s="48" t="s">
        <v>27</v>
      </c>
      <c r="D257" s="48" t="s">
        <v>387</v>
      </c>
      <c r="E257" s="48" t="s">
        <v>68</v>
      </c>
      <c r="F257" s="48"/>
      <c r="G257" s="48" t="s">
        <v>30</v>
      </c>
      <c r="H257" s="51">
        <v>10000</v>
      </c>
      <c r="I257" s="49">
        <v>2000</v>
      </c>
      <c r="J257" s="48" t="s">
        <v>31</v>
      </c>
      <c r="K257" s="48" t="s">
        <v>32</v>
      </c>
      <c r="M257" s="3">
        <v>1200</v>
      </c>
      <c r="P257" s="55"/>
    </row>
    <row r="258" spans="1:16" ht="15.75" customHeight="1">
      <c r="A258" s="61">
        <v>17</v>
      </c>
      <c r="B258" s="48" t="s">
        <v>388</v>
      </c>
      <c r="C258" s="48" t="s">
        <v>27</v>
      </c>
      <c r="D258" s="48" t="s">
        <v>389</v>
      </c>
      <c r="E258" s="48" t="s">
        <v>51</v>
      </c>
      <c r="F258" s="48"/>
      <c r="G258" s="48" t="s">
        <v>30</v>
      </c>
      <c r="H258" s="51">
        <v>500</v>
      </c>
      <c r="I258" s="49" t="s">
        <v>90</v>
      </c>
      <c r="J258" s="48" t="s">
        <v>31</v>
      </c>
      <c r="K258" s="48" t="s">
        <v>32</v>
      </c>
      <c r="M258" s="3">
        <v>900</v>
      </c>
      <c r="P258" s="55"/>
    </row>
    <row r="259" spans="1:16" ht="15.75" customHeight="1">
      <c r="A259" s="61">
        <v>17</v>
      </c>
      <c r="B259" s="48" t="s">
        <v>388</v>
      </c>
      <c r="C259" s="48" t="s">
        <v>27</v>
      </c>
      <c r="D259" s="48" t="s">
        <v>389</v>
      </c>
      <c r="E259" s="48" t="s">
        <v>51</v>
      </c>
      <c r="F259" s="48"/>
      <c r="G259" s="48" t="s">
        <v>30</v>
      </c>
      <c r="H259" s="51">
        <v>3500</v>
      </c>
      <c r="I259" s="49">
        <v>700</v>
      </c>
      <c r="J259" s="48" t="s">
        <v>31</v>
      </c>
      <c r="K259" s="48" t="s">
        <v>32</v>
      </c>
      <c r="M259" s="3"/>
      <c r="P259" s="55"/>
    </row>
    <row r="260" spans="1:16" ht="15.75" customHeight="1">
      <c r="A260" s="61">
        <v>17</v>
      </c>
      <c r="B260" s="48" t="s">
        <v>390</v>
      </c>
      <c r="C260" s="48" t="s">
        <v>27</v>
      </c>
      <c r="D260" s="48" t="s">
        <v>391</v>
      </c>
      <c r="E260" s="48" t="s">
        <v>73</v>
      </c>
      <c r="F260" s="48"/>
      <c r="G260" s="48" t="s">
        <v>30</v>
      </c>
      <c r="H260" s="51">
        <v>600</v>
      </c>
      <c r="I260" s="49">
        <v>240</v>
      </c>
      <c r="J260" s="48" t="s">
        <v>31</v>
      </c>
      <c r="K260" s="48" t="s">
        <v>32</v>
      </c>
      <c r="M260" s="3">
        <v>200</v>
      </c>
      <c r="P260" s="55"/>
    </row>
    <row r="261" spans="1:16" ht="15.75" customHeight="1">
      <c r="A261" s="61">
        <v>17</v>
      </c>
      <c r="B261" s="48" t="s">
        <v>392</v>
      </c>
      <c r="C261" s="48" t="s">
        <v>27</v>
      </c>
      <c r="D261" s="48" t="s">
        <v>393</v>
      </c>
      <c r="E261" s="48" t="s">
        <v>245</v>
      </c>
      <c r="F261" s="48"/>
      <c r="G261" s="48" t="s">
        <v>30</v>
      </c>
      <c r="H261" s="51">
        <v>300</v>
      </c>
      <c r="I261" s="49">
        <v>60</v>
      </c>
      <c r="J261" s="48" t="s">
        <v>31</v>
      </c>
      <c r="K261" s="48" t="s">
        <v>32</v>
      </c>
      <c r="M261" s="3">
        <v>60</v>
      </c>
      <c r="P261" s="55"/>
    </row>
    <row r="262" spans="1:16" ht="15.75" customHeight="1">
      <c r="A262" s="61">
        <v>17</v>
      </c>
      <c r="B262" s="48" t="s">
        <v>392</v>
      </c>
      <c r="C262" s="48" t="s">
        <v>27</v>
      </c>
      <c r="D262" s="48" t="s">
        <v>393</v>
      </c>
      <c r="E262" s="48" t="s">
        <v>245</v>
      </c>
      <c r="F262" s="48"/>
      <c r="G262" s="48" t="s">
        <v>61</v>
      </c>
      <c r="H262" s="51">
        <v>40</v>
      </c>
      <c r="I262" s="49">
        <v>400</v>
      </c>
      <c r="J262" s="48" t="s">
        <v>31</v>
      </c>
      <c r="K262" s="48" t="s">
        <v>32</v>
      </c>
      <c r="M262" s="3"/>
      <c r="P262" s="55"/>
    </row>
    <row r="263" spans="1:16" ht="15.75" customHeight="1">
      <c r="A263" s="61">
        <v>17</v>
      </c>
      <c r="B263" s="48" t="s">
        <v>394</v>
      </c>
      <c r="C263" s="48" t="s">
        <v>27</v>
      </c>
      <c r="D263" s="48" t="s">
        <v>395</v>
      </c>
      <c r="E263" s="48" t="s">
        <v>54</v>
      </c>
      <c r="F263" s="48"/>
      <c r="G263" s="48" t="s">
        <v>30</v>
      </c>
      <c r="H263" s="51">
        <v>2000</v>
      </c>
      <c r="I263" s="49">
        <v>400</v>
      </c>
      <c r="J263" s="48" t="s">
        <v>31</v>
      </c>
      <c r="K263" s="48" t="s">
        <v>32</v>
      </c>
      <c r="M263" s="3">
        <v>600</v>
      </c>
      <c r="P263" s="55"/>
    </row>
    <row r="264" spans="1:16" ht="15.75" customHeight="1">
      <c r="A264" s="61">
        <v>17</v>
      </c>
      <c r="B264" s="48" t="s">
        <v>396</v>
      </c>
      <c r="C264" s="48" t="s">
        <v>27</v>
      </c>
      <c r="D264" s="48" t="s">
        <v>108</v>
      </c>
      <c r="E264" s="48" t="s">
        <v>36</v>
      </c>
      <c r="F264" s="48"/>
      <c r="G264" s="48" t="s">
        <v>30</v>
      </c>
      <c r="H264" s="51">
        <v>3000</v>
      </c>
      <c r="I264" s="49">
        <v>600</v>
      </c>
      <c r="J264" s="48" t="s">
        <v>31</v>
      </c>
      <c r="K264" s="48" t="s">
        <v>32</v>
      </c>
      <c r="M264" s="3">
        <v>500</v>
      </c>
      <c r="P264" s="55"/>
    </row>
    <row r="265" spans="1:16" ht="15.75" customHeight="1">
      <c r="A265" s="61">
        <v>17</v>
      </c>
      <c r="B265" s="48" t="s">
        <v>397</v>
      </c>
      <c r="C265" s="48" t="s">
        <v>27</v>
      </c>
      <c r="D265" s="48" t="s">
        <v>65</v>
      </c>
      <c r="E265" s="48" t="s">
        <v>36</v>
      </c>
      <c r="F265" s="48"/>
      <c r="G265" s="48" t="s">
        <v>30</v>
      </c>
      <c r="H265" s="51">
        <v>3000</v>
      </c>
      <c r="I265" s="49">
        <v>600</v>
      </c>
      <c r="J265" s="48" t="s">
        <v>31</v>
      </c>
      <c r="K265" s="48" t="s">
        <v>32</v>
      </c>
      <c r="M265" s="3">
        <v>300</v>
      </c>
      <c r="P265" s="55"/>
    </row>
    <row r="266" spans="1:16" ht="15.75" customHeight="1">
      <c r="A266" s="61">
        <v>17</v>
      </c>
      <c r="B266" s="48" t="s">
        <v>397</v>
      </c>
      <c r="C266" s="48" t="s">
        <v>27</v>
      </c>
      <c r="D266" s="48" t="s">
        <v>65</v>
      </c>
      <c r="E266" s="48" t="s">
        <v>36</v>
      </c>
      <c r="F266" s="48"/>
      <c r="G266" s="48" t="s">
        <v>61</v>
      </c>
      <c r="H266" s="51">
        <v>5</v>
      </c>
      <c r="I266" s="49">
        <v>50</v>
      </c>
      <c r="J266" s="48" t="s">
        <v>31</v>
      </c>
      <c r="K266" s="48" t="s">
        <v>32</v>
      </c>
      <c r="M266" s="3"/>
      <c r="P266" s="55"/>
    </row>
    <row r="267" spans="1:16" ht="15.75" customHeight="1">
      <c r="A267" s="50">
        <v>17</v>
      </c>
      <c r="B267" s="48" t="s">
        <v>398</v>
      </c>
      <c r="C267" s="48" t="s">
        <v>39</v>
      </c>
      <c r="D267" s="48" t="s">
        <v>128</v>
      </c>
      <c r="E267" s="48" t="s">
        <v>36</v>
      </c>
      <c r="F267" s="48"/>
      <c r="G267" s="48" t="s">
        <v>30</v>
      </c>
      <c r="H267" s="51">
        <v>500</v>
      </c>
      <c r="I267" s="49" t="s">
        <v>90</v>
      </c>
      <c r="J267" s="48" t="s">
        <v>31</v>
      </c>
      <c r="K267" s="48" t="s">
        <v>32</v>
      </c>
      <c r="M267" s="3">
        <v>600</v>
      </c>
      <c r="P267" s="55"/>
    </row>
    <row r="268" spans="1:16" ht="15.75" customHeight="1">
      <c r="A268" s="50">
        <v>17</v>
      </c>
      <c r="B268" s="48" t="s">
        <v>233</v>
      </c>
      <c r="C268" s="48" t="s">
        <v>27</v>
      </c>
      <c r="D268" s="48" t="s">
        <v>234</v>
      </c>
      <c r="E268" s="48" t="s">
        <v>73</v>
      </c>
      <c r="F268" s="48"/>
      <c r="G268" s="48" t="s">
        <v>30</v>
      </c>
      <c r="H268" s="51">
        <v>1000</v>
      </c>
      <c r="I268" s="49">
        <v>200</v>
      </c>
      <c r="J268" s="48" t="s">
        <v>31</v>
      </c>
      <c r="K268" s="48" t="s">
        <v>32</v>
      </c>
      <c r="M268" s="3">
        <v>800</v>
      </c>
      <c r="P268" s="55"/>
    </row>
    <row r="269" spans="1:16" ht="15.75" customHeight="1">
      <c r="A269" s="50">
        <v>17</v>
      </c>
      <c r="B269" s="48" t="s">
        <v>399</v>
      </c>
      <c r="C269" s="48" t="s">
        <v>27</v>
      </c>
      <c r="D269" s="48" t="s">
        <v>400</v>
      </c>
      <c r="E269" s="48" t="s">
        <v>44</v>
      </c>
      <c r="F269" s="48"/>
      <c r="G269" s="48" t="s">
        <v>348</v>
      </c>
      <c r="H269" s="51">
        <v>30</v>
      </c>
      <c r="I269" s="49">
        <v>90</v>
      </c>
      <c r="J269" s="48" t="s">
        <v>31</v>
      </c>
      <c r="K269" s="48" t="s">
        <v>32</v>
      </c>
      <c r="M269" s="3"/>
      <c r="P269" s="55"/>
    </row>
    <row r="270" spans="1:16" ht="15.75" customHeight="1">
      <c r="A270" s="50">
        <v>17</v>
      </c>
      <c r="B270" s="48" t="s">
        <v>401</v>
      </c>
      <c r="C270" s="48" t="s">
        <v>27</v>
      </c>
      <c r="D270" s="48" t="s">
        <v>128</v>
      </c>
      <c r="E270" s="48" t="s">
        <v>44</v>
      </c>
      <c r="F270" s="48"/>
      <c r="G270" s="48" t="s">
        <v>30</v>
      </c>
      <c r="H270" s="51">
        <v>250</v>
      </c>
      <c r="I270" s="49">
        <v>100</v>
      </c>
      <c r="J270" s="48" t="s">
        <v>31</v>
      </c>
      <c r="K270" s="48" t="s">
        <v>32</v>
      </c>
      <c r="M270" s="3">
        <f>250/5</f>
        <v>50</v>
      </c>
      <c r="P270" s="55"/>
    </row>
    <row r="271" spans="1:16" ht="15.75" customHeight="1">
      <c r="A271" s="65">
        <v>17</v>
      </c>
      <c r="B271" s="58" t="s">
        <v>402</v>
      </c>
      <c r="C271" s="58" t="s">
        <v>27</v>
      </c>
      <c r="D271" s="58" t="s">
        <v>195</v>
      </c>
      <c r="E271" s="58" t="s">
        <v>86</v>
      </c>
      <c r="F271" s="58"/>
      <c r="G271" s="58" t="s">
        <v>30</v>
      </c>
      <c r="H271" s="59">
        <v>2000</v>
      </c>
      <c r="I271" s="60">
        <v>8000</v>
      </c>
      <c r="J271" s="58" t="s">
        <v>31</v>
      </c>
      <c r="K271" s="58" t="s">
        <v>32</v>
      </c>
      <c r="M271" s="3">
        <v>500</v>
      </c>
      <c r="P271" s="55"/>
    </row>
    <row r="272" spans="1:16" ht="15.75" customHeight="1">
      <c r="A272" s="61">
        <v>18</v>
      </c>
      <c r="B272" s="62" t="s">
        <v>403</v>
      </c>
      <c r="C272" s="62" t="s">
        <v>27</v>
      </c>
      <c r="D272" s="62" t="s">
        <v>100</v>
      </c>
      <c r="E272" s="62" t="s">
        <v>145</v>
      </c>
      <c r="F272" s="62"/>
      <c r="G272" s="62" t="s">
        <v>30</v>
      </c>
      <c r="H272" s="63">
        <v>7000</v>
      </c>
      <c r="I272" s="64">
        <v>1400</v>
      </c>
      <c r="J272" s="62" t="s">
        <v>31</v>
      </c>
      <c r="K272" s="62" t="s">
        <v>32</v>
      </c>
      <c r="M272" s="3">
        <v>1000</v>
      </c>
      <c r="P272" s="55"/>
    </row>
    <row r="273" spans="1:16" ht="15.75" customHeight="1">
      <c r="A273" s="50">
        <v>18</v>
      </c>
      <c r="B273" s="48" t="s">
        <v>404</v>
      </c>
      <c r="C273" s="48" t="s">
        <v>27</v>
      </c>
      <c r="D273" s="48" t="s">
        <v>100</v>
      </c>
      <c r="E273" s="48" t="s">
        <v>29</v>
      </c>
      <c r="F273" s="48"/>
      <c r="G273" s="48" t="s">
        <v>30</v>
      </c>
      <c r="H273" s="51">
        <v>20000</v>
      </c>
      <c r="I273" s="49">
        <v>4000</v>
      </c>
      <c r="J273" s="48" t="s">
        <v>31</v>
      </c>
      <c r="K273" s="48" t="s">
        <v>32</v>
      </c>
      <c r="M273" s="3">
        <v>10000</v>
      </c>
      <c r="P273" s="55"/>
    </row>
    <row r="274" spans="1:16" ht="15.75" customHeight="1">
      <c r="A274" s="50">
        <v>18</v>
      </c>
      <c r="B274" s="48" t="s">
        <v>404</v>
      </c>
      <c r="C274" s="48" t="s">
        <v>27</v>
      </c>
      <c r="D274" s="48" t="s">
        <v>100</v>
      </c>
      <c r="E274" s="48" t="s">
        <v>29</v>
      </c>
      <c r="F274" s="48"/>
      <c r="G274" s="48" t="s">
        <v>61</v>
      </c>
      <c r="H274" s="51">
        <v>20</v>
      </c>
      <c r="I274" s="49">
        <v>200</v>
      </c>
      <c r="J274" s="48" t="s">
        <v>31</v>
      </c>
      <c r="K274" s="48" t="s">
        <v>32</v>
      </c>
      <c r="M274" s="3"/>
      <c r="P274" s="55"/>
    </row>
    <row r="275" spans="1:16" ht="15.75" customHeight="1">
      <c r="A275" s="50">
        <v>18</v>
      </c>
      <c r="B275" s="48" t="s">
        <v>351</v>
      </c>
      <c r="C275" s="48" t="s">
        <v>27</v>
      </c>
      <c r="D275" s="48" t="s">
        <v>68</v>
      </c>
      <c r="E275" s="48" t="s">
        <v>79</v>
      </c>
      <c r="F275" s="48"/>
      <c r="G275" s="48" t="s">
        <v>30</v>
      </c>
      <c r="H275" s="51">
        <v>1500</v>
      </c>
      <c r="I275" s="49">
        <v>300</v>
      </c>
      <c r="J275" s="48" t="s">
        <v>31</v>
      </c>
      <c r="K275" s="48" t="s">
        <v>32</v>
      </c>
      <c r="M275" s="3">
        <v>300</v>
      </c>
      <c r="P275" s="55"/>
    </row>
    <row r="276" spans="1:16" ht="15.75" customHeight="1">
      <c r="A276" s="50">
        <v>18</v>
      </c>
      <c r="B276" s="48" t="s">
        <v>405</v>
      </c>
      <c r="C276" s="48" t="s">
        <v>27</v>
      </c>
      <c r="D276" s="48" t="s">
        <v>100</v>
      </c>
      <c r="E276" s="48" t="s">
        <v>169</v>
      </c>
      <c r="F276" s="48"/>
      <c r="G276" s="48" t="s">
        <v>30</v>
      </c>
      <c r="H276" s="51">
        <v>6000</v>
      </c>
      <c r="I276" s="49">
        <v>1200</v>
      </c>
      <c r="J276" s="48" t="s">
        <v>31</v>
      </c>
      <c r="K276" s="48" t="s">
        <v>32</v>
      </c>
      <c r="M276" s="3">
        <v>4000</v>
      </c>
      <c r="P276" s="55"/>
    </row>
    <row r="277" spans="1:16" ht="15.75" customHeight="1">
      <c r="A277" s="65">
        <v>18</v>
      </c>
      <c r="B277" s="58" t="s">
        <v>406</v>
      </c>
      <c r="C277" s="58" t="s">
        <v>27</v>
      </c>
      <c r="D277" s="58" t="s">
        <v>407</v>
      </c>
      <c r="E277" s="58" t="s">
        <v>44</v>
      </c>
      <c r="F277" s="58"/>
      <c r="G277" s="58" t="s">
        <v>30</v>
      </c>
      <c r="H277" s="59">
        <v>1000</v>
      </c>
      <c r="I277" s="60">
        <v>200</v>
      </c>
      <c r="J277" s="58" t="s">
        <v>31</v>
      </c>
      <c r="K277" s="58" t="s">
        <v>32</v>
      </c>
      <c r="M277" s="3">
        <f>1000/5</f>
        <v>200</v>
      </c>
      <c r="P277" s="55"/>
    </row>
    <row r="278" spans="1:16" ht="15.75" customHeight="1">
      <c r="A278" s="61">
        <v>19</v>
      </c>
      <c r="B278" s="62" t="s">
        <v>408</v>
      </c>
      <c r="C278" s="62" t="s">
        <v>27</v>
      </c>
      <c r="D278" s="62" t="s">
        <v>56</v>
      </c>
      <c r="E278" s="62" t="s">
        <v>51</v>
      </c>
      <c r="F278" s="62"/>
      <c r="G278" s="62" t="s">
        <v>30</v>
      </c>
      <c r="H278" s="63">
        <v>1000</v>
      </c>
      <c r="I278" s="64">
        <v>300</v>
      </c>
      <c r="J278" s="62" t="s">
        <v>31</v>
      </c>
      <c r="K278" s="62" t="s">
        <v>32</v>
      </c>
      <c r="M278" s="3">
        <v>500</v>
      </c>
      <c r="P278" s="55"/>
    </row>
    <row r="279" spans="1:16" ht="15.75" customHeight="1">
      <c r="A279" s="50">
        <v>19</v>
      </c>
      <c r="B279" s="48" t="s">
        <v>409</v>
      </c>
      <c r="C279" s="48" t="s">
        <v>39</v>
      </c>
      <c r="D279" s="48" t="s">
        <v>391</v>
      </c>
      <c r="E279" s="48" t="s">
        <v>410</v>
      </c>
      <c r="F279" s="48"/>
      <c r="G279" s="48" t="s">
        <v>30</v>
      </c>
      <c r="H279" s="51">
        <v>300</v>
      </c>
      <c r="I279" s="49">
        <v>90</v>
      </c>
      <c r="J279" s="48" t="s">
        <v>31</v>
      </c>
      <c r="K279" s="48" t="s">
        <v>32</v>
      </c>
      <c r="M279" s="3">
        <v>50</v>
      </c>
      <c r="P279" s="55"/>
    </row>
    <row r="280" spans="1:16" ht="15.75" customHeight="1">
      <c r="A280" s="50">
        <v>19</v>
      </c>
      <c r="B280" s="48" t="s">
        <v>411</v>
      </c>
      <c r="C280" s="48" t="s">
        <v>27</v>
      </c>
      <c r="D280" s="48" t="s">
        <v>100</v>
      </c>
      <c r="E280" s="48" t="s">
        <v>84</v>
      </c>
      <c r="F280" s="48"/>
      <c r="G280" s="48" t="s">
        <v>30</v>
      </c>
      <c r="H280" s="51">
        <v>200</v>
      </c>
      <c r="I280" s="49">
        <v>60</v>
      </c>
      <c r="J280" s="48" t="s">
        <v>31</v>
      </c>
      <c r="K280" s="48" t="s">
        <v>32</v>
      </c>
      <c r="M280" s="3">
        <v>50</v>
      </c>
      <c r="P280" s="55"/>
    </row>
    <row r="281" spans="1:16" ht="15.75" customHeight="1">
      <c r="A281" s="50">
        <v>19</v>
      </c>
      <c r="B281" s="48" t="s">
        <v>412</v>
      </c>
      <c r="C281" s="48" t="s">
        <v>27</v>
      </c>
      <c r="D281" s="48" t="s">
        <v>53</v>
      </c>
      <c r="E281" s="48" t="s">
        <v>54</v>
      </c>
      <c r="F281" s="48"/>
      <c r="G281" s="48" t="s">
        <v>30</v>
      </c>
      <c r="H281" s="51">
        <v>1200</v>
      </c>
      <c r="I281" s="49">
        <v>240</v>
      </c>
      <c r="J281" s="48" t="s">
        <v>31</v>
      </c>
      <c r="K281" s="48" t="s">
        <v>32</v>
      </c>
      <c r="M281" s="3">
        <f>1200/5</f>
        <v>240</v>
      </c>
      <c r="P281" s="55"/>
    </row>
    <row r="282" spans="1:16" ht="15.75" customHeight="1">
      <c r="A282" s="65">
        <v>19</v>
      </c>
      <c r="B282" s="58" t="s">
        <v>413</v>
      </c>
      <c r="C282" s="58" t="s">
        <v>27</v>
      </c>
      <c r="D282" s="58" t="s">
        <v>239</v>
      </c>
      <c r="E282" s="58" t="s">
        <v>44</v>
      </c>
      <c r="F282" s="58"/>
      <c r="G282" s="58" t="s">
        <v>30</v>
      </c>
      <c r="H282" s="59">
        <v>500</v>
      </c>
      <c r="I282" s="60">
        <v>100</v>
      </c>
      <c r="J282" s="58" t="s">
        <v>31</v>
      </c>
      <c r="K282" s="58" t="s">
        <v>32</v>
      </c>
      <c r="M282" s="3">
        <f>500/5</f>
        <v>100</v>
      </c>
      <c r="P282" s="55"/>
    </row>
    <row r="283" spans="1:16" ht="15.75" customHeight="1">
      <c r="A283" s="61">
        <v>20</v>
      </c>
      <c r="B283" s="62" t="s">
        <v>414</v>
      </c>
      <c r="C283" s="62" t="s">
        <v>27</v>
      </c>
      <c r="D283" s="62" t="s">
        <v>264</v>
      </c>
      <c r="E283" s="62" t="s">
        <v>245</v>
      </c>
      <c r="F283" s="62"/>
      <c r="G283" s="62" t="s">
        <v>30</v>
      </c>
      <c r="H283" s="63">
        <v>500</v>
      </c>
      <c r="I283" s="64">
        <v>200</v>
      </c>
      <c r="J283" s="62" t="s">
        <v>31</v>
      </c>
      <c r="K283" s="62" t="s">
        <v>32</v>
      </c>
      <c r="M283" s="3">
        <v>300</v>
      </c>
      <c r="P283" s="55"/>
    </row>
    <row r="284" spans="1:16" ht="15.75" customHeight="1">
      <c r="A284" s="61">
        <v>20</v>
      </c>
      <c r="B284" s="48" t="s">
        <v>415</v>
      </c>
      <c r="C284" s="48" t="s">
        <v>27</v>
      </c>
      <c r="D284" s="48" t="s">
        <v>416</v>
      </c>
      <c r="E284" s="48" t="s">
        <v>73</v>
      </c>
      <c r="F284" s="48"/>
      <c r="G284" s="48" t="s">
        <v>30</v>
      </c>
      <c r="H284" s="51">
        <v>100</v>
      </c>
      <c r="I284" s="49">
        <v>30</v>
      </c>
      <c r="J284" s="48" t="s">
        <v>31</v>
      </c>
      <c r="K284" s="48" t="s">
        <v>32</v>
      </c>
      <c r="M284" s="3">
        <v>20</v>
      </c>
      <c r="P284" s="55"/>
    </row>
    <row r="285" spans="1:16" ht="15.75" customHeight="1">
      <c r="A285" s="61">
        <v>20</v>
      </c>
      <c r="B285" s="48" t="s">
        <v>417</v>
      </c>
      <c r="C285" s="48" t="s">
        <v>39</v>
      </c>
      <c r="D285" s="48" t="s">
        <v>418</v>
      </c>
      <c r="E285" s="48" t="s">
        <v>51</v>
      </c>
      <c r="F285" s="48"/>
      <c r="G285" s="48" t="s">
        <v>30</v>
      </c>
      <c r="H285" s="51">
        <v>500</v>
      </c>
      <c r="I285" s="49" t="s">
        <v>90</v>
      </c>
      <c r="J285" s="48" t="s">
        <v>31</v>
      </c>
      <c r="K285" s="48" t="s">
        <v>32</v>
      </c>
      <c r="M285" s="3">
        <v>200</v>
      </c>
      <c r="P285" s="55"/>
    </row>
    <row r="286" spans="1:16" ht="15.75" customHeight="1">
      <c r="A286" s="61">
        <v>20</v>
      </c>
      <c r="B286" s="48" t="s">
        <v>417</v>
      </c>
      <c r="C286" s="48" t="s">
        <v>39</v>
      </c>
      <c r="D286" s="48" t="s">
        <v>418</v>
      </c>
      <c r="E286" s="48" t="s">
        <v>51</v>
      </c>
      <c r="F286" s="48"/>
      <c r="G286" s="48" t="s">
        <v>30</v>
      </c>
      <c r="H286" s="51">
        <v>500</v>
      </c>
      <c r="I286" s="49">
        <v>100</v>
      </c>
      <c r="J286" s="48" t="s">
        <v>31</v>
      </c>
      <c r="K286" s="48" t="s">
        <v>32</v>
      </c>
      <c r="M286" s="3"/>
      <c r="P286" s="55"/>
    </row>
    <row r="287" spans="1:16" ht="15.75" customHeight="1">
      <c r="A287" s="61">
        <v>20</v>
      </c>
      <c r="B287" s="48" t="s">
        <v>419</v>
      </c>
      <c r="C287" s="48" t="s">
        <v>27</v>
      </c>
      <c r="D287" s="48" t="s">
        <v>420</v>
      </c>
      <c r="E287" s="48" t="s">
        <v>148</v>
      </c>
      <c r="F287" s="48"/>
      <c r="G287" s="48" t="s">
        <v>30</v>
      </c>
      <c r="H287" s="51">
        <v>200</v>
      </c>
      <c r="I287" s="49">
        <v>60</v>
      </c>
      <c r="J287" s="48" t="s">
        <v>31</v>
      </c>
      <c r="K287" s="48" t="s">
        <v>32</v>
      </c>
      <c r="M287" s="3"/>
      <c r="P287" s="55"/>
    </row>
    <row r="288" spans="1:16" ht="15.75" customHeight="1">
      <c r="A288" s="61">
        <v>20</v>
      </c>
      <c r="B288" s="48" t="s">
        <v>421</v>
      </c>
      <c r="C288" s="48" t="s">
        <v>39</v>
      </c>
      <c r="D288" s="48" t="s">
        <v>422</v>
      </c>
      <c r="E288" s="48" t="s">
        <v>245</v>
      </c>
      <c r="F288" s="48"/>
      <c r="G288" s="48" t="s">
        <v>348</v>
      </c>
      <c r="H288" s="51">
        <v>10</v>
      </c>
      <c r="I288" s="49">
        <v>30</v>
      </c>
      <c r="J288" s="48" t="s">
        <v>31</v>
      </c>
      <c r="K288" s="48" t="s">
        <v>32</v>
      </c>
      <c r="M288" s="3"/>
      <c r="P288" s="55"/>
    </row>
    <row r="289" spans="1:19" ht="15.75" customHeight="1">
      <c r="A289" s="61">
        <v>20</v>
      </c>
      <c r="B289" s="48" t="s">
        <v>421</v>
      </c>
      <c r="C289" s="48" t="s">
        <v>39</v>
      </c>
      <c r="D289" s="48" t="s">
        <v>422</v>
      </c>
      <c r="E289" s="48" t="s">
        <v>245</v>
      </c>
      <c r="F289" s="48"/>
      <c r="G289" s="48" t="s">
        <v>61</v>
      </c>
      <c r="H289" s="51">
        <v>3</v>
      </c>
      <c r="I289" s="49">
        <v>300</v>
      </c>
      <c r="J289" s="48" t="s">
        <v>31</v>
      </c>
      <c r="K289" s="48" t="s">
        <v>32</v>
      </c>
      <c r="M289" s="3"/>
      <c r="P289" s="55"/>
    </row>
    <row r="290" spans="1:19" ht="15.75" customHeight="1">
      <c r="A290" s="50">
        <v>20</v>
      </c>
      <c r="B290" s="48" t="s">
        <v>423</v>
      </c>
      <c r="C290" s="48" t="s">
        <v>27</v>
      </c>
      <c r="D290" s="48" t="s">
        <v>424</v>
      </c>
      <c r="E290" s="48" t="s">
        <v>245</v>
      </c>
      <c r="F290" s="48"/>
      <c r="G290" s="48" t="s">
        <v>30</v>
      </c>
      <c r="H290" s="51">
        <v>100</v>
      </c>
      <c r="I290" s="49">
        <v>30</v>
      </c>
      <c r="J290" s="48" t="s">
        <v>31</v>
      </c>
      <c r="K290" s="48" t="s">
        <v>32</v>
      </c>
      <c r="M290" s="3">
        <v>50</v>
      </c>
      <c r="P290" s="55"/>
    </row>
    <row r="291" spans="1:19" ht="15.75" customHeight="1">
      <c r="A291" s="65">
        <v>20</v>
      </c>
      <c r="B291" s="58" t="s">
        <v>425</v>
      </c>
      <c r="C291" s="58" t="s">
        <v>27</v>
      </c>
      <c r="D291" s="58" t="s">
        <v>108</v>
      </c>
      <c r="E291" s="58" t="s">
        <v>36</v>
      </c>
      <c r="F291" s="58"/>
      <c r="G291" s="58" t="s">
        <v>30</v>
      </c>
      <c r="H291" s="58">
        <v>200</v>
      </c>
      <c r="I291" s="60">
        <v>60</v>
      </c>
      <c r="J291" s="58" t="s">
        <v>31</v>
      </c>
      <c r="K291" s="58" t="s">
        <v>32</v>
      </c>
      <c r="M291" s="3">
        <v>60</v>
      </c>
    </row>
    <row r="292" spans="1:19" ht="15.75" customHeight="1">
      <c r="A292" s="61">
        <v>21</v>
      </c>
      <c r="B292" s="62" t="s">
        <v>426</v>
      </c>
      <c r="C292" s="62" t="s">
        <v>27</v>
      </c>
      <c r="D292" s="62" t="s">
        <v>427</v>
      </c>
      <c r="E292" s="62" t="s">
        <v>84</v>
      </c>
      <c r="F292" s="62"/>
      <c r="G292" s="62" t="s">
        <v>115</v>
      </c>
      <c r="H292" s="73">
        <v>1700</v>
      </c>
      <c r="I292" s="64">
        <v>1700</v>
      </c>
      <c r="J292" s="48" t="s">
        <v>31</v>
      </c>
      <c r="K292" s="48" t="s">
        <v>32</v>
      </c>
      <c r="M292" s="3"/>
      <c r="P292" s="734" t="s">
        <v>428</v>
      </c>
      <c r="Q292" s="719"/>
    </row>
    <row r="293" spans="1:19" ht="15.75" customHeight="1">
      <c r="A293" s="61">
        <v>21</v>
      </c>
      <c r="B293" s="48" t="s">
        <v>429</v>
      </c>
      <c r="C293" s="48" t="s">
        <v>27</v>
      </c>
      <c r="D293" s="48" t="s">
        <v>363</v>
      </c>
      <c r="E293" s="48" t="s">
        <v>41</v>
      </c>
      <c r="F293" s="48"/>
      <c r="G293" s="48" t="s">
        <v>30</v>
      </c>
      <c r="H293" s="74">
        <v>8000</v>
      </c>
      <c r="I293" s="49">
        <v>1600</v>
      </c>
      <c r="J293" s="48" t="s">
        <v>31</v>
      </c>
      <c r="K293" s="48" t="s">
        <v>32</v>
      </c>
      <c r="M293" s="3">
        <f>H293/5</f>
        <v>1600</v>
      </c>
      <c r="P293" s="729"/>
      <c r="Q293" s="719"/>
    </row>
    <row r="294" spans="1:19" ht="15.75" customHeight="1">
      <c r="A294" s="61">
        <v>21</v>
      </c>
      <c r="B294" s="48" t="s">
        <v>430</v>
      </c>
      <c r="C294" s="48" t="s">
        <v>27</v>
      </c>
      <c r="D294" s="48" t="s">
        <v>100</v>
      </c>
      <c r="E294" s="48" t="s">
        <v>29</v>
      </c>
      <c r="F294" s="48"/>
      <c r="G294" s="48" t="s">
        <v>30</v>
      </c>
      <c r="H294" s="74">
        <v>18000</v>
      </c>
      <c r="I294" s="49">
        <v>3600</v>
      </c>
      <c r="J294" s="48" t="s">
        <v>31</v>
      </c>
      <c r="K294" s="48" t="s">
        <v>32</v>
      </c>
      <c r="M294" s="3">
        <v>10000</v>
      </c>
      <c r="P294" s="735" t="s">
        <v>25</v>
      </c>
      <c r="Q294" s="719"/>
    </row>
    <row r="295" spans="1:19" ht="15.75" customHeight="1">
      <c r="A295" s="61">
        <v>21</v>
      </c>
      <c r="B295" s="48" t="s">
        <v>431</v>
      </c>
      <c r="C295" s="48" t="s">
        <v>27</v>
      </c>
      <c r="D295" s="48" t="s">
        <v>432</v>
      </c>
      <c r="E295" s="48" t="s">
        <v>310</v>
      </c>
      <c r="F295" s="48"/>
      <c r="G295" s="48" t="s">
        <v>30</v>
      </c>
      <c r="H295" s="74">
        <v>1000</v>
      </c>
      <c r="I295" s="49">
        <v>200</v>
      </c>
      <c r="J295" s="48" t="s">
        <v>31</v>
      </c>
      <c r="K295" s="48" t="s">
        <v>32</v>
      </c>
      <c r="M295" s="3">
        <v>200</v>
      </c>
      <c r="P295" s="68" t="s">
        <v>33</v>
      </c>
      <c r="Q295" s="69">
        <v>157250</v>
      </c>
      <c r="S295" s="3">
        <f>(SUM(H293:H297,H299:H303,H305,H307,H309:H312,H314:H315,H317:H318,H323:H324,H328:H331,H326,H333:H336,H338:H351,H352:H357,H359:H360,H362:H364))</f>
        <v>157250</v>
      </c>
    </row>
    <row r="296" spans="1:19" ht="15.75" customHeight="1">
      <c r="A296" s="61">
        <v>21</v>
      </c>
      <c r="B296" s="48" t="s">
        <v>433</v>
      </c>
      <c r="C296" s="48" t="s">
        <v>27</v>
      </c>
      <c r="D296" s="48" t="s">
        <v>434</v>
      </c>
      <c r="E296" s="48" t="s">
        <v>36</v>
      </c>
      <c r="F296" s="48"/>
      <c r="G296" s="48" t="s">
        <v>30</v>
      </c>
      <c r="H296" s="74">
        <v>700</v>
      </c>
      <c r="I296" s="49">
        <v>140</v>
      </c>
      <c r="J296" s="48" t="s">
        <v>31</v>
      </c>
      <c r="K296" s="48" t="s">
        <v>32</v>
      </c>
      <c r="M296" s="3"/>
      <c r="P296" s="68" t="s">
        <v>37</v>
      </c>
      <c r="Q296" s="69">
        <v>17500</v>
      </c>
      <c r="S296" s="3">
        <f>H298+H308+H316+H319+H320+H321+H322+H332+H337+H358+H361</f>
        <v>17500</v>
      </c>
    </row>
    <row r="297" spans="1:19" ht="15.75" customHeight="1">
      <c r="A297" s="65">
        <v>21</v>
      </c>
      <c r="B297" s="58" t="s">
        <v>435</v>
      </c>
      <c r="C297" s="58" t="s">
        <v>27</v>
      </c>
      <c r="D297" s="58" t="s">
        <v>319</v>
      </c>
      <c r="E297" s="58" t="s">
        <v>36</v>
      </c>
      <c r="F297" s="58"/>
      <c r="G297" s="58" t="s">
        <v>30</v>
      </c>
      <c r="H297" s="75">
        <v>500</v>
      </c>
      <c r="I297" s="60">
        <v>100</v>
      </c>
      <c r="J297" s="58" t="s">
        <v>31</v>
      </c>
      <c r="K297" s="58" t="s">
        <v>32</v>
      </c>
      <c r="M297" s="3">
        <v>200</v>
      </c>
      <c r="P297" s="76" t="s">
        <v>282</v>
      </c>
      <c r="Q297" s="71">
        <v>174750</v>
      </c>
    </row>
    <row r="298" spans="1:19" ht="15.75" customHeight="1">
      <c r="A298" s="61">
        <v>22</v>
      </c>
      <c r="B298" s="62" t="s">
        <v>436</v>
      </c>
      <c r="C298" s="62" t="s">
        <v>27</v>
      </c>
      <c r="D298" s="62" t="s">
        <v>289</v>
      </c>
      <c r="E298" s="62" t="s">
        <v>36</v>
      </c>
      <c r="F298" s="62"/>
      <c r="G298" s="62" t="s">
        <v>30</v>
      </c>
      <c r="H298" s="73">
        <v>500</v>
      </c>
      <c r="I298" s="64" t="s">
        <v>90</v>
      </c>
      <c r="J298" s="62" t="s">
        <v>31</v>
      </c>
      <c r="K298" s="62" t="s">
        <v>32</v>
      </c>
      <c r="M298" s="3">
        <v>900</v>
      </c>
      <c r="P298" s="736" t="s">
        <v>286</v>
      </c>
      <c r="Q298" s="719"/>
    </row>
    <row r="299" spans="1:19" ht="15.75" customHeight="1">
      <c r="A299" s="61">
        <v>22</v>
      </c>
      <c r="B299" s="62" t="s">
        <v>436</v>
      </c>
      <c r="C299" s="62" t="s">
        <v>27</v>
      </c>
      <c r="D299" s="62" t="s">
        <v>289</v>
      </c>
      <c r="E299" s="62" t="s">
        <v>36</v>
      </c>
      <c r="F299" s="48"/>
      <c r="G299" s="48" t="s">
        <v>30</v>
      </c>
      <c r="H299" s="74">
        <v>2000</v>
      </c>
      <c r="I299" s="49">
        <v>400</v>
      </c>
      <c r="J299" s="62" t="s">
        <v>31</v>
      </c>
      <c r="K299" s="62" t="s">
        <v>32</v>
      </c>
      <c r="M299" s="3"/>
      <c r="P299" s="77" t="s">
        <v>48</v>
      </c>
      <c r="Q299" s="69"/>
    </row>
    <row r="300" spans="1:19" ht="15.75" customHeight="1">
      <c r="A300" s="61">
        <v>22</v>
      </c>
      <c r="B300" s="48" t="s">
        <v>437</v>
      </c>
      <c r="C300" s="48" t="s">
        <v>27</v>
      </c>
      <c r="D300" s="48" t="s">
        <v>256</v>
      </c>
      <c r="E300" s="48" t="s">
        <v>245</v>
      </c>
      <c r="F300" s="48"/>
      <c r="G300" s="48" t="s">
        <v>30</v>
      </c>
      <c r="H300" s="74">
        <v>800</v>
      </c>
      <c r="I300" s="49">
        <v>160</v>
      </c>
      <c r="J300" s="62" t="s">
        <v>31</v>
      </c>
      <c r="K300" s="62" t="s">
        <v>32</v>
      </c>
      <c r="M300" s="3">
        <v>300</v>
      </c>
      <c r="P300" s="68" t="s">
        <v>33</v>
      </c>
      <c r="Q300" s="69">
        <v>76</v>
      </c>
    </row>
    <row r="301" spans="1:19" ht="15.75" customHeight="1">
      <c r="A301" s="61">
        <v>22</v>
      </c>
      <c r="B301" s="48" t="s">
        <v>438</v>
      </c>
      <c r="C301" s="48" t="s">
        <v>27</v>
      </c>
      <c r="D301" s="48" t="s">
        <v>439</v>
      </c>
      <c r="E301" s="48" t="s">
        <v>145</v>
      </c>
      <c r="F301" s="48"/>
      <c r="G301" s="48" t="s">
        <v>30</v>
      </c>
      <c r="H301" s="74">
        <v>6000</v>
      </c>
      <c r="I301" s="49">
        <v>1200</v>
      </c>
      <c r="J301" s="62" t="s">
        <v>31</v>
      </c>
      <c r="K301" s="62" t="s">
        <v>32</v>
      </c>
      <c r="M301" s="3">
        <f>H301/5</f>
        <v>1200</v>
      </c>
      <c r="P301" s="77" t="s">
        <v>367</v>
      </c>
      <c r="Q301" s="69"/>
    </row>
    <row r="302" spans="1:19" ht="15.75" customHeight="1">
      <c r="A302" s="61">
        <v>22</v>
      </c>
      <c r="B302" s="48" t="s">
        <v>438</v>
      </c>
      <c r="C302" s="48" t="s">
        <v>27</v>
      </c>
      <c r="D302" s="48" t="s">
        <v>439</v>
      </c>
      <c r="E302" s="48" t="s">
        <v>145</v>
      </c>
      <c r="F302" s="48"/>
      <c r="G302" s="48" t="s">
        <v>30</v>
      </c>
      <c r="H302" s="74">
        <v>200</v>
      </c>
      <c r="I302" s="49">
        <v>60</v>
      </c>
      <c r="J302" s="62" t="s">
        <v>31</v>
      </c>
      <c r="K302" s="62" t="s">
        <v>32</v>
      </c>
      <c r="M302" s="3">
        <f>200/5</f>
        <v>40</v>
      </c>
      <c r="P302" s="68" t="s">
        <v>33</v>
      </c>
      <c r="Q302" s="69"/>
    </row>
    <row r="303" spans="1:19" ht="15.75" customHeight="1">
      <c r="A303" s="61">
        <v>22</v>
      </c>
      <c r="B303" s="48" t="s">
        <v>440</v>
      </c>
      <c r="C303" s="48" t="s">
        <v>27</v>
      </c>
      <c r="D303" s="48" t="s">
        <v>441</v>
      </c>
      <c r="E303" s="48" t="s">
        <v>36</v>
      </c>
      <c r="F303" s="48"/>
      <c r="G303" s="48" t="s">
        <v>30</v>
      </c>
      <c r="H303" s="74">
        <v>500</v>
      </c>
      <c r="I303" s="49">
        <v>100</v>
      </c>
      <c r="J303" s="62" t="s">
        <v>31</v>
      </c>
      <c r="K303" s="62" t="s">
        <v>32</v>
      </c>
      <c r="M303" s="3">
        <v>100</v>
      </c>
      <c r="P303" s="76" t="s">
        <v>282</v>
      </c>
      <c r="Q303" s="71"/>
    </row>
    <row r="304" spans="1:19" ht="15.75" customHeight="1">
      <c r="A304" s="61">
        <v>22</v>
      </c>
      <c r="B304" s="48" t="s">
        <v>440</v>
      </c>
      <c r="C304" s="48" t="s">
        <v>27</v>
      </c>
      <c r="D304" s="48" t="s">
        <v>441</v>
      </c>
      <c r="E304" s="48" t="s">
        <v>36</v>
      </c>
      <c r="F304" s="48"/>
      <c r="G304" s="48" t="s">
        <v>61</v>
      </c>
      <c r="H304" s="74">
        <v>10</v>
      </c>
      <c r="I304" s="49">
        <v>100</v>
      </c>
      <c r="J304" s="62" t="s">
        <v>31</v>
      </c>
      <c r="K304" s="62" t="s">
        <v>32</v>
      </c>
      <c r="M304" s="3"/>
      <c r="P304" s="730" t="s">
        <v>57</v>
      </c>
      <c r="Q304" s="719"/>
      <c r="S304" s="55">
        <f>Q297+Q300+Q305</f>
        <v>176526</v>
      </c>
    </row>
    <row r="305" spans="1:17" ht="15.75" customHeight="1">
      <c r="A305" s="61">
        <v>22</v>
      </c>
      <c r="B305" s="48" t="s">
        <v>442</v>
      </c>
      <c r="C305" s="48" t="s">
        <v>27</v>
      </c>
      <c r="D305" s="48" t="s">
        <v>301</v>
      </c>
      <c r="E305" s="48" t="s">
        <v>51</v>
      </c>
      <c r="F305" s="48"/>
      <c r="G305" s="48" t="s">
        <v>30</v>
      </c>
      <c r="H305" s="74">
        <v>700</v>
      </c>
      <c r="I305" s="49">
        <v>140</v>
      </c>
      <c r="J305" s="62" t="s">
        <v>31</v>
      </c>
      <c r="K305" s="62" t="s">
        <v>32</v>
      </c>
      <c r="M305" s="3">
        <v>150</v>
      </c>
      <c r="P305" s="68" t="s">
        <v>33</v>
      </c>
      <c r="Q305" s="71">
        <v>1700</v>
      </c>
    </row>
    <row r="306" spans="1:17" ht="15.75" customHeight="1">
      <c r="A306" s="61">
        <v>22</v>
      </c>
      <c r="B306" s="48" t="s">
        <v>442</v>
      </c>
      <c r="C306" s="48" t="s">
        <v>27</v>
      </c>
      <c r="D306" s="48" t="s">
        <v>301</v>
      </c>
      <c r="E306" s="48" t="s">
        <v>51</v>
      </c>
      <c r="F306" s="48"/>
      <c r="G306" s="48" t="s">
        <v>61</v>
      </c>
      <c r="H306" s="74">
        <v>20</v>
      </c>
      <c r="I306" s="49">
        <v>200</v>
      </c>
      <c r="J306" s="62" t="s">
        <v>31</v>
      </c>
      <c r="K306" s="62" t="s">
        <v>32</v>
      </c>
      <c r="M306" s="3"/>
    </row>
    <row r="307" spans="1:17" ht="15.75" customHeight="1">
      <c r="A307" s="50">
        <v>22</v>
      </c>
      <c r="B307" s="48" t="s">
        <v>443</v>
      </c>
      <c r="C307" s="48" t="s">
        <v>27</v>
      </c>
      <c r="D307" s="48" t="s">
        <v>53</v>
      </c>
      <c r="E307" s="48" t="s">
        <v>54</v>
      </c>
      <c r="F307" s="48"/>
      <c r="G307" s="48" t="s">
        <v>30</v>
      </c>
      <c r="H307" s="74">
        <v>2800</v>
      </c>
      <c r="I307" s="49">
        <v>560</v>
      </c>
      <c r="J307" s="62" t="s">
        <v>31</v>
      </c>
      <c r="K307" s="62" t="s">
        <v>32</v>
      </c>
      <c r="M307" s="3">
        <v>600</v>
      </c>
    </row>
    <row r="308" spans="1:17" ht="15.75" customHeight="1">
      <c r="A308" s="65">
        <v>22</v>
      </c>
      <c r="B308" s="58" t="s">
        <v>444</v>
      </c>
      <c r="C308" s="58" t="s">
        <v>27</v>
      </c>
      <c r="D308" s="58" t="s">
        <v>67</v>
      </c>
      <c r="E308" s="58" t="s">
        <v>68</v>
      </c>
      <c r="F308" s="58"/>
      <c r="G308" s="58" t="s">
        <v>30</v>
      </c>
      <c r="H308" s="75">
        <v>1500</v>
      </c>
      <c r="I308" s="60" t="s">
        <v>90</v>
      </c>
      <c r="J308" s="62" t="s">
        <v>31</v>
      </c>
      <c r="K308" s="62" t="s">
        <v>32</v>
      </c>
      <c r="M308" s="3">
        <v>300</v>
      </c>
    </row>
    <row r="309" spans="1:17" ht="15.75" customHeight="1">
      <c r="A309" s="61">
        <v>24</v>
      </c>
      <c r="B309" s="62" t="s">
        <v>445</v>
      </c>
      <c r="C309" s="62" t="s">
        <v>27</v>
      </c>
      <c r="D309" s="62" t="s">
        <v>106</v>
      </c>
      <c r="E309" s="62" t="s">
        <v>86</v>
      </c>
      <c r="F309" s="62"/>
      <c r="G309" s="62" t="s">
        <v>30</v>
      </c>
      <c r="H309" s="73">
        <v>1500</v>
      </c>
      <c r="I309" s="64">
        <v>300</v>
      </c>
      <c r="J309" s="62" t="s">
        <v>31</v>
      </c>
      <c r="K309" s="62" t="s">
        <v>32</v>
      </c>
      <c r="M309" s="3">
        <v>300</v>
      </c>
    </row>
    <row r="310" spans="1:17" ht="15.75" customHeight="1">
      <c r="A310" s="50">
        <v>24</v>
      </c>
      <c r="B310" s="48" t="s">
        <v>446</v>
      </c>
      <c r="C310" s="48" t="s">
        <v>27</v>
      </c>
      <c r="D310" s="48" t="s">
        <v>177</v>
      </c>
      <c r="E310" s="48" t="s">
        <v>223</v>
      </c>
      <c r="F310" s="48"/>
      <c r="G310" s="48" t="s">
        <v>30</v>
      </c>
      <c r="H310" s="74">
        <v>200</v>
      </c>
      <c r="I310" s="49">
        <v>40</v>
      </c>
      <c r="J310" s="48" t="s">
        <v>31</v>
      </c>
      <c r="K310" s="48" t="s">
        <v>32</v>
      </c>
      <c r="M310" s="3">
        <v>50</v>
      </c>
    </row>
    <row r="311" spans="1:17" ht="15.75" customHeight="1">
      <c r="A311" s="50">
        <v>24</v>
      </c>
      <c r="B311" s="48" t="s">
        <v>447</v>
      </c>
      <c r="C311" s="48" t="s">
        <v>27</v>
      </c>
      <c r="D311" s="48" t="s">
        <v>98</v>
      </c>
      <c r="E311" s="48" t="s">
        <v>36</v>
      </c>
      <c r="F311" s="48"/>
      <c r="G311" s="48" t="s">
        <v>30</v>
      </c>
      <c r="H311" s="74">
        <v>1000</v>
      </c>
      <c r="I311" s="49">
        <v>200</v>
      </c>
      <c r="J311" s="48" t="s">
        <v>31</v>
      </c>
      <c r="K311" s="48" t="s">
        <v>32</v>
      </c>
      <c r="M311" s="3">
        <f>1000/5</f>
        <v>200</v>
      </c>
    </row>
    <row r="312" spans="1:17" ht="15.75" customHeight="1">
      <c r="A312" s="50">
        <v>24</v>
      </c>
      <c r="B312" s="48" t="s">
        <v>448</v>
      </c>
      <c r="C312" s="48" t="s">
        <v>27</v>
      </c>
      <c r="D312" s="48" t="s">
        <v>449</v>
      </c>
      <c r="E312" s="48" t="s">
        <v>44</v>
      </c>
      <c r="F312" s="48"/>
      <c r="G312" s="48" t="s">
        <v>30</v>
      </c>
      <c r="H312" s="74">
        <v>600</v>
      </c>
      <c r="I312" s="49">
        <v>120</v>
      </c>
      <c r="J312" s="48" t="s">
        <v>31</v>
      </c>
      <c r="K312" s="48" t="s">
        <v>32</v>
      </c>
      <c r="M312" s="3">
        <v>50</v>
      </c>
    </row>
    <row r="313" spans="1:17" ht="15.75" customHeight="1">
      <c r="A313" s="50">
        <v>24</v>
      </c>
      <c r="B313" s="48" t="s">
        <v>448</v>
      </c>
      <c r="C313" s="48" t="s">
        <v>27</v>
      </c>
      <c r="D313" s="48" t="s">
        <v>449</v>
      </c>
      <c r="E313" s="48" t="s">
        <v>44</v>
      </c>
      <c r="F313" s="48"/>
      <c r="G313" s="48" t="s">
        <v>61</v>
      </c>
      <c r="H313" s="74">
        <v>20</v>
      </c>
      <c r="I313" s="49">
        <v>100</v>
      </c>
      <c r="J313" s="48" t="s">
        <v>31</v>
      </c>
      <c r="K313" s="48" t="s">
        <v>32</v>
      </c>
      <c r="M313" s="3"/>
    </row>
    <row r="314" spans="1:17" ht="15.75" customHeight="1">
      <c r="A314" s="50">
        <v>24</v>
      </c>
      <c r="B314" s="48" t="s">
        <v>450</v>
      </c>
      <c r="C314" s="48" t="s">
        <v>27</v>
      </c>
      <c r="D314" s="48" t="s">
        <v>98</v>
      </c>
      <c r="E314" s="48" t="s">
        <v>36</v>
      </c>
      <c r="F314" s="48"/>
      <c r="G314" s="48" t="s">
        <v>30</v>
      </c>
      <c r="H314" s="74">
        <v>1500</v>
      </c>
      <c r="I314" s="49">
        <v>300</v>
      </c>
      <c r="J314" s="48" t="s">
        <v>31</v>
      </c>
      <c r="K314" s="48" t="s">
        <v>32</v>
      </c>
      <c r="M314" s="3">
        <v>300</v>
      </c>
    </row>
    <row r="315" spans="1:17" ht="15.75" customHeight="1">
      <c r="A315" s="50">
        <v>24</v>
      </c>
      <c r="B315" s="48" t="s">
        <v>451</v>
      </c>
      <c r="C315" s="48" t="s">
        <v>27</v>
      </c>
      <c r="D315" s="48" t="s">
        <v>452</v>
      </c>
      <c r="E315" s="48" t="s">
        <v>68</v>
      </c>
      <c r="F315" s="48"/>
      <c r="G315" s="48" t="s">
        <v>30</v>
      </c>
      <c r="H315" s="74">
        <v>1000</v>
      </c>
      <c r="I315" s="49">
        <v>200</v>
      </c>
      <c r="J315" s="48" t="s">
        <v>31</v>
      </c>
      <c r="K315" s="48" t="s">
        <v>32</v>
      </c>
      <c r="M315" s="3">
        <v>242</v>
      </c>
    </row>
    <row r="316" spans="1:17" ht="15.75" customHeight="1">
      <c r="A316" s="50">
        <v>24</v>
      </c>
      <c r="B316" s="48" t="s">
        <v>453</v>
      </c>
      <c r="C316" s="48" t="s">
        <v>27</v>
      </c>
      <c r="D316" s="48" t="s">
        <v>98</v>
      </c>
      <c r="E316" s="48" t="s">
        <v>36</v>
      </c>
      <c r="F316" s="48"/>
      <c r="G316" s="48" t="s">
        <v>30</v>
      </c>
      <c r="H316" s="74">
        <v>500</v>
      </c>
      <c r="I316" s="49" t="s">
        <v>90</v>
      </c>
      <c r="J316" s="48" t="s">
        <v>31</v>
      </c>
      <c r="K316" s="48" t="s">
        <v>32</v>
      </c>
      <c r="M316" s="3">
        <v>800</v>
      </c>
    </row>
    <row r="317" spans="1:17" ht="15.75" customHeight="1">
      <c r="A317" s="50">
        <v>24</v>
      </c>
      <c r="B317" s="48" t="s">
        <v>453</v>
      </c>
      <c r="C317" s="48" t="s">
        <v>27</v>
      </c>
      <c r="D317" s="48" t="s">
        <v>98</v>
      </c>
      <c r="E317" s="48" t="s">
        <v>36</v>
      </c>
      <c r="F317" s="48"/>
      <c r="G317" s="48" t="s">
        <v>30</v>
      </c>
      <c r="H317" s="74">
        <v>1500</v>
      </c>
      <c r="I317" s="49">
        <v>300</v>
      </c>
      <c r="J317" s="48" t="s">
        <v>31</v>
      </c>
      <c r="K317" s="48" t="s">
        <v>32</v>
      </c>
      <c r="M317" s="3"/>
    </row>
    <row r="318" spans="1:17" ht="15.75" customHeight="1">
      <c r="A318" s="50">
        <v>24</v>
      </c>
      <c r="B318" s="48" t="s">
        <v>454</v>
      </c>
      <c r="C318" s="48" t="s">
        <v>27</v>
      </c>
      <c r="D318" s="48" t="s">
        <v>98</v>
      </c>
      <c r="E318" s="48" t="s">
        <v>36</v>
      </c>
      <c r="F318" s="48"/>
      <c r="G318" s="48" t="s">
        <v>30</v>
      </c>
      <c r="H318" s="74">
        <v>1500</v>
      </c>
      <c r="I318" s="49">
        <v>300</v>
      </c>
      <c r="J318" s="48" t="s">
        <v>31</v>
      </c>
      <c r="K318" s="48" t="s">
        <v>32</v>
      </c>
      <c r="M318" s="3">
        <v>600</v>
      </c>
    </row>
    <row r="319" spans="1:17" ht="15.75" customHeight="1">
      <c r="A319" s="50">
        <v>24</v>
      </c>
      <c r="B319" s="48" t="s">
        <v>454</v>
      </c>
      <c r="C319" s="48" t="s">
        <v>27</v>
      </c>
      <c r="D319" s="48" t="s">
        <v>98</v>
      </c>
      <c r="E319" s="48" t="s">
        <v>36</v>
      </c>
      <c r="F319" s="48"/>
      <c r="G319" s="48" t="s">
        <v>30</v>
      </c>
      <c r="H319" s="74">
        <v>500</v>
      </c>
      <c r="I319" s="49" t="s">
        <v>90</v>
      </c>
      <c r="J319" s="48" t="s">
        <v>31</v>
      </c>
      <c r="K319" s="48" t="s">
        <v>32</v>
      </c>
      <c r="M319" s="3"/>
    </row>
    <row r="320" spans="1:17" ht="15.75" customHeight="1">
      <c r="A320" s="50">
        <v>24</v>
      </c>
      <c r="B320" s="48" t="s">
        <v>455</v>
      </c>
      <c r="C320" s="48" t="s">
        <v>27</v>
      </c>
      <c r="D320" s="48" t="s">
        <v>456</v>
      </c>
      <c r="E320" s="48" t="s">
        <v>191</v>
      </c>
      <c r="F320" s="48"/>
      <c r="G320" s="48" t="s">
        <v>30</v>
      </c>
      <c r="H320" s="74">
        <v>3000</v>
      </c>
      <c r="I320" s="49" t="s">
        <v>90</v>
      </c>
      <c r="J320" s="48" t="s">
        <v>31</v>
      </c>
      <c r="K320" s="48" t="s">
        <v>32</v>
      </c>
      <c r="M320" s="3">
        <v>10000</v>
      </c>
    </row>
    <row r="321" spans="1:13" ht="15.75" customHeight="1">
      <c r="A321" s="50">
        <v>24</v>
      </c>
      <c r="B321" s="48" t="s">
        <v>457</v>
      </c>
      <c r="C321" s="48" t="s">
        <v>27</v>
      </c>
      <c r="D321" s="48" t="s">
        <v>458</v>
      </c>
      <c r="E321" s="48" t="s">
        <v>191</v>
      </c>
      <c r="F321" s="48"/>
      <c r="G321" s="48" t="s">
        <v>30</v>
      </c>
      <c r="H321" s="74">
        <v>2500</v>
      </c>
      <c r="I321" s="49" t="s">
        <v>90</v>
      </c>
      <c r="J321" s="48" t="s">
        <v>31</v>
      </c>
      <c r="K321" s="48" t="s">
        <v>32</v>
      </c>
      <c r="M321" s="3">
        <v>7500</v>
      </c>
    </row>
    <row r="322" spans="1:13" ht="15.75" customHeight="1">
      <c r="A322" s="50">
        <v>24</v>
      </c>
      <c r="B322" s="48" t="s">
        <v>459</v>
      </c>
      <c r="C322" s="48" t="s">
        <v>27</v>
      </c>
      <c r="D322" s="48" t="s">
        <v>458</v>
      </c>
      <c r="E322" s="48" t="s">
        <v>191</v>
      </c>
      <c r="F322" s="48"/>
      <c r="G322" s="48" t="s">
        <v>30</v>
      </c>
      <c r="H322" s="74">
        <v>2500</v>
      </c>
      <c r="I322" s="49" t="s">
        <v>90</v>
      </c>
      <c r="J322" s="48" t="s">
        <v>31</v>
      </c>
      <c r="K322" s="48" t="s">
        <v>32</v>
      </c>
      <c r="M322" s="3">
        <v>7500</v>
      </c>
    </row>
    <row r="323" spans="1:13" ht="15.75" customHeight="1">
      <c r="A323" s="50">
        <v>24</v>
      </c>
      <c r="B323" s="48" t="s">
        <v>460</v>
      </c>
      <c r="C323" s="48" t="s">
        <v>27</v>
      </c>
      <c r="D323" s="48" t="s">
        <v>461</v>
      </c>
      <c r="E323" s="48" t="s">
        <v>209</v>
      </c>
      <c r="F323" s="48"/>
      <c r="G323" s="48" t="s">
        <v>30</v>
      </c>
      <c r="H323" s="74">
        <v>9000</v>
      </c>
      <c r="I323" s="49">
        <v>1800</v>
      </c>
      <c r="J323" s="48" t="s">
        <v>31</v>
      </c>
      <c r="K323" s="48" t="s">
        <v>32</v>
      </c>
      <c r="M323" s="3">
        <v>1800</v>
      </c>
    </row>
    <row r="324" spans="1:13" ht="15.75" customHeight="1">
      <c r="A324" s="50">
        <v>24</v>
      </c>
      <c r="B324" s="48" t="s">
        <v>462</v>
      </c>
      <c r="C324" s="48" t="s">
        <v>27</v>
      </c>
      <c r="D324" s="48" t="s">
        <v>347</v>
      </c>
      <c r="E324" s="48" t="s">
        <v>245</v>
      </c>
      <c r="F324" s="48"/>
      <c r="G324" s="48" t="s">
        <v>30</v>
      </c>
      <c r="H324" s="74">
        <v>800</v>
      </c>
      <c r="I324" s="49">
        <v>160</v>
      </c>
      <c r="J324" s="48" t="s">
        <v>31</v>
      </c>
      <c r="K324" s="48" t="s">
        <v>32</v>
      </c>
      <c r="M324" s="3">
        <f>800/5</f>
        <v>160</v>
      </c>
    </row>
    <row r="325" spans="1:13" ht="15.75" customHeight="1">
      <c r="A325" s="50">
        <v>24</v>
      </c>
      <c r="B325" s="48" t="s">
        <v>462</v>
      </c>
      <c r="C325" s="48" t="s">
        <v>27</v>
      </c>
      <c r="D325" s="48" t="s">
        <v>347</v>
      </c>
      <c r="E325" s="48" t="s">
        <v>245</v>
      </c>
      <c r="F325" s="48"/>
      <c r="G325" s="48" t="s">
        <v>61</v>
      </c>
      <c r="H325" s="74">
        <v>6</v>
      </c>
      <c r="I325" s="49">
        <v>30</v>
      </c>
      <c r="J325" s="48" t="s">
        <v>31</v>
      </c>
      <c r="K325" s="48" t="s">
        <v>32</v>
      </c>
      <c r="M325" s="3"/>
    </row>
    <row r="326" spans="1:13" ht="15.75" customHeight="1">
      <c r="A326" s="50">
        <v>24</v>
      </c>
      <c r="B326" s="48" t="s">
        <v>463</v>
      </c>
      <c r="C326" s="48" t="s">
        <v>39</v>
      </c>
      <c r="D326" s="48" t="s">
        <v>464</v>
      </c>
      <c r="E326" s="48" t="s">
        <v>73</v>
      </c>
      <c r="F326" s="48"/>
      <c r="G326" s="48" t="s">
        <v>30</v>
      </c>
      <c r="H326" s="74">
        <v>1000</v>
      </c>
      <c r="I326" s="49">
        <v>200</v>
      </c>
      <c r="J326" s="48" t="s">
        <v>31</v>
      </c>
      <c r="K326" s="48" t="s">
        <v>32</v>
      </c>
      <c r="M326" s="3">
        <v>250</v>
      </c>
    </row>
    <row r="327" spans="1:13" ht="15.75" customHeight="1">
      <c r="A327" s="50">
        <v>24</v>
      </c>
      <c r="B327" s="48" t="s">
        <v>463</v>
      </c>
      <c r="C327" s="48" t="s">
        <v>39</v>
      </c>
      <c r="D327" s="48" t="s">
        <v>464</v>
      </c>
      <c r="E327" s="48" t="s">
        <v>73</v>
      </c>
      <c r="F327" s="48"/>
      <c r="G327" s="48" t="s">
        <v>61</v>
      </c>
      <c r="H327" s="74">
        <v>20</v>
      </c>
      <c r="I327" s="49">
        <v>200</v>
      </c>
      <c r="J327" s="48" t="s">
        <v>31</v>
      </c>
      <c r="K327" s="48" t="s">
        <v>32</v>
      </c>
      <c r="M327" s="3"/>
    </row>
    <row r="328" spans="1:13" ht="15.75" customHeight="1">
      <c r="A328" s="50">
        <v>24</v>
      </c>
      <c r="B328" s="48" t="s">
        <v>465</v>
      </c>
      <c r="C328" s="48" t="s">
        <v>39</v>
      </c>
      <c r="D328" s="48" t="s">
        <v>53</v>
      </c>
      <c r="E328" s="48" t="s">
        <v>54</v>
      </c>
      <c r="F328" s="48"/>
      <c r="G328" s="48" t="s">
        <v>30</v>
      </c>
      <c r="H328" s="74">
        <v>9000</v>
      </c>
      <c r="I328" s="49">
        <v>1800</v>
      </c>
      <c r="J328" s="48" t="s">
        <v>31</v>
      </c>
      <c r="K328" s="48" t="s">
        <v>32</v>
      </c>
      <c r="M328" s="3">
        <v>3000</v>
      </c>
    </row>
    <row r="329" spans="1:13" ht="15.75" customHeight="1">
      <c r="A329" s="50">
        <v>24</v>
      </c>
      <c r="B329" s="48" t="s">
        <v>466</v>
      </c>
      <c r="C329" s="48" t="s">
        <v>27</v>
      </c>
      <c r="D329" s="48" t="s">
        <v>193</v>
      </c>
      <c r="E329" s="48" t="s">
        <v>36</v>
      </c>
      <c r="F329" s="48"/>
      <c r="G329" s="48" t="s">
        <v>30</v>
      </c>
      <c r="H329" s="74">
        <v>1500</v>
      </c>
      <c r="I329" s="49">
        <v>300</v>
      </c>
      <c r="J329" s="48" t="s">
        <v>31</v>
      </c>
      <c r="K329" s="48" t="s">
        <v>32</v>
      </c>
      <c r="M329" s="3">
        <v>300</v>
      </c>
    </row>
    <row r="330" spans="1:13" ht="15.75" customHeight="1">
      <c r="A330" s="65">
        <v>24</v>
      </c>
      <c r="B330" s="58" t="s">
        <v>467</v>
      </c>
      <c r="C330" s="58" t="s">
        <v>27</v>
      </c>
      <c r="D330" s="58" t="s">
        <v>98</v>
      </c>
      <c r="E330" s="58" t="s">
        <v>36</v>
      </c>
      <c r="F330" s="58"/>
      <c r="G330" s="58" t="s">
        <v>30</v>
      </c>
      <c r="H330" s="75">
        <v>2000</v>
      </c>
      <c r="I330" s="60">
        <v>400</v>
      </c>
      <c r="J330" s="58" t="s">
        <v>31</v>
      </c>
      <c r="K330" s="58" t="s">
        <v>32</v>
      </c>
      <c r="M330" s="3">
        <v>600</v>
      </c>
    </row>
    <row r="331" spans="1:13" ht="15.75" customHeight="1">
      <c r="A331" s="61">
        <v>25</v>
      </c>
      <c r="B331" s="62" t="s">
        <v>468</v>
      </c>
      <c r="C331" s="62" t="s">
        <v>27</v>
      </c>
      <c r="D331" s="62" t="s">
        <v>100</v>
      </c>
      <c r="E331" s="62" t="s">
        <v>84</v>
      </c>
      <c r="F331" s="62"/>
      <c r="G331" s="62" t="s">
        <v>30</v>
      </c>
      <c r="H331" s="73">
        <v>1000</v>
      </c>
      <c r="I331" s="64">
        <v>200</v>
      </c>
      <c r="J331" s="62" t="s">
        <v>31</v>
      </c>
      <c r="K331" s="62" t="s">
        <v>32</v>
      </c>
      <c r="M331" s="3">
        <v>200</v>
      </c>
    </row>
    <row r="332" spans="1:13" ht="15.75" customHeight="1">
      <c r="A332" s="50">
        <v>25</v>
      </c>
      <c r="B332" s="48" t="s">
        <v>451</v>
      </c>
      <c r="C332" s="48" t="s">
        <v>27</v>
      </c>
      <c r="D332" s="48" t="s">
        <v>469</v>
      </c>
      <c r="E332" s="48" t="s">
        <v>68</v>
      </c>
      <c r="F332" s="48"/>
      <c r="G332" s="48" t="s">
        <v>30</v>
      </c>
      <c r="H332" s="74">
        <v>5000</v>
      </c>
      <c r="I332" s="49" t="s">
        <v>90</v>
      </c>
      <c r="J332" s="48" t="s">
        <v>31</v>
      </c>
      <c r="K332" s="48" t="s">
        <v>32</v>
      </c>
      <c r="M332" s="3">
        <f>8000/5</f>
        <v>1600</v>
      </c>
    </row>
    <row r="333" spans="1:13" ht="15.75" customHeight="1">
      <c r="A333" s="50">
        <v>25</v>
      </c>
      <c r="B333" s="48" t="s">
        <v>451</v>
      </c>
      <c r="C333" s="48" t="s">
        <v>27</v>
      </c>
      <c r="D333" s="48" t="s">
        <v>469</v>
      </c>
      <c r="E333" s="48" t="s">
        <v>68</v>
      </c>
      <c r="F333" s="48"/>
      <c r="G333" s="48" t="s">
        <v>30</v>
      </c>
      <c r="H333" s="74">
        <v>3000</v>
      </c>
      <c r="I333" s="49">
        <v>600</v>
      </c>
      <c r="J333" s="48" t="s">
        <v>31</v>
      </c>
      <c r="K333" s="48" t="s">
        <v>32</v>
      </c>
      <c r="M333" s="3"/>
    </row>
    <row r="334" spans="1:13" ht="15.75" customHeight="1">
      <c r="A334" s="50">
        <v>25</v>
      </c>
      <c r="B334" s="48" t="s">
        <v>470</v>
      </c>
      <c r="C334" s="48" t="s">
        <v>27</v>
      </c>
      <c r="D334" s="48" t="s">
        <v>100</v>
      </c>
      <c r="E334" s="48" t="s">
        <v>56</v>
      </c>
      <c r="F334" s="48"/>
      <c r="G334" s="48" t="s">
        <v>30</v>
      </c>
      <c r="H334" s="74">
        <v>800</v>
      </c>
      <c r="I334" s="49">
        <v>160</v>
      </c>
      <c r="J334" s="48" t="s">
        <v>31</v>
      </c>
      <c r="K334" s="48" t="s">
        <v>32</v>
      </c>
      <c r="M334" s="3">
        <v>150</v>
      </c>
    </row>
    <row r="335" spans="1:13" ht="15.75" customHeight="1">
      <c r="A335" s="50">
        <v>25</v>
      </c>
      <c r="B335" s="48" t="s">
        <v>287</v>
      </c>
      <c r="C335" s="48" t="s">
        <v>27</v>
      </c>
      <c r="D335" s="48" t="s">
        <v>43</v>
      </c>
      <c r="E335" s="48" t="s">
        <v>44</v>
      </c>
      <c r="F335" s="48"/>
      <c r="G335" s="48" t="s">
        <v>30</v>
      </c>
      <c r="H335" s="74">
        <v>6000</v>
      </c>
      <c r="I335" s="49">
        <v>1200</v>
      </c>
      <c r="J335" s="48" t="s">
        <v>31</v>
      </c>
      <c r="K335" s="48" t="s">
        <v>32</v>
      </c>
      <c r="M335" s="3">
        <v>1200</v>
      </c>
    </row>
    <row r="336" spans="1:13" ht="15.75" customHeight="1">
      <c r="A336" s="50">
        <v>25</v>
      </c>
      <c r="B336" s="48" t="s">
        <v>471</v>
      </c>
      <c r="C336" s="48" t="s">
        <v>27</v>
      </c>
      <c r="D336" s="48" t="s">
        <v>472</v>
      </c>
      <c r="E336" s="48" t="s">
        <v>41</v>
      </c>
      <c r="F336" s="48"/>
      <c r="G336" s="48" t="s">
        <v>30</v>
      </c>
      <c r="H336" s="74">
        <v>5000</v>
      </c>
      <c r="I336" s="49">
        <v>1000</v>
      </c>
      <c r="J336" s="48" t="s">
        <v>31</v>
      </c>
      <c r="K336" s="48" t="s">
        <v>32</v>
      </c>
      <c r="M336" s="3">
        <v>1000</v>
      </c>
    </row>
    <row r="337" spans="1:13" ht="15.75" customHeight="1">
      <c r="A337" s="65">
        <v>25</v>
      </c>
      <c r="B337" s="58" t="s">
        <v>473</v>
      </c>
      <c r="C337" s="58" t="s">
        <v>27</v>
      </c>
      <c r="D337" s="58" t="s">
        <v>108</v>
      </c>
      <c r="E337" s="58" t="s">
        <v>36</v>
      </c>
      <c r="F337" s="58"/>
      <c r="G337" s="58" t="s">
        <v>30</v>
      </c>
      <c r="H337" s="75">
        <v>500</v>
      </c>
      <c r="I337" s="60" t="s">
        <v>90</v>
      </c>
      <c r="J337" s="58" t="s">
        <v>31</v>
      </c>
      <c r="K337" s="58" t="s">
        <v>32</v>
      </c>
      <c r="M337" s="3">
        <v>200</v>
      </c>
    </row>
    <row r="338" spans="1:13" ht="15.75" customHeight="1">
      <c r="A338" s="61">
        <v>26</v>
      </c>
      <c r="B338" s="62" t="s">
        <v>474</v>
      </c>
      <c r="C338" s="62" t="s">
        <v>27</v>
      </c>
      <c r="D338" s="62" t="s">
        <v>100</v>
      </c>
      <c r="E338" s="62" t="s">
        <v>36</v>
      </c>
      <c r="F338" s="62"/>
      <c r="G338" s="62" t="s">
        <v>30</v>
      </c>
      <c r="H338" s="73">
        <v>2000</v>
      </c>
      <c r="I338" s="64">
        <v>400</v>
      </c>
      <c r="J338" s="62" t="s">
        <v>31</v>
      </c>
      <c r="K338" s="62" t="s">
        <v>32</v>
      </c>
      <c r="M338" s="3">
        <v>400</v>
      </c>
    </row>
    <row r="339" spans="1:13" ht="15.75" customHeight="1">
      <c r="A339" s="50">
        <v>26</v>
      </c>
      <c r="B339" s="48" t="s">
        <v>475</v>
      </c>
      <c r="C339" s="48" t="s">
        <v>27</v>
      </c>
      <c r="D339" s="48" t="s">
        <v>68</v>
      </c>
      <c r="E339" s="48" t="s">
        <v>79</v>
      </c>
      <c r="F339" s="48"/>
      <c r="G339" s="48" t="s">
        <v>30</v>
      </c>
      <c r="H339" s="74">
        <v>1500</v>
      </c>
      <c r="I339" s="49">
        <v>300</v>
      </c>
      <c r="J339" s="48" t="s">
        <v>31</v>
      </c>
      <c r="K339" s="48" t="s">
        <v>32</v>
      </c>
      <c r="M339" s="3">
        <v>300</v>
      </c>
    </row>
    <row r="340" spans="1:13" ht="15.75" customHeight="1">
      <c r="A340" s="50">
        <v>26</v>
      </c>
      <c r="B340" s="48" t="s">
        <v>476</v>
      </c>
      <c r="C340" s="48" t="s">
        <v>27</v>
      </c>
      <c r="D340" s="48" t="s">
        <v>477</v>
      </c>
      <c r="E340" s="48" t="s">
        <v>73</v>
      </c>
      <c r="F340" s="48"/>
      <c r="G340" s="48" t="s">
        <v>30</v>
      </c>
      <c r="H340" s="74">
        <v>500</v>
      </c>
      <c r="I340" s="49">
        <v>100</v>
      </c>
      <c r="J340" s="48" t="s">
        <v>31</v>
      </c>
      <c r="K340" s="48" t="s">
        <v>32</v>
      </c>
      <c r="M340" s="3">
        <v>300</v>
      </c>
    </row>
    <row r="341" spans="1:13" ht="15.75" customHeight="1">
      <c r="A341" s="65">
        <v>26</v>
      </c>
      <c r="B341" s="58" t="s">
        <v>478</v>
      </c>
      <c r="C341" s="58" t="s">
        <v>27</v>
      </c>
      <c r="D341" s="58" t="s">
        <v>479</v>
      </c>
      <c r="E341" s="58" t="s">
        <v>60</v>
      </c>
      <c r="F341" s="58"/>
      <c r="G341" s="58" t="s">
        <v>30</v>
      </c>
      <c r="H341" s="75">
        <v>300</v>
      </c>
      <c r="I341" s="60">
        <v>60</v>
      </c>
      <c r="J341" s="58" t="s">
        <v>31</v>
      </c>
      <c r="K341" s="58" t="s">
        <v>32</v>
      </c>
      <c r="M341" s="3">
        <v>50</v>
      </c>
    </row>
    <row r="342" spans="1:13" ht="15.75" customHeight="1">
      <c r="A342" s="61">
        <v>27</v>
      </c>
      <c r="B342" s="62" t="s">
        <v>480</v>
      </c>
      <c r="C342" s="62" t="s">
        <v>27</v>
      </c>
      <c r="D342" s="62" t="s">
        <v>481</v>
      </c>
      <c r="E342" s="78" t="s">
        <v>220</v>
      </c>
      <c r="F342" s="62"/>
      <c r="G342" s="62" t="s">
        <v>30</v>
      </c>
      <c r="H342" s="73">
        <v>10000</v>
      </c>
      <c r="I342" s="64">
        <v>2000</v>
      </c>
      <c r="J342" s="62" t="s">
        <v>31</v>
      </c>
      <c r="K342" s="62" t="s">
        <v>32</v>
      </c>
      <c r="M342" s="3">
        <f>10000/5</f>
        <v>2000</v>
      </c>
    </row>
    <row r="343" spans="1:13" ht="15.75" customHeight="1">
      <c r="A343" s="50">
        <v>27</v>
      </c>
      <c r="B343" s="48" t="s">
        <v>482</v>
      </c>
      <c r="C343" s="48" t="s">
        <v>27</v>
      </c>
      <c r="D343" s="48" t="s">
        <v>483</v>
      </c>
      <c r="E343" s="48" t="s">
        <v>484</v>
      </c>
      <c r="F343" s="48"/>
      <c r="G343" s="48" t="s">
        <v>30</v>
      </c>
      <c r="H343" s="74">
        <v>4000</v>
      </c>
      <c r="I343" s="49">
        <v>800</v>
      </c>
      <c r="J343" s="48" t="s">
        <v>31</v>
      </c>
      <c r="K343" s="48" t="s">
        <v>32</v>
      </c>
      <c r="M343" s="3">
        <v>800</v>
      </c>
    </row>
    <row r="344" spans="1:13" ht="15.75" customHeight="1">
      <c r="A344" s="50">
        <v>27</v>
      </c>
      <c r="B344" s="48" t="s">
        <v>485</v>
      </c>
      <c r="C344" s="48" t="s">
        <v>27</v>
      </c>
      <c r="D344" s="48" t="s">
        <v>354</v>
      </c>
      <c r="E344" s="48" t="s">
        <v>54</v>
      </c>
      <c r="F344" s="48"/>
      <c r="G344" s="48" t="s">
        <v>30</v>
      </c>
      <c r="H344" s="74">
        <v>700</v>
      </c>
      <c r="I344" s="49">
        <v>140</v>
      </c>
      <c r="J344" s="48" t="s">
        <v>31</v>
      </c>
      <c r="K344" s="48" t="s">
        <v>32</v>
      </c>
      <c r="M344" s="3">
        <f>700/5</f>
        <v>140</v>
      </c>
    </row>
    <row r="345" spans="1:13" ht="15.75" customHeight="1">
      <c r="A345" s="50">
        <v>27</v>
      </c>
      <c r="B345" s="48" t="s">
        <v>486</v>
      </c>
      <c r="C345" s="48" t="s">
        <v>27</v>
      </c>
      <c r="D345" s="48" t="s">
        <v>391</v>
      </c>
      <c r="E345" s="48" t="s">
        <v>73</v>
      </c>
      <c r="F345" s="48"/>
      <c r="G345" s="48" t="s">
        <v>30</v>
      </c>
      <c r="H345" s="74">
        <v>800</v>
      </c>
      <c r="I345" s="49">
        <v>160</v>
      </c>
      <c r="J345" s="48" t="s">
        <v>31</v>
      </c>
      <c r="K345" s="48" t="s">
        <v>32</v>
      </c>
      <c r="M345" s="3">
        <v>140</v>
      </c>
    </row>
    <row r="346" spans="1:13" ht="15.75" customHeight="1">
      <c r="A346" s="50">
        <v>27</v>
      </c>
      <c r="B346" s="48" t="s">
        <v>487</v>
      </c>
      <c r="C346" s="48" t="s">
        <v>27</v>
      </c>
      <c r="D346" s="48" t="s">
        <v>104</v>
      </c>
      <c r="E346" s="48" t="s">
        <v>36</v>
      </c>
      <c r="F346" s="48"/>
      <c r="G346" s="48" t="s">
        <v>30</v>
      </c>
      <c r="H346" s="74">
        <v>650</v>
      </c>
      <c r="I346" s="49">
        <v>130</v>
      </c>
      <c r="J346" s="48" t="s">
        <v>31</v>
      </c>
      <c r="K346" s="48" t="s">
        <v>32</v>
      </c>
      <c r="M346" s="3">
        <v>150</v>
      </c>
    </row>
    <row r="347" spans="1:13" ht="15.75" customHeight="1">
      <c r="A347" s="50">
        <v>27</v>
      </c>
      <c r="B347" s="48" t="s">
        <v>488</v>
      </c>
      <c r="C347" s="48" t="s">
        <v>27</v>
      </c>
      <c r="D347" s="48" t="s">
        <v>489</v>
      </c>
      <c r="E347" s="48" t="s">
        <v>191</v>
      </c>
      <c r="F347" s="48"/>
      <c r="G347" s="48" t="s">
        <v>30</v>
      </c>
      <c r="H347" s="74">
        <v>500</v>
      </c>
      <c r="I347" s="49">
        <v>100</v>
      </c>
      <c r="J347" s="48" t="s">
        <v>31</v>
      </c>
      <c r="K347" s="48" t="s">
        <v>32</v>
      </c>
      <c r="M347" s="3">
        <v>150</v>
      </c>
    </row>
    <row r="348" spans="1:13" ht="15.75" customHeight="1">
      <c r="A348" s="50">
        <v>27</v>
      </c>
      <c r="B348" s="48" t="s">
        <v>490</v>
      </c>
      <c r="C348" s="48" t="s">
        <v>27</v>
      </c>
      <c r="D348" s="48" t="s">
        <v>354</v>
      </c>
      <c r="E348" s="48" t="s">
        <v>54</v>
      </c>
      <c r="F348" s="48"/>
      <c r="G348" s="48" t="s">
        <v>30</v>
      </c>
      <c r="H348" s="74">
        <v>7500</v>
      </c>
      <c r="I348" s="49">
        <v>1500</v>
      </c>
      <c r="J348" s="48" t="s">
        <v>31</v>
      </c>
      <c r="K348" s="48" t="s">
        <v>32</v>
      </c>
      <c r="M348" s="3">
        <v>1500</v>
      </c>
    </row>
    <row r="349" spans="1:13" ht="15.75" customHeight="1">
      <c r="A349" s="50">
        <v>27</v>
      </c>
      <c r="B349" s="48" t="s">
        <v>491</v>
      </c>
      <c r="C349" s="48" t="s">
        <v>27</v>
      </c>
      <c r="D349" s="48" t="s">
        <v>43</v>
      </c>
      <c r="E349" s="48" t="s">
        <v>44</v>
      </c>
      <c r="F349" s="48"/>
      <c r="G349" s="48" t="s">
        <v>30</v>
      </c>
      <c r="H349" s="74">
        <v>2500</v>
      </c>
      <c r="I349" s="49">
        <v>500</v>
      </c>
      <c r="J349" s="48" t="s">
        <v>31</v>
      </c>
      <c r="K349" s="48" t="s">
        <v>32</v>
      </c>
      <c r="M349" s="3">
        <v>400</v>
      </c>
    </row>
    <row r="350" spans="1:13" ht="15.75" customHeight="1">
      <c r="A350" s="50">
        <v>27</v>
      </c>
      <c r="B350" s="48" t="s">
        <v>492</v>
      </c>
      <c r="C350" s="48" t="s">
        <v>27</v>
      </c>
      <c r="D350" s="48" t="s">
        <v>43</v>
      </c>
      <c r="E350" s="48" t="s">
        <v>44</v>
      </c>
      <c r="F350" s="48"/>
      <c r="G350" s="48" t="s">
        <v>30</v>
      </c>
      <c r="H350" s="74">
        <v>2000</v>
      </c>
      <c r="I350" s="49">
        <v>400</v>
      </c>
      <c r="J350" s="48" t="s">
        <v>31</v>
      </c>
      <c r="K350" s="48" t="s">
        <v>32</v>
      </c>
      <c r="M350" s="3">
        <v>400</v>
      </c>
    </row>
    <row r="351" spans="1:13" ht="15.75" customHeight="1">
      <c r="A351" s="65">
        <v>27</v>
      </c>
      <c r="B351" s="58" t="s">
        <v>493</v>
      </c>
      <c r="C351" s="58" t="s">
        <v>27</v>
      </c>
      <c r="D351" s="58" t="s">
        <v>177</v>
      </c>
      <c r="E351" s="58" t="s">
        <v>223</v>
      </c>
      <c r="F351" s="58"/>
      <c r="G351" s="58" t="s">
        <v>30</v>
      </c>
      <c r="H351" s="75">
        <v>400</v>
      </c>
      <c r="I351" s="60">
        <v>80</v>
      </c>
      <c r="J351" s="58" t="s">
        <v>31</v>
      </c>
      <c r="K351" s="58" t="s">
        <v>32</v>
      </c>
      <c r="M351" s="3">
        <f>80/5</f>
        <v>16</v>
      </c>
    </row>
    <row r="352" spans="1:13" ht="15.75" customHeight="1">
      <c r="A352" s="61">
        <v>28</v>
      </c>
      <c r="B352" s="62" t="s">
        <v>494</v>
      </c>
      <c r="C352" s="62" t="s">
        <v>27</v>
      </c>
      <c r="D352" s="62" t="s">
        <v>495</v>
      </c>
      <c r="E352" s="62" t="s">
        <v>245</v>
      </c>
      <c r="F352" s="62"/>
      <c r="G352" s="62" t="s">
        <v>30</v>
      </c>
      <c r="H352" s="73">
        <v>3000</v>
      </c>
      <c r="I352" s="64">
        <v>600</v>
      </c>
      <c r="J352" s="62" t="s">
        <v>31</v>
      </c>
      <c r="K352" s="62" t="s">
        <v>32</v>
      </c>
      <c r="M352" s="3">
        <v>600</v>
      </c>
    </row>
    <row r="353" spans="1:13" ht="15.75" customHeight="1">
      <c r="A353" s="50">
        <v>28</v>
      </c>
      <c r="B353" s="48" t="s">
        <v>496</v>
      </c>
      <c r="C353" s="48" t="s">
        <v>27</v>
      </c>
      <c r="D353" s="48" t="s">
        <v>88</v>
      </c>
      <c r="E353" s="48" t="s">
        <v>54</v>
      </c>
      <c r="F353" s="48"/>
      <c r="G353" s="48" t="s">
        <v>30</v>
      </c>
      <c r="H353" s="74">
        <v>10000</v>
      </c>
      <c r="I353" s="49">
        <v>2000</v>
      </c>
      <c r="J353" s="48" t="s">
        <v>31</v>
      </c>
      <c r="K353" s="48" t="s">
        <v>32</v>
      </c>
      <c r="M353" s="3">
        <v>5000</v>
      </c>
    </row>
    <row r="354" spans="1:13" ht="15.75" customHeight="1">
      <c r="A354" s="50">
        <v>28</v>
      </c>
      <c r="B354" s="48" t="s">
        <v>497</v>
      </c>
      <c r="C354" s="48" t="s">
        <v>27</v>
      </c>
      <c r="D354" s="48" t="s">
        <v>96</v>
      </c>
      <c r="E354" s="48" t="s">
        <v>44</v>
      </c>
      <c r="F354" s="48"/>
      <c r="G354" s="48" t="s">
        <v>30</v>
      </c>
      <c r="H354" s="74">
        <v>100</v>
      </c>
      <c r="I354" s="49">
        <v>40</v>
      </c>
      <c r="J354" s="48" t="s">
        <v>31</v>
      </c>
      <c r="K354" s="48" t="s">
        <v>32</v>
      </c>
      <c r="M354" s="3">
        <v>5</v>
      </c>
    </row>
    <row r="355" spans="1:13" ht="15.75" customHeight="1">
      <c r="A355" s="50">
        <v>28</v>
      </c>
      <c r="B355" s="48" t="s">
        <v>498</v>
      </c>
      <c r="C355" s="48" t="s">
        <v>27</v>
      </c>
      <c r="D355" s="48" t="s">
        <v>499</v>
      </c>
      <c r="E355" s="48" t="s">
        <v>145</v>
      </c>
      <c r="F355" s="48"/>
      <c r="G355" s="48" t="s">
        <v>30</v>
      </c>
      <c r="H355" s="74">
        <v>8000</v>
      </c>
      <c r="I355" s="49">
        <v>1600</v>
      </c>
      <c r="J355" s="48" t="s">
        <v>31</v>
      </c>
      <c r="K355" s="48" t="s">
        <v>32</v>
      </c>
      <c r="M355" s="3">
        <v>1500</v>
      </c>
    </row>
    <row r="356" spans="1:13" ht="15.75" customHeight="1">
      <c r="A356" s="50">
        <v>28</v>
      </c>
      <c r="B356" s="48" t="s">
        <v>500</v>
      </c>
      <c r="C356" s="48" t="s">
        <v>27</v>
      </c>
      <c r="D356" s="48" t="s">
        <v>230</v>
      </c>
      <c r="E356" s="48" t="s">
        <v>86</v>
      </c>
      <c r="F356" s="48"/>
      <c r="G356" s="48" t="s">
        <v>30</v>
      </c>
      <c r="H356" s="74">
        <v>1500</v>
      </c>
      <c r="I356" s="49">
        <v>300</v>
      </c>
      <c r="J356" s="48" t="s">
        <v>31</v>
      </c>
      <c r="K356" s="48" t="s">
        <v>32</v>
      </c>
      <c r="M356" s="3">
        <v>300</v>
      </c>
    </row>
    <row r="357" spans="1:13" ht="15.75" customHeight="1">
      <c r="A357" s="50">
        <v>28</v>
      </c>
      <c r="B357" s="48" t="s">
        <v>501</v>
      </c>
      <c r="C357" s="48" t="s">
        <v>27</v>
      </c>
      <c r="D357" s="48" t="s">
        <v>416</v>
      </c>
      <c r="E357" s="48" t="s">
        <v>73</v>
      </c>
      <c r="F357" s="48"/>
      <c r="G357" s="48" t="s">
        <v>30</v>
      </c>
      <c r="H357" s="74">
        <v>200</v>
      </c>
      <c r="I357" s="49">
        <v>40</v>
      </c>
      <c r="J357" s="48" t="s">
        <v>31</v>
      </c>
      <c r="K357" s="48" t="s">
        <v>32</v>
      </c>
      <c r="M357" s="3"/>
    </row>
    <row r="358" spans="1:13" ht="15.75" customHeight="1">
      <c r="A358" s="50">
        <v>28</v>
      </c>
      <c r="B358" s="48" t="s">
        <v>502</v>
      </c>
      <c r="C358" s="48" t="s">
        <v>27</v>
      </c>
      <c r="D358" s="48" t="s">
        <v>68</v>
      </c>
      <c r="E358" s="48" t="s">
        <v>79</v>
      </c>
      <c r="F358" s="48"/>
      <c r="G358" s="48" t="s">
        <v>30</v>
      </c>
      <c r="H358" s="74">
        <v>500</v>
      </c>
      <c r="I358" s="49" t="s">
        <v>90</v>
      </c>
      <c r="J358" s="48" t="s">
        <v>31</v>
      </c>
      <c r="K358" s="48" t="s">
        <v>32</v>
      </c>
      <c r="M358" s="3">
        <v>1000</v>
      </c>
    </row>
    <row r="359" spans="1:13" ht="15.75" customHeight="1">
      <c r="A359" s="50">
        <v>28</v>
      </c>
      <c r="B359" s="48" t="s">
        <v>502</v>
      </c>
      <c r="C359" s="48" t="s">
        <v>27</v>
      </c>
      <c r="D359" s="48" t="s">
        <v>68</v>
      </c>
      <c r="E359" s="48" t="s">
        <v>79</v>
      </c>
      <c r="F359" s="48"/>
      <c r="G359" s="48" t="s">
        <v>30</v>
      </c>
      <c r="H359" s="74">
        <v>5500</v>
      </c>
      <c r="I359" s="49">
        <v>1100</v>
      </c>
      <c r="J359" s="48" t="s">
        <v>31</v>
      </c>
      <c r="K359" s="48" t="s">
        <v>32</v>
      </c>
      <c r="M359" s="3"/>
    </row>
    <row r="360" spans="1:13" ht="15.75" customHeight="1">
      <c r="A360" s="50">
        <v>28</v>
      </c>
      <c r="B360" s="48" t="s">
        <v>503</v>
      </c>
      <c r="C360" s="48" t="s">
        <v>27</v>
      </c>
      <c r="D360" s="48" t="s">
        <v>191</v>
      </c>
      <c r="E360" s="48" t="s">
        <v>36</v>
      </c>
      <c r="F360" s="48"/>
      <c r="G360" s="48" t="s">
        <v>30</v>
      </c>
      <c r="H360" s="74">
        <v>2000</v>
      </c>
      <c r="I360" s="49">
        <v>400</v>
      </c>
      <c r="J360" s="48" t="s">
        <v>31</v>
      </c>
      <c r="K360" s="48" t="s">
        <v>32</v>
      </c>
      <c r="M360" s="3">
        <f>2000/5</f>
        <v>400</v>
      </c>
    </row>
    <row r="361" spans="1:13" ht="15.75" customHeight="1">
      <c r="A361" s="50">
        <v>28</v>
      </c>
      <c r="B361" s="48" t="s">
        <v>504</v>
      </c>
      <c r="C361" s="48" t="s">
        <v>27</v>
      </c>
      <c r="D361" s="48" t="s">
        <v>153</v>
      </c>
      <c r="E361" s="48" t="s">
        <v>36</v>
      </c>
      <c r="F361" s="48"/>
      <c r="G361" s="48" t="s">
        <v>30</v>
      </c>
      <c r="H361" s="74">
        <v>500</v>
      </c>
      <c r="I361" s="49" t="s">
        <v>90</v>
      </c>
      <c r="J361" s="48" t="s">
        <v>31</v>
      </c>
      <c r="K361" s="48" t="s">
        <v>32</v>
      </c>
      <c r="M361" s="3">
        <v>200</v>
      </c>
    </row>
    <row r="362" spans="1:13" ht="15.75" customHeight="1">
      <c r="A362" s="50">
        <v>28</v>
      </c>
      <c r="B362" s="48" t="s">
        <v>504</v>
      </c>
      <c r="C362" s="48" t="s">
        <v>27</v>
      </c>
      <c r="D362" s="48" t="s">
        <v>153</v>
      </c>
      <c r="E362" s="48" t="s">
        <v>36</v>
      </c>
      <c r="F362" s="58"/>
      <c r="G362" s="58" t="s">
        <v>30</v>
      </c>
      <c r="H362" s="75">
        <v>1000</v>
      </c>
      <c r="I362" s="60">
        <v>200</v>
      </c>
      <c r="J362" s="48" t="s">
        <v>31</v>
      </c>
      <c r="K362" s="48" t="s">
        <v>32</v>
      </c>
      <c r="M362" s="3"/>
    </row>
    <row r="363" spans="1:13" ht="15.75" customHeight="1">
      <c r="A363" s="61">
        <v>29</v>
      </c>
      <c r="B363" s="62" t="s">
        <v>505</v>
      </c>
      <c r="C363" s="62" t="s">
        <v>27</v>
      </c>
      <c r="D363" s="62" t="s">
        <v>506</v>
      </c>
      <c r="E363" s="62" t="s">
        <v>29</v>
      </c>
      <c r="F363" s="62"/>
      <c r="G363" s="62" t="s">
        <v>30</v>
      </c>
      <c r="H363" s="73">
        <v>2000</v>
      </c>
      <c r="I363" s="64">
        <v>400</v>
      </c>
      <c r="J363" s="62" t="s">
        <v>31</v>
      </c>
      <c r="K363" s="62" t="s">
        <v>32</v>
      </c>
      <c r="M363" s="3">
        <v>300</v>
      </c>
    </row>
    <row r="364" spans="1:13" ht="15.75" customHeight="1">
      <c r="A364" s="50">
        <v>29</v>
      </c>
      <c r="B364" s="48" t="s">
        <v>507</v>
      </c>
      <c r="C364" s="48" t="s">
        <v>27</v>
      </c>
      <c r="D364" s="48" t="s">
        <v>106</v>
      </c>
      <c r="E364" s="48" t="s">
        <v>86</v>
      </c>
      <c r="F364" s="48"/>
      <c r="G364" s="48" t="s">
        <v>30</v>
      </c>
      <c r="H364" s="74">
        <v>1500</v>
      </c>
      <c r="I364" s="49">
        <v>300</v>
      </c>
      <c r="J364" s="48" t="s">
        <v>31</v>
      </c>
      <c r="K364" s="48" t="s">
        <v>32</v>
      </c>
      <c r="M364" s="3">
        <v>250</v>
      </c>
    </row>
    <row r="365" spans="1:13" ht="15.75" customHeight="1">
      <c r="A365" s="79"/>
      <c r="B365" s="80"/>
      <c r="C365" s="48"/>
      <c r="D365" s="48"/>
      <c r="E365" s="48"/>
      <c r="F365" s="48"/>
      <c r="G365" s="48"/>
      <c r="H365" s="51"/>
      <c r="I365" s="49"/>
      <c r="J365" s="48"/>
      <c r="K365" s="48"/>
      <c r="M365" s="3"/>
    </row>
    <row r="366" spans="1:13" ht="15.75" customHeight="1">
      <c r="A366" s="2"/>
      <c r="B366" s="2"/>
      <c r="C366" s="2"/>
      <c r="D366" s="2"/>
      <c r="E366" s="2"/>
      <c r="F366" s="2"/>
      <c r="G366" s="2"/>
      <c r="H366" s="55"/>
      <c r="I366" s="81"/>
      <c r="J366" s="2"/>
      <c r="K366" s="2"/>
      <c r="M366" s="3"/>
    </row>
    <row r="367" spans="1:13" ht="15.75" customHeight="1">
      <c r="A367" s="2"/>
      <c r="B367" s="2"/>
      <c r="C367" s="2"/>
      <c r="D367" s="2"/>
      <c r="E367" s="2"/>
      <c r="F367" s="2"/>
      <c r="G367" s="2"/>
      <c r="H367" s="2"/>
      <c r="I367" s="81"/>
      <c r="J367" s="2"/>
      <c r="K367" s="2"/>
      <c r="M367" s="3">
        <f>SUM(M12:M366)</f>
        <v>290070</v>
      </c>
    </row>
    <row r="368" spans="1:13" ht="15.75" customHeight="1">
      <c r="A368" s="2"/>
      <c r="B368" s="2"/>
      <c r="C368" s="2"/>
      <c r="D368" s="2"/>
      <c r="E368" s="2"/>
      <c r="F368" s="2"/>
      <c r="G368" s="2"/>
      <c r="H368" s="2"/>
      <c r="I368" s="82" t="s">
        <v>508</v>
      </c>
      <c r="J368" s="83"/>
      <c r="K368" s="2"/>
      <c r="M368" s="3"/>
    </row>
    <row r="369" spans="1:16" ht="16.5" customHeight="1">
      <c r="A369" s="2"/>
      <c r="B369" s="2" t="s">
        <v>509</v>
      </c>
      <c r="C369" s="2"/>
      <c r="D369" s="2"/>
      <c r="E369" s="2" t="s">
        <v>510</v>
      </c>
      <c r="F369" s="2"/>
      <c r="G369" s="2"/>
      <c r="H369" s="2"/>
      <c r="I369" s="7" t="s">
        <v>511</v>
      </c>
      <c r="J369" s="84" t="s">
        <v>512</v>
      </c>
      <c r="K369" s="2"/>
      <c r="M369" s="3"/>
    </row>
    <row r="370" spans="1:16" ht="15.75" customHeight="1">
      <c r="A370" s="2"/>
      <c r="B370" s="2"/>
      <c r="C370" s="2"/>
      <c r="D370" s="2"/>
      <c r="E370" s="2"/>
      <c r="F370" s="2"/>
      <c r="G370" s="2"/>
      <c r="H370" s="2"/>
      <c r="I370" s="7" t="s">
        <v>513</v>
      </c>
      <c r="J370" s="84" t="s">
        <v>514</v>
      </c>
      <c r="K370" s="3"/>
      <c r="M370" s="3"/>
    </row>
    <row r="371" spans="1:16" ht="15.75" customHeight="1">
      <c r="A371" s="2"/>
      <c r="B371" s="2"/>
      <c r="C371" s="2"/>
      <c r="D371" s="2"/>
      <c r="E371" s="2"/>
      <c r="F371" s="2"/>
      <c r="G371" s="2"/>
      <c r="H371" s="2"/>
      <c r="I371" s="7" t="s">
        <v>515</v>
      </c>
      <c r="J371" s="84">
        <v>0</v>
      </c>
      <c r="K371" s="2"/>
      <c r="M371" s="3"/>
    </row>
    <row r="372" spans="1:16" ht="15.75" customHeight="1">
      <c r="A372" s="2"/>
      <c r="B372" s="85" t="s">
        <v>516</v>
      </c>
      <c r="C372" s="2"/>
      <c r="D372" s="2"/>
      <c r="E372" s="731" t="s">
        <v>517</v>
      </c>
      <c r="F372" s="711"/>
      <c r="G372" s="711"/>
      <c r="H372" s="711"/>
      <c r="I372" s="7" t="s">
        <v>518</v>
      </c>
      <c r="J372" s="84" t="s">
        <v>519</v>
      </c>
      <c r="K372" s="2"/>
      <c r="M372" s="3"/>
    </row>
    <row r="373" spans="1:16" ht="15.75" customHeight="1">
      <c r="A373" s="2"/>
      <c r="B373" s="2" t="s">
        <v>520</v>
      </c>
      <c r="C373" s="2"/>
      <c r="D373" s="2"/>
      <c r="E373" s="732" t="s">
        <v>521</v>
      </c>
      <c r="F373" s="711"/>
      <c r="G373" s="711"/>
      <c r="H373" s="711"/>
      <c r="I373" s="7" t="s">
        <v>522</v>
      </c>
      <c r="J373" s="84">
        <v>0</v>
      </c>
      <c r="K373" s="2"/>
      <c r="M373" s="3"/>
    </row>
    <row r="374" spans="1:16" ht="15.75" customHeight="1">
      <c r="A374" s="2"/>
      <c r="B374" s="2"/>
      <c r="C374" s="2"/>
      <c r="D374" s="2"/>
      <c r="E374" s="2"/>
      <c r="F374" s="2"/>
      <c r="G374" s="2"/>
      <c r="H374" s="2"/>
      <c r="I374" s="7" t="s">
        <v>523</v>
      </c>
      <c r="J374" s="87" t="s">
        <v>524</v>
      </c>
      <c r="K374" s="2"/>
      <c r="M374" s="3"/>
    </row>
    <row r="375" spans="1:16" ht="15.75" customHeight="1">
      <c r="A375" s="2"/>
      <c r="B375" s="2"/>
      <c r="C375" s="2"/>
      <c r="D375" s="2"/>
      <c r="E375" s="2"/>
      <c r="F375" s="2"/>
      <c r="G375" s="2"/>
      <c r="H375" s="2"/>
      <c r="I375" s="7" t="s">
        <v>525</v>
      </c>
      <c r="J375" s="83"/>
      <c r="K375" s="2"/>
      <c r="M375" s="3"/>
    </row>
    <row r="376" spans="1:16" ht="15.75" customHeight="1">
      <c r="A376" s="2"/>
      <c r="B376" s="2"/>
      <c r="C376" s="2"/>
      <c r="D376" s="2"/>
      <c r="E376" s="2"/>
      <c r="F376" s="2"/>
      <c r="G376" s="2"/>
      <c r="H376" s="2"/>
      <c r="I376" s="88" t="s">
        <v>526</v>
      </c>
      <c r="J376" s="89">
        <v>290070</v>
      </c>
      <c r="K376" s="2"/>
      <c r="M376" s="3">
        <f>SUM(H361,H358,H337,H332,H322,H321,H320,H319,H316,H308,H298,H285,H267,H258,H249,H244,H231,H223,H213,H198,H193,H172,H166,H149,H148,H147,H135:H136,H128,H122,H120,H110,H104:H107,H90:H91,H88,H85:H86,H82,H68,H66,H61,H49,H41,H39,H37,H34:H35,H32)</f>
        <v>42800</v>
      </c>
    </row>
    <row r="377" spans="1:16" ht="15.75" customHeight="1">
      <c r="A377" s="2"/>
      <c r="B377" s="2"/>
      <c r="C377" s="2"/>
      <c r="D377" s="2"/>
      <c r="E377" s="2"/>
      <c r="F377" s="2"/>
      <c r="G377" s="2"/>
      <c r="H377" s="2"/>
      <c r="I377" s="88" t="s">
        <v>527</v>
      </c>
      <c r="J377" s="90"/>
      <c r="K377" s="2"/>
      <c r="M377" s="3"/>
    </row>
    <row r="378" spans="1:16" ht="15.75" customHeight="1">
      <c r="A378" s="2"/>
      <c r="B378" s="91"/>
      <c r="C378" s="2"/>
      <c r="D378" s="2"/>
      <c r="E378" s="91"/>
      <c r="F378" s="91"/>
      <c r="G378" s="91"/>
      <c r="H378" s="2"/>
      <c r="I378" s="7"/>
      <c r="J378" s="83"/>
      <c r="K378" s="2"/>
      <c r="M378" s="3"/>
    </row>
    <row r="379" spans="1:16" ht="15.75" customHeight="1">
      <c r="A379" s="2"/>
      <c r="B379" s="2"/>
      <c r="C379" s="2"/>
      <c r="D379" s="2"/>
      <c r="E379" s="2"/>
      <c r="F379" s="2"/>
      <c r="G379" s="2"/>
      <c r="H379" s="2"/>
      <c r="I379" s="7"/>
      <c r="J379" s="83"/>
      <c r="K379" s="2"/>
      <c r="M379" s="3"/>
    </row>
    <row r="380" spans="1:16" ht="15.75" customHeight="1">
      <c r="A380" s="2"/>
      <c r="B380" s="2"/>
      <c r="C380" s="2"/>
      <c r="D380" s="2"/>
      <c r="E380" s="2"/>
      <c r="F380" s="2"/>
      <c r="G380" s="2"/>
      <c r="H380" s="2"/>
      <c r="I380" s="7"/>
      <c r="J380" s="83"/>
      <c r="K380" s="2"/>
      <c r="M380" s="3"/>
    </row>
    <row r="381" spans="1:16" ht="15.75" customHeight="1">
      <c r="A381" s="2"/>
      <c r="B381" s="2"/>
      <c r="C381" s="2"/>
      <c r="D381" s="2"/>
      <c r="E381" s="2"/>
      <c r="F381" s="2"/>
      <c r="G381" s="2"/>
      <c r="H381" s="2"/>
      <c r="I381" s="7"/>
      <c r="J381" s="90"/>
      <c r="K381" s="2"/>
      <c r="M381" s="3"/>
    </row>
    <row r="382" spans="1:16" ht="15.75" customHeight="1">
      <c r="A382" s="2"/>
      <c r="B382" s="2"/>
      <c r="C382" s="2"/>
      <c r="D382" s="2"/>
      <c r="E382" s="2"/>
      <c r="F382" s="2"/>
      <c r="G382" s="2"/>
      <c r="H382" s="2"/>
      <c r="I382" s="7"/>
      <c r="J382" s="90"/>
      <c r="K382" s="2"/>
      <c r="M382" s="3"/>
    </row>
    <row r="383" spans="1:16" ht="15.75" customHeight="1">
      <c r="A383" s="2"/>
      <c r="B383" s="2"/>
      <c r="C383" s="2"/>
      <c r="D383" s="2"/>
      <c r="E383" s="2"/>
      <c r="F383" s="2"/>
      <c r="G383" s="2"/>
      <c r="H383" s="2"/>
      <c r="I383" s="81"/>
      <c r="J383" s="2"/>
      <c r="K383" s="2"/>
      <c r="M383" s="3"/>
      <c r="P383" s="55"/>
    </row>
    <row r="384" spans="1:16" ht="15.75" customHeight="1">
      <c r="A384" s="2"/>
      <c r="B384" s="2"/>
      <c r="C384" s="2"/>
      <c r="D384" s="2"/>
      <c r="E384" s="2"/>
      <c r="F384" s="2"/>
      <c r="G384" s="2"/>
      <c r="H384" s="2"/>
      <c r="I384" s="81"/>
      <c r="J384" s="2"/>
      <c r="K384" s="2"/>
      <c r="M384" s="3"/>
    </row>
    <row r="385" spans="1:13" ht="15.75" customHeight="1">
      <c r="A385" s="2"/>
      <c r="B385" s="2"/>
      <c r="C385" s="2"/>
      <c r="D385" s="2"/>
      <c r="E385" s="2"/>
      <c r="F385" s="2"/>
      <c r="G385" s="2"/>
      <c r="H385" s="2"/>
      <c r="I385" s="81"/>
      <c r="J385" s="2"/>
      <c r="K385" s="2"/>
      <c r="M385" s="3"/>
    </row>
    <row r="386" spans="1:13" ht="15.75" customHeight="1">
      <c r="A386" s="2"/>
      <c r="B386" s="2"/>
      <c r="C386" s="2"/>
      <c r="D386" s="2"/>
      <c r="E386" s="2"/>
      <c r="F386" s="2"/>
      <c r="G386" s="2"/>
      <c r="H386" s="2"/>
      <c r="I386" s="81"/>
      <c r="J386" s="2"/>
      <c r="K386" s="2"/>
      <c r="M386" s="3"/>
    </row>
    <row r="387" spans="1:13" ht="15.75" customHeight="1">
      <c r="A387" s="2"/>
      <c r="B387" s="2"/>
      <c r="C387" s="2"/>
      <c r="D387" s="2"/>
      <c r="E387" s="2"/>
      <c r="F387" s="2"/>
      <c r="G387" s="2"/>
      <c r="H387" s="2"/>
      <c r="I387" s="81"/>
      <c r="J387" s="2"/>
      <c r="K387" s="2"/>
      <c r="M387" s="3"/>
    </row>
    <row r="388" spans="1:13" ht="15.75" customHeight="1">
      <c r="A388" s="2"/>
      <c r="B388" s="2"/>
      <c r="C388" s="2"/>
      <c r="D388" s="2"/>
      <c r="E388" s="2"/>
      <c r="F388" s="2"/>
      <c r="G388" s="2"/>
      <c r="H388" s="2"/>
      <c r="I388" s="81"/>
      <c r="J388" s="2"/>
      <c r="K388" s="2"/>
      <c r="M388" s="3"/>
    </row>
    <row r="389" spans="1:13" ht="15.75" customHeight="1">
      <c r="A389" s="2"/>
      <c r="B389" s="2"/>
      <c r="C389" s="2"/>
      <c r="D389" s="2"/>
      <c r="E389" s="2"/>
      <c r="F389" s="2"/>
      <c r="G389" s="2"/>
      <c r="H389" s="2"/>
      <c r="I389" s="81"/>
      <c r="J389" s="2"/>
      <c r="K389" s="2"/>
      <c r="M389" s="3"/>
    </row>
    <row r="390" spans="1:13" ht="15.75" customHeight="1">
      <c r="A390" s="2"/>
      <c r="B390" s="2"/>
      <c r="C390" s="2"/>
      <c r="D390" s="2"/>
      <c r="E390" s="2"/>
      <c r="F390" s="2"/>
      <c r="G390" s="2"/>
      <c r="H390" s="2"/>
      <c r="I390" s="81"/>
      <c r="J390" s="2"/>
      <c r="K390" s="2"/>
      <c r="M390" s="3"/>
    </row>
    <row r="391" spans="1:13" ht="15.75" customHeight="1">
      <c r="A391" s="2"/>
      <c r="B391" s="2"/>
      <c r="C391" s="2"/>
      <c r="D391" s="2"/>
      <c r="E391" s="2"/>
      <c r="F391" s="2"/>
      <c r="G391" s="2"/>
      <c r="H391" s="2"/>
      <c r="I391" s="81"/>
      <c r="J391" s="2"/>
      <c r="K391" s="2"/>
      <c r="M391" s="3"/>
    </row>
    <row r="392" spans="1:13" ht="15.75" customHeight="1">
      <c r="A392" s="2"/>
      <c r="B392" s="2"/>
      <c r="C392" s="2"/>
      <c r="D392" s="2"/>
      <c r="E392" s="2"/>
      <c r="F392" s="2"/>
      <c r="G392" s="2"/>
      <c r="H392" s="2"/>
      <c r="I392" s="81"/>
      <c r="J392" s="2"/>
      <c r="K392" s="2"/>
      <c r="M392" s="3"/>
    </row>
    <row r="393" spans="1:13" ht="15.75" customHeight="1">
      <c r="A393" s="2"/>
      <c r="B393" s="2"/>
      <c r="C393" s="2"/>
      <c r="D393" s="2"/>
      <c r="E393" s="2"/>
      <c r="F393" s="2"/>
      <c r="G393" s="2"/>
      <c r="H393" s="2"/>
      <c r="I393" s="81"/>
      <c r="J393" s="2"/>
      <c r="K393" s="2"/>
      <c r="M393" s="3"/>
    </row>
    <row r="394" spans="1:13" ht="15.75" customHeight="1">
      <c r="A394" s="2"/>
      <c r="B394" s="2"/>
      <c r="C394" s="2"/>
      <c r="D394" s="2"/>
      <c r="E394" s="2"/>
      <c r="F394" s="2"/>
      <c r="G394" s="2"/>
      <c r="H394" s="2"/>
      <c r="I394" s="81"/>
      <c r="J394" s="2"/>
      <c r="K394" s="2"/>
      <c r="M394" s="3"/>
    </row>
    <row r="395" spans="1:13" ht="15.75" customHeight="1">
      <c r="A395" s="2"/>
      <c r="B395" s="2"/>
      <c r="C395" s="2"/>
      <c r="D395" s="2"/>
      <c r="E395" s="2"/>
      <c r="F395" s="2"/>
      <c r="G395" s="2"/>
      <c r="H395" s="2"/>
      <c r="I395" s="81"/>
      <c r="J395" s="2"/>
      <c r="K395" s="2"/>
      <c r="M395" s="3"/>
    </row>
    <row r="396" spans="1:13" ht="15.75" customHeight="1">
      <c r="A396" s="2"/>
      <c r="B396" s="2"/>
      <c r="C396" s="2"/>
      <c r="D396" s="2"/>
      <c r="E396" s="2"/>
      <c r="F396" s="2"/>
      <c r="G396" s="2"/>
      <c r="H396" s="2"/>
      <c r="I396" s="81"/>
      <c r="J396" s="2"/>
      <c r="K396" s="2"/>
      <c r="M396" s="3"/>
    </row>
    <row r="397" spans="1:13" ht="15.75" customHeight="1">
      <c r="A397" s="2"/>
      <c r="B397" s="2"/>
      <c r="C397" s="2"/>
      <c r="D397" s="2"/>
      <c r="E397" s="2"/>
      <c r="F397" s="2"/>
      <c r="G397" s="2"/>
      <c r="H397" s="2"/>
      <c r="I397" s="81"/>
      <c r="J397" s="2"/>
      <c r="K397" s="2"/>
      <c r="M397" s="3"/>
    </row>
    <row r="398" spans="1:13" ht="15.75" customHeight="1">
      <c r="A398" s="2"/>
      <c r="B398" s="2"/>
      <c r="C398" s="2"/>
      <c r="D398" s="2"/>
      <c r="E398" s="2"/>
      <c r="F398" s="2"/>
      <c r="G398" s="2"/>
      <c r="H398" s="2"/>
      <c r="I398" s="81"/>
      <c r="J398" s="2"/>
      <c r="K398" s="2"/>
      <c r="M398" s="3"/>
    </row>
    <row r="399" spans="1:13" ht="15.75" customHeight="1">
      <c r="A399" s="2"/>
      <c r="B399" s="2"/>
      <c r="C399" s="2"/>
      <c r="D399" s="2"/>
      <c r="E399" s="2"/>
      <c r="F399" s="2"/>
      <c r="G399" s="2"/>
      <c r="H399" s="2"/>
      <c r="I399" s="81"/>
      <c r="J399" s="2"/>
      <c r="K399" s="2"/>
      <c r="M399" s="3"/>
    </row>
    <row r="400" spans="1:13" ht="15.75" customHeight="1">
      <c r="A400" s="2"/>
      <c r="B400" s="2"/>
      <c r="C400" s="2"/>
      <c r="D400" s="2"/>
      <c r="E400" s="2"/>
      <c r="F400" s="2"/>
      <c r="G400" s="2"/>
      <c r="H400" s="2"/>
      <c r="I400" s="81"/>
      <c r="J400" s="2"/>
      <c r="K400" s="2"/>
      <c r="M400" s="3"/>
    </row>
    <row r="401" spans="1:18" ht="15.75" customHeight="1">
      <c r="A401" s="2"/>
      <c r="B401" s="2"/>
      <c r="C401" s="2"/>
      <c r="D401" s="2"/>
      <c r="E401" s="2"/>
      <c r="F401" s="2"/>
      <c r="G401" s="2"/>
      <c r="H401" s="2"/>
      <c r="I401" s="81"/>
      <c r="J401" s="2"/>
      <c r="K401" s="2"/>
      <c r="M401" s="3"/>
    </row>
    <row r="402" spans="1:18" ht="15.75" customHeight="1">
      <c r="A402" s="2"/>
      <c r="B402" s="2"/>
      <c r="C402" s="2"/>
      <c r="D402" s="2"/>
      <c r="E402" s="2"/>
      <c r="F402" s="2"/>
      <c r="G402" s="2"/>
      <c r="H402" s="2"/>
      <c r="I402" s="81"/>
      <c r="J402" s="2"/>
      <c r="K402" s="2"/>
      <c r="M402" s="3"/>
      <c r="R402" s="55"/>
    </row>
    <row r="403" spans="1:18" ht="15.75" customHeight="1">
      <c r="A403" s="2"/>
      <c r="B403" s="2"/>
      <c r="C403" s="2"/>
      <c r="D403" s="2"/>
      <c r="E403" s="2"/>
      <c r="F403" s="2"/>
      <c r="G403" s="2"/>
      <c r="H403" s="2"/>
      <c r="I403" s="81"/>
      <c r="J403" s="2"/>
      <c r="K403" s="2"/>
      <c r="M403" s="3"/>
    </row>
    <row r="404" spans="1:18" ht="15.75" customHeight="1">
      <c r="A404" s="2"/>
      <c r="B404" s="2"/>
      <c r="C404" s="2"/>
      <c r="D404" s="2"/>
      <c r="E404" s="2"/>
      <c r="F404" s="2"/>
      <c r="G404" s="2"/>
      <c r="H404" s="2"/>
      <c r="I404" s="81"/>
      <c r="J404" s="2"/>
      <c r="K404" s="2"/>
      <c r="M404" s="3"/>
    </row>
    <row r="405" spans="1:18" ht="15.75" customHeight="1">
      <c r="A405" s="2"/>
      <c r="B405" s="2"/>
      <c r="C405" s="2"/>
      <c r="D405" s="2"/>
      <c r="E405" s="2"/>
      <c r="F405" s="2"/>
      <c r="G405" s="2"/>
      <c r="H405" s="2"/>
      <c r="I405" s="81"/>
      <c r="J405" s="2"/>
      <c r="K405" s="2"/>
      <c r="M405" s="3"/>
      <c r="P405" s="55"/>
    </row>
    <row r="406" spans="1:18" ht="15.75" customHeight="1">
      <c r="A406" s="2"/>
      <c r="B406" s="2"/>
      <c r="C406" s="2"/>
      <c r="D406" s="2"/>
      <c r="E406" s="2"/>
      <c r="F406" s="2"/>
      <c r="G406" s="2"/>
      <c r="H406" s="2"/>
      <c r="I406" s="81"/>
      <c r="J406" s="2"/>
      <c r="K406" s="2"/>
      <c r="M406" s="3"/>
    </row>
    <row r="407" spans="1:18" ht="15.75" customHeight="1">
      <c r="A407" s="2"/>
      <c r="B407" s="2"/>
      <c r="C407" s="2"/>
      <c r="D407" s="2"/>
      <c r="E407" s="2"/>
      <c r="F407" s="2"/>
      <c r="G407" s="2"/>
      <c r="H407" s="2"/>
      <c r="I407" s="81"/>
      <c r="J407" s="2"/>
      <c r="K407" s="2"/>
      <c r="M407" s="3"/>
    </row>
    <row r="408" spans="1:18" ht="15.75" customHeight="1">
      <c r="A408" s="2"/>
      <c r="B408" s="2"/>
      <c r="C408" s="2"/>
      <c r="D408" s="2"/>
      <c r="E408" s="2"/>
      <c r="F408" s="2"/>
      <c r="G408" s="2"/>
      <c r="H408" s="2"/>
      <c r="I408" s="81"/>
      <c r="J408" s="2"/>
      <c r="K408" s="2"/>
      <c r="M408" s="3"/>
    </row>
    <row r="409" spans="1:18" ht="15.75" customHeight="1">
      <c r="A409" s="2"/>
      <c r="B409" s="2"/>
      <c r="C409" s="2"/>
      <c r="D409" s="2"/>
      <c r="E409" s="2"/>
      <c r="F409" s="2"/>
      <c r="G409" s="2"/>
      <c r="H409" s="2"/>
      <c r="I409" s="81"/>
      <c r="J409" s="2"/>
      <c r="K409" s="2"/>
      <c r="M409" s="3"/>
    </row>
    <row r="410" spans="1:18" ht="15.75" customHeight="1">
      <c r="A410" s="2"/>
      <c r="B410" s="2"/>
      <c r="C410" s="2"/>
      <c r="D410" s="2"/>
      <c r="E410" s="2"/>
      <c r="F410" s="2"/>
      <c r="G410" s="2"/>
      <c r="H410" s="2"/>
      <c r="I410" s="81"/>
      <c r="J410" s="2"/>
      <c r="K410" s="2"/>
      <c r="M410" s="3"/>
    </row>
    <row r="411" spans="1:18" ht="15.75" customHeight="1">
      <c r="A411" s="2"/>
      <c r="B411" s="2"/>
      <c r="C411" s="2"/>
      <c r="D411" s="2"/>
      <c r="E411" s="2"/>
      <c r="F411" s="2"/>
      <c r="G411" s="2"/>
      <c r="H411" s="2"/>
      <c r="I411" s="81"/>
      <c r="J411" s="2"/>
      <c r="K411" s="2"/>
      <c r="M411" s="3"/>
    </row>
    <row r="412" spans="1:18" ht="15.75" customHeight="1">
      <c r="A412" s="2"/>
      <c r="B412" s="2"/>
      <c r="C412" s="2"/>
      <c r="D412" s="2"/>
      <c r="E412" s="2"/>
      <c r="F412" s="2"/>
      <c r="G412" s="2"/>
      <c r="H412" s="2"/>
      <c r="I412" s="81"/>
      <c r="J412" s="2"/>
      <c r="K412" s="2"/>
      <c r="M412" s="3"/>
    </row>
    <row r="413" spans="1:18" ht="15.75" customHeight="1">
      <c r="A413" s="2"/>
      <c r="B413" s="2"/>
      <c r="C413" s="2"/>
      <c r="D413" s="2"/>
      <c r="E413" s="2"/>
      <c r="F413" s="2"/>
      <c r="G413" s="2"/>
      <c r="H413" s="2"/>
      <c r="I413" s="81"/>
      <c r="J413" s="2"/>
      <c r="K413" s="2"/>
      <c r="M413" s="3"/>
    </row>
    <row r="414" spans="1:18" ht="15.75" customHeight="1">
      <c r="A414" s="2"/>
      <c r="B414" s="2"/>
      <c r="C414" s="2"/>
      <c r="D414" s="2"/>
      <c r="E414" s="2"/>
      <c r="F414" s="2"/>
      <c r="G414" s="2"/>
      <c r="H414" s="2"/>
      <c r="I414" s="81"/>
      <c r="J414" s="2"/>
      <c r="K414" s="2"/>
      <c r="M414" s="3"/>
    </row>
    <row r="415" spans="1:18" ht="15.75" customHeight="1">
      <c r="A415" s="2"/>
      <c r="B415" s="2"/>
      <c r="C415" s="2"/>
      <c r="D415" s="2"/>
      <c r="E415" s="2"/>
      <c r="F415" s="2"/>
      <c r="G415" s="2"/>
      <c r="H415" s="2"/>
      <c r="I415" s="81"/>
      <c r="J415" s="2"/>
      <c r="K415" s="2"/>
      <c r="M415" s="3"/>
    </row>
    <row r="416" spans="1:18" ht="15.75" customHeight="1">
      <c r="A416" s="2"/>
      <c r="B416" s="2"/>
      <c r="C416" s="2"/>
      <c r="D416" s="2"/>
      <c r="E416" s="2"/>
      <c r="F416" s="2"/>
      <c r="G416" s="2"/>
      <c r="H416" s="2"/>
      <c r="I416" s="81"/>
      <c r="J416" s="2"/>
      <c r="K416" s="2"/>
      <c r="M416" s="3"/>
    </row>
    <row r="417" spans="1:18" ht="15.75" customHeight="1">
      <c r="A417" s="2"/>
      <c r="B417" s="2"/>
      <c r="C417" s="2"/>
      <c r="D417" s="2"/>
      <c r="E417" s="2"/>
      <c r="F417" s="2"/>
      <c r="G417" s="2"/>
      <c r="H417" s="2"/>
      <c r="I417" s="81"/>
      <c r="J417" s="2"/>
      <c r="K417" s="2"/>
      <c r="M417" s="3"/>
    </row>
    <row r="418" spans="1:18" ht="15.75" customHeight="1">
      <c r="A418" s="2"/>
      <c r="B418" s="2"/>
      <c r="C418" s="2"/>
      <c r="D418" s="2"/>
      <c r="E418" s="2"/>
      <c r="F418" s="2"/>
      <c r="G418" s="2"/>
      <c r="H418" s="2"/>
      <c r="I418" s="81"/>
      <c r="J418" s="2"/>
      <c r="K418" s="2"/>
      <c r="M418" s="3"/>
    </row>
    <row r="419" spans="1:18" ht="15.75" customHeight="1">
      <c r="A419" s="2"/>
      <c r="B419" s="2"/>
      <c r="C419" s="2"/>
      <c r="D419" s="2"/>
      <c r="E419" s="2"/>
      <c r="F419" s="2"/>
      <c r="G419" s="2"/>
      <c r="H419" s="2"/>
      <c r="I419" s="81"/>
      <c r="J419" s="2"/>
      <c r="K419" s="2"/>
      <c r="M419" s="3"/>
    </row>
    <row r="420" spans="1:18" ht="15.75" customHeight="1">
      <c r="A420" s="2"/>
      <c r="B420" s="2"/>
      <c r="C420" s="2"/>
      <c r="D420" s="2"/>
      <c r="E420" s="2"/>
      <c r="F420" s="2"/>
      <c r="G420" s="2"/>
      <c r="H420" s="2"/>
      <c r="I420" s="81"/>
      <c r="J420" s="2"/>
      <c r="K420" s="2"/>
      <c r="M420" s="3"/>
    </row>
    <row r="421" spans="1:18" ht="15.75" customHeight="1">
      <c r="A421" s="2"/>
      <c r="B421" s="2"/>
      <c r="C421" s="2"/>
      <c r="D421" s="2"/>
      <c r="E421" s="2"/>
      <c r="F421" s="2"/>
      <c r="G421" s="2"/>
      <c r="H421" s="2"/>
      <c r="I421" s="81"/>
      <c r="J421" s="2"/>
      <c r="K421" s="2"/>
      <c r="M421" s="3"/>
    </row>
    <row r="422" spans="1:18" ht="15.75" customHeight="1">
      <c r="A422" s="2"/>
      <c r="B422" s="2"/>
      <c r="C422" s="2"/>
      <c r="D422" s="2"/>
      <c r="E422" s="2"/>
      <c r="F422" s="2"/>
      <c r="G422" s="2"/>
      <c r="H422" s="2"/>
      <c r="I422" s="81"/>
      <c r="J422" s="2"/>
      <c r="K422" s="2"/>
      <c r="M422" s="3"/>
    </row>
    <row r="423" spans="1:18" ht="15.75" customHeight="1">
      <c r="A423" s="2"/>
      <c r="B423" s="2"/>
      <c r="C423" s="2"/>
      <c r="D423" s="2"/>
      <c r="E423" s="2"/>
      <c r="F423" s="2"/>
      <c r="G423" s="2"/>
      <c r="H423" s="2"/>
      <c r="I423" s="81"/>
      <c r="J423" s="2"/>
      <c r="K423" s="2"/>
      <c r="M423" s="3"/>
    </row>
    <row r="424" spans="1:18" ht="15.75" customHeight="1">
      <c r="A424" s="2"/>
      <c r="B424" s="2"/>
      <c r="C424" s="2"/>
      <c r="D424" s="2"/>
      <c r="E424" s="2"/>
      <c r="F424" s="2"/>
      <c r="G424" s="2"/>
      <c r="H424" s="2"/>
      <c r="I424" s="81"/>
      <c r="J424" s="2"/>
      <c r="K424" s="2"/>
      <c r="M424" s="3"/>
    </row>
    <row r="425" spans="1:18" ht="15.75" customHeight="1">
      <c r="A425" s="2"/>
      <c r="B425" s="2"/>
      <c r="C425" s="2"/>
      <c r="D425" s="2"/>
      <c r="E425" s="2"/>
      <c r="F425" s="2"/>
      <c r="G425" s="2"/>
      <c r="H425" s="2"/>
      <c r="I425" s="81"/>
      <c r="J425" s="2"/>
      <c r="K425" s="2"/>
      <c r="M425" s="3"/>
      <c r="R425" s="55"/>
    </row>
    <row r="426" spans="1:18" ht="15.75" customHeight="1">
      <c r="A426" s="2"/>
      <c r="B426" s="2"/>
      <c r="C426" s="2"/>
      <c r="D426" s="2"/>
      <c r="E426" s="2"/>
      <c r="F426" s="2"/>
      <c r="G426" s="2"/>
      <c r="H426" s="2"/>
      <c r="I426" s="81"/>
      <c r="J426" s="2"/>
      <c r="K426" s="2"/>
      <c r="M426" s="3"/>
    </row>
    <row r="427" spans="1:18" ht="15.75" customHeight="1">
      <c r="A427" s="2"/>
      <c r="B427" s="2"/>
      <c r="C427" s="2"/>
      <c r="D427" s="2"/>
      <c r="E427" s="2"/>
      <c r="F427" s="2"/>
      <c r="G427" s="2"/>
      <c r="H427" s="2"/>
      <c r="I427" s="81"/>
      <c r="J427" s="2"/>
      <c r="K427" s="2"/>
      <c r="M427" s="3"/>
    </row>
    <row r="428" spans="1:18" ht="15.75" customHeight="1">
      <c r="A428" s="2"/>
      <c r="B428" s="2"/>
      <c r="C428" s="2"/>
      <c r="D428" s="2"/>
      <c r="E428" s="2"/>
      <c r="F428" s="2"/>
      <c r="G428" s="2"/>
      <c r="H428" s="2"/>
      <c r="I428" s="81"/>
      <c r="J428" s="2"/>
      <c r="K428" s="2"/>
      <c r="M428" s="3"/>
    </row>
    <row r="429" spans="1:18" ht="15.75" customHeight="1">
      <c r="A429" s="2"/>
      <c r="B429" s="2"/>
      <c r="C429" s="2"/>
      <c r="D429" s="2"/>
      <c r="E429" s="2"/>
      <c r="F429" s="2"/>
      <c r="G429" s="2"/>
      <c r="H429" s="2"/>
      <c r="I429" s="81"/>
      <c r="J429" s="2"/>
      <c r="K429" s="2"/>
      <c r="M429" s="3"/>
      <c r="P429" s="55"/>
    </row>
    <row r="430" spans="1:18" ht="15.75" customHeight="1">
      <c r="A430" s="2"/>
      <c r="B430" s="2"/>
      <c r="C430" s="2"/>
      <c r="D430" s="2"/>
      <c r="E430" s="2"/>
      <c r="F430" s="2"/>
      <c r="G430" s="2"/>
      <c r="H430" s="2"/>
      <c r="I430" s="81"/>
      <c r="J430" s="2"/>
      <c r="K430" s="2"/>
      <c r="M430" s="3"/>
    </row>
    <row r="431" spans="1:18" ht="15.75" customHeight="1">
      <c r="A431" s="2"/>
      <c r="B431" s="2"/>
      <c r="C431" s="2"/>
      <c r="D431" s="2"/>
      <c r="E431" s="2"/>
      <c r="F431" s="2"/>
      <c r="G431" s="2"/>
      <c r="H431" s="2"/>
      <c r="I431" s="81"/>
      <c r="J431" s="2"/>
      <c r="K431" s="2"/>
      <c r="M431" s="3"/>
    </row>
    <row r="432" spans="1:18" ht="15.75" customHeight="1">
      <c r="A432" s="2"/>
      <c r="B432" s="2"/>
      <c r="C432" s="2"/>
      <c r="D432" s="2"/>
      <c r="E432" s="2"/>
      <c r="F432" s="2"/>
      <c r="G432" s="2"/>
      <c r="H432" s="2"/>
      <c r="I432" s="81"/>
      <c r="J432" s="2"/>
      <c r="K432" s="2"/>
      <c r="M432" s="3"/>
    </row>
    <row r="433" spans="1:16" ht="15.75" customHeight="1">
      <c r="A433" s="2"/>
      <c r="B433" s="2"/>
      <c r="C433" s="2"/>
      <c r="D433" s="2"/>
      <c r="E433" s="2"/>
      <c r="F433" s="2"/>
      <c r="G433" s="2"/>
      <c r="H433" s="2"/>
      <c r="I433" s="81"/>
      <c r="J433" s="2"/>
      <c r="K433" s="2"/>
      <c r="M433" s="3"/>
    </row>
    <row r="434" spans="1:16" ht="15.75" customHeight="1">
      <c r="A434" s="2"/>
      <c r="B434" s="2"/>
      <c r="C434" s="2"/>
      <c r="D434" s="2"/>
      <c r="E434" s="2"/>
      <c r="F434" s="2"/>
      <c r="G434" s="2"/>
      <c r="H434" s="2"/>
      <c r="I434" s="81"/>
      <c r="J434" s="2"/>
      <c r="K434" s="2"/>
      <c r="M434" s="3"/>
    </row>
    <row r="435" spans="1:16" ht="15.75" customHeight="1">
      <c r="A435" s="2"/>
      <c r="B435" s="2"/>
      <c r="C435" s="2"/>
      <c r="D435" s="2"/>
      <c r="E435" s="2"/>
      <c r="F435" s="2"/>
      <c r="G435" s="2"/>
      <c r="H435" s="2"/>
      <c r="I435" s="81"/>
      <c r="J435" s="2"/>
      <c r="K435" s="2"/>
      <c r="M435" s="3"/>
      <c r="P435" s="55"/>
    </row>
    <row r="436" spans="1:16" ht="15.75" customHeight="1">
      <c r="A436" s="2"/>
      <c r="B436" s="2"/>
      <c r="C436" s="2"/>
      <c r="D436" s="2"/>
      <c r="E436" s="2"/>
      <c r="F436" s="2"/>
      <c r="G436" s="2"/>
      <c r="H436" s="2"/>
      <c r="I436" s="81"/>
      <c r="J436" s="2"/>
      <c r="K436" s="2"/>
      <c r="M436" s="3"/>
    </row>
    <row r="437" spans="1:16" ht="15.75" customHeight="1">
      <c r="A437" s="2"/>
      <c r="B437" s="2"/>
      <c r="C437" s="2"/>
      <c r="D437" s="2"/>
      <c r="E437" s="2"/>
      <c r="F437" s="2"/>
      <c r="G437" s="2"/>
      <c r="H437" s="2"/>
      <c r="I437" s="81"/>
      <c r="J437" s="2"/>
      <c r="K437" s="2"/>
      <c r="M437" s="3"/>
    </row>
    <row r="438" spans="1:16" ht="15.75" customHeight="1">
      <c r="A438" s="2"/>
      <c r="B438" s="2"/>
      <c r="C438" s="2"/>
      <c r="D438" s="2"/>
      <c r="E438" s="2"/>
      <c r="F438" s="2"/>
      <c r="G438" s="2"/>
      <c r="H438" s="2"/>
      <c r="I438" s="81"/>
      <c r="J438" s="2"/>
      <c r="K438" s="2"/>
      <c r="M438" s="3"/>
    </row>
    <row r="439" spans="1:16" ht="15.75" customHeight="1">
      <c r="A439" s="2"/>
      <c r="B439" s="2"/>
      <c r="C439" s="2"/>
      <c r="D439" s="2"/>
      <c r="E439" s="2"/>
      <c r="F439" s="2"/>
      <c r="G439" s="2"/>
      <c r="H439" s="2"/>
      <c r="I439" s="81"/>
      <c r="J439" s="2"/>
      <c r="K439" s="2"/>
      <c r="M439" s="3"/>
    </row>
    <row r="440" spans="1:16" ht="15.75" customHeight="1">
      <c r="A440" s="2"/>
      <c r="B440" s="2"/>
      <c r="C440" s="2"/>
      <c r="D440" s="2"/>
      <c r="E440" s="2"/>
      <c r="F440" s="2"/>
      <c r="G440" s="2"/>
      <c r="H440" s="2"/>
      <c r="I440" s="81"/>
      <c r="J440" s="2"/>
      <c r="K440" s="2"/>
      <c r="M440" s="3"/>
    </row>
    <row r="441" spans="1:16" ht="15.75" customHeight="1">
      <c r="A441" s="2"/>
      <c r="B441" s="2"/>
      <c r="C441" s="2"/>
      <c r="D441" s="2"/>
      <c r="E441" s="2"/>
      <c r="F441" s="2"/>
      <c r="G441" s="2"/>
      <c r="H441" s="2"/>
      <c r="I441" s="81"/>
      <c r="J441" s="2"/>
      <c r="K441" s="2"/>
      <c r="M441" s="3"/>
    </row>
    <row r="442" spans="1:16" ht="15.75" customHeight="1">
      <c r="A442" s="2"/>
      <c r="B442" s="2"/>
      <c r="C442" s="2"/>
      <c r="D442" s="2"/>
      <c r="E442" s="2"/>
      <c r="F442" s="2"/>
      <c r="G442" s="2"/>
      <c r="H442" s="2"/>
      <c r="I442" s="81"/>
      <c r="J442" s="2"/>
      <c r="K442" s="2"/>
      <c r="M442" s="3"/>
    </row>
    <row r="443" spans="1:16" ht="15.75" customHeight="1">
      <c r="A443" s="2"/>
      <c r="B443" s="2"/>
      <c r="C443" s="2"/>
      <c r="D443" s="2"/>
      <c r="E443" s="2"/>
      <c r="F443" s="2"/>
      <c r="G443" s="2"/>
      <c r="H443" s="2"/>
      <c r="I443" s="81"/>
      <c r="J443" s="2"/>
      <c r="K443" s="2"/>
      <c r="M443" s="3"/>
    </row>
    <row r="444" spans="1:16" ht="15.75" customHeight="1">
      <c r="A444" s="2"/>
      <c r="B444" s="2"/>
      <c r="C444" s="2"/>
      <c r="D444" s="2"/>
      <c r="E444" s="2"/>
      <c r="F444" s="2"/>
      <c r="G444" s="2"/>
      <c r="H444" s="2"/>
      <c r="I444" s="81"/>
      <c r="J444" s="2"/>
      <c r="K444" s="2"/>
      <c r="M444" s="3"/>
    </row>
    <row r="445" spans="1:16" ht="15.75" customHeight="1">
      <c r="A445" s="2"/>
      <c r="B445" s="2"/>
      <c r="C445" s="2"/>
      <c r="D445" s="2"/>
      <c r="E445" s="2"/>
      <c r="F445" s="2"/>
      <c r="G445" s="2"/>
      <c r="H445" s="2"/>
      <c r="I445" s="81"/>
      <c r="J445" s="2"/>
      <c r="K445" s="2"/>
      <c r="M445" s="3"/>
    </row>
    <row r="446" spans="1:16" ht="15.75" customHeight="1">
      <c r="A446" s="2"/>
      <c r="B446" s="2"/>
      <c r="C446" s="2"/>
      <c r="D446" s="2"/>
      <c r="E446" s="2"/>
      <c r="F446" s="2"/>
      <c r="G446" s="2"/>
      <c r="H446" s="2"/>
      <c r="I446" s="81"/>
      <c r="J446" s="2"/>
      <c r="K446" s="2"/>
      <c r="M446" s="3"/>
    </row>
    <row r="447" spans="1:16" ht="15.75" customHeight="1">
      <c r="A447" s="2"/>
      <c r="B447" s="2"/>
      <c r="C447" s="2"/>
      <c r="D447" s="2"/>
      <c r="E447" s="2"/>
      <c r="F447" s="2"/>
      <c r="G447" s="2"/>
      <c r="H447" s="2"/>
      <c r="I447" s="81"/>
      <c r="J447" s="2"/>
      <c r="K447" s="2"/>
      <c r="M447" s="3"/>
      <c r="P447" s="55"/>
    </row>
    <row r="448" spans="1:16" ht="15.75" customHeight="1">
      <c r="A448" s="2"/>
      <c r="B448" s="2"/>
      <c r="C448" s="2"/>
      <c r="D448" s="2"/>
      <c r="E448" s="2"/>
      <c r="F448" s="2"/>
      <c r="G448" s="2"/>
      <c r="H448" s="2"/>
      <c r="I448" s="81"/>
      <c r="J448" s="2"/>
      <c r="K448" s="2"/>
      <c r="M448" s="3"/>
    </row>
    <row r="449" spans="1:16" ht="15.75" customHeight="1">
      <c r="A449" s="2"/>
      <c r="B449" s="2"/>
      <c r="C449" s="2"/>
      <c r="D449" s="2"/>
      <c r="E449" s="2"/>
      <c r="F449" s="2"/>
      <c r="G449" s="2"/>
      <c r="H449" s="2"/>
      <c r="I449" s="81"/>
      <c r="J449" s="2"/>
      <c r="K449" s="2"/>
      <c r="M449" s="3"/>
      <c r="P449" s="55"/>
    </row>
    <row r="450" spans="1:16" ht="15.75" customHeight="1">
      <c r="A450" s="2"/>
      <c r="B450" s="2"/>
      <c r="C450" s="2"/>
      <c r="D450" s="2"/>
      <c r="E450" s="2"/>
      <c r="F450" s="2"/>
      <c r="G450" s="2"/>
      <c r="H450" s="2"/>
      <c r="I450" s="81"/>
      <c r="J450" s="2"/>
      <c r="K450" s="2"/>
      <c r="M450" s="3"/>
    </row>
    <row r="451" spans="1:16" ht="15.75" customHeight="1">
      <c r="A451" s="2"/>
      <c r="B451" s="2"/>
      <c r="C451" s="2"/>
      <c r="D451" s="2"/>
      <c r="E451" s="2"/>
      <c r="F451" s="2"/>
      <c r="G451" s="2"/>
      <c r="H451" s="2"/>
      <c r="I451" s="81"/>
      <c r="J451" s="2"/>
      <c r="K451" s="2"/>
      <c r="M451" s="3"/>
      <c r="P451" s="55"/>
    </row>
    <row r="452" spans="1:16" ht="15.75" customHeight="1">
      <c r="A452" s="2"/>
      <c r="B452" s="2"/>
      <c r="C452" s="2"/>
      <c r="D452" s="2"/>
      <c r="E452" s="2"/>
      <c r="F452" s="2"/>
      <c r="G452" s="2"/>
      <c r="H452" s="2"/>
      <c r="I452" s="81"/>
      <c r="J452" s="2"/>
      <c r="K452" s="2"/>
      <c r="M452" s="3"/>
    </row>
    <row r="453" spans="1:16" ht="15.75" customHeight="1">
      <c r="A453" s="2"/>
      <c r="B453" s="2"/>
      <c r="C453" s="2"/>
      <c r="D453" s="2"/>
      <c r="E453" s="2"/>
      <c r="F453" s="2"/>
      <c r="G453" s="2"/>
      <c r="H453" s="2"/>
      <c r="I453" s="81"/>
      <c r="J453" s="2"/>
      <c r="K453" s="2"/>
      <c r="M453" s="3"/>
      <c r="P453" s="55"/>
    </row>
    <row r="454" spans="1:16" ht="15.75" customHeight="1">
      <c r="A454" s="2"/>
      <c r="B454" s="2"/>
      <c r="C454" s="2"/>
      <c r="D454" s="2"/>
      <c r="E454" s="2"/>
      <c r="F454" s="2"/>
      <c r="G454" s="2"/>
      <c r="H454" s="2"/>
      <c r="I454" s="81"/>
      <c r="J454" s="2"/>
      <c r="K454" s="2"/>
      <c r="M454" s="3"/>
    </row>
    <row r="455" spans="1:16" ht="15.75" customHeight="1">
      <c r="A455" s="2"/>
      <c r="B455" s="2"/>
      <c r="C455" s="2"/>
      <c r="D455" s="2"/>
      <c r="E455" s="2"/>
      <c r="F455" s="2"/>
      <c r="G455" s="2"/>
      <c r="H455" s="2"/>
      <c r="I455" s="81"/>
      <c r="J455" s="2"/>
      <c r="K455" s="2"/>
      <c r="M455" s="3"/>
      <c r="P455" s="55"/>
    </row>
    <row r="456" spans="1:16" ht="15.75" customHeight="1">
      <c r="A456" s="2"/>
      <c r="B456" s="2"/>
      <c r="C456" s="2"/>
      <c r="D456" s="2"/>
      <c r="E456" s="2"/>
      <c r="F456" s="2"/>
      <c r="G456" s="2"/>
      <c r="H456" s="2"/>
      <c r="I456" s="81"/>
      <c r="J456" s="2"/>
      <c r="K456" s="2"/>
      <c r="M456" s="3"/>
      <c r="P456" s="55"/>
    </row>
    <row r="457" spans="1:16" ht="15.75" customHeight="1">
      <c r="A457" s="2"/>
      <c r="B457" s="2"/>
      <c r="C457" s="2"/>
      <c r="D457" s="2"/>
      <c r="E457" s="2"/>
      <c r="F457" s="2"/>
      <c r="G457" s="2"/>
      <c r="H457" s="2"/>
      <c r="I457" s="81"/>
      <c r="J457" s="2"/>
      <c r="K457" s="2"/>
      <c r="M457" s="3"/>
      <c r="P457" s="55"/>
    </row>
    <row r="458" spans="1:16" ht="15.75" customHeight="1">
      <c r="A458" s="2"/>
      <c r="B458" s="2"/>
      <c r="C458" s="2"/>
      <c r="D458" s="2"/>
      <c r="E458" s="2"/>
      <c r="F458" s="2"/>
      <c r="G458" s="2"/>
      <c r="H458" s="2"/>
      <c r="I458" s="81"/>
      <c r="J458" s="2"/>
      <c r="K458" s="2"/>
      <c r="M458" s="3"/>
      <c r="P458" s="55"/>
    </row>
    <row r="459" spans="1:16" ht="15.75" customHeight="1">
      <c r="A459" s="2"/>
      <c r="B459" s="2"/>
      <c r="C459" s="2"/>
      <c r="D459" s="2"/>
      <c r="E459" s="2"/>
      <c r="F459" s="2"/>
      <c r="G459" s="2"/>
      <c r="H459" s="2"/>
      <c r="I459" s="81"/>
      <c r="J459" s="2"/>
      <c r="K459" s="2"/>
      <c r="M459" s="3"/>
      <c r="P459" s="55"/>
    </row>
    <row r="460" spans="1:16" ht="15.75" customHeight="1">
      <c r="A460" s="2"/>
      <c r="B460" s="2"/>
      <c r="C460" s="2"/>
      <c r="D460" s="2"/>
      <c r="E460" s="2"/>
      <c r="F460" s="2"/>
      <c r="G460" s="2"/>
      <c r="H460" s="2"/>
      <c r="I460" s="81"/>
      <c r="J460" s="2"/>
      <c r="K460" s="2"/>
      <c r="M460" s="3"/>
      <c r="P460" s="55"/>
    </row>
    <row r="461" spans="1:16" ht="15.75" customHeight="1">
      <c r="A461" s="2"/>
      <c r="B461" s="2"/>
      <c r="C461" s="2"/>
      <c r="D461" s="2"/>
      <c r="E461" s="2"/>
      <c r="F461" s="2"/>
      <c r="G461" s="2"/>
      <c r="H461" s="2"/>
      <c r="I461" s="81"/>
      <c r="J461" s="2"/>
      <c r="K461" s="2"/>
      <c r="M461" s="3"/>
      <c r="P461" s="55"/>
    </row>
    <row r="462" spans="1:16" ht="15.75" customHeight="1">
      <c r="A462" s="2"/>
      <c r="B462" s="2"/>
      <c r="C462" s="2"/>
      <c r="D462" s="2"/>
      <c r="E462" s="2"/>
      <c r="F462" s="2"/>
      <c r="G462" s="2"/>
      <c r="H462" s="2"/>
      <c r="I462" s="81"/>
      <c r="J462" s="2"/>
      <c r="K462" s="2"/>
      <c r="M462" s="3"/>
      <c r="P462" s="55"/>
    </row>
    <row r="463" spans="1:16" ht="15.75" customHeight="1">
      <c r="A463" s="2"/>
      <c r="B463" s="2"/>
      <c r="C463" s="2"/>
      <c r="D463" s="2"/>
      <c r="E463" s="2"/>
      <c r="F463" s="2"/>
      <c r="G463" s="2"/>
      <c r="H463" s="2"/>
      <c r="I463" s="81"/>
      <c r="J463" s="2"/>
      <c r="K463" s="2"/>
      <c r="M463" s="3"/>
      <c r="P463" s="55"/>
    </row>
    <row r="464" spans="1:16" ht="15.75" customHeight="1">
      <c r="A464" s="2"/>
      <c r="B464" s="2"/>
      <c r="C464" s="2"/>
      <c r="D464" s="2"/>
      <c r="E464" s="2"/>
      <c r="F464" s="2"/>
      <c r="G464" s="2"/>
      <c r="H464" s="2"/>
      <c r="I464" s="81"/>
      <c r="J464" s="2"/>
      <c r="K464" s="2"/>
      <c r="M464" s="3"/>
      <c r="P464" s="55"/>
    </row>
    <row r="465" spans="1:16" ht="15.75" customHeight="1">
      <c r="A465" s="2"/>
      <c r="B465" s="2"/>
      <c r="C465" s="2"/>
      <c r="D465" s="2"/>
      <c r="E465" s="2"/>
      <c r="F465" s="2"/>
      <c r="G465" s="2"/>
      <c r="H465" s="2"/>
      <c r="I465" s="81"/>
      <c r="J465" s="2"/>
      <c r="K465" s="2"/>
      <c r="M465" s="3"/>
      <c r="P465" s="55"/>
    </row>
    <row r="466" spans="1:16" ht="15.75" customHeight="1">
      <c r="A466" s="2"/>
      <c r="B466" s="2"/>
      <c r="C466" s="2"/>
      <c r="D466" s="2"/>
      <c r="E466" s="2"/>
      <c r="F466" s="2"/>
      <c r="G466" s="2"/>
      <c r="H466" s="2"/>
      <c r="I466" s="81"/>
      <c r="J466" s="2"/>
      <c r="K466" s="2"/>
      <c r="M466" s="3"/>
      <c r="P466" s="55"/>
    </row>
    <row r="467" spans="1:16" ht="15.75" customHeight="1">
      <c r="A467" s="2"/>
      <c r="B467" s="2"/>
      <c r="C467" s="2"/>
      <c r="D467" s="2"/>
      <c r="E467" s="2"/>
      <c r="F467" s="2"/>
      <c r="G467" s="2"/>
      <c r="H467" s="2"/>
      <c r="I467" s="81"/>
      <c r="J467" s="2"/>
      <c r="K467" s="2"/>
      <c r="M467" s="3"/>
      <c r="P467" s="55"/>
    </row>
    <row r="468" spans="1:16" ht="15.75" customHeight="1">
      <c r="A468" s="2"/>
      <c r="B468" s="2"/>
      <c r="C468" s="2"/>
      <c r="D468" s="2"/>
      <c r="E468" s="2"/>
      <c r="F468" s="2"/>
      <c r="G468" s="2"/>
      <c r="H468" s="2"/>
      <c r="I468" s="81"/>
      <c r="J468" s="2"/>
      <c r="K468" s="2"/>
      <c r="M468" s="3"/>
      <c r="P468" s="55"/>
    </row>
    <row r="469" spans="1:16" ht="15.75" customHeight="1">
      <c r="A469" s="2"/>
      <c r="B469" s="2"/>
      <c r="C469" s="2"/>
      <c r="D469" s="2"/>
      <c r="E469" s="2"/>
      <c r="F469" s="2"/>
      <c r="G469" s="2"/>
      <c r="H469" s="2"/>
      <c r="I469" s="81"/>
      <c r="J469" s="2"/>
      <c r="K469" s="2"/>
      <c r="M469" s="3"/>
      <c r="P469" s="55"/>
    </row>
    <row r="470" spans="1:16" ht="15.75" customHeight="1">
      <c r="A470" s="2"/>
      <c r="B470" s="2"/>
      <c r="C470" s="2"/>
      <c r="D470" s="2"/>
      <c r="E470" s="2"/>
      <c r="F470" s="2"/>
      <c r="G470" s="2"/>
      <c r="H470" s="2"/>
      <c r="I470" s="81"/>
      <c r="J470" s="2"/>
      <c r="K470" s="2"/>
      <c r="M470" s="3"/>
      <c r="P470" s="55"/>
    </row>
    <row r="471" spans="1:16" ht="15.75" customHeight="1">
      <c r="A471" s="2"/>
      <c r="B471" s="2"/>
      <c r="C471" s="2"/>
      <c r="D471" s="2"/>
      <c r="E471" s="2"/>
      <c r="F471" s="2"/>
      <c r="G471" s="2"/>
      <c r="H471" s="2"/>
      <c r="I471" s="81"/>
      <c r="J471" s="2"/>
      <c r="K471" s="2"/>
      <c r="M471" s="3"/>
      <c r="P471" s="55"/>
    </row>
    <row r="472" spans="1:16" ht="15.75" customHeight="1">
      <c r="A472" s="2"/>
      <c r="B472" s="2"/>
      <c r="C472" s="2"/>
      <c r="D472" s="2"/>
      <c r="E472" s="2"/>
      <c r="F472" s="2"/>
      <c r="G472" s="2"/>
      <c r="H472" s="2"/>
      <c r="I472" s="81"/>
      <c r="J472" s="2"/>
      <c r="K472" s="2"/>
      <c r="M472" s="3"/>
      <c r="P472" s="55"/>
    </row>
    <row r="473" spans="1:16" ht="15.75" customHeight="1">
      <c r="A473" s="2"/>
      <c r="B473" s="2"/>
      <c r="C473" s="2"/>
      <c r="D473" s="2"/>
      <c r="E473" s="2"/>
      <c r="F473" s="2"/>
      <c r="G473" s="2"/>
      <c r="H473" s="2"/>
      <c r="I473" s="81"/>
      <c r="J473" s="2"/>
      <c r="K473" s="2"/>
      <c r="M473" s="3"/>
      <c r="P473" s="55"/>
    </row>
    <row r="474" spans="1:16" ht="15.75" customHeight="1">
      <c r="A474" s="2"/>
      <c r="B474" s="2"/>
      <c r="C474" s="2"/>
      <c r="D474" s="2"/>
      <c r="E474" s="2"/>
      <c r="F474" s="2"/>
      <c r="G474" s="2"/>
      <c r="H474" s="2"/>
      <c r="I474" s="81"/>
      <c r="J474" s="2"/>
      <c r="K474" s="2"/>
      <c r="M474" s="3"/>
      <c r="P474" s="55"/>
    </row>
    <row r="475" spans="1:16" ht="15.75" customHeight="1">
      <c r="A475" s="2"/>
      <c r="B475" s="2"/>
      <c r="C475" s="2"/>
      <c r="D475" s="2"/>
      <c r="E475" s="2"/>
      <c r="F475" s="2"/>
      <c r="G475" s="2"/>
      <c r="H475" s="2"/>
      <c r="I475" s="81"/>
      <c r="J475" s="2"/>
      <c r="K475" s="2"/>
      <c r="M475" s="3"/>
      <c r="P475" s="55"/>
    </row>
    <row r="476" spans="1:16" ht="15.75" customHeight="1">
      <c r="A476" s="2"/>
      <c r="B476" s="2"/>
      <c r="C476" s="2"/>
      <c r="D476" s="2"/>
      <c r="E476" s="2"/>
      <c r="F476" s="2"/>
      <c r="G476" s="2"/>
      <c r="H476" s="2"/>
      <c r="I476" s="81"/>
      <c r="J476" s="2"/>
      <c r="K476" s="2"/>
      <c r="M476" s="3"/>
      <c r="P476" s="55"/>
    </row>
    <row r="477" spans="1:16" ht="15.75" customHeight="1">
      <c r="A477" s="2"/>
      <c r="B477" s="2"/>
      <c r="C477" s="2"/>
      <c r="D477" s="2"/>
      <c r="E477" s="2"/>
      <c r="F477" s="2"/>
      <c r="G477" s="2"/>
      <c r="H477" s="2"/>
      <c r="I477" s="81"/>
      <c r="J477" s="2"/>
      <c r="K477" s="2"/>
      <c r="M477" s="3"/>
      <c r="P477" s="55"/>
    </row>
    <row r="478" spans="1:16" ht="15.75" customHeight="1">
      <c r="A478" s="2"/>
      <c r="B478" s="2"/>
      <c r="C478" s="2"/>
      <c r="D478" s="2"/>
      <c r="E478" s="2"/>
      <c r="F478" s="2"/>
      <c r="G478" s="2"/>
      <c r="H478" s="2"/>
      <c r="I478" s="81"/>
      <c r="J478" s="2"/>
      <c r="K478" s="2"/>
      <c r="M478" s="3"/>
      <c r="P478" s="55"/>
    </row>
    <row r="479" spans="1:16" ht="15.75" customHeight="1">
      <c r="A479" s="2"/>
      <c r="B479" s="2"/>
      <c r="C479" s="2"/>
      <c r="D479" s="2"/>
      <c r="E479" s="2"/>
      <c r="F479" s="2"/>
      <c r="G479" s="2"/>
      <c r="H479" s="2"/>
      <c r="I479" s="81"/>
      <c r="J479" s="2"/>
      <c r="K479" s="2"/>
      <c r="M479" s="3"/>
      <c r="P479" s="55"/>
    </row>
    <row r="480" spans="1:16" ht="15.75" customHeight="1">
      <c r="A480" s="2"/>
      <c r="B480" s="2"/>
      <c r="C480" s="2"/>
      <c r="D480" s="2"/>
      <c r="E480" s="2"/>
      <c r="F480" s="2"/>
      <c r="G480" s="2"/>
      <c r="H480" s="2"/>
      <c r="I480" s="81"/>
      <c r="J480" s="2"/>
      <c r="K480" s="2"/>
      <c r="M480" s="3"/>
      <c r="P480" s="55"/>
    </row>
    <row r="481" spans="1:16" ht="15.75" customHeight="1">
      <c r="A481" s="2"/>
      <c r="B481" s="2"/>
      <c r="C481" s="2"/>
      <c r="D481" s="2"/>
      <c r="E481" s="2"/>
      <c r="F481" s="2"/>
      <c r="G481" s="2"/>
      <c r="H481" s="2"/>
      <c r="I481" s="81"/>
      <c r="J481" s="2"/>
      <c r="K481" s="2"/>
      <c r="M481" s="3"/>
      <c r="P481" s="55"/>
    </row>
    <row r="482" spans="1:16" ht="15.75" customHeight="1">
      <c r="A482" s="2"/>
      <c r="B482" s="2"/>
      <c r="C482" s="2"/>
      <c r="D482" s="2"/>
      <c r="E482" s="2"/>
      <c r="F482" s="2"/>
      <c r="G482" s="2"/>
      <c r="H482" s="2"/>
      <c r="I482" s="81"/>
      <c r="J482" s="2"/>
      <c r="K482" s="2"/>
      <c r="M482" s="3"/>
      <c r="P482" s="55"/>
    </row>
    <row r="483" spans="1:16" ht="15.75" customHeight="1">
      <c r="A483" s="2"/>
      <c r="B483" s="2"/>
      <c r="C483" s="2"/>
      <c r="D483" s="2"/>
      <c r="E483" s="2"/>
      <c r="F483" s="2"/>
      <c r="G483" s="2"/>
      <c r="H483" s="2"/>
      <c r="I483" s="81"/>
      <c r="J483" s="2"/>
      <c r="K483" s="2"/>
      <c r="M483" s="3"/>
      <c r="P483" s="55"/>
    </row>
    <row r="484" spans="1:16" ht="15.75" customHeight="1">
      <c r="A484" s="2"/>
      <c r="B484" s="2"/>
      <c r="C484" s="2"/>
      <c r="D484" s="2"/>
      <c r="E484" s="2"/>
      <c r="F484" s="2"/>
      <c r="G484" s="2"/>
      <c r="H484" s="2"/>
      <c r="I484" s="81"/>
      <c r="J484" s="2"/>
      <c r="K484" s="2"/>
      <c r="M484" s="3"/>
      <c r="P484" s="55"/>
    </row>
    <row r="485" spans="1:16" ht="15.75" customHeight="1">
      <c r="A485" s="2"/>
      <c r="B485" s="2"/>
      <c r="C485" s="2"/>
      <c r="D485" s="2"/>
      <c r="E485" s="2"/>
      <c r="F485" s="2"/>
      <c r="G485" s="2"/>
      <c r="H485" s="2"/>
      <c r="I485" s="81"/>
      <c r="J485" s="2"/>
      <c r="K485" s="2"/>
      <c r="M485" s="3"/>
      <c r="P485" s="55"/>
    </row>
    <row r="486" spans="1:16" ht="15.75" customHeight="1">
      <c r="A486" s="2"/>
      <c r="B486" s="2"/>
      <c r="C486" s="2"/>
      <c r="D486" s="2"/>
      <c r="E486" s="2"/>
      <c r="F486" s="2"/>
      <c r="G486" s="2"/>
      <c r="H486" s="2"/>
      <c r="I486" s="81"/>
      <c r="J486" s="2"/>
      <c r="K486" s="2"/>
      <c r="M486" s="3"/>
      <c r="P486" s="55"/>
    </row>
    <row r="487" spans="1:16" ht="15.75" customHeight="1">
      <c r="A487" s="2"/>
      <c r="B487" s="2"/>
      <c r="C487" s="2"/>
      <c r="D487" s="2"/>
      <c r="E487" s="2"/>
      <c r="F487" s="2"/>
      <c r="G487" s="2"/>
      <c r="H487" s="2"/>
      <c r="I487" s="81"/>
      <c r="J487" s="2"/>
      <c r="K487" s="2"/>
      <c r="M487" s="3"/>
      <c r="P487" s="55"/>
    </row>
    <row r="488" spans="1:16" ht="15.75" customHeight="1">
      <c r="A488" s="2"/>
      <c r="B488" s="2"/>
      <c r="C488" s="2"/>
      <c r="D488" s="2"/>
      <c r="E488" s="2"/>
      <c r="F488" s="2"/>
      <c r="G488" s="2"/>
      <c r="H488" s="2"/>
      <c r="I488" s="81"/>
      <c r="J488" s="2"/>
      <c r="K488" s="2"/>
      <c r="M488" s="3"/>
      <c r="P488" s="55"/>
    </row>
    <row r="489" spans="1:16" ht="15.75" customHeight="1">
      <c r="A489" s="2"/>
      <c r="B489" s="2"/>
      <c r="C489" s="2"/>
      <c r="D489" s="2"/>
      <c r="E489" s="2"/>
      <c r="F489" s="2"/>
      <c r="G489" s="2"/>
      <c r="H489" s="2"/>
      <c r="I489" s="81"/>
      <c r="J489" s="2"/>
      <c r="K489" s="2"/>
      <c r="M489" s="3"/>
      <c r="P489" s="55"/>
    </row>
    <row r="490" spans="1:16" ht="15.75" customHeight="1">
      <c r="A490" s="2"/>
      <c r="B490" s="2"/>
      <c r="C490" s="2"/>
      <c r="D490" s="2"/>
      <c r="E490" s="2"/>
      <c r="F490" s="2"/>
      <c r="G490" s="2"/>
      <c r="H490" s="2"/>
      <c r="I490" s="81"/>
      <c r="J490" s="2"/>
      <c r="K490" s="2"/>
      <c r="M490" s="3"/>
      <c r="P490" s="55"/>
    </row>
    <row r="491" spans="1:16" ht="15.75" customHeight="1">
      <c r="A491" s="2"/>
      <c r="B491" s="2"/>
      <c r="C491" s="2"/>
      <c r="D491" s="2"/>
      <c r="E491" s="2"/>
      <c r="F491" s="2"/>
      <c r="G491" s="2"/>
      <c r="H491" s="2"/>
      <c r="I491" s="81"/>
      <c r="J491" s="2"/>
      <c r="K491" s="2"/>
      <c r="M491" s="3"/>
      <c r="P491" s="55"/>
    </row>
    <row r="492" spans="1:16" ht="15.75" customHeight="1">
      <c r="A492" s="2"/>
      <c r="B492" s="2"/>
      <c r="C492" s="2"/>
      <c r="D492" s="2"/>
      <c r="E492" s="2"/>
      <c r="F492" s="2"/>
      <c r="G492" s="2"/>
      <c r="H492" s="2"/>
      <c r="I492" s="81"/>
      <c r="J492" s="2"/>
      <c r="K492" s="2"/>
      <c r="M492" s="3"/>
      <c r="P492" s="55"/>
    </row>
    <row r="493" spans="1:16" ht="15.75" customHeight="1">
      <c r="A493" s="2"/>
      <c r="B493" s="2"/>
      <c r="C493" s="2"/>
      <c r="D493" s="2"/>
      <c r="E493" s="2"/>
      <c r="F493" s="2"/>
      <c r="G493" s="2"/>
      <c r="H493" s="2"/>
      <c r="I493" s="81"/>
      <c r="J493" s="2"/>
      <c r="K493" s="2"/>
      <c r="M493" s="3"/>
      <c r="P493" s="55"/>
    </row>
    <row r="494" spans="1:16" ht="15.75" customHeight="1">
      <c r="A494" s="2"/>
      <c r="B494" s="2"/>
      <c r="C494" s="2"/>
      <c r="D494" s="2"/>
      <c r="E494" s="2"/>
      <c r="F494" s="2"/>
      <c r="G494" s="2"/>
      <c r="H494" s="2"/>
      <c r="I494" s="81"/>
      <c r="J494" s="2"/>
      <c r="K494" s="2"/>
      <c r="M494" s="3"/>
      <c r="P494" s="55"/>
    </row>
    <row r="495" spans="1:16" ht="15.75" customHeight="1">
      <c r="A495" s="2"/>
      <c r="B495" s="2"/>
      <c r="C495" s="2"/>
      <c r="D495" s="2"/>
      <c r="E495" s="2"/>
      <c r="F495" s="2"/>
      <c r="G495" s="2"/>
      <c r="H495" s="2"/>
      <c r="I495" s="81"/>
      <c r="J495" s="2"/>
      <c r="K495" s="2"/>
      <c r="M495" s="3"/>
      <c r="P495" s="55"/>
    </row>
    <row r="496" spans="1:16" ht="15.75" customHeight="1">
      <c r="A496" s="2"/>
      <c r="B496" s="2"/>
      <c r="C496" s="2"/>
      <c r="D496" s="2"/>
      <c r="E496" s="2"/>
      <c r="F496" s="2"/>
      <c r="G496" s="2"/>
      <c r="H496" s="2"/>
      <c r="I496" s="81"/>
      <c r="J496" s="2"/>
      <c r="K496" s="2"/>
      <c r="M496" s="3"/>
      <c r="P496" s="55"/>
    </row>
    <row r="497" spans="1:16" ht="15.75" customHeight="1">
      <c r="A497" s="2"/>
      <c r="B497" s="2"/>
      <c r="C497" s="2"/>
      <c r="D497" s="2"/>
      <c r="E497" s="2"/>
      <c r="F497" s="2"/>
      <c r="G497" s="2"/>
      <c r="H497" s="2"/>
      <c r="I497" s="81"/>
      <c r="J497" s="2"/>
      <c r="K497" s="2"/>
      <c r="M497" s="3"/>
      <c r="P497" s="55"/>
    </row>
    <row r="498" spans="1:16" ht="15.75" customHeight="1">
      <c r="A498" s="2"/>
      <c r="B498" s="2"/>
      <c r="C498" s="2"/>
      <c r="D498" s="2"/>
      <c r="E498" s="2"/>
      <c r="F498" s="2"/>
      <c r="G498" s="2"/>
      <c r="H498" s="2"/>
      <c r="I498" s="81"/>
      <c r="J498" s="2"/>
      <c r="K498" s="2"/>
      <c r="M498" s="3"/>
      <c r="P498" s="55"/>
    </row>
    <row r="499" spans="1:16" ht="15.75" customHeight="1">
      <c r="A499" s="2"/>
      <c r="B499" s="2"/>
      <c r="C499" s="2"/>
      <c r="D499" s="2"/>
      <c r="E499" s="2"/>
      <c r="F499" s="2"/>
      <c r="G499" s="2"/>
      <c r="H499" s="2"/>
      <c r="I499" s="81"/>
      <c r="J499" s="2"/>
      <c r="K499" s="2"/>
      <c r="M499" s="3"/>
      <c r="P499" s="55"/>
    </row>
    <row r="500" spans="1:16" ht="15.75" customHeight="1">
      <c r="A500" s="2"/>
      <c r="B500" s="2"/>
      <c r="C500" s="2"/>
      <c r="D500" s="2"/>
      <c r="E500" s="2"/>
      <c r="F500" s="2"/>
      <c r="G500" s="2"/>
      <c r="H500" s="2"/>
      <c r="I500" s="81"/>
      <c r="J500" s="2"/>
      <c r="K500" s="2"/>
      <c r="M500" s="3"/>
      <c r="P500" s="55"/>
    </row>
    <row r="501" spans="1:16" ht="15.75" customHeight="1">
      <c r="A501" s="2"/>
      <c r="B501" s="2"/>
      <c r="C501" s="2"/>
      <c r="D501" s="2"/>
      <c r="E501" s="2"/>
      <c r="F501" s="2"/>
      <c r="G501" s="2"/>
      <c r="H501" s="2"/>
      <c r="I501" s="81"/>
      <c r="J501" s="2"/>
      <c r="K501" s="2"/>
      <c r="M501" s="3"/>
      <c r="P501" s="55"/>
    </row>
    <row r="502" spans="1:16" ht="15.75" customHeight="1">
      <c r="A502" s="2"/>
      <c r="B502" s="2"/>
      <c r="C502" s="2"/>
      <c r="D502" s="2"/>
      <c r="E502" s="2"/>
      <c r="F502" s="2"/>
      <c r="G502" s="2"/>
      <c r="H502" s="2"/>
      <c r="I502" s="81"/>
      <c r="J502" s="2"/>
      <c r="K502" s="2"/>
      <c r="M502" s="3"/>
      <c r="P502" s="55"/>
    </row>
    <row r="503" spans="1:16" ht="15.75" customHeight="1">
      <c r="A503" s="2"/>
      <c r="B503" s="2"/>
      <c r="C503" s="2"/>
      <c r="D503" s="2"/>
      <c r="E503" s="2"/>
      <c r="F503" s="2"/>
      <c r="G503" s="2"/>
      <c r="H503" s="2"/>
      <c r="I503" s="81"/>
      <c r="J503" s="2"/>
      <c r="K503" s="2"/>
      <c r="M503" s="3"/>
      <c r="P503" s="55"/>
    </row>
    <row r="504" spans="1:16" ht="15.75" customHeight="1">
      <c r="A504" s="2"/>
      <c r="B504" s="2"/>
      <c r="C504" s="2"/>
      <c r="D504" s="2"/>
      <c r="E504" s="2"/>
      <c r="F504" s="2"/>
      <c r="G504" s="2"/>
      <c r="H504" s="2"/>
      <c r="I504" s="81"/>
      <c r="J504" s="2"/>
      <c r="K504" s="2"/>
      <c r="M504" s="3"/>
      <c r="P504" s="55"/>
    </row>
    <row r="505" spans="1:16" ht="15.75" customHeight="1">
      <c r="A505" s="2"/>
      <c r="B505" s="2"/>
      <c r="C505" s="2"/>
      <c r="D505" s="2"/>
      <c r="E505" s="2"/>
      <c r="F505" s="2"/>
      <c r="G505" s="2"/>
      <c r="H505" s="2"/>
      <c r="I505" s="81"/>
      <c r="J505" s="2"/>
      <c r="K505" s="2"/>
      <c r="M505" s="3"/>
      <c r="P505" s="55"/>
    </row>
    <row r="506" spans="1:16" ht="15.75" customHeight="1">
      <c r="A506" s="2"/>
      <c r="B506" s="2"/>
      <c r="C506" s="2"/>
      <c r="D506" s="2"/>
      <c r="E506" s="2"/>
      <c r="F506" s="2"/>
      <c r="G506" s="2"/>
      <c r="H506" s="2"/>
      <c r="I506" s="81"/>
      <c r="J506" s="2"/>
      <c r="K506" s="2"/>
      <c r="M506" s="3"/>
      <c r="P506" s="55"/>
    </row>
    <row r="507" spans="1:16" ht="15.75" customHeight="1">
      <c r="A507" s="2"/>
      <c r="B507" s="2"/>
      <c r="C507" s="2"/>
      <c r="D507" s="2"/>
      <c r="E507" s="2"/>
      <c r="F507" s="2"/>
      <c r="G507" s="2"/>
      <c r="H507" s="2"/>
      <c r="I507" s="81"/>
      <c r="J507" s="2"/>
      <c r="K507" s="2"/>
      <c r="M507" s="3"/>
      <c r="P507" s="55"/>
    </row>
    <row r="508" spans="1:16" ht="15.75" customHeight="1">
      <c r="A508" s="2"/>
      <c r="B508" s="2"/>
      <c r="C508" s="2"/>
      <c r="D508" s="2"/>
      <c r="E508" s="2"/>
      <c r="F508" s="2"/>
      <c r="G508" s="2"/>
      <c r="H508" s="2"/>
      <c r="I508" s="81"/>
      <c r="J508" s="2"/>
      <c r="K508" s="2"/>
      <c r="M508" s="3"/>
      <c r="P508" s="55"/>
    </row>
    <row r="509" spans="1:16" ht="15.75" customHeight="1">
      <c r="A509" s="2"/>
      <c r="B509" s="2"/>
      <c r="C509" s="2"/>
      <c r="D509" s="2"/>
      <c r="E509" s="2"/>
      <c r="F509" s="2"/>
      <c r="G509" s="2"/>
      <c r="H509" s="2"/>
      <c r="I509" s="81"/>
      <c r="J509" s="2"/>
      <c r="K509" s="2"/>
      <c r="M509" s="3"/>
      <c r="P509" s="55"/>
    </row>
    <row r="510" spans="1:16" ht="15.75" customHeight="1">
      <c r="A510" s="2"/>
      <c r="B510" s="2"/>
      <c r="C510" s="2"/>
      <c r="D510" s="2"/>
      <c r="E510" s="2"/>
      <c r="F510" s="2"/>
      <c r="G510" s="2"/>
      <c r="H510" s="2"/>
      <c r="I510" s="81"/>
      <c r="J510" s="2"/>
      <c r="K510" s="2"/>
      <c r="M510" s="3"/>
      <c r="P510" s="55"/>
    </row>
    <row r="511" spans="1:16" ht="15.75" customHeight="1">
      <c r="A511" s="2"/>
      <c r="B511" s="2"/>
      <c r="C511" s="2"/>
      <c r="D511" s="2"/>
      <c r="E511" s="2"/>
      <c r="F511" s="2"/>
      <c r="G511" s="2"/>
      <c r="H511" s="2"/>
      <c r="I511" s="81"/>
      <c r="J511" s="2"/>
      <c r="K511" s="2"/>
      <c r="M511" s="3"/>
      <c r="P511" s="55"/>
    </row>
    <row r="512" spans="1:16" ht="15.75" customHeight="1">
      <c r="A512" s="2"/>
      <c r="B512" s="2"/>
      <c r="C512" s="2"/>
      <c r="D512" s="2"/>
      <c r="E512" s="2"/>
      <c r="F512" s="2"/>
      <c r="G512" s="2"/>
      <c r="H512" s="2"/>
      <c r="I512" s="81"/>
      <c r="J512" s="2"/>
      <c r="K512" s="2"/>
      <c r="M512" s="3"/>
      <c r="P512" s="55"/>
    </row>
    <row r="513" spans="1:16" ht="15.75" customHeight="1">
      <c r="A513" s="2"/>
      <c r="B513" s="2"/>
      <c r="C513" s="2"/>
      <c r="D513" s="2"/>
      <c r="E513" s="2"/>
      <c r="F513" s="2"/>
      <c r="G513" s="2"/>
      <c r="H513" s="2"/>
      <c r="I513" s="81"/>
      <c r="J513" s="2"/>
      <c r="K513" s="2"/>
      <c r="M513" s="3"/>
      <c r="P513" s="55"/>
    </row>
    <row r="514" spans="1:16" ht="15.75" customHeight="1">
      <c r="A514" s="2"/>
      <c r="B514" s="2"/>
      <c r="C514" s="2"/>
      <c r="D514" s="2"/>
      <c r="E514" s="2"/>
      <c r="F514" s="2"/>
      <c r="G514" s="2"/>
      <c r="H514" s="2"/>
      <c r="I514" s="81"/>
      <c r="J514" s="2"/>
      <c r="K514" s="2"/>
      <c r="M514" s="3"/>
      <c r="P514" s="55"/>
    </row>
    <row r="515" spans="1:16" ht="15.75" customHeight="1">
      <c r="A515" s="2"/>
      <c r="B515" s="2"/>
      <c r="C515" s="2"/>
      <c r="D515" s="2"/>
      <c r="E515" s="2"/>
      <c r="F515" s="2"/>
      <c r="G515" s="2"/>
      <c r="H515" s="2"/>
      <c r="I515" s="81"/>
      <c r="J515" s="2"/>
      <c r="K515" s="2"/>
      <c r="M515" s="3"/>
      <c r="P515" s="55"/>
    </row>
    <row r="516" spans="1:16" ht="15.75" customHeight="1">
      <c r="A516" s="2"/>
      <c r="B516" s="2"/>
      <c r="C516" s="2"/>
      <c r="D516" s="2"/>
      <c r="E516" s="2"/>
      <c r="F516" s="2"/>
      <c r="G516" s="2"/>
      <c r="H516" s="2"/>
      <c r="I516" s="81"/>
      <c r="J516" s="2"/>
      <c r="K516" s="2"/>
      <c r="M516" s="3"/>
      <c r="P516" s="55"/>
    </row>
    <row r="517" spans="1:16" ht="15.75" customHeight="1">
      <c r="A517" s="2"/>
      <c r="B517" s="2"/>
      <c r="C517" s="2"/>
      <c r="D517" s="2"/>
      <c r="E517" s="2"/>
      <c r="F517" s="2"/>
      <c r="G517" s="2"/>
      <c r="H517" s="2"/>
      <c r="I517" s="81"/>
      <c r="J517" s="2"/>
      <c r="K517" s="2"/>
      <c r="M517" s="3"/>
      <c r="P517" s="55"/>
    </row>
    <row r="518" spans="1:16" ht="15.75" customHeight="1">
      <c r="A518" s="2"/>
      <c r="B518" s="2"/>
      <c r="C518" s="2"/>
      <c r="D518" s="2"/>
      <c r="E518" s="2"/>
      <c r="F518" s="2"/>
      <c r="G518" s="2"/>
      <c r="H518" s="2"/>
      <c r="I518" s="81"/>
      <c r="J518" s="2"/>
      <c r="K518" s="2"/>
      <c r="M518" s="3"/>
      <c r="P518" s="55"/>
    </row>
    <row r="519" spans="1:16" ht="15.75" customHeight="1">
      <c r="A519" s="2"/>
      <c r="B519" s="2"/>
      <c r="C519" s="2"/>
      <c r="D519" s="2"/>
      <c r="E519" s="2"/>
      <c r="F519" s="2"/>
      <c r="G519" s="2"/>
      <c r="H519" s="2"/>
      <c r="I519" s="81"/>
      <c r="J519" s="2"/>
      <c r="K519" s="2"/>
      <c r="M519" s="3"/>
      <c r="P519" s="55"/>
    </row>
    <row r="520" spans="1:16" ht="15.75" customHeight="1">
      <c r="A520" s="2"/>
      <c r="B520" s="2"/>
      <c r="C520" s="2"/>
      <c r="D520" s="2"/>
      <c r="E520" s="2"/>
      <c r="F520" s="2"/>
      <c r="G520" s="2"/>
      <c r="H520" s="2"/>
      <c r="I520" s="81"/>
      <c r="J520" s="2"/>
      <c r="K520" s="2"/>
      <c r="M520" s="3"/>
      <c r="P520" s="55"/>
    </row>
    <row r="521" spans="1:16" ht="15.75" customHeight="1">
      <c r="A521" s="2"/>
      <c r="B521" s="2"/>
      <c r="C521" s="2"/>
      <c r="D521" s="2"/>
      <c r="E521" s="2"/>
      <c r="F521" s="2"/>
      <c r="G521" s="2"/>
      <c r="H521" s="2"/>
      <c r="I521" s="81"/>
      <c r="J521" s="2"/>
      <c r="K521" s="2"/>
      <c r="M521" s="3"/>
      <c r="P521" s="55"/>
    </row>
    <row r="522" spans="1:16" ht="15.75" customHeight="1">
      <c r="A522" s="2"/>
      <c r="B522" s="2"/>
      <c r="C522" s="2"/>
      <c r="D522" s="2"/>
      <c r="E522" s="2"/>
      <c r="F522" s="2"/>
      <c r="G522" s="2"/>
      <c r="H522" s="2"/>
      <c r="I522" s="81"/>
      <c r="J522" s="2"/>
      <c r="K522" s="2"/>
      <c r="M522" s="3"/>
      <c r="P522" s="55"/>
    </row>
    <row r="523" spans="1:16" ht="15.75" customHeight="1">
      <c r="A523" s="2"/>
      <c r="B523" s="2"/>
      <c r="C523" s="2"/>
      <c r="D523" s="2"/>
      <c r="E523" s="2"/>
      <c r="F523" s="2"/>
      <c r="G523" s="2"/>
      <c r="H523" s="2"/>
      <c r="I523" s="81"/>
      <c r="J523" s="2"/>
      <c r="K523" s="2"/>
      <c r="M523" s="3"/>
      <c r="P523" s="55"/>
    </row>
    <row r="524" spans="1:16" ht="15.75" customHeight="1">
      <c r="A524" s="2"/>
      <c r="B524" s="2"/>
      <c r="C524" s="2"/>
      <c r="D524" s="2"/>
      <c r="E524" s="2"/>
      <c r="F524" s="2"/>
      <c r="G524" s="2"/>
      <c r="H524" s="2"/>
      <c r="I524" s="81"/>
      <c r="J524" s="2"/>
      <c r="K524" s="2"/>
      <c r="M524" s="3"/>
      <c r="P524" s="55"/>
    </row>
    <row r="525" spans="1:16" ht="15.75" customHeight="1">
      <c r="A525" s="2"/>
      <c r="B525" s="2"/>
      <c r="C525" s="2"/>
      <c r="D525" s="2"/>
      <c r="E525" s="2"/>
      <c r="F525" s="2"/>
      <c r="G525" s="2"/>
      <c r="H525" s="2"/>
      <c r="I525" s="81"/>
      <c r="J525" s="2"/>
      <c r="K525" s="2"/>
      <c r="M525" s="3"/>
      <c r="P525" s="55"/>
    </row>
    <row r="526" spans="1:16" ht="15.75" customHeight="1">
      <c r="A526" s="2"/>
      <c r="B526" s="2"/>
      <c r="C526" s="2"/>
      <c r="D526" s="2"/>
      <c r="E526" s="2"/>
      <c r="F526" s="2"/>
      <c r="G526" s="2"/>
      <c r="H526" s="2"/>
      <c r="I526" s="81"/>
      <c r="J526" s="2"/>
      <c r="K526" s="2"/>
      <c r="M526" s="3"/>
      <c r="P526" s="55"/>
    </row>
    <row r="527" spans="1:16" ht="15.75" customHeight="1">
      <c r="A527" s="2"/>
      <c r="B527" s="2"/>
      <c r="C527" s="2"/>
      <c r="D527" s="2"/>
      <c r="E527" s="2"/>
      <c r="F527" s="2"/>
      <c r="G527" s="2"/>
      <c r="H527" s="2"/>
      <c r="I527" s="81"/>
      <c r="J527" s="2"/>
      <c r="K527" s="2"/>
      <c r="M527" s="3"/>
      <c r="P527" s="55"/>
    </row>
    <row r="528" spans="1:16" ht="15.75" customHeight="1">
      <c r="A528" s="2"/>
      <c r="B528" s="2"/>
      <c r="C528" s="2"/>
      <c r="D528" s="2"/>
      <c r="E528" s="2"/>
      <c r="F528" s="2"/>
      <c r="G528" s="2"/>
      <c r="H528" s="2"/>
      <c r="I528" s="81"/>
      <c r="J528" s="2"/>
      <c r="K528" s="2"/>
      <c r="M528" s="3"/>
      <c r="P528" s="55"/>
    </row>
    <row r="529" spans="1:16" ht="15.75" customHeight="1">
      <c r="A529" s="2"/>
      <c r="B529" s="2"/>
      <c r="C529" s="2"/>
      <c r="D529" s="2"/>
      <c r="E529" s="2"/>
      <c r="F529" s="2"/>
      <c r="G529" s="2"/>
      <c r="H529" s="2"/>
      <c r="I529" s="81"/>
      <c r="J529" s="2"/>
      <c r="K529" s="2"/>
      <c r="M529" s="3"/>
      <c r="P529" s="55"/>
    </row>
    <row r="530" spans="1:16" ht="15.75" customHeight="1">
      <c r="A530" s="2"/>
      <c r="B530" s="2"/>
      <c r="C530" s="2"/>
      <c r="D530" s="2"/>
      <c r="E530" s="2"/>
      <c r="F530" s="2"/>
      <c r="G530" s="2"/>
      <c r="H530" s="2"/>
      <c r="I530" s="81"/>
      <c r="J530" s="2"/>
      <c r="K530" s="2"/>
      <c r="M530" s="3"/>
      <c r="P530" s="55"/>
    </row>
    <row r="531" spans="1:16" ht="15.75" customHeight="1">
      <c r="A531" s="2"/>
      <c r="B531" s="2"/>
      <c r="C531" s="2"/>
      <c r="D531" s="2"/>
      <c r="E531" s="2"/>
      <c r="F531" s="2"/>
      <c r="G531" s="2"/>
      <c r="H531" s="2"/>
      <c r="I531" s="81"/>
      <c r="J531" s="2"/>
      <c r="K531" s="2"/>
      <c r="M531" s="3"/>
      <c r="P531" s="55"/>
    </row>
    <row r="532" spans="1:16" ht="15.75" customHeight="1">
      <c r="A532" s="2"/>
      <c r="B532" s="2"/>
      <c r="C532" s="2"/>
      <c r="D532" s="2"/>
      <c r="E532" s="2"/>
      <c r="F532" s="2"/>
      <c r="G532" s="2"/>
      <c r="H532" s="2"/>
      <c r="I532" s="81"/>
      <c r="J532" s="2"/>
      <c r="K532" s="2"/>
      <c r="M532" s="3"/>
      <c r="P532" s="55"/>
    </row>
    <row r="533" spans="1:16" ht="15.75" customHeight="1">
      <c r="A533" s="2"/>
      <c r="B533" s="2"/>
      <c r="C533" s="2"/>
      <c r="D533" s="2"/>
      <c r="E533" s="2"/>
      <c r="F533" s="2"/>
      <c r="G533" s="2"/>
      <c r="H533" s="2"/>
      <c r="I533" s="81"/>
      <c r="J533" s="2"/>
      <c r="K533" s="2"/>
      <c r="M533" s="3"/>
      <c r="P533" s="55"/>
    </row>
    <row r="534" spans="1:16" ht="15.75" customHeight="1">
      <c r="A534" s="2"/>
      <c r="B534" s="2"/>
      <c r="C534" s="2"/>
      <c r="D534" s="2"/>
      <c r="E534" s="2"/>
      <c r="F534" s="2"/>
      <c r="G534" s="2"/>
      <c r="H534" s="2"/>
      <c r="I534" s="81"/>
      <c r="J534" s="2"/>
      <c r="K534" s="2"/>
      <c r="M534" s="3"/>
      <c r="P534" s="55"/>
    </row>
    <row r="535" spans="1:16" ht="15.75" customHeight="1">
      <c r="A535" s="2"/>
      <c r="B535" s="2"/>
      <c r="C535" s="2"/>
      <c r="D535" s="2"/>
      <c r="E535" s="2"/>
      <c r="F535" s="2"/>
      <c r="G535" s="2"/>
      <c r="H535" s="2"/>
      <c r="I535" s="81"/>
      <c r="J535" s="2"/>
      <c r="K535" s="2"/>
      <c r="M535" s="3"/>
      <c r="P535" s="55"/>
    </row>
    <row r="536" spans="1:16" ht="15.75" customHeight="1">
      <c r="A536" s="2"/>
      <c r="B536" s="2"/>
      <c r="C536" s="2"/>
      <c r="D536" s="2"/>
      <c r="E536" s="2"/>
      <c r="F536" s="2"/>
      <c r="G536" s="2"/>
      <c r="H536" s="2"/>
      <c r="I536" s="81"/>
      <c r="J536" s="2"/>
      <c r="K536" s="2"/>
      <c r="M536" s="3"/>
      <c r="P536" s="55"/>
    </row>
    <row r="537" spans="1:16" ht="15.75" customHeight="1">
      <c r="A537" s="2"/>
      <c r="B537" s="2"/>
      <c r="C537" s="2"/>
      <c r="D537" s="2"/>
      <c r="E537" s="2"/>
      <c r="F537" s="2"/>
      <c r="G537" s="2"/>
      <c r="H537" s="2"/>
      <c r="I537" s="81"/>
      <c r="J537" s="2"/>
      <c r="K537" s="2"/>
      <c r="M537" s="3"/>
      <c r="P537" s="55"/>
    </row>
    <row r="538" spans="1:16" ht="15.75" customHeight="1">
      <c r="A538" s="2"/>
      <c r="B538" s="2"/>
      <c r="C538" s="2"/>
      <c r="D538" s="2"/>
      <c r="E538" s="2"/>
      <c r="F538" s="2"/>
      <c r="G538" s="2"/>
      <c r="H538" s="2"/>
      <c r="I538" s="81"/>
      <c r="J538" s="2"/>
      <c r="K538" s="2"/>
      <c r="M538" s="3"/>
      <c r="P538" s="55"/>
    </row>
    <row r="539" spans="1:16" ht="15.75" customHeight="1">
      <c r="A539" s="2"/>
      <c r="B539" s="2"/>
      <c r="C539" s="2"/>
      <c r="D539" s="2"/>
      <c r="E539" s="2"/>
      <c r="F539" s="2"/>
      <c r="G539" s="2"/>
      <c r="H539" s="2"/>
      <c r="I539" s="81"/>
      <c r="J539" s="2"/>
      <c r="K539" s="2"/>
      <c r="M539" s="3"/>
      <c r="P539" s="55"/>
    </row>
    <row r="540" spans="1:16" ht="15.75" customHeight="1">
      <c r="A540" s="2"/>
      <c r="B540" s="2"/>
      <c r="C540" s="2"/>
      <c r="D540" s="2"/>
      <c r="E540" s="2"/>
      <c r="F540" s="2"/>
      <c r="G540" s="2"/>
      <c r="H540" s="2"/>
      <c r="I540" s="81"/>
      <c r="J540" s="2"/>
      <c r="K540" s="2"/>
      <c r="M540" s="3"/>
      <c r="P540" s="55"/>
    </row>
    <row r="541" spans="1:16" ht="15.75" customHeight="1">
      <c r="A541" s="2"/>
      <c r="B541" s="2"/>
      <c r="C541" s="2"/>
      <c r="D541" s="2"/>
      <c r="E541" s="2"/>
      <c r="F541" s="2"/>
      <c r="G541" s="2"/>
      <c r="H541" s="2"/>
      <c r="I541" s="81"/>
      <c r="J541" s="2"/>
      <c r="K541" s="2"/>
      <c r="M541" s="3"/>
      <c r="P541" s="55"/>
    </row>
    <row r="542" spans="1:16" ht="15.75" customHeight="1">
      <c r="A542" s="2"/>
      <c r="B542" s="2"/>
      <c r="C542" s="2"/>
      <c r="D542" s="2"/>
      <c r="E542" s="2"/>
      <c r="F542" s="2"/>
      <c r="G542" s="2"/>
      <c r="H542" s="2"/>
      <c r="I542" s="81"/>
      <c r="J542" s="2"/>
      <c r="K542" s="2"/>
      <c r="M542" s="3"/>
      <c r="P542" s="55"/>
    </row>
    <row r="543" spans="1:16" ht="15.75" customHeight="1">
      <c r="A543" s="2"/>
      <c r="B543" s="2"/>
      <c r="C543" s="2"/>
      <c r="D543" s="2"/>
      <c r="E543" s="2"/>
      <c r="F543" s="2"/>
      <c r="G543" s="2"/>
      <c r="H543" s="2"/>
      <c r="I543" s="81"/>
      <c r="J543" s="2"/>
      <c r="K543" s="2"/>
      <c r="M543" s="3"/>
      <c r="P543" s="55"/>
    </row>
    <row r="544" spans="1:16" ht="15.75" customHeight="1">
      <c r="A544" s="2"/>
      <c r="B544" s="2"/>
      <c r="C544" s="2"/>
      <c r="D544" s="2"/>
      <c r="E544" s="2"/>
      <c r="F544" s="2"/>
      <c r="G544" s="2"/>
      <c r="H544" s="2"/>
      <c r="I544" s="81"/>
      <c r="J544" s="2"/>
      <c r="K544" s="2"/>
      <c r="M544" s="3"/>
      <c r="P544" s="55"/>
    </row>
    <row r="545" spans="1:18" ht="15.75" customHeight="1">
      <c r="A545" s="2"/>
      <c r="B545" s="2"/>
      <c r="C545" s="2"/>
      <c r="D545" s="2"/>
      <c r="E545" s="2"/>
      <c r="F545" s="2"/>
      <c r="G545" s="2"/>
      <c r="H545" s="2"/>
      <c r="I545" s="81"/>
      <c r="J545" s="2"/>
      <c r="K545" s="2"/>
      <c r="M545" s="3"/>
      <c r="P545" s="55"/>
    </row>
    <row r="546" spans="1:18" ht="15.75" customHeight="1">
      <c r="A546" s="2"/>
      <c r="B546" s="2"/>
      <c r="C546" s="2"/>
      <c r="D546" s="2"/>
      <c r="E546" s="2"/>
      <c r="F546" s="2"/>
      <c r="G546" s="2"/>
      <c r="H546" s="2"/>
      <c r="I546" s="81"/>
      <c r="J546" s="2"/>
      <c r="K546" s="2"/>
      <c r="M546" s="3"/>
      <c r="P546" s="55"/>
    </row>
    <row r="547" spans="1:18" ht="15.75" customHeight="1">
      <c r="A547" s="2"/>
      <c r="B547" s="2"/>
      <c r="C547" s="2"/>
      <c r="D547" s="2"/>
      <c r="E547" s="2"/>
      <c r="F547" s="2"/>
      <c r="G547" s="2"/>
      <c r="H547" s="2"/>
      <c r="I547" s="81"/>
      <c r="J547" s="2"/>
      <c r="K547" s="2"/>
      <c r="M547" s="3"/>
      <c r="P547" s="55"/>
    </row>
    <row r="548" spans="1:18" ht="15.75" customHeight="1">
      <c r="A548" s="2"/>
      <c r="B548" s="2"/>
      <c r="C548" s="2"/>
      <c r="D548" s="2"/>
      <c r="E548" s="2"/>
      <c r="F548" s="2"/>
      <c r="G548" s="2"/>
      <c r="H548" s="2"/>
      <c r="I548" s="81"/>
      <c r="J548" s="2"/>
      <c r="K548" s="2"/>
      <c r="M548" s="3"/>
      <c r="P548" s="55"/>
    </row>
    <row r="549" spans="1:18" ht="15.75" customHeight="1">
      <c r="A549" s="2"/>
      <c r="B549" s="2"/>
      <c r="C549" s="2"/>
      <c r="D549" s="2"/>
      <c r="E549" s="2"/>
      <c r="F549" s="2"/>
      <c r="G549" s="2"/>
      <c r="H549" s="2"/>
      <c r="I549" s="81"/>
      <c r="J549" s="2"/>
      <c r="K549" s="2"/>
      <c r="M549" s="3"/>
      <c r="P549" s="55"/>
    </row>
    <row r="550" spans="1:18" ht="15.75" customHeight="1">
      <c r="A550" s="2"/>
      <c r="B550" s="2"/>
      <c r="C550" s="2"/>
      <c r="D550" s="2"/>
      <c r="E550" s="2"/>
      <c r="F550" s="2"/>
      <c r="G550" s="2"/>
      <c r="H550" s="2"/>
      <c r="I550" s="81"/>
      <c r="J550" s="2"/>
      <c r="K550" s="2"/>
      <c r="M550" s="3"/>
      <c r="P550" s="55"/>
    </row>
    <row r="551" spans="1:18" ht="15.75" customHeight="1">
      <c r="A551" s="2"/>
      <c r="B551" s="2"/>
      <c r="C551" s="2"/>
      <c r="D551" s="2"/>
      <c r="E551" s="2"/>
      <c r="F551" s="2"/>
      <c r="G551" s="2"/>
      <c r="H551" s="2"/>
      <c r="I551" s="81"/>
      <c r="J551" s="2"/>
      <c r="K551" s="2"/>
      <c r="M551" s="3"/>
      <c r="P551" s="55"/>
    </row>
    <row r="552" spans="1:18" ht="15.75" customHeight="1">
      <c r="A552" s="2"/>
      <c r="B552" s="2"/>
      <c r="C552" s="2"/>
      <c r="D552" s="2"/>
      <c r="E552" s="2"/>
      <c r="F552" s="2"/>
      <c r="G552" s="2"/>
      <c r="H552" s="2"/>
      <c r="I552" s="81"/>
      <c r="J552" s="2"/>
      <c r="K552" s="2"/>
      <c r="M552" s="3"/>
      <c r="P552" s="55"/>
      <c r="R552" s="55"/>
    </row>
    <row r="553" spans="1:18" ht="15.75" customHeight="1">
      <c r="A553" s="2"/>
      <c r="B553" s="2"/>
      <c r="C553" s="2"/>
      <c r="D553" s="2"/>
      <c r="E553" s="2"/>
      <c r="F553" s="2"/>
      <c r="G553" s="2"/>
      <c r="H553" s="2"/>
      <c r="I553" s="81"/>
      <c r="J553" s="2"/>
      <c r="K553" s="2"/>
      <c r="M553" s="3"/>
      <c r="P553" s="55"/>
    </row>
    <row r="554" spans="1:18" ht="15.75" customHeight="1">
      <c r="A554" s="2"/>
      <c r="B554" s="2"/>
      <c r="C554" s="2"/>
      <c r="D554" s="2"/>
      <c r="E554" s="2"/>
      <c r="F554" s="2"/>
      <c r="G554" s="2"/>
      <c r="H554" s="2"/>
      <c r="I554" s="81"/>
      <c r="J554" s="2"/>
      <c r="K554" s="2"/>
      <c r="M554" s="3"/>
      <c r="P554" s="55"/>
    </row>
    <row r="555" spans="1:18" ht="15.75" customHeight="1">
      <c r="A555" s="2"/>
      <c r="B555" s="2"/>
      <c r="C555" s="2"/>
      <c r="D555" s="2"/>
      <c r="E555" s="2"/>
      <c r="F555" s="2"/>
      <c r="G555" s="2"/>
      <c r="H555" s="2"/>
      <c r="I555" s="81"/>
      <c r="J555" s="2"/>
      <c r="K555" s="2"/>
      <c r="M555" s="3"/>
      <c r="P555" s="55"/>
    </row>
    <row r="556" spans="1:18" ht="15.75" customHeight="1">
      <c r="A556" s="2"/>
      <c r="B556" s="2"/>
      <c r="C556" s="2"/>
      <c r="D556" s="2"/>
      <c r="E556" s="2"/>
      <c r="F556" s="2"/>
      <c r="G556" s="2"/>
      <c r="H556" s="2"/>
      <c r="I556" s="81"/>
      <c r="J556" s="2"/>
      <c r="K556" s="2"/>
      <c r="M556" s="3"/>
      <c r="P556" s="55"/>
    </row>
    <row r="557" spans="1:18" ht="15.75" customHeight="1">
      <c r="A557" s="2"/>
      <c r="B557" s="2"/>
      <c r="C557" s="2"/>
      <c r="D557" s="2"/>
      <c r="E557" s="2"/>
      <c r="F557" s="2"/>
      <c r="G557" s="2"/>
      <c r="H557" s="2"/>
      <c r="I557" s="81"/>
      <c r="J557" s="2"/>
      <c r="K557" s="2"/>
      <c r="M557" s="3"/>
      <c r="P557" s="55"/>
    </row>
    <row r="558" spans="1:18" ht="15.75" customHeight="1">
      <c r="A558" s="2"/>
      <c r="B558" s="2"/>
      <c r="C558" s="2"/>
      <c r="D558" s="2"/>
      <c r="E558" s="2"/>
      <c r="F558" s="2"/>
      <c r="G558" s="2"/>
      <c r="H558" s="2"/>
      <c r="I558" s="81"/>
      <c r="J558" s="2"/>
      <c r="K558" s="2"/>
      <c r="M558" s="3"/>
      <c r="P558" s="55"/>
    </row>
    <row r="559" spans="1:18" ht="15.75" customHeight="1">
      <c r="A559" s="2"/>
      <c r="B559" s="2"/>
      <c r="C559" s="2"/>
      <c r="D559" s="2"/>
      <c r="E559" s="2"/>
      <c r="F559" s="2"/>
      <c r="G559" s="2"/>
      <c r="H559" s="2"/>
      <c r="I559" s="81"/>
      <c r="J559" s="2"/>
      <c r="K559" s="2"/>
      <c r="M559" s="3"/>
      <c r="P559" s="55"/>
    </row>
    <row r="560" spans="1:18" ht="15.75" customHeight="1">
      <c r="A560" s="2"/>
      <c r="B560" s="2"/>
      <c r="C560" s="2"/>
      <c r="D560" s="2"/>
      <c r="E560" s="2"/>
      <c r="F560" s="2"/>
      <c r="G560" s="2"/>
      <c r="H560" s="2"/>
      <c r="I560" s="81"/>
      <c r="J560" s="2"/>
      <c r="K560" s="2"/>
      <c r="M560" s="3"/>
      <c r="P560" s="55"/>
    </row>
    <row r="561" spans="1:16" ht="15.75" customHeight="1">
      <c r="A561" s="2"/>
      <c r="B561" s="2"/>
      <c r="C561" s="2"/>
      <c r="D561" s="2"/>
      <c r="E561" s="2"/>
      <c r="F561" s="2"/>
      <c r="G561" s="2"/>
      <c r="H561" s="2"/>
      <c r="I561" s="81"/>
      <c r="J561" s="2"/>
      <c r="K561" s="2"/>
      <c r="M561" s="3"/>
      <c r="P561" s="55"/>
    </row>
    <row r="562" spans="1:16" ht="15.75" customHeight="1">
      <c r="A562" s="2"/>
      <c r="B562" s="2"/>
      <c r="C562" s="2"/>
      <c r="D562" s="2"/>
      <c r="E562" s="2"/>
      <c r="F562" s="2"/>
      <c r="G562" s="2"/>
      <c r="H562" s="2"/>
      <c r="I562" s="81"/>
      <c r="J562" s="2"/>
      <c r="K562" s="2"/>
      <c r="M562" s="3"/>
      <c r="P562" s="55"/>
    </row>
    <row r="563" spans="1:16" ht="15.75" customHeight="1">
      <c r="A563" s="2"/>
      <c r="B563" s="2"/>
      <c r="C563" s="2"/>
      <c r="D563" s="2"/>
      <c r="E563" s="2"/>
      <c r="F563" s="2"/>
      <c r="G563" s="2"/>
      <c r="H563" s="2"/>
      <c r="I563" s="81"/>
      <c r="J563" s="2"/>
      <c r="K563" s="2"/>
      <c r="M563" s="3"/>
      <c r="P563" s="55"/>
    </row>
    <row r="564" spans="1:16" ht="15.75" customHeight="1">
      <c r="A564" s="2"/>
      <c r="B564" s="2"/>
      <c r="C564" s="2"/>
      <c r="D564" s="2"/>
      <c r="E564" s="2"/>
      <c r="F564" s="2"/>
      <c r="G564" s="2"/>
      <c r="H564" s="2"/>
      <c r="I564" s="81"/>
      <c r="J564" s="2"/>
      <c r="K564" s="2"/>
      <c r="M564" s="3"/>
      <c r="P564" s="55"/>
    </row>
    <row r="565" spans="1:16" ht="15.75" customHeight="1">
      <c r="A565" s="2"/>
      <c r="B565" s="2"/>
      <c r="C565" s="2"/>
      <c r="D565" s="2"/>
      <c r="E565" s="2"/>
      <c r="F565" s="2"/>
      <c r="G565" s="2"/>
      <c r="H565" s="2"/>
      <c r="I565" s="81"/>
      <c r="J565" s="2"/>
      <c r="K565" s="2"/>
      <c r="M565" s="3"/>
      <c r="P565" s="55"/>
    </row>
    <row r="566" spans="1:16" ht="15.75" customHeight="1">
      <c r="A566" s="2"/>
      <c r="B566" s="2"/>
      <c r="C566" s="2"/>
      <c r="D566" s="2"/>
      <c r="E566" s="2"/>
      <c r="F566" s="2"/>
      <c r="G566" s="2"/>
      <c r="H566" s="2"/>
      <c r="I566" s="81"/>
      <c r="J566" s="2"/>
      <c r="K566" s="2"/>
      <c r="M566" s="3"/>
      <c r="P566" s="55"/>
    </row>
    <row r="567" spans="1:16" ht="15.75" customHeight="1">
      <c r="A567" s="2"/>
      <c r="B567" s="2"/>
      <c r="C567" s="2"/>
      <c r="D567" s="2"/>
      <c r="E567" s="2"/>
      <c r="F567" s="2"/>
      <c r="G567" s="2"/>
      <c r="H567" s="2"/>
      <c r="I567" s="81"/>
      <c r="J567" s="2"/>
      <c r="K567" s="2"/>
      <c r="M567" s="3"/>
      <c r="P567" s="55"/>
    </row>
    <row r="568" spans="1:16" ht="15.75" customHeight="1">
      <c r="A568" s="2"/>
      <c r="B568" s="2"/>
      <c r="C568" s="2"/>
      <c r="D568" s="2"/>
      <c r="E568" s="2"/>
      <c r="F568" s="2"/>
      <c r="G568" s="2"/>
      <c r="H568" s="2"/>
      <c r="I568" s="81"/>
      <c r="J568" s="2"/>
      <c r="K568" s="2"/>
      <c r="M568" s="3"/>
      <c r="P568" s="55"/>
    </row>
    <row r="569" spans="1:16" ht="15.75" customHeight="1">
      <c r="A569" s="2"/>
      <c r="B569" s="2"/>
      <c r="C569" s="2"/>
      <c r="D569" s="2"/>
      <c r="E569" s="2"/>
      <c r="F569" s="2"/>
      <c r="G569" s="2"/>
      <c r="H569" s="2"/>
      <c r="I569" s="81"/>
      <c r="J569" s="2"/>
      <c r="K569" s="2"/>
      <c r="M569" s="3"/>
      <c r="P569" s="55"/>
    </row>
    <row r="570" spans="1:16" ht="15.75" customHeight="1">
      <c r="A570" s="2"/>
      <c r="B570" s="2"/>
      <c r="C570" s="2"/>
      <c r="D570" s="2"/>
      <c r="E570" s="2"/>
      <c r="F570" s="2"/>
      <c r="G570" s="2"/>
      <c r="H570" s="2"/>
      <c r="I570" s="81"/>
      <c r="J570" s="2"/>
      <c r="K570" s="2"/>
      <c r="M570" s="3"/>
      <c r="P570" s="55"/>
    </row>
    <row r="571" spans="1:16" ht="15.75" customHeight="1">
      <c r="A571" s="2"/>
      <c r="B571" s="2"/>
      <c r="C571" s="2"/>
      <c r="D571" s="2"/>
      <c r="E571" s="2"/>
      <c r="F571" s="2"/>
      <c r="G571" s="2"/>
      <c r="H571" s="2"/>
      <c r="I571" s="81"/>
      <c r="J571" s="2"/>
      <c r="K571" s="2"/>
      <c r="M571" s="3"/>
      <c r="P571" s="55"/>
    </row>
    <row r="572" spans="1:16" ht="15.75" customHeight="1">
      <c r="A572" s="2"/>
      <c r="B572" s="2"/>
      <c r="C572" s="2"/>
      <c r="D572" s="2"/>
      <c r="E572" s="2"/>
      <c r="F572" s="2"/>
      <c r="G572" s="2"/>
      <c r="H572" s="2"/>
      <c r="I572" s="81"/>
      <c r="J572" s="2"/>
      <c r="K572" s="2"/>
      <c r="M572" s="3"/>
      <c r="P572" s="55"/>
    </row>
    <row r="573" spans="1:16" ht="15.75" customHeight="1">
      <c r="A573" s="2"/>
      <c r="B573" s="2"/>
      <c r="C573" s="2"/>
      <c r="D573" s="2"/>
      <c r="E573" s="2"/>
      <c r="F573" s="2"/>
      <c r="G573" s="2"/>
      <c r="H573" s="2"/>
      <c r="I573" s="81"/>
      <c r="J573" s="2"/>
      <c r="K573" s="2"/>
      <c r="M573" s="3"/>
      <c r="P573" s="55"/>
    </row>
    <row r="574" spans="1:16" ht="15.75" customHeight="1">
      <c r="A574" s="2"/>
      <c r="B574" s="2"/>
      <c r="C574" s="2"/>
      <c r="D574" s="2"/>
      <c r="E574" s="2"/>
      <c r="F574" s="2"/>
      <c r="G574" s="2"/>
      <c r="H574" s="2"/>
      <c r="I574" s="81"/>
      <c r="J574" s="2"/>
      <c r="K574" s="2"/>
      <c r="M574" s="3"/>
      <c r="P574" s="55"/>
    </row>
    <row r="575" spans="1:16" ht="15.75" customHeight="1">
      <c r="A575" s="2"/>
      <c r="B575" s="2"/>
      <c r="C575" s="2"/>
      <c r="D575" s="2"/>
      <c r="E575" s="2"/>
      <c r="F575" s="2"/>
      <c r="G575" s="2"/>
      <c r="H575" s="2"/>
      <c r="I575" s="81"/>
      <c r="J575" s="2"/>
      <c r="K575" s="2"/>
      <c r="M575" s="3"/>
      <c r="P575" s="55"/>
    </row>
    <row r="576" spans="1:16" ht="15.75" customHeight="1">
      <c r="A576" s="2"/>
      <c r="B576" s="2"/>
      <c r="C576" s="2"/>
      <c r="D576" s="2"/>
      <c r="E576" s="2"/>
      <c r="F576" s="2"/>
      <c r="G576" s="2"/>
      <c r="H576" s="2"/>
      <c r="I576" s="81"/>
      <c r="J576" s="2"/>
      <c r="K576" s="2"/>
      <c r="M576" s="3"/>
      <c r="P576" s="55"/>
    </row>
    <row r="577" spans="1:16" ht="15.75" customHeight="1">
      <c r="A577" s="2"/>
      <c r="B577" s="2"/>
      <c r="C577" s="2"/>
      <c r="D577" s="2"/>
      <c r="E577" s="2"/>
      <c r="F577" s="2"/>
      <c r="G577" s="2"/>
      <c r="H577" s="2"/>
      <c r="I577" s="81"/>
      <c r="J577" s="2"/>
      <c r="K577" s="2"/>
      <c r="M577" s="3"/>
      <c r="P577" s="55"/>
    </row>
    <row r="578" spans="1:16" ht="15.75" customHeight="1">
      <c r="A578" s="2"/>
      <c r="B578" s="2"/>
      <c r="C578" s="2"/>
      <c r="D578" s="2"/>
      <c r="E578" s="2"/>
      <c r="F578" s="2"/>
      <c r="G578" s="2"/>
      <c r="H578" s="2"/>
      <c r="I578" s="81"/>
      <c r="J578" s="2"/>
      <c r="K578" s="2"/>
      <c r="M578" s="3"/>
    </row>
    <row r="579" spans="1:16" ht="15.75" customHeight="1">
      <c r="A579" s="2"/>
      <c r="B579" s="2"/>
      <c r="C579" s="2"/>
      <c r="D579" s="2"/>
      <c r="E579" s="2"/>
      <c r="F579" s="2"/>
      <c r="G579" s="2"/>
      <c r="H579" s="2"/>
      <c r="I579" s="81"/>
      <c r="J579" s="2"/>
      <c r="K579" s="2"/>
      <c r="M579" s="3"/>
    </row>
    <row r="580" spans="1:16" ht="15.75" customHeight="1">
      <c r="A580" s="2"/>
      <c r="B580" s="2"/>
      <c r="C580" s="2"/>
      <c r="D580" s="2"/>
      <c r="E580" s="2"/>
      <c r="F580" s="2"/>
      <c r="G580" s="2"/>
      <c r="H580" s="2"/>
      <c r="I580" s="81"/>
      <c r="J580" s="2"/>
      <c r="K580" s="2"/>
      <c r="M580" s="3"/>
    </row>
    <row r="581" spans="1:16" ht="15.75" customHeight="1">
      <c r="A581" s="2"/>
      <c r="B581" s="2"/>
      <c r="C581" s="2"/>
      <c r="D581" s="2"/>
      <c r="E581" s="2"/>
      <c r="F581" s="2"/>
      <c r="G581" s="2"/>
      <c r="H581" s="2"/>
      <c r="I581" s="81"/>
      <c r="J581" s="2"/>
      <c r="K581" s="2"/>
      <c r="M581" s="3"/>
    </row>
    <row r="582" spans="1:16" ht="15.75" customHeight="1">
      <c r="A582" s="2"/>
      <c r="B582" s="2"/>
      <c r="C582" s="2"/>
      <c r="D582" s="2"/>
      <c r="E582" s="2"/>
      <c r="F582" s="2"/>
      <c r="G582" s="2"/>
      <c r="H582" s="2"/>
      <c r="I582" s="81"/>
      <c r="J582" s="2"/>
      <c r="K582" s="2"/>
      <c r="M582" s="3"/>
    </row>
    <row r="583" spans="1:16" ht="15.75" customHeight="1">
      <c r="A583" s="2"/>
      <c r="B583" s="2"/>
      <c r="C583" s="2"/>
      <c r="D583" s="2"/>
      <c r="E583" s="2"/>
      <c r="F583" s="2"/>
      <c r="G583" s="2"/>
      <c r="H583" s="2"/>
      <c r="I583" s="81"/>
      <c r="J583" s="2"/>
      <c r="K583" s="2"/>
      <c r="M583" s="3"/>
    </row>
    <row r="584" spans="1:16" ht="15.75" customHeight="1">
      <c r="A584" s="2"/>
      <c r="B584" s="2"/>
      <c r="C584" s="2"/>
      <c r="D584" s="2"/>
      <c r="E584" s="2"/>
      <c r="F584" s="2"/>
      <c r="G584" s="2"/>
      <c r="H584" s="2"/>
      <c r="I584" s="81"/>
      <c r="J584" s="2"/>
      <c r="K584" s="2"/>
      <c r="M584" s="3"/>
    </row>
    <row r="585" spans="1:16" ht="15.75" customHeight="1">
      <c r="A585" s="2"/>
      <c r="B585" s="2"/>
      <c r="C585" s="2"/>
      <c r="D585" s="2"/>
      <c r="E585" s="2"/>
      <c r="F585" s="2"/>
      <c r="G585" s="2"/>
      <c r="H585" s="2"/>
      <c r="I585" s="81"/>
      <c r="J585" s="2"/>
      <c r="K585" s="2"/>
      <c r="M585" s="3"/>
    </row>
    <row r="586" spans="1:16" ht="15.75" customHeight="1">
      <c r="A586" s="2"/>
      <c r="B586" s="2"/>
      <c r="C586" s="2"/>
      <c r="D586" s="2"/>
      <c r="E586" s="2"/>
      <c r="F586" s="2"/>
      <c r="G586" s="2"/>
      <c r="H586" s="2"/>
      <c r="I586" s="81"/>
      <c r="J586" s="2"/>
      <c r="K586" s="2"/>
      <c r="M586" s="3"/>
    </row>
    <row r="587" spans="1:16" ht="15.75" customHeight="1">
      <c r="A587" s="2"/>
      <c r="B587" s="2"/>
      <c r="C587" s="2"/>
      <c r="D587" s="2"/>
      <c r="E587" s="2"/>
      <c r="F587" s="2"/>
      <c r="G587" s="2"/>
      <c r="H587" s="2"/>
      <c r="I587" s="81"/>
      <c r="J587" s="2"/>
      <c r="K587" s="2"/>
      <c r="M587" s="3"/>
    </row>
    <row r="588" spans="1:16" ht="15.75" customHeight="1">
      <c r="A588" s="2"/>
      <c r="B588" s="2"/>
      <c r="C588" s="2"/>
      <c r="D588" s="2"/>
      <c r="E588" s="2"/>
      <c r="F588" s="2"/>
      <c r="G588" s="2"/>
      <c r="H588" s="2"/>
      <c r="I588" s="81"/>
      <c r="J588" s="2"/>
      <c r="K588" s="2"/>
      <c r="M588" s="3"/>
    </row>
    <row r="589" spans="1:16" ht="15.75" customHeight="1">
      <c r="A589" s="2"/>
      <c r="B589" s="2"/>
      <c r="C589" s="2"/>
      <c r="D589" s="2"/>
      <c r="E589" s="2"/>
      <c r="F589" s="2"/>
      <c r="G589" s="2"/>
      <c r="H589" s="2"/>
      <c r="I589" s="81"/>
      <c r="J589" s="2"/>
      <c r="K589" s="2"/>
      <c r="M589" s="3"/>
    </row>
    <row r="590" spans="1:16" ht="15.75" customHeight="1">
      <c r="A590" s="2"/>
      <c r="B590" s="2"/>
      <c r="C590" s="2"/>
      <c r="D590" s="2"/>
      <c r="E590" s="2"/>
      <c r="F590" s="2"/>
      <c r="G590" s="2"/>
      <c r="H590" s="2"/>
      <c r="I590" s="81"/>
      <c r="J590" s="2"/>
      <c r="K590" s="2"/>
      <c r="M590" s="3"/>
    </row>
    <row r="591" spans="1:16" ht="15.75" customHeight="1">
      <c r="A591" s="2"/>
      <c r="B591" s="2"/>
      <c r="C591" s="2"/>
      <c r="D591" s="2"/>
      <c r="E591" s="2"/>
      <c r="F591" s="2"/>
      <c r="G591" s="2"/>
      <c r="H591" s="2"/>
      <c r="I591" s="81"/>
      <c r="J591" s="2"/>
      <c r="K591" s="2"/>
      <c r="M591" s="3"/>
    </row>
    <row r="592" spans="1:16" ht="15.75" customHeight="1">
      <c r="A592" s="2"/>
      <c r="B592" s="2"/>
      <c r="C592" s="2"/>
      <c r="D592" s="2"/>
      <c r="E592" s="2"/>
      <c r="F592" s="2"/>
      <c r="G592" s="2"/>
      <c r="H592" s="2"/>
      <c r="I592" s="81"/>
      <c r="J592" s="2"/>
      <c r="K592" s="2"/>
      <c r="M592" s="3"/>
    </row>
    <row r="593" spans="1:13" ht="15.75" customHeight="1">
      <c r="A593" s="2"/>
      <c r="B593" s="2"/>
      <c r="C593" s="2"/>
      <c r="D593" s="2"/>
      <c r="E593" s="2"/>
      <c r="F593" s="2"/>
      <c r="G593" s="2"/>
      <c r="H593" s="2"/>
      <c r="I593" s="81"/>
      <c r="J593" s="2"/>
      <c r="K593" s="2"/>
      <c r="M593" s="3"/>
    </row>
    <row r="594" spans="1:13" ht="15.75" customHeight="1">
      <c r="A594" s="2"/>
      <c r="B594" s="2"/>
      <c r="C594" s="2"/>
      <c r="D594" s="2"/>
      <c r="E594" s="2"/>
      <c r="F594" s="2"/>
      <c r="G594" s="2"/>
      <c r="H594" s="2"/>
      <c r="I594" s="81"/>
      <c r="J594" s="2"/>
      <c r="K594" s="2"/>
      <c r="M594" s="3"/>
    </row>
    <row r="595" spans="1:13" ht="15.75" customHeight="1">
      <c r="A595" s="2"/>
      <c r="B595" s="2"/>
      <c r="C595" s="2"/>
      <c r="D595" s="2"/>
      <c r="E595" s="2"/>
      <c r="F595" s="2"/>
      <c r="G595" s="2"/>
      <c r="H595" s="2"/>
      <c r="I595" s="81"/>
      <c r="J595" s="2"/>
      <c r="K595" s="2"/>
      <c r="M595" s="3"/>
    </row>
    <row r="596" spans="1:13" ht="15.75" customHeight="1">
      <c r="A596" s="2"/>
      <c r="B596" s="2"/>
      <c r="C596" s="2"/>
      <c r="D596" s="2"/>
      <c r="E596" s="2"/>
      <c r="F596" s="2"/>
      <c r="G596" s="2"/>
      <c r="H596" s="2"/>
      <c r="I596" s="81"/>
      <c r="J596" s="2"/>
      <c r="K596" s="2"/>
      <c r="M596" s="3"/>
    </row>
    <row r="597" spans="1:13" ht="15.75" customHeight="1">
      <c r="A597" s="2"/>
      <c r="B597" s="2"/>
      <c r="C597" s="2"/>
      <c r="D597" s="2"/>
      <c r="E597" s="2"/>
      <c r="F597" s="2"/>
      <c r="G597" s="2"/>
      <c r="H597" s="2"/>
      <c r="I597" s="81"/>
      <c r="J597" s="2"/>
      <c r="K597" s="2"/>
      <c r="M597" s="3"/>
    </row>
    <row r="598" spans="1:13" ht="15.75" customHeight="1">
      <c r="A598" s="2"/>
      <c r="B598" s="2"/>
      <c r="C598" s="2"/>
      <c r="D598" s="2"/>
      <c r="E598" s="2"/>
      <c r="F598" s="2"/>
      <c r="G598" s="2"/>
      <c r="H598" s="2"/>
      <c r="I598" s="81"/>
      <c r="J598" s="2"/>
      <c r="K598" s="2"/>
      <c r="M598" s="3"/>
    </row>
    <row r="599" spans="1:13" ht="15.75" customHeight="1">
      <c r="A599" s="2"/>
      <c r="B599" s="2"/>
      <c r="C599" s="2"/>
      <c r="D599" s="2"/>
      <c r="E599" s="2"/>
      <c r="F599" s="2"/>
      <c r="G599" s="2"/>
      <c r="H599" s="2"/>
      <c r="I599" s="81"/>
      <c r="J599" s="2"/>
      <c r="K599" s="2"/>
      <c r="M599" s="3"/>
    </row>
    <row r="600" spans="1:13" ht="15.75" customHeight="1">
      <c r="A600" s="2"/>
      <c r="B600" s="2"/>
      <c r="C600" s="2"/>
      <c r="D600" s="2"/>
      <c r="E600" s="2"/>
      <c r="F600" s="2"/>
      <c r="G600" s="2"/>
      <c r="H600" s="2"/>
      <c r="I600" s="81"/>
      <c r="J600" s="2"/>
      <c r="K600" s="2"/>
      <c r="M600" s="3"/>
    </row>
    <row r="601" spans="1:13" ht="15.75" customHeight="1">
      <c r="A601" s="2"/>
      <c r="B601" s="2"/>
      <c r="C601" s="2"/>
      <c r="D601" s="2"/>
      <c r="E601" s="2"/>
      <c r="F601" s="2"/>
      <c r="G601" s="2"/>
      <c r="H601" s="2"/>
      <c r="I601" s="81"/>
      <c r="J601" s="2"/>
      <c r="K601" s="2"/>
      <c r="M601" s="3"/>
    </row>
    <row r="602" spans="1:13" ht="15.75" customHeight="1">
      <c r="A602" s="2"/>
      <c r="B602" s="2"/>
      <c r="C602" s="2"/>
      <c r="D602" s="2"/>
      <c r="E602" s="2"/>
      <c r="F602" s="2"/>
      <c r="G602" s="2"/>
      <c r="H602" s="2"/>
      <c r="I602" s="81"/>
      <c r="J602" s="2"/>
      <c r="K602" s="2"/>
      <c r="M602" s="3"/>
    </row>
    <row r="603" spans="1:13" ht="15.75" customHeight="1">
      <c r="A603" s="2"/>
      <c r="B603" s="2"/>
      <c r="C603" s="2"/>
      <c r="D603" s="2"/>
      <c r="E603" s="2"/>
      <c r="F603" s="2"/>
      <c r="G603" s="2"/>
      <c r="H603" s="2"/>
      <c r="I603" s="81"/>
      <c r="J603" s="2"/>
      <c r="K603" s="2"/>
      <c r="M603" s="3"/>
    </row>
    <row r="604" spans="1:13" ht="15.75" customHeight="1">
      <c r="A604" s="2"/>
      <c r="B604" s="2"/>
      <c r="C604" s="2"/>
      <c r="D604" s="2"/>
      <c r="E604" s="2"/>
      <c r="F604" s="2"/>
      <c r="G604" s="2"/>
      <c r="H604" s="2"/>
      <c r="I604" s="81"/>
      <c r="J604" s="2"/>
      <c r="K604" s="2"/>
      <c r="M604" s="3"/>
    </row>
    <row r="605" spans="1:13" ht="15.75" customHeight="1">
      <c r="A605" s="2"/>
      <c r="B605" s="2"/>
      <c r="C605" s="2"/>
      <c r="D605" s="2"/>
      <c r="E605" s="2"/>
      <c r="F605" s="2"/>
      <c r="G605" s="2"/>
      <c r="H605" s="2"/>
      <c r="I605" s="81"/>
      <c r="J605" s="2"/>
      <c r="K605" s="2"/>
      <c r="M605" s="3"/>
    </row>
    <row r="606" spans="1:13" ht="15.75" customHeight="1">
      <c r="A606" s="2"/>
      <c r="B606" s="2"/>
      <c r="C606" s="2"/>
      <c r="D606" s="2"/>
      <c r="E606" s="2"/>
      <c r="F606" s="2"/>
      <c r="G606" s="2"/>
      <c r="H606" s="2"/>
      <c r="I606" s="81"/>
      <c r="J606" s="2"/>
      <c r="K606" s="2"/>
      <c r="M606" s="3"/>
    </row>
    <row r="607" spans="1:13" ht="15.75" customHeight="1">
      <c r="A607" s="2"/>
      <c r="B607" s="2"/>
      <c r="C607" s="2"/>
      <c r="D607" s="2"/>
      <c r="E607" s="2"/>
      <c r="F607" s="2"/>
      <c r="G607" s="2"/>
      <c r="H607" s="2"/>
      <c r="I607" s="81"/>
      <c r="J607" s="2"/>
      <c r="K607" s="2"/>
      <c r="M607" s="3"/>
    </row>
    <row r="608" spans="1:13" ht="15.75" customHeight="1">
      <c r="A608" s="2"/>
      <c r="B608" s="2"/>
      <c r="C608" s="2"/>
      <c r="D608" s="2"/>
      <c r="E608" s="2"/>
      <c r="F608" s="2"/>
      <c r="G608" s="2"/>
      <c r="H608" s="2"/>
      <c r="I608" s="81"/>
      <c r="J608" s="2"/>
      <c r="K608" s="2"/>
      <c r="M608" s="3"/>
    </row>
    <row r="609" spans="1:13" ht="15.75" customHeight="1">
      <c r="A609" s="2"/>
      <c r="B609" s="2"/>
      <c r="C609" s="2"/>
      <c r="D609" s="2"/>
      <c r="E609" s="2"/>
      <c r="F609" s="2"/>
      <c r="G609" s="2"/>
      <c r="H609" s="2"/>
      <c r="I609" s="81"/>
      <c r="J609" s="2"/>
      <c r="K609" s="2"/>
      <c r="M609" s="3"/>
    </row>
    <row r="610" spans="1:13" ht="15.75" customHeight="1">
      <c r="A610" s="2"/>
      <c r="B610" s="2"/>
      <c r="C610" s="2"/>
      <c r="D610" s="2"/>
      <c r="E610" s="2"/>
      <c r="F610" s="2"/>
      <c r="G610" s="2"/>
      <c r="H610" s="2"/>
      <c r="I610" s="81"/>
      <c r="J610" s="2"/>
      <c r="K610" s="2"/>
      <c r="M610" s="3"/>
    </row>
    <row r="611" spans="1:13" ht="15.75" customHeight="1">
      <c r="A611" s="2"/>
      <c r="B611" s="2"/>
      <c r="C611" s="2"/>
      <c r="D611" s="2"/>
      <c r="E611" s="2"/>
      <c r="F611" s="2"/>
      <c r="G611" s="2"/>
      <c r="H611" s="2"/>
      <c r="I611" s="81"/>
      <c r="J611" s="2"/>
      <c r="K611" s="2"/>
      <c r="M611" s="3"/>
    </row>
    <row r="612" spans="1:13" ht="15.75" customHeight="1">
      <c r="A612" s="2"/>
      <c r="B612" s="2"/>
      <c r="C612" s="2"/>
      <c r="D612" s="2"/>
      <c r="E612" s="2"/>
      <c r="F612" s="2"/>
      <c r="G612" s="2"/>
      <c r="H612" s="2"/>
      <c r="I612" s="81"/>
      <c r="J612" s="2"/>
      <c r="K612" s="2"/>
      <c r="M612" s="3"/>
    </row>
    <row r="613" spans="1:13" ht="15.75" customHeight="1">
      <c r="A613" s="2"/>
      <c r="B613" s="2"/>
      <c r="C613" s="2"/>
      <c r="D613" s="2"/>
      <c r="E613" s="2"/>
      <c r="F613" s="2"/>
      <c r="G613" s="2"/>
      <c r="H613" s="2"/>
      <c r="I613" s="81"/>
      <c r="J613" s="2"/>
      <c r="K613" s="2"/>
      <c r="M613" s="3"/>
    </row>
    <row r="614" spans="1:13" ht="15.75" customHeight="1">
      <c r="A614" s="2"/>
      <c r="B614" s="2"/>
      <c r="C614" s="2"/>
      <c r="D614" s="2"/>
      <c r="E614" s="2"/>
      <c r="F614" s="2"/>
      <c r="G614" s="2"/>
      <c r="H614" s="2"/>
      <c r="I614" s="81"/>
      <c r="J614" s="2"/>
      <c r="K614" s="2"/>
      <c r="M614" s="3"/>
    </row>
    <row r="615" spans="1:13" ht="15.75" customHeight="1">
      <c r="A615" s="2"/>
      <c r="B615" s="2"/>
      <c r="C615" s="2"/>
      <c r="D615" s="2"/>
      <c r="E615" s="2"/>
      <c r="F615" s="2"/>
      <c r="G615" s="2"/>
      <c r="H615" s="2"/>
      <c r="I615" s="81"/>
      <c r="J615" s="2"/>
      <c r="K615" s="2"/>
      <c r="M615" s="3"/>
    </row>
    <row r="616" spans="1:13" ht="15.75" customHeight="1">
      <c r="A616" s="2"/>
      <c r="B616" s="2"/>
      <c r="C616" s="2"/>
      <c r="D616" s="2"/>
      <c r="E616" s="2"/>
      <c r="F616" s="2"/>
      <c r="G616" s="2"/>
      <c r="H616" s="2"/>
      <c r="I616" s="81"/>
      <c r="J616" s="2"/>
      <c r="K616" s="2"/>
      <c r="M616" s="3"/>
    </row>
    <row r="617" spans="1:13" ht="15.75" customHeight="1">
      <c r="A617" s="2"/>
      <c r="B617" s="2"/>
      <c r="C617" s="2"/>
      <c r="D617" s="2"/>
      <c r="E617" s="2"/>
      <c r="F617" s="2"/>
      <c r="G617" s="2"/>
      <c r="H617" s="2"/>
      <c r="I617" s="81"/>
      <c r="J617" s="2"/>
      <c r="K617" s="2"/>
      <c r="M617" s="3"/>
    </row>
    <row r="618" spans="1:13" ht="15.75" customHeight="1">
      <c r="A618" s="2"/>
      <c r="B618" s="2"/>
      <c r="C618" s="2"/>
      <c r="D618" s="2"/>
      <c r="E618" s="2"/>
      <c r="F618" s="2"/>
      <c r="G618" s="2"/>
      <c r="H618" s="2"/>
      <c r="I618" s="81"/>
      <c r="J618" s="2"/>
      <c r="K618" s="2"/>
      <c r="M618" s="3"/>
    </row>
    <row r="619" spans="1:13" ht="15.75" customHeight="1">
      <c r="A619" s="2"/>
      <c r="B619" s="2"/>
      <c r="C619" s="2"/>
      <c r="D619" s="2"/>
      <c r="E619" s="2"/>
      <c r="F619" s="2"/>
      <c r="G619" s="2"/>
      <c r="H619" s="2"/>
      <c r="I619" s="81"/>
      <c r="J619" s="2"/>
      <c r="K619" s="2"/>
      <c r="M619" s="3"/>
    </row>
    <row r="620" spans="1:13" ht="15.75" customHeight="1">
      <c r="A620" s="2"/>
      <c r="B620" s="2"/>
      <c r="C620" s="2"/>
      <c r="D620" s="2"/>
      <c r="E620" s="2"/>
      <c r="F620" s="2"/>
      <c r="G620" s="2"/>
      <c r="H620" s="2"/>
      <c r="I620" s="81"/>
      <c r="J620" s="2"/>
      <c r="K620" s="2"/>
      <c r="M620" s="3"/>
    </row>
    <row r="621" spans="1:13" ht="15.75" customHeight="1">
      <c r="A621" s="2"/>
      <c r="B621" s="2"/>
      <c r="C621" s="2"/>
      <c r="D621" s="2"/>
      <c r="E621" s="2"/>
      <c r="F621" s="2"/>
      <c r="G621" s="2"/>
      <c r="H621" s="2"/>
      <c r="I621" s="81"/>
      <c r="J621" s="2"/>
      <c r="K621" s="2"/>
      <c r="M621" s="3"/>
    </row>
    <row r="622" spans="1:13" ht="15.75" customHeight="1">
      <c r="A622" s="2"/>
      <c r="B622" s="2"/>
      <c r="C622" s="2"/>
      <c r="D622" s="2"/>
      <c r="E622" s="2"/>
      <c r="F622" s="2"/>
      <c r="G622" s="2"/>
      <c r="H622" s="2"/>
      <c r="I622" s="81"/>
      <c r="J622" s="2"/>
      <c r="K622" s="2"/>
      <c r="M622" s="3"/>
    </row>
    <row r="623" spans="1:13" ht="15.75" customHeight="1">
      <c r="A623" s="2"/>
      <c r="B623" s="2"/>
      <c r="C623" s="2"/>
      <c r="D623" s="2"/>
      <c r="E623" s="2"/>
      <c r="F623" s="2"/>
      <c r="G623" s="2"/>
      <c r="H623" s="2"/>
      <c r="I623" s="81"/>
      <c r="J623" s="2"/>
      <c r="K623" s="2"/>
      <c r="M623" s="3"/>
    </row>
    <row r="624" spans="1:13" ht="15.75" customHeight="1">
      <c r="A624" s="2"/>
      <c r="B624" s="2"/>
      <c r="C624" s="2"/>
      <c r="D624" s="2"/>
      <c r="E624" s="2"/>
      <c r="F624" s="2"/>
      <c r="G624" s="2"/>
      <c r="H624" s="2"/>
      <c r="I624" s="81"/>
      <c r="J624" s="2"/>
      <c r="K624" s="2"/>
      <c r="M624" s="3"/>
    </row>
    <row r="625" spans="1:13" ht="15.75" customHeight="1">
      <c r="A625" s="2"/>
      <c r="B625" s="2"/>
      <c r="C625" s="2"/>
      <c r="D625" s="2"/>
      <c r="E625" s="2"/>
      <c r="F625" s="2"/>
      <c r="G625" s="2"/>
      <c r="H625" s="2"/>
      <c r="I625" s="81"/>
      <c r="J625" s="2"/>
      <c r="K625" s="2"/>
      <c r="M625" s="3"/>
    </row>
    <row r="626" spans="1:13" ht="15.75" customHeight="1">
      <c r="A626" s="2"/>
      <c r="B626" s="2"/>
      <c r="C626" s="2"/>
      <c r="D626" s="2"/>
      <c r="E626" s="2"/>
      <c r="F626" s="2"/>
      <c r="G626" s="2"/>
      <c r="H626" s="2"/>
      <c r="I626" s="81"/>
      <c r="J626" s="2"/>
      <c r="K626" s="2"/>
      <c r="M626" s="3"/>
    </row>
    <row r="627" spans="1:13" ht="15.75" customHeight="1">
      <c r="A627" s="2"/>
      <c r="B627" s="2"/>
      <c r="C627" s="2"/>
      <c r="D627" s="2"/>
      <c r="E627" s="2"/>
      <c r="F627" s="2"/>
      <c r="G627" s="2"/>
      <c r="H627" s="2"/>
      <c r="I627" s="81"/>
      <c r="J627" s="2"/>
      <c r="K627" s="2"/>
      <c r="M627" s="3"/>
    </row>
    <row r="628" spans="1:13" ht="15.75" customHeight="1">
      <c r="A628" s="2"/>
      <c r="B628" s="2"/>
      <c r="C628" s="2"/>
      <c r="D628" s="2"/>
      <c r="E628" s="2"/>
      <c r="F628" s="2"/>
      <c r="G628" s="2"/>
      <c r="H628" s="2"/>
      <c r="I628" s="81"/>
      <c r="J628" s="2"/>
      <c r="K628" s="2"/>
      <c r="M628" s="3"/>
    </row>
    <row r="629" spans="1:13" ht="15.75" customHeight="1">
      <c r="A629" s="2"/>
      <c r="B629" s="2"/>
      <c r="C629" s="2"/>
      <c r="D629" s="2"/>
      <c r="E629" s="2"/>
      <c r="F629" s="2"/>
      <c r="G629" s="2"/>
      <c r="H629" s="2"/>
      <c r="I629" s="81"/>
      <c r="J629" s="2"/>
      <c r="K629" s="2"/>
      <c r="M629" s="3"/>
    </row>
    <row r="630" spans="1:13" ht="15.75" customHeight="1">
      <c r="A630" s="2"/>
      <c r="B630" s="2"/>
      <c r="C630" s="2"/>
      <c r="D630" s="2"/>
      <c r="E630" s="2"/>
      <c r="F630" s="2"/>
      <c r="G630" s="2"/>
      <c r="H630" s="2"/>
      <c r="I630" s="81"/>
      <c r="J630" s="2"/>
      <c r="K630" s="2"/>
      <c r="M630" s="3"/>
    </row>
    <row r="631" spans="1:13" ht="15.75" customHeight="1">
      <c r="A631" s="2"/>
      <c r="B631" s="2"/>
      <c r="C631" s="2"/>
      <c r="D631" s="2"/>
      <c r="E631" s="2"/>
      <c r="F631" s="2"/>
      <c r="G631" s="2"/>
      <c r="H631" s="2"/>
      <c r="I631" s="81"/>
      <c r="J631" s="2"/>
      <c r="K631" s="2"/>
      <c r="M631" s="3"/>
    </row>
    <row r="632" spans="1:13" ht="15.75" customHeight="1">
      <c r="A632" s="2"/>
      <c r="B632" s="2"/>
      <c r="C632" s="2"/>
      <c r="D632" s="2"/>
      <c r="E632" s="2"/>
      <c r="F632" s="2"/>
      <c r="G632" s="2"/>
      <c r="H632" s="2"/>
      <c r="I632" s="81"/>
      <c r="J632" s="2"/>
      <c r="K632" s="2"/>
      <c r="M632" s="3"/>
    </row>
    <row r="633" spans="1:13" ht="15.75" customHeight="1">
      <c r="A633" s="2"/>
      <c r="B633" s="2"/>
      <c r="C633" s="2"/>
      <c r="D633" s="2"/>
      <c r="E633" s="2"/>
      <c r="F633" s="2"/>
      <c r="G633" s="2"/>
      <c r="H633" s="2"/>
      <c r="I633" s="81"/>
      <c r="J633" s="2"/>
      <c r="K633" s="2"/>
      <c r="M633" s="3"/>
    </row>
    <row r="634" spans="1:13" ht="15.75" customHeight="1">
      <c r="A634" s="2"/>
      <c r="B634" s="2"/>
      <c r="C634" s="2"/>
      <c r="D634" s="2"/>
      <c r="E634" s="2"/>
      <c r="F634" s="2"/>
      <c r="G634" s="2"/>
      <c r="H634" s="2"/>
      <c r="I634" s="81"/>
      <c r="J634" s="2"/>
      <c r="K634" s="2"/>
      <c r="M634" s="3"/>
    </row>
    <row r="635" spans="1:13" ht="15.75" customHeight="1">
      <c r="A635" s="2"/>
      <c r="B635" s="2"/>
      <c r="C635" s="2"/>
      <c r="D635" s="2"/>
      <c r="E635" s="2"/>
      <c r="F635" s="2"/>
      <c r="G635" s="2"/>
      <c r="H635" s="2"/>
      <c r="I635" s="81"/>
      <c r="J635" s="2"/>
      <c r="K635" s="2"/>
      <c r="M635" s="3"/>
    </row>
    <row r="636" spans="1:13" ht="15.75" customHeight="1">
      <c r="A636" s="2"/>
      <c r="B636" s="2"/>
      <c r="C636" s="2"/>
      <c r="D636" s="2"/>
      <c r="E636" s="2"/>
      <c r="F636" s="2"/>
      <c r="G636" s="2"/>
      <c r="H636" s="2"/>
      <c r="I636" s="81"/>
      <c r="J636" s="2"/>
      <c r="K636" s="2"/>
      <c r="M636" s="3"/>
    </row>
    <row r="637" spans="1:13" ht="15.75" customHeight="1">
      <c r="A637" s="2"/>
      <c r="B637" s="2"/>
      <c r="C637" s="2"/>
      <c r="D637" s="2"/>
      <c r="E637" s="2"/>
      <c r="F637" s="2"/>
      <c r="G637" s="2"/>
      <c r="H637" s="2"/>
      <c r="I637" s="81"/>
      <c r="J637" s="2"/>
      <c r="K637" s="2"/>
      <c r="M637" s="3"/>
    </row>
    <row r="638" spans="1:13" ht="15.75" customHeight="1">
      <c r="A638" s="2"/>
      <c r="B638" s="2"/>
      <c r="C638" s="2"/>
      <c r="D638" s="2"/>
      <c r="E638" s="2"/>
      <c r="F638" s="2"/>
      <c r="G638" s="2"/>
      <c r="H638" s="2"/>
      <c r="I638" s="81"/>
      <c r="J638" s="2"/>
      <c r="K638" s="2"/>
      <c r="M638" s="3"/>
    </row>
    <row r="639" spans="1:13" ht="15.75" customHeight="1">
      <c r="A639" s="2"/>
      <c r="B639" s="2"/>
      <c r="C639" s="2"/>
      <c r="D639" s="2"/>
      <c r="E639" s="2"/>
      <c r="F639" s="2"/>
      <c r="G639" s="2"/>
      <c r="H639" s="2"/>
      <c r="I639" s="81"/>
      <c r="J639" s="2"/>
      <c r="K639" s="2"/>
      <c r="M639" s="3"/>
    </row>
    <row r="640" spans="1:13" ht="15.75" customHeight="1">
      <c r="A640" s="2"/>
      <c r="B640" s="2"/>
      <c r="C640" s="2"/>
      <c r="D640" s="2"/>
      <c r="E640" s="2"/>
      <c r="F640" s="2"/>
      <c r="G640" s="2"/>
      <c r="H640" s="2"/>
      <c r="I640" s="81"/>
      <c r="J640" s="2"/>
      <c r="K640" s="2"/>
      <c r="M640" s="3"/>
    </row>
    <row r="641" spans="1:13" ht="15.75" customHeight="1">
      <c r="A641" s="2"/>
      <c r="B641" s="2"/>
      <c r="C641" s="2"/>
      <c r="D641" s="2"/>
      <c r="E641" s="2"/>
      <c r="F641" s="2"/>
      <c r="G641" s="2"/>
      <c r="H641" s="2"/>
      <c r="I641" s="81"/>
      <c r="J641" s="2"/>
      <c r="K641" s="2"/>
      <c r="M641" s="3"/>
    </row>
    <row r="642" spans="1:13" ht="15.75" customHeight="1">
      <c r="A642" s="2"/>
      <c r="B642" s="2"/>
      <c r="C642" s="2"/>
      <c r="D642" s="2"/>
      <c r="E642" s="2"/>
      <c r="F642" s="2"/>
      <c r="G642" s="2"/>
      <c r="H642" s="2"/>
      <c r="I642" s="81"/>
      <c r="J642" s="2"/>
      <c r="K642" s="2"/>
      <c r="M642" s="3"/>
    </row>
    <row r="643" spans="1:13" ht="15.75" customHeight="1">
      <c r="A643" s="2"/>
      <c r="B643" s="2"/>
      <c r="C643" s="2"/>
      <c r="D643" s="2"/>
      <c r="E643" s="2"/>
      <c r="F643" s="2"/>
      <c r="G643" s="2"/>
      <c r="H643" s="2"/>
      <c r="I643" s="81"/>
      <c r="J643" s="2"/>
      <c r="K643" s="2"/>
      <c r="M643" s="3"/>
    </row>
    <row r="644" spans="1:13" ht="15.75" customHeight="1">
      <c r="A644" s="2"/>
      <c r="B644" s="2"/>
      <c r="C644" s="2"/>
      <c r="D644" s="2"/>
      <c r="E644" s="2"/>
      <c r="F644" s="2"/>
      <c r="G644" s="2"/>
      <c r="H644" s="2"/>
      <c r="I644" s="81"/>
      <c r="J644" s="2"/>
      <c r="K644" s="2"/>
      <c r="M644" s="3"/>
    </row>
    <row r="645" spans="1:13" ht="15.75" customHeight="1">
      <c r="A645" s="2"/>
      <c r="B645" s="2"/>
      <c r="C645" s="2"/>
      <c r="D645" s="2"/>
      <c r="E645" s="2"/>
      <c r="F645" s="2"/>
      <c r="G645" s="2"/>
      <c r="H645" s="2"/>
      <c r="I645" s="81"/>
      <c r="J645" s="2"/>
      <c r="K645" s="2"/>
      <c r="M645" s="3"/>
    </row>
    <row r="646" spans="1:13" ht="15.75" customHeight="1">
      <c r="A646" s="2"/>
      <c r="B646" s="2"/>
      <c r="C646" s="2"/>
      <c r="D646" s="2"/>
      <c r="E646" s="2"/>
      <c r="F646" s="2"/>
      <c r="G646" s="2"/>
      <c r="H646" s="2"/>
      <c r="I646" s="81"/>
      <c r="J646" s="2"/>
      <c r="K646" s="2"/>
      <c r="M646" s="3"/>
    </row>
    <row r="647" spans="1:13" ht="15.75" customHeight="1">
      <c r="A647" s="2"/>
      <c r="B647" s="2"/>
      <c r="C647" s="2"/>
      <c r="D647" s="2"/>
      <c r="E647" s="2"/>
      <c r="F647" s="2"/>
      <c r="G647" s="2"/>
      <c r="H647" s="2"/>
      <c r="I647" s="81"/>
      <c r="J647" s="2"/>
      <c r="K647" s="2"/>
      <c r="M647" s="3"/>
    </row>
    <row r="648" spans="1:13" ht="15.75" customHeight="1">
      <c r="A648" s="2"/>
      <c r="B648" s="2"/>
      <c r="C648" s="2"/>
      <c r="D648" s="2"/>
      <c r="E648" s="2"/>
      <c r="F648" s="2"/>
      <c r="G648" s="2"/>
      <c r="H648" s="2"/>
      <c r="I648" s="81"/>
      <c r="J648" s="2"/>
      <c r="K648" s="2"/>
      <c r="M648" s="3"/>
    </row>
    <row r="649" spans="1:13" ht="15.75" customHeight="1">
      <c r="A649" s="2"/>
      <c r="B649" s="2"/>
      <c r="C649" s="2"/>
      <c r="D649" s="2"/>
      <c r="E649" s="2"/>
      <c r="F649" s="2"/>
      <c r="G649" s="2"/>
      <c r="H649" s="2"/>
      <c r="I649" s="81"/>
      <c r="J649" s="2"/>
      <c r="K649" s="2"/>
      <c r="M649" s="3"/>
    </row>
    <row r="650" spans="1:13" ht="15.75" customHeight="1">
      <c r="A650" s="2"/>
      <c r="B650" s="2"/>
      <c r="C650" s="2"/>
      <c r="D650" s="2"/>
      <c r="E650" s="2"/>
      <c r="F650" s="2"/>
      <c r="G650" s="2"/>
      <c r="H650" s="2"/>
      <c r="I650" s="81"/>
      <c r="J650" s="2"/>
      <c r="K650" s="2"/>
      <c r="M650" s="3"/>
    </row>
    <row r="651" spans="1:13" ht="15.75" customHeight="1">
      <c r="A651" s="2"/>
      <c r="B651" s="2"/>
      <c r="C651" s="2"/>
      <c r="D651" s="2"/>
      <c r="E651" s="2"/>
      <c r="F651" s="2"/>
      <c r="G651" s="2"/>
      <c r="H651" s="2"/>
      <c r="I651" s="81"/>
      <c r="J651" s="2"/>
      <c r="K651" s="2"/>
      <c r="M651" s="3"/>
    </row>
    <row r="652" spans="1:13" ht="15.75" customHeight="1">
      <c r="A652" s="2"/>
      <c r="B652" s="2"/>
      <c r="C652" s="2"/>
      <c r="D652" s="2"/>
      <c r="E652" s="2"/>
      <c r="F652" s="2"/>
      <c r="G652" s="2"/>
      <c r="H652" s="2"/>
      <c r="I652" s="81"/>
      <c r="J652" s="2"/>
      <c r="K652" s="2"/>
      <c r="M652" s="3"/>
    </row>
    <row r="653" spans="1:13" ht="15.75" customHeight="1">
      <c r="A653" s="2"/>
      <c r="B653" s="2"/>
      <c r="C653" s="2"/>
      <c r="D653" s="2"/>
      <c r="E653" s="2"/>
      <c r="F653" s="2"/>
      <c r="G653" s="2"/>
      <c r="H653" s="2"/>
      <c r="I653" s="81"/>
      <c r="J653" s="2"/>
      <c r="K653" s="2"/>
      <c r="M653" s="3"/>
    </row>
    <row r="654" spans="1:13" ht="15.75" customHeight="1">
      <c r="A654" s="2"/>
      <c r="B654" s="2"/>
      <c r="C654" s="2"/>
      <c r="D654" s="2"/>
      <c r="E654" s="2"/>
      <c r="F654" s="2"/>
      <c r="G654" s="2"/>
      <c r="H654" s="2"/>
      <c r="I654" s="81"/>
      <c r="J654" s="2"/>
      <c r="K654" s="2"/>
      <c r="M654" s="3"/>
    </row>
    <row r="655" spans="1:13" ht="15.75" customHeight="1">
      <c r="A655" s="2"/>
      <c r="B655" s="2"/>
      <c r="C655" s="2"/>
      <c r="D655" s="2"/>
      <c r="E655" s="2"/>
      <c r="F655" s="2"/>
      <c r="G655" s="2"/>
      <c r="H655" s="2"/>
      <c r="I655" s="81"/>
      <c r="J655" s="2"/>
      <c r="K655" s="2"/>
      <c r="M655" s="3"/>
    </row>
    <row r="656" spans="1:13" ht="15.75" customHeight="1">
      <c r="A656" s="2"/>
      <c r="B656" s="2"/>
      <c r="C656" s="2"/>
      <c r="D656" s="2"/>
      <c r="E656" s="2"/>
      <c r="F656" s="2"/>
      <c r="G656" s="2"/>
      <c r="H656" s="2"/>
      <c r="I656" s="81"/>
      <c r="J656" s="2"/>
      <c r="K656" s="2"/>
      <c r="M656" s="3"/>
    </row>
    <row r="657" spans="1:13" ht="15.75" customHeight="1">
      <c r="A657" s="2"/>
      <c r="B657" s="2"/>
      <c r="C657" s="2"/>
      <c r="D657" s="2"/>
      <c r="E657" s="2"/>
      <c r="F657" s="2"/>
      <c r="G657" s="2"/>
      <c r="H657" s="2"/>
      <c r="I657" s="81"/>
      <c r="J657" s="2"/>
      <c r="K657" s="2"/>
      <c r="M657" s="3"/>
    </row>
    <row r="658" spans="1:13" ht="15.75" customHeight="1">
      <c r="A658" s="2"/>
      <c r="B658" s="2"/>
      <c r="C658" s="2"/>
      <c r="D658" s="2"/>
      <c r="E658" s="2"/>
      <c r="F658" s="2"/>
      <c r="G658" s="2"/>
      <c r="H658" s="2"/>
      <c r="I658" s="81"/>
      <c r="J658" s="2"/>
      <c r="K658" s="2"/>
      <c r="M658" s="3"/>
    </row>
    <row r="659" spans="1:13" ht="15.75" customHeight="1">
      <c r="A659" s="2"/>
      <c r="B659" s="2"/>
      <c r="C659" s="2"/>
      <c r="D659" s="2"/>
      <c r="E659" s="2"/>
      <c r="F659" s="2"/>
      <c r="G659" s="2"/>
      <c r="H659" s="2"/>
      <c r="I659" s="81"/>
      <c r="J659" s="2"/>
      <c r="K659" s="2"/>
      <c r="M659" s="3"/>
    </row>
    <row r="660" spans="1:13" ht="15.75" customHeight="1">
      <c r="A660" s="2"/>
      <c r="B660" s="2"/>
      <c r="C660" s="2"/>
      <c r="D660" s="2"/>
      <c r="E660" s="2"/>
      <c r="F660" s="2"/>
      <c r="G660" s="2"/>
      <c r="H660" s="2"/>
      <c r="I660" s="81"/>
      <c r="J660" s="2"/>
      <c r="K660" s="2"/>
      <c r="M660" s="3"/>
    </row>
    <row r="661" spans="1:13" ht="15.75" customHeight="1">
      <c r="A661" s="2"/>
      <c r="B661" s="2"/>
      <c r="C661" s="2"/>
      <c r="D661" s="2"/>
      <c r="E661" s="2"/>
      <c r="F661" s="2"/>
      <c r="G661" s="2"/>
      <c r="H661" s="2"/>
      <c r="I661" s="81"/>
      <c r="J661" s="2"/>
      <c r="K661" s="2"/>
      <c r="M661" s="3"/>
    </row>
    <row r="662" spans="1:13" ht="15.75" customHeight="1">
      <c r="A662" s="2"/>
      <c r="B662" s="2"/>
      <c r="C662" s="2"/>
      <c r="D662" s="2"/>
      <c r="E662" s="2"/>
      <c r="F662" s="2"/>
      <c r="G662" s="2"/>
      <c r="H662" s="2"/>
      <c r="I662" s="81"/>
      <c r="J662" s="2"/>
      <c r="K662" s="2"/>
      <c r="M662" s="3"/>
    </row>
    <row r="663" spans="1:13" ht="15.75" customHeight="1">
      <c r="A663" s="2"/>
      <c r="B663" s="2"/>
      <c r="C663" s="2"/>
      <c r="D663" s="2"/>
      <c r="E663" s="2"/>
      <c r="F663" s="2"/>
      <c r="G663" s="2"/>
      <c r="H663" s="2"/>
      <c r="I663" s="81"/>
      <c r="J663" s="2"/>
      <c r="K663" s="2"/>
      <c r="M663" s="3"/>
    </row>
    <row r="664" spans="1:13" ht="15.75" customHeight="1">
      <c r="A664" s="2"/>
      <c r="B664" s="2"/>
      <c r="C664" s="2"/>
      <c r="D664" s="2"/>
      <c r="E664" s="2"/>
      <c r="F664" s="2"/>
      <c r="G664" s="2"/>
      <c r="H664" s="2"/>
      <c r="I664" s="81"/>
      <c r="J664" s="2"/>
      <c r="K664" s="2"/>
      <c r="M664" s="3"/>
    </row>
    <row r="665" spans="1:13" ht="15.75" customHeight="1">
      <c r="A665" s="2"/>
      <c r="B665" s="2"/>
      <c r="C665" s="2"/>
      <c r="D665" s="2"/>
      <c r="E665" s="2"/>
      <c r="F665" s="2"/>
      <c r="G665" s="2"/>
      <c r="H665" s="2"/>
      <c r="I665" s="81"/>
      <c r="J665" s="2"/>
      <c r="K665" s="2"/>
      <c r="M665" s="3"/>
    </row>
    <row r="666" spans="1:13" ht="15.75" customHeight="1">
      <c r="A666" s="2"/>
      <c r="B666" s="2"/>
      <c r="C666" s="2"/>
      <c r="D666" s="2"/>
      <c r="E666" s="2"/>
      <c r="F666" s="2"/>
      <c r="G666" s="2"/>
      <c r="H666" s="2"/>
      <c r="I666" s="81"/>
      <c r="J666" s="2"/>
      <c r="K666" s="2"/>
      <c r="M666" s="3"/>
    </row>
    <row r="667" spans="1:13" ht="15.75" customHeight="1">
      <c r="A667" s="2"/>
      <c r="B667" s="2"/>
      <c r="C667" s="2"/>
      <c r="D667" s="2"/>
      <c r="E667" s="2"/>
      <c r="F667" s="2"/>
      <c r="G667" s="2"/>
      <c r="H667" s="2"/>
      <c r="I667" s="81"/>
      <c r="J667" s="2"/>
      <c r="K667" s="2"/>
      <c r="M667" s="3"/>
    </row>
    <row r="668" spans="1:13" ht="15.75" customHeight="1">
      <c r="A668" s="2"/>
      <c r="B668" s="2"/>
      <c r="C668" s="2"/>
      <c r="D668" s="2"/>
      <c r="E668" s="2"/>
      <c r="F668" s="2"/>
      <c r="G668" s="2"/>
      <c r="H668" s="2"/>
      <c r="I668" s="81"/>
      <c r="J668" s="2"/>
      <c r="K668" s="2"/>
      <c r="M668" s="3"/>
    </row>
    <row r="669" spans="1:13" ht="15.75" customHeight="1">
      <c r="A669" s="2"/>
      <c r="B669" s="2"/>
      <c r="C669" s="2"/>
      <c r="D669" s="2"/>
      <c r="E669" s="2"/>
      <c r="F669" s="2"/>
      <c r="G669" s="2"/>
      <c r="H669" s="2"/>
      <c r="I669" s="81"/>
      <c r="J669" s="2"/>
      <c r="K669" s="2"/>
      <c r="M669" s="3"/>
    </row>
    <row r="670" spans="1:13" ht="15.75" customHeight="1">
      <c r="A670" s="2"/>
      <c r="B670" s="2"/>
      <c r="C670" s="2"/>
      <c r="D670" s="2"/>
      <c r="E670" s="2"/>
      <c r="F670" s="2"/>
      <c r="G670" s="2"/>
      <c r="H670" s="2"/>
      <c r="I670" s="81"/>
      <c r="J670" s="2"/>
      <c r="K670" s="2"/>
      <c r="M670" s="3"/>
    </row>
    <row r="671" spans="1:13" ht="15.75" customHeight="1">
      <c r="A671" s="2"/>
      <c r="B671" s="2"/>
      <c r="C671" s="2"/>
      <c r="D671" s="2"/>
      <c r="E671" s="2"/>
      <c r="F671" s="2"/>
      <c r="G671" s="2"/>
      <c r="H671" s="2"/>
      <c r="I671" s="81"/>
      <c r="J671" s="2"/>
      <c r="K671" s="2"/>
      <c r="M671" s="3"/>
    </row>
    <row r="672" spans="1:13" ht="15.75" customHeight="1">
      <c r="A672" s="2"/>
      <c r="B672" s="2"/>
      <c r="C672" s="2"/>
      <c r="D672" s="2"/>
      <c r="E672" s="2"/>
      <c r="F672" s="2"/>
      <c r="G672" s="2"/>
      <c r="H672" s="2"/>
      <c r="I672" s="81"/>
      <c r="J672" s="2"/>
      <c r="K672" s="2"/>
      <c r="M672" s="3"/>
    </row>
    <row r="673" spans="1:13" ht="15.75" customHeight="1">
      <c r="A673" s="2"/>
      <c r="B673" s="2"/>
      <c r="C673" s="2"/>
      <c r="D673" s="2"/>
      <c r="E673" s="2"/>
      <c r="F673" s="2"/>
      <c r="G673" s="2"/>
      <c r="H673" s="2"/>
      <c r="I673" s="81"/>
      <c r="J673" s="2"/>
      <c r="K673" s="2"/>
      <c r="M673" s="3"/>
    </row>
    <row r="674" spans="1:13" ht="15.75" customHeight="1">
      <c r="A674" s="2"/>
      <c r="B674" s="2"/>
      <c r="C674" s="2"/>
      <c r="D674" s="2"/>
      <c r="E674" s="2"/>
      <c r="F674" s="2"/>
      <c r="G674" s="2"/>
      <c r="H674" s="2"/>
      <c r="I674" s="81"/>
      <c r="J674" s="2"/>
      <c r="K674" s="2"/>
      <c r="M674" s="3"/>
    </row>
    <row r="675" spans="1:13" ht="15.75" customHeight="1">
      <c r="A675" s="2"/>
      <c r="B675" s="2"/>
      <c r="C675" s="2"/>
      <c r="D675" s="2"/>
      <c r="E675" s="2"/>
      <c r="F675" s="2"/>
      <c r="G675" s="2"/>
      <c r="H675" s="2"/>
      <c r="I675" s="81"/>
      <c r="J675" s="2"/>
      <c r="K675" s="2"/>
      <c r="M675" s="3"/>
    </row>
    <row r="676" spans="1:13" ht="15.75" customHeight="1">
      <c r="A676" s="2"/>
      <c r="B676" s="2"/>
      <c r="C676" s="2"/>
      <c r="D676" s="2"/>
      <c r="E676" s="2"/>
      <c r="F676" s="2"/>
      <c r="G676" s="2"/>
      <c r="H676" s="2"/>
      <c r="I676" s="81"/>
      <c r="J676" s="2"/>
      <c r="K676" s="2"/>
      <c r="M676" s="3"/>
    </row>
    <row r="677" spans="1:13" ht="15.75" customHeight="1">
      <c r="A677" s="2"/>
      <c r="B677" s="2"/>
      <c r="C677" s="2"/>
      <c r="D677" s="2"/>
      <c r="E677" s="2"/>
      <c r="F677" s="2"/>
      <c r="G677" s="2"/>
      <c r="H677" s="2"/>
      <c r="I677" s="81"/>
      <c r="J677" s="2"/>
      <c r="K677" s="2"/>
      <c r="M677" s="3"/>
    </row>
    <row r="678" spans="1:13" ht="15.75" customHeight="1">
      <c r="A678" s="2"/>
      <c r="B678" s="2"/>
      <c r="C678" s="2"/>
      <c r="D678" s="2"/>
      <c r="E678" s="2"/>
      <c r="F678" s="2"/>
      <c r="G678" s="2"/>
      <c r="H678" s="2"/>
      <c r="I678" s="81"/>
      <c r="J678" s="2"/>
      <c r="K678" s="2"/>
      <c r="M678" s="3"/>
    </row>
    <row r="679" spans="1:13" ht="15.75" customHeight="1">
      <c r="A679" s="2"/>
      <c r="B679" s="2"/>
      <c r="C679" s="2"/>
      <c r="D679" s="2"/>
      <c r="E679" s="2"/>
      <c r="F679" s="2"/>
      <c r="G679" s="2"/>
      <c r="H679" s="2"/>
      <c r="I679" s="81"/>
      <c r="J679" s="2"/>
      <c r="K679" s="2"/>
      <c r="M679" s="3"/>
    </row>
    <row r="680" spans="1:13" ht="15.75" customHeight="1">
      <c r="A680" s="2"/>
      <c r="B680" s="2"/>
      <c r="C680" s="2"/>
      <c r="D680" s="2"/>
      <c r="E680" s="2"/>
      <c r="F680" s="2"/>
      <c r="G680" s="2"/>
      <c r="H680" s="2"/>
      <c r="I680" s="81"/>
      <c r="J680" s="2"/>
      <c r="K680" s="2"/>
      <c r="M680" s="3"/>
    </row>
    <row r="681" spans="1:13" ht="15.75" customHeight="1">
      <c r="A681" s="2"/>
      <c r="B681" s="2"/>
      <c r="C681" s="2"/>
      <c r="D681" s="2"/>
      <c r="E681" s="2"/>
      <c r="F681" s="2"/>
      <c r="G681" s="2"/>
      <c r="H681" s="2"/>
      <c r="I681" s="81"/>
      <c r="J681" s="2"/>
      <c r="K681" s="2"/>
      <c r="M681" s="3"/>
    </row>
    <row r="682" spans="1:13" ht="15.75" customHeight="1">
      <c r="A682" s="2"/>
      <c r="B682" s="2"/>
      <c r="C682" s="2"/>
      <c r="D682" s="2"/>
      <c r="E682" s="2"/>
      <c r="F682" s="2"/>
      <c r="G682" s="2"/>
      <c r="H682" s="2"/>
      <c r="I682" s="81"/>
      <c r="J682" s="2"/>
      <c r="K682" s="2"/>
      <c r="M682" s="3"/>
    </row>
    <row r="683" spans="1:13" ht="15.75" customHeight="1">
      <c r="A683" s="2"/>
      <c r="B683" s="2"/>
      <c r="C683" s="2"/>
      <c r="D683" s="2"/>
      <c r="E683" s="2"/>
      <c r="F683" s="2"/>
      <c r="G683" s="2"/>
      <c r="H683" s="2"/>
      <c r="I683" s="81"/>
      <c r="J683" s="2"/>
      <c r="K683" s="2"/>
      <c r="M683" s="3"/>
    </row>
    <row r="684" spans="1:13" ht="15.75" customHeight="1">
      <c r="A684" s="2"/>
      <c r="B684" s="2"/>
      <c r="C684" s="2"/>
      <c r="D684" s="2"/>
      <c r="E684" s="2"/>
      <c r="F684" s="2"/>
      <c r="G684" s="2"/>
      <c r="H684" s="2"/>
      <c r="I684" s="81"/>
      <c r="J684" s="2"/>
      <c r="K684" s="2"/>
      <c r="M684" s="3"/>
    </row>
    <row r="685" spans="1:13" ht="15.75" customHeight="1">
      <c r="A685" s="2"/>
      <c r="B685" s="2"/>
      <c r="C685" s="2"/>
      <c r="D685" s="2"/>
      <c r="E685" s="2"/>
      <c r="F685" s="2"/>
      <c r="G685" s="2"/>
      <c r="H685" s="2"/>
      <c r="I685" s="81"/>
      <c r="J685" s="2"/>
      <c r="K685" s="2"/>
      <c r="M685" s="3"/>
    </row>
    <row r="686" spans="1:13" ht="15.75" customHeight="1">
      <c r="A686" s="2"/>
      <c r="B686" s="2"/>
      <c r="C686" s="2"/>
      <c r="D686" s="2"/>
      <c r="E686" s="2"/>
      <c r="F686" s="2"/>
      <c r="G686" s="2"/>
      <c r="H686" s="2"/>
      <c r="I686" s="81"/>
      <c r="J686" s="2"/>
      <c r="K686" s="2"/>
      <c r="M686" s="3"/>
    </row>
    <row r="687" spans="1:13" ht="15.75" customHeight="1">
      <c r="A687" s="2"/>
      <c r="B687" s="2"/>
      <c r="C687" s="2"/>
      <c r="D687" s="2"/>
      <c r="E687" s="2"/>
      <c r="F687" s="2"/>
      <c r="G687" s="2"/>
      <c r="H687" s="2"/>
      <c r="I687" s="81"/>
      <c r="J687" s="2"/>
      <c r="K687" s="2"/>
      <c r="M687" s="3"/>
    </row>
    <row r="688" spans="1:13" ht="15.75" customHeight="1">
      <c r="A688" s="2"/>
      <c r="B688" s="2"/>
      <c r="C688" s="2"/>
      <c r="D688" s="2"/>
      <c r="E688" s="2"/>
      <c r="F688" s="2"/>
      <c r="G688" s="2"/>
      <c r="H688" s="2"/>
      <c r="I688" s="81"/>
      <c r="J688" s="2"/>
      <c r="K688" s="2"/>
      <c r="M688" s="3"/>
    </row>
    <row r="689" spans="1:13" ht="15.75" customHeight="1">
      <c r="A689" s="2"/>
      <c r="B689" s="2"/>
      <c r="C689" s="2"/>
      <c r="D689" s="2"/>
      <c r="E689" s="2"/>
      <c r="F689" s="2"/>
      <c r="G689" s="2"/>
      <c r="H689" s="2"/>
      <c r="I689" s="81"/>
      <c r="J689" s="2"/>
      <c r="K689" s="2"/>
      <c r="M689" s="3"/>
    </row>
    <row r="690" spans="1:13" ht="15.75" customHeight="1">
      <c r="A690" s="2"/>
      <c r="B690" s="2"/>
      <c r="C690" s="2"/>
      <c r="D690" s="2"/>
      <c r="E690" s="2"/>
      <c r="F690" s="2"/>
      <c r="G690" s="2"/>
      <c r="H690" s="2"/>
      <c r="I690" s="81"/>
      <c r="J690" s="2"/>
      <c r="K690" s="2"/>
      <c r="M690" s="3"/>
    </row>
    <row r="691" spans="1:13" ht="15.75" customHeight="1">
      <c r="A691" s="2"/>
      <c r="B691" s="2"/>
      <c r="C691" s="2"/>
      <c r="D691" s="2"/>
      <c r="E691" s="2"/>
      <c r="F691" s="2"/>
      <c r="G691" s="2"/>
      <c r="H691" s="2"/>
      <c r="I691" s="81"/>
      <c r="J691" s="2"/>
      <c r="K691" s="2"/>
      <c r="M691" s="3"/>
    </row>
    <row r="692" spans="1:13" ht="15.75" customHeight="1">
      <c r="A692" s="2"/>
      <c r="B692" s="2"/>
      <c r="C692" s="2"/>
      <c r="D692" s="2"/>
      <c r="E692" s="2"/>
      <c r="F692" s="2"/>
      <c r="G692" s="2"/>
      <c r="H692" s="2"/>
      <c r="I692" s="81"/>
      <c r="J692" s="2"/>
      <c r="K692" s="2"/>
      <c r="M692" s="3"/>
    </row>
    <row r="693" spans="1:13" ht="15.75" customHeight="1">
      <c r="A693" s="2"/>
      <c r="B693" s="2"/>
      <c r="C693" s="2"/>
      <c r="D693" s="2"/>
      <c r="E693" s="2"/>
      <c r="F693" s="2"/>
      <c r="G693" s="2"/>
      <c r="H693" s="2"/>
      <c r="I693" s="81"/>
      <c r="J693" s="2"/>
      <c r="K693" s="2"/>
      <c r="M693" s="3"/>
    </row>
    <row r="694" spans="1:13" ht="15.75" customHeight="1">
      <c r="A694" s="2"/>
      <c r="B694" s="2"/>
      <c r="C694" s="2"/>
      <c r="D694" s="2"/>
      <c r="E694" s="2"/>
      <c r="F694" s="2"/>
      <c r="G694" s="2"/>
      <c r="H694" s="2"/>
      <c r="I694" s="81"/>
      <c r="J694" s="2"/>
      <c r="K694" s="2"/>
      <c r="M694" s="3"/>
    </row>
    <row r="695" spans="1:13" ht="15.75" customHeight="1">
      <c r="A695" s="2"/>
      <c r="B695" s="2"/>
      <c r="C695" s="2"/>
      <c r="D695" s="2"/>
      <c r="E695" s="2"/>
      <c r="F695" s="2"/>
      <c r="G695" s="2"/>
      <c r="H695" s="2"/>
      <c r="I695" s="81"/>
      <c r="J695" s="2"/>
      <c r="K695" s="2"/>
      <c r="M695" s="3"/>
    </row>
    <row r="696" spans="1:13" ht="15.75" customHeight="1">
      <c r="A696" s="2"/>
      <c r="B696" s="2"/>
      <c r="C696" s="2"/>
      <c r="D696" s="2"/>
      <c r="E696" s="2"/>
      <c r="F696" s="2"/>
      <c r="G696" s="2"/>
      <c r="H696" s="2"/>
      <c r="I696" s="81"/>
      <c r="J696" s="2"/>
      <c r="K696" s="2"/>
      <c r="M696" s="3"/>
    </row>
    <row r="697" spans="1:13" ht="15.75" customHeight="1">
      <c r="A697" s="2"/>
      <c r="B697" s="2"/>
      <c r="C697" s="2"/>
      <c r="D697" s="2"/>
      <c r="E697" s="2"/>
      <c r="F697" s="2"/>
      <c r="G697" s="2"/>
      <c r="H697" s="2"/>
      <c r="I697" s="81"/>
      <c r="J697" s="2"/>
      <c r="K697" s="2"/>
      <c r="M697" s="3"/>
    </row>
    <row r="698" spans="1:13" ht="15.75" customHeight="1">
      <c r="A698" s="2"/>
      <c r="B698" s="2"/>
      <c r="C698" s="2"/>
      <c r="D698" s="2"/>
      <c r="E698" s="2"/>
      <c r="F698" s="2"/>
      <c r="G698" s="2"/>
      <c r="H698" s="2"/>
      <c r="I698" s="81"/>
      <c r="J698" s="2"/>
      <c r="K698" s="2"/>
      <c r="M698" s="3"/>
    </row>
    <row r="699" spans="1:13" ht="15.75" customHeight="1">
      <c r="A699" s="2"/>
      <c r="B699" s="2"/>
      <c r="C699" s="2"/>
      <c r="D699" s="2"/>
      <c r="E699" s="2"/>
      <c r="F699" s="2"/>
      <c r="G699" s="2"/>
      <c r="H699" s="2"/>
      <c r="I699" s="81"/>
      <c r="J699" s="2"/>
      <c r="K699" s="2"/>
      <c r="M699" s="3"/>
    </row>
    <row r="700" spans="1:13" ht="15.75" customHeight="1">
      <c r="A700" s="2"/>
      <c r="B700" s="2"/>
      <c r="C700" s="2"/>
      <c r="D700" s="2"/>
      <c r="E700" s="2"/>
      <c r="F700" s="2"/>
      <c r="G700" s="2"/>
      <c r="H700" s="2"/>
      <c r="I700" s="81"/>
      <c r="J700" s="2"/>
      <c r="K700" s="2"/>
      <c r="M700" s="3"/>
    </row>
    <row r="701" spans="1:13" ht="15.75" customHeight="1">
      <c r="A701" s="2"/>
      <c r="B701" s="2"/>
      <c r="C701" s="2"/>
      <c r="D701" s="2"/>
      <c r="E701" s="2"/>
      <c r="F701" s="2"/>
      <c r="G701" s="2"/>
      <c r="H701" s="2"/>
      <c r="I701" s="81"/>
      <c r="J701" s="2"/>
      <c r="K701" s="2"/>
      <c r="M701" s="3"/>
    </row>
    <row r="702" spans="1:13" ht="15.75" customHeight="1">
      <c r="A702" s="2"/>
      <c r="B702" s="2"/>
      <c r="C702" s="2"/>
      <c r="D702" s="2"/>
      <c r="E702" s="2"/>
      <c r="F702" s="2"/>
      <c r="G702" s="2"/>
      <c r="H702" s="2"/>
      <c r="I702" s="81"/>
      <c r="J702" s="2"/>
      <c r="K702" s="2"/>
      <c r="M702" s="3"/>
    </row>
    <row r="703" spans="1:13" ht="15.75" customHeight="1">
      <c r="A703" s="2"/>
      <c r="B703" s="2"/>
      <c r="C703" s="2"/>
      <c r="D703" s="2"/>
      <c r="E703" s="2"/>
      <c r="F703" s="2"/>
      <c r="G703" s="2"/>
      <c r="H703" s="2"/>
      <c r="I703" s="81"/>
      <c r="J703" s="2"/>
      <c r="K703" s="2"/>
      <c r="M703" s="3"/>
    </row>
    <row r="704" spans="1:13" ht="15.75" customHeight="1">
      <c r="A704" s="2"/>
      <c r="B704" s="2"/>
      <c r="C704" s="2"/>
      <c r="D704" s="2"/>
      <c r="E704" s="2"/>
      <c r="F704" s="2"/>
      <c r="G704" s="2"/>
      <c r="H704" s="2"/>
      <c r="I704" s="81"/>
      <c r="J704" s="2"/>
      <c r="K704" s="2"/>
      <c r="M704" s="3"/>
    </row>
    <row r="705" spans="1:13" ht="15.75" customHeight="1">
      <c r="A705" s="2"/>
      <c r="B705" s="2"/>
      <c r="C705" s="2"/>
      <c r="D705" s="2"/>
      <c r="E705" s="2"/>
      <c r="F705" s="2"/>
      <c r="G705" s="2"/>
      <c r="H705" s="2"/>
      <c r="I705" s="81"/>
      <c r="J705" s="2"/>
      <c r="K705" s="2"/>
      <c r="M705" s="3"/>
    </row>
    <row r="706" spans="1:13" ht="15.75" customHeight="1">
      <c r="A706" s="2"/>
      <c r="B706" s="2"/>
      <c r="C706" s="2"/>
      <c r="D706" s="2"/>
      <c r="E706" s="2"/>
      <c r="F706" s="2"/>
      <c r="G706" s="2"/>
      <c r="H706" s="2"/>
      <c r="I706" s="81"/>
      <c r="J706" s="2"/>
      <c r="K706" s="2"/>
      <c r="M706" s="3"/>
    </row>
    <row r="707" spans="1:13" ht="15.75" customHeight="1">
      <c r="A707" s="2"/>
      <c r="B707" s="2"/>
      <c r="C707" s="2"/>
      <c r="D707" s="2"/>
      <c r="E707" s="2"/>
      <c r="F707" s="2"/>
      <c r="G707" s="2"/>
      <c r="H707" s="2"/>
      <c r="I707" s="81"/>
      <c r="J707" s="2"/>
      <c r="K707" s="2"/>
      <c r="M707" s="3"/>
    </row>
    <row r="708" spans="1:13" ht="15.75" customHeight="1">
      <c r="A708" s="2"/>
      <c r="B708" s="2"/>
      <c r="C708" s="2"/>
      <c r="D708" s="2"/>
      <c r="E708" s="2"/>
      <c r="F708" s="2"/>
      <c r="G708" s="2"/>
      <c r="H708" s="2"/>
      <c r="I708" s="81"/>
      <c r="J708" s="2"/>
      <c r="K708" s="2"/>
      <c r="M708" s="3"/>
    </row>
    <row r="709" spans="1:13" ht="15.75" customHeight="1">
      <c r="A709" s="2"/>
      <c r="B709" s="2"/>
      <c r="C709" s="2"/>
      <c r="D709" s="2"/>
      <c r="E709" s="2"/>
      <c r="F709" s="2"/>
      <c r="G709" s="2"/>
      <c r="H709" s="2"/>
      <c r="I709" s="81"/>
      <c r="J709" s="2"/>
      <c r="K709" s="2"/>
      <c r="M709" s="3"/>
    </row>
    <row r="710" spans="1:13" ht="15.75" customHeight="1">
      <c r="A710" s="2"/>
      <c r="B710" s="2"/>
      <c r="C710" s="2"/>
      <c r="D710" s="2"/>
      <c r="E710" s="2"/>
      <c r="F710" s="2"/>
      <c r="G710" s="2"/>
      <c r="H710" s="2"/>
      <c r="I710" s="81"/>
      <c r="J710" s="2"/>
      <c r="K710" s="2"/>
      <c r="M710" s="3"/>
    </row>
    <row r="711" spans="1:13" ht="15.75" customHeight="1">
      <c r="A711" s="2"/>
      <c r="B711" s="2"/>
      <c r="C711" s="2"/>
      <c r="D711" s="2"/>
      <c r="E711" s="2"/>
      <c r="F711" s="2"/>
      <c r="G711" s="2"/>
      <c r="H711" s="2"/>
      <c r="I711" s="81"/>
      <c r="J711" s="2"/>
      <c r="K711" s="2"/>
      <c r="M711" s="3"/>
    </row>
    <row r="712" spans="1:13" ht="15.75" customHeight="1">
      <c r="A712" s="2"/>
      <c r="B712" s="2"/>
      <c r="C712" s="2"/>
      <c r="D712" s="2"/>
      <c r="E712" s="2"/>
      <c r="F712" s="2"/>
      <c r="G712" s="2"/>
      <c r="H712" s="2"/>
      <c r="I712" s="81"/>
      <c r="J712" s="2"/>
      <c r="K712" s="2"/>
      <c r="M712" s="3"/>
    </row>
    <row r="713" spans="1:13" ht="15.75" customHeight="1">
      <c r="A713" s="2"/>
      <c r="B713" s="2"/>
      <c r="C713" s="2"/>
      <c r="D713" s="2"/>
      <c r="E713" s="2"/>
      <c r="F713" s="2"/>
      <c r="G713" s="2"/>
      <c r="H713" s="2"/>
      <c r="I713" s="81"/>
      <c r="J713" s="2"/>
      <c r="K713" s="2"/>
      <c r="M713" s="3"/>
    </row>
    <row r="714" spans="1:13" ht="15.75" customHeight="1">
      <c r="A714" s="2"/>
      <c r="B714" s="2"/>
      <c r="C714" s="2"/>
      <c r="D714" s="2"/>
      <c r="E714" s="2"/>
      <c r="F714" s="2"/>
      <c r="G714" s="2"/>
      <c r="H714" s="2"/>
      <c r="I714" s="81"/>
      <c r="J714" s="2"/>
      <c r="K714" s="2"/>
      <c r="M714" s="3"/>
    </row>
    <row r="715" spans="1:13" ht="15.75" customHeight="1">
      <c r="A715" s="2"/>
      <c r="B715" s="2"/>
      <c r="C715" s="2"/>
      <c r="D715" s="2"/>
      <c r="E715" s="2"/>
      <c r="F715" s="2"/>
      <c r="G715" s="2"/>
      <c r="H715" s="2"/>
      <c r="I715" s="81"/>
      <c r="J715" s="2"/>
      <c r="K715" s="2"/>
      <c r="M715" s="3"/>
    </row>
    <row r="716" spans="1:13" ht="15.75" customHeight="1">
      <c r="A716" s="2"/>
      <c r="B716" s="2"/>
      <c r="C716" s="2"/>
      <c r="D716" s="2"/>
      <c r="E716" s="2"/>
      <c r="F716" s="2"/>
      <c r="G716" s="2"/>
      <c r="H716" s="2"/>
      <c r="I716" s="81"/>
      <c r="J716" s="2"/>
      <c r="K716" s="2"/>
      <c r="M716" s="3"/>
    </row>
    <row r="717" spans="1:13" ht="15.75" customHeight="1">
      <c r="A717" s="2"/>
      <c r="B717" s="2"/>
      <c r="C717" s="2"/>
      <c r="D717" s="2"/>
      <c r="E717" s="2"/>
      <c r="F717" s="2"/>
      <c r="G717" s="2"/>
      <c r="H717" s="2"/>
      <c r="I717" s="81"/>
      <c r="J717" s="2"/>
      <c r="K717" s="2"/>
      <c r="M717" s="3"/>
    </row>
    <row r="718" spans="1:13" ht="15.75" customHeight="1">
      <c r="A718" s="2"/>
      <c r="B718" s="2"/>
      <c r="C718" s="2"/>
      <c r="D718" s="2"/>
      <c r="E718" s="2"/>
      <c r="F718" s="2"/>
      <c r="G718" s="2"/>
      <c r="H718" s="2"/>
      <c r="I718" s="81"/>
      <c r="J718" s="2"/>
      <c r="K718" s="2"/>
      <c r="M718" s="3"/>
    </row>
    <row r="719" spans="1:13" ht="15.75" customHeight="1">
      <c r="A719" s="2"/>
      <c r="B719" s="2"/>
      <c r="C719" s="2"/>
      <c r="D719" s="2"/>
      <c r="E719" s="2"/>
      <c r="F719" s="2"/>
      <c r="G719" s="2"/>
      <c r="H719" s="2"/>
      <c r="I719" s="81"/>
      <c r="J719" s="2"/>
      <c r="K719" s="2"/>
      <c r="M719" s="3"/>
    </row>
    <row r="720" spans="1:13" ht="15.75" customHeight="1">
      <c r="A720" s="2"/>
      <c r="B720" s="2"/>
      <c r="C720" s="2"/>
      <c r="D720" s="2"/>
      <c r="E720" s="2"/>
      <c r="F720" s="2"/>
      <c r="G720" s="2"/>
      <c r="H720" s="2"/>
      <c r="I720" s="81"/>
      <c r="J720" s="2"/>
      <c r="K720" s="2"/>
      <c r="M720" s="3"/>
    </row>
    <row r="721" spans="1:13" ht="15.75" customHeight="1">
      <c r="A721" s="2"/>
      <c r="B721" s="2"/>
      <c r="C721" s="2"/>
      <c r="D721" s="2"/>
      <c r="E721" s="2"/>
      <c r="F721" s="2"/>
      <c r="G721" s="2"/>
      <c r="H721" s="2"/>
      <c r="I721" s="81"/>
      <c r="J721" s="2"/>
      <c r="K721" s="2"/>
      <c r="M721" s="3"/>
    </row>
    <row r="722" spans="1:13" ht="15.75" customHeight="1">
      <c r="A722" s="2"/>
      <c r="B722" s="2"/>
      <c r="C722" s="2"/>
      <c r="D722" s="2"/>
      <c r="E722" s="2"/>
      <c r="F722" s="2"/>
      <c r="G722" s="2"/>
      <c r="H722" s="2"/>
      <c r="I722" s="81"/>
      <c r="J722" s="2"/>
      <c r="K722" s="2"/>
      <c r="M722" s="3"/>
    </row>
    <row r="723" spans="1:13" ht="15.75" customHeight="1">
      <c r="A723" s="2"/>
      <c r="B723" s="2"/>
      <c r="C723" s="2"/>
      <c r="D723" s="2"/>
      <c r="E723" s="2"/>
      <c r="F723" s="2"/>
      <c r="G723" s="2"/>
      <c r="H723" s="2"/>
      <c r="I723" s="81"/>
      <c r="J723" s="2"/>
      <c r="K723" s="2"/>
      <c r="M723" s="3"/>
    </row>
    <row r="724" spans="1:13" ht="15.75" customHeight="1">
      <c r="A724" s="2"/>
      <c r="B724" s="2"/>
      <c r="C724" s="2"/>
      <c r="D724" s="2"/>
      <c r="E724" s="2"/>
      <c r="F724" s="2"/>
      <c r="G724" s="2"/>
      <c r="H724" s="2"/>
      <c r="I724" s="81"/>
      <c r="J724" s="2"/>
      <c r="K724" s="2"/>
      <c r="M724" s="3"/>
    </row>
    <row r="725" spans="1:13" ht="15.75" customHeight="1">
      <c r="A725" s="2"/>
      <c r="B725" s="2"/>
      <c r="C725" s="2"/>
      <c r="D725" s="2"/>
      <c r="E725" s="2"/>
      <c r="F725" s="2"/>
      <c r="G725" s="2"/>
      <c r="H725" s="2"/>
      <c r="I725" s="81"/>
      <c r="J725" s="2"/>
      <c r="K725" s="2"/>
      <c r="M725" s="3"/>
    </row>
    <row r="726" spans="1:13" ht="15.75" customHeight="1">
      <c r="A726" s="2"/>
      <c r="B726" s="2"/>
      <c r="C726" s="2"/>
      <c r="D726" s="2"/>
      <c r="E726" s="2"/>
      <c r="F726" s="2"/>
      <c r="G726" s="2"/>
      <c r="H726" s="2"/>
      <c r="I726" s="81"/>
      <c r="J726" s="2"/>
      <c r="K726" s="2"/>
      <c r="M726" s="3"/>
    </row>
    <row r="727" spans="1:13" ht="15.75" customHeight="1">
      <c r="A727" s="2"/>
      <c r="B727" s="2"/>
      <c r="C727" s="2"/>
      <c r="D727" s="2"/>
      <c r="E727" s="2"/>
      <c r="F727" s="2"/>
      <c r="G727" s="2"/>
      <c r="H727" s="2"/>
      <c r="I727" s="81"/>
      <c r="J727" s="2"/>
      <c r="K727" s="2"/>
      <c r="M727" s="3"/>
    </row>
    <row r="728" spans="1:13" ht="15.75" customHeight="1">
      <c r="A728" s="2"/>
      <c r="B728" s="2"/>
      <c r="C728" s="2"/>
      <c r="D728" s="2"/>
      <c r="E728" s="2"/>
      <c r="F728" s="2"/>
      <c r="G728" s="2"/>
      <c r="H728" s="2"/>
      <c r="I728" s="81"/>
      <c r="J728" s="2"/>
      <c r="K728" s="2"/>
      <c r="M728" s="3"/>
    </row>
    <row r="729" spans="1:13" ht="15.75" customHeight="1">
      <c r="A729" s="2"/>
      <c r="B729" s="2"/>
      <c r="C729" s="2"/>
      <c r="D729" s="2"/>
      <c r="E729" s="2"/>
      <c r="F729" s="2"/>
      <c r="G729" s="2"/>
      <c r="H729" s="2"/>
      <c r="I729" s="81"/>
      <c r="J729" s="2"/>
      <c r="K729" s="2"/>
      <c r="M729" s="3"/>
    </row>
    <row r="730" spans="1:13" ht="15.75" customHeight="1">
      <c r="A730" s="2"/>
      <c r="B730" s="2"/>
      <c r="C730" s="2"/>
      <c r="D730" s="2"/>
      <c r="E730" s="2"/>
      <c r="F730" s="2"/>
      <c r="G730" s="2"/>
      <c r="H730" s="2"/>
      <c r="I730" s="81"/>
      <c r="J730" s="2"/>
      <c r="K730" s="2"/>
      <c r="M730" s="3"/>
    </row>
    <row r="731" spans="1:13" ht="15.75" customHeight="1">
      <c r="A731" s="2"/>
      <c r="B731" s="2"/>
      <c r="C731" s="2"/>
      <c r="D731" s="2"/>
      <c r="E731" s="2"/>
      <c r="F731" s="2"/>
      <c r="G731" s="2"/>
      <c r="H731" s="2"/>
      <c r="I731" s="81"/>
      <c r="J731" s="2"/>
      <c r="K731" s="2"/>
      <c r="M731" s="3"/>
    </row>
    <row r="732" spans="1:13" ht="15.75" customHeight="1">
      <c r="A732" s="2"/>
      <c r="B732" s="2"/>
      <c r="C732" s="2"/>
      <c r="D732" s="2"/>
      <c r="E732" s="2"/>
      <c r="F732" s="2"/>
      <c r="G732" s="2"/>
      <c r="H732" s="2"/>
      <c r="I732" s="81"/>
      <c r="J732" s="2"/>
      <c r="K732" s="2"/>
      <c r="M732" s="3"/>
    </row>
    <row r="733" spans="1:13" ht="15.75" customHeight="1">
      <c r="A733" s="2"/>
      <c r="B733" s="2"/>
      <c r="C733" s="2"/>
      <c r="D733" s="2"/>
      <c r="E733" s="2"/>
      <c r="F733" s="2"/>
      <c r="G733" s="2"/>
      <c r="H733" s="2"/>
      <c r="I733" s="81"/>
      <c r="J733" s="2"/>
      <c r="K733" s="2"/>
      <c r="M733" s="3"/>
    </row>
    <row r="734" spans="1:13" ht="15.75" customHeight="1">
      <c r="A734" s="2"/>
      <c r="B734" s="2"/>
      <c r="C734" s="2"/>
      <c r="D734" s="2"/>
      <c r="E734" s="2"/>
      <c r="F734" s="2"/>
      <c r="G734" s="2"/>
      <c r="H734" s="2"/>
      <c r="I734" s="81"/>
      <c r="J734" s="2"/>
      <c r="K734" s="2"/>
      <c r="M734" s="3"/>
    </row>
    <row r="735" spans="1:13" ht="15.75" customHeight="1">
      <c r="A735" s="2"/>
      <c r="B735" s="2"/>
      <c r="C735" s="2"/>
      <c r="D735" s="2"/>
      <c r="E735" s="2"/>
      <c r="F735" s="2"/>
      <c r="G735" s="2"/>
      <c r="H735" s="2"/>
      <c r="I735" s="81"/>
      <c r="J735" s="2"/>
      <c r="K735" s="2"/>
      <c r="M735" s="3"/>
    </row>
    <row r="736" spans="1:13" ht="15.75" customHeight="1">
      <c r="A736" s="2"/>
      <c r="B736" s="2"/>
      <c r="C736" s="2"/>
      <c r="D736" s="2"/>
      <c r="E736" s="2"/>
      <c r="F736" s="2"/>
      <c r="G736" s="2"/>
      <c r="H736" s="2"/>
      <c r="I736" s="81"/>
      <c r="J736" s="2"/>
      <c r="K736" s="2"/>
      <c r="M736" s="3"/>
    </row>
    <row r="737" spans="1:13" ht="15.75" customHeight="1">
      <c r="A737" s="2"/>
      <c r="B737" s="2"/>
      <c r="C737" s="2"/>
      <c r="D737" s="2"/>
      <c r="E737" s="2"/>
      <c r="F737" s="2"/>
      <c r="G737" s="2"/>
      <c r="H737" s="2"/>
      <c r="I737" s="81"/>
      <c r="J737" s="2"/>
      <c r="K737" s="2"/>
      <c r="M737" s="3"/>
    </row>
    <row r="738" spans="1:13" ht="15.75" customHeight="1">
      <c r="A738" s="2"/>
      <c r="B738" s="2"/>
      <c r="C738" s="2"/>
      <c r="D738" s="2"/>
      <c r="E738" s="2"/>
      <c r="F738" s="2"/>
      <c r="G738" s="2"/>
      <c r="H738" s="2"/>
      <c r="I738" s="81"/>
      <c r="J738" s="2"/>
      <c r="K738" s="2"/>
      <c r="M738" s="3"/>
    </row>
    <row r="739" spans="1:13" ht="15.75" customHeight="1">
      <c r="A739" s="2"/>
      <c r="B739" s="2"/>
      <c r="C739" s="2"/>
      <c r="D739" s="2"/>
      <c r="E739" s="2"/>
      <c r="F739" s="2"/>
      <c r="G739" s="2"/>
      <c r="H739" s="2"/>
      <c r="I739" s="81"/>
      <c r="J739" s="2"/>
      <c r="K739" s="2"/>
      <c r="M739" s="3"/>
    </row>
    <row r="740" spans="1:13" ht="15.75" customHeight="1">
      <c r="A740" s="2"/>
      <c r="B740" s="2"/>
      <c r="C740" s="2"/>
      <c r="D740" s="2"/>
      <c r="E740" s="2"/>
      <c r="F740" s="2"/>
      <c r="G740" s="2"/>
      <c r="H740" s="2"/>
      <c r="I740" s="81"/>
      <c r="J740" s="2"/>
      <c r="K740" s="2"/>
      <c r="M740" s="3"/>
    </row>
    <row r="741" spans="1:13" ht="15.75" customHeight="1">
      <c r="A741" s="2"/>
      <c r="B741" s="2"/>
      <c r="C741" s="2"/>
      <c r="D741" s="2"/>
      <c r="E741" s="2"/>
      <c r="F741" s="2"/>
      <c r="G741" s="2"/>
      <c r="H741" s="2"/>
      <c r="I741" s="81"/>
      <c r="J741" s="2"/>
      <c r="K741" s="2"/>
      <c r="M741" s="3"/>
    </row>
    <row r="742" spans="1:13" ht="15.75" customHeight="1">
      <c r="A742" s="2"/>
      <c r="B742" s="2"/>
      <c r="C742" s="2"/>
      <c r="D742" s="2"/>
      <c r="E742" s="2"/>
      <c r="F742" s="2"/>
      <c r="G742" s="2"/>
      <c r="H742" s="2"/>
      <c r="I742" s="81"/>
      <c r="J742" s="2"/>
      <c r="K742" s="2"/>
      <c r="M742" s="3"/>
    </row>
    <row r="743" spans="1:13" ht="15.75" customHeight="1">
      <c r="A743" s="2"/>
      <c r="B743" s="2"/>
      <c r="C743" s="2"/>
      <c r="D743" s="2"/>
      <c r="E743" s="2"/>
      <c r="F743" s="2"/>
      <c r="G743" s="2"/>
      <c r="H743" s="2"/>
      <c r="I743" s="81"/>
      <c r="J743" s="2"/>
      <c r="K743" s="2"/>
      <c r="M743" s="3"/>
    </row>
    <row r="744" spans="1:13" ht="15.75" customHeight="1">
      <c r="A744" s="2"/>
      <c r="B744" s="2"/>
      <c r="C744" s="2"/>
      <c r="D744" s="2"/>
      <c r="E744" s="2"/>
      <c r="F744" s="2"/>
      <c r="G744" s="2"/>
      <c r="H744" s="2"/>
      <c r="I744" s="81"/>
      <c r="J744" s="2"/>
      <c r="K744" s="2"/>
      <c r="M744" s="3"/>
    </row>
    <row r="745" spans="1:13" ht="15.75" customHeight="1">
      <c r="A745" s="2"/>
      <c r="B745" s="2"/>
      <c r="C745" s="2"/>
      <c r="D745" s="2"/>
      <c r="E745" s="2"/>
      <c r="F745" s="2"/>
      <c r="G745" s="2"/>
      <c r="H745" s="2"/>
      <c r="I745" s="81"/>
      <c r="J745" s="2"/>
      <c r="K745" s="2"/>
      <c r="M745" s="3"/>
    </row>
    <row r="746" spans="1:13" ht="15.75" customHeight="1">
      <c r="A746" s="2"/>
      <c r="B746" s="2"/>
      <c r="C746" s="2"/>
      <c r="D746" s="2"/>
      <c r="E746" s="2"/>
      <c r="F746" s="2"/>
      <c r="G746" s="2"/>
      <c r="H746" s="2"/>
      <c r="I746" s="81"/>
      <c r="J746" s="2"/>
      <c r="K746" s="2"/>
      <c r="M746" s="3"/>
    </row>
    <row r="747" spans="1:13" ht="15.75" customHeight="1">
      <c r="A747" s="2"/>
      <c r="B747" s="2"/>
      <c r="C747" s="2"/>
      <c r="D747" s="2"/>
      <c r="E747" s="2"/>
      <c r="F747" s="2"/>
      <c r="G747" s="2"/>
      <c r="H747" s="2"/>
      <c r="I747" s="81"/>
      <c r="J747" s="2"/>
      <c r="K747" s="2"/>
      <c r="M747" s="3"/>
    </row>
    <row r="748" spans="1:13" ht="15.75" customHeight="1">
      <c r="A748" s="2"/>
      <c r="B748" s="2"/>
      <c r="C748" s="2"/>
      <c r="D748" s="2"/>
      <c r="E748" s="2"/>
      <c r="F748" s="2"/>
      <c r="G748" s="2"/>
      <c r="H748" s="2"/>
      <c r="I748" s="81"/>
      <c r="J748" s="2"/>
      <c r="K748" s="2"/>
      <c r="M748" s="3"/>
    </row>
    <row r="749" spans="1:13" ht="15.75" customHeight="1">
      <c r="A749" s="2"/>
      <c r="B749" s="2"/>
      <c r="C749" s="2"/>
      <c r="D749" s="2"/>
      <c r="E749" s="2"/>
      <c r="F749" s="2"/>
      <c r="G749" s="2"/>
      <c r="H749" s="2"/>
      <c r="I749" s="81"/>
      <c r="J749" s="2"/>
      <c r="K749" s="2"/>
      <c r="M749" s="3"/>
    </row>
    <row r="750" spans="1:13" ht="15.75" customHeight="1">
      <c r="A750" s="2"/>
      <c r="B750" s="2"/>
      <c r="C750" s="2"/>
      <c r="D750" s="2"/>
      <c r="E750" s="2"/>
      <c r="F750" s="2"/>
      <c r="G750" s="2"/>
      <c r="H750" s="2"/>
      <c r="I750" s="81"/>
      <c r="J750" s="2"/>
      <c r="K750" s="2"/>
      <c r="M750" s="3"/>
    </row>
    <row r="751" spans="1:13" ht="15.75" customHeight="1">
      <c r="A751" s="2"/>
      <c r="B751" s="2"/>
      <c r="C751" s="2"/>
      <c r="D751" s="2"/>
      <c r="E751" s="2"/>
      <c r="F751" s="2"/>
      <c r="G751" s="2"/>
      <c r="H751" s="2"/>
      <c r="I751" s="81"/>
      <c r="J751" s="2"/>
      <c r="K751" s="2"/>
      <c r="M751" s="3"/>
    </row>
    <row r="752" spans="1:13" ht="15.75" customHeight="1">
      <c r="A752" s="2"/>
      <c r="B752" s="2"/>
      <c r="C752" s="2"/>
      <c r="D752" s="2"/>
      <c r="E752" s="2"/>
      <c r="F752" s="2"/>
      <c r="G752" s="2"/>
      <c r="H752" s="2"/>
      <c r="I752" s="81"/>
      <c r="J752" s="2"/>
      <c r="K752" s="2"/>
      <c r="M752" s="3"/>
    </row>
    <row r="753" spans="1:13" ht="15.75" customHeight="1">
      <c r="A753" s="2"/>
      <c r="B753" s="2"/>
      <c r="C753" s="2"/>
      <c r="D753" s="2"/>
      <c r="E753" s="2"/>
      <c r="F753" s="2"/>
      <c r="G753" s="2"/>
      <c r="H753" s="2"/>
      <c r="I753" s="81"/>
      <c r="J753" s="2"/>
      <c r="K753" s="2"/>
      <c r="M753" s="3"/>
    </row>
    <row r="754" spans="1:13" ht="15.75" customHeight="1">
      <c r="A754" s="2"/>
      <c r="B754" s="2"/>
      <c r="C754" s="2"/>
      <c r="D754" s="2"/>
      <c r="E754" s="2"/>
      <c r="F754" s="2"/>
      <c r="G754" s="2"/>
      <c r="H754" s="2"/>
      <c r="I754" s="81"/>
      <c r="J754" s="2"/>
      <c r="K754" s="2"/>
      <c r="M754" s="3"/>
    </row>
    <row r="755" spans="1:13" ht="15.75" customHeight="1">
      <c r="A755" s="2"/>
      <c r="B755" s="2"/>
      <c r="C755" s="2"/>
      <c r="D755" s="2"/>
      <c r="E755" s="2"/>
      <c r="F755" s="2"/>
      <c r="G755" s="2"/>
      <c r="H755" s="2"/>
      <c r="I755" s="81"/>
      <c r="J755" s="2"/>
      <c r="K755" s="2"/>
      <c r="M755" s="3"/>
    </row>
    <row r="756" spans="1:13" ht="15.75" customHeight="1">
      <c r="A756" s="2"/>
      <c r="B756" s="2"/>
      <c r="C756" s="2"/>
      <c r="D756" s="2"/>
      <c r="E756" s="2"/>
      <c r="F756" s="2"/>
      <c r="G756" s="2"/>
      <c r="H756" s="2"/>
      <c r="I756" s="81"/>
      <c r="J756" s="2"/>
      <c r="K756" s="2"/>
      <c r="M756" s="3"/>
    </row>
    <row r="757" spans="1:13" ht="15.75" customHeight="1">
      <c r="A757" s="2"/>
      <c r="B757" s="2"/>
      <c r="C757" s="2"/>
      <c r="D757" s="2"/>
      <c r="E757" s="2"/>
      <c r="F757" s="2"/>
      <c r="G757" s="2"/>
      <c r="H757" s="2"/>
      <c r="I757" s="81"/>
      <c r="J757" s="2"/>
      <c r="K757" s="2"/>
      <c r="M757" s="3"/>
    </row>
    <row r="758" spans="1:13" ht="15.75" customHeight="1">
      <c r="A758" s="2"/>
      <c r="B758" s="2"/>
      <c r="C758" s="2"/>
      <c r="D758" s="2"/>
      <c r="E758" s="2"/>
      <c r="F758" s="2"/>
      <c r="G758" s="2"/>
      <c r="H758" s="2"/>
      <c r="I758" s="81"/>
      <c r="J758" s="2"/>
      <c r="K758" s="2"/>
      <c r="M758" s="3"/>
    </row>
    <row r="759" spans="1:13" ht="15.75" customHeight="1">
      <c r="A759" s="2"/>
      <c r="B759" s="2"/>
      <c r="C759" s="2"/>
      <c r="D759" s="2"/>
      <c r="E759" s="2"/>
      <c r="F759" s="2"/>
      <c r="G759" s="2"/>
      <c r="H759" s="2"/>
      <c r="I759" s="81"/>
      <c r="J759" s="2"/>
      <c r="K759" s="2"/>
      <c r="M759" s="3"/>
    </row>
    <row r="760" spans="1:13" ht="15.75" customHeight="1">
      <c r="A760" s="2"/>
      <c r="B760" s="2"/>
      <c r="C760" s="2"/>
      <c r="D760" s="2"/>
      <c r="E760" s="2"/>
      <c r="F760" s="2"/>
      <c r="G760" s="2"/>
      <c r="H760" s="2"/>
      <c r="I760" s="81"/>
      <c r="J760" s="2"/>
      <c r="K760" s="2"/>
      <c r="M760" s="3"/>
    </row>
    <row r="761" spans="1:13" ht="15.75" customHeight="1">
      <c r="A761" s="2"/>
      <c r="B761" s="2"/>
      <c r="C761" s="2"/>
      <c r="D761" s="2"/>
      <c r="E761" s="2"/>
      <c r="F761" s="2"/>
      <c r="G761" s="2"/>
      <c r="H761" s="2"/>
      <c r="I761" s="81"/>
      <c r="J761" s="2"/>
      <c r="K761" s="2"/>
      <c r="M761" s="3"/>
    </row>
    <row r="762" spans="1:13" ht="15.75" customHeight="1">
      <c r="A762" s="2"/>
      <c r="B762" s="2"/>
      <c r="C762" s="2"/>
      <c r="D762" s="2"/>
      <c r="E762" s="2"/>
      <c r="F762" s="2"/>
      <c r="G762" s="2"/>
      <c r="H762" s="2"/>
      <c r="I762" s="81"/>
      <c r="J762" s="2"/>
      <c r="K762" s="2"/>
      <c r="M762" s="3"/>
    </row>
    <row r="763" spans="1:13" ht="15.75" customHeight="1">
      <c r="A763" s="2"/>
      <c r="B763" s="2"/>
      <c r="C763" s="2"/>
      <c r="D763" s="2"/>
      <c r="E763" s="2"/>
      <c r="F763" s="2"/>
      <c r="G763" s="2"/>
      <c r="H763" s="2"/>
      <c r="I763" s="81"/>
      <c r="J763" s="2"/>
      <c r="K763" s="2"/>
      <c r="M763" s="3"/>
    </row>
    <row r="764" spans="1:13" ht="15.75" customHeight="1">
      <c r="A764" s="2"/>
      <c r="B764" s="2"/>
      <c r="C764" s="2"/>
      <c r="D764" s="2"/>
      <c r="E764" s="2"/>
      <c r="F764" s="2"/>
      <c r="G764" s="2"/>
      <c r="H764" s="2"/>
      <c r="I764" s="81"/>
      <c r="J764" s="2"/>
      <c r="K764" s="2"/>
      <c r="M764" s="3"/>
    </row>
    <row r="765" spans="1:13" ht="15.75" customHeight="1">
      <c r="A765" s="2"/>
      <c r="B765" s="2"/>
      <c r="C765" s="2"/>
      <c r="D765" s="2"/>
      <c r="E765" s="2"/>
      <c r="F765" s="2"/>
      <c r="G765" s="2"/>
      <c r="H765" s="2"/>
      <c r="I765" s="81"/>
      <c r="J765" s="2"/>
      <c r="K765" s="2"/>
      <c r="M765" s="3"/>
    </row>
    <row r="766" spans="1:13" ht="15.75" customHeight="1">
      <c r="A766" s="2"/>
      <c r="B766" s="2"/>
      <c r="C766" s="2"/>
      <c r="D766" s="2"/>
      <c r="E766" s="2"/>
      <c r="F766" s="2"/>
      <c r="G766" s="2"/>
      <c r="H766" s="2"/>
      <c r="I766" s="81"/>
      <c r="J766" s="2"/>
      <c r="K766" s="2"/>
      <c r="M766" s="3"/>
    </row>
    <row r="767" spans="1:13" ht="15.75" customHeight="1">
      <c r="A767" s="2"/>
      <c r="B767" s="2"/>
      <c r="C767" s="2"/>
      <c r="D767" s="2"/>
      <c r="E767" s="2"/>
      <c r="F767" s="2"/>
      <c r="G767" s="2"/>
      <c r="H767" s="2"/>
      <c r="I767" s="81"/>
      <c r="J767" s="2"/>
      <c r="K767" s="2"/>
      <c r="M767" s="3"/>
    </row>
    <row r="768" spans="1:13" ht="15.75" customHeight="1">
      <c r="A768" s="2"/>
      <c r="B768" s="2"/>
      <c r="C768" s="2"/>
      <c r="D768" s="2"/>
      <c r="E768" s="2"/>
      <c r="F768" s="2"/>
      <c r="G768" s="2"/>
      <c r="H768" s="2"/>
      <c r="I768" s="81"/>
      <c r="J768" s="2"/>
      <c r="K768" s="2"/>
      <c r="M768" s="3"/>
    </row>
    <row r="769" spans="1:13" ht="15.75" customHeight="1">
      <c r="A769" s="2"/>
      <c r="B769" s="2"/>
      <c r="C769" s="2"/>
      <c r="D769" s="2"/>
      <c r="E769" s="2"/>
      <c r="F769" s="2"/>
      <c r="G769" s="2"/>
      <c r="H769" s="2"/>
      <c r="I769" s="81"/>
      <c r="J769" s="2"/>
      <c r="K769" s="2"/>
      <c r="M769" s="3"/>
    </row>
    <row r="770" spans="1:13" ht="15.75" customHeight="1">
      <c r="A770" s="2"/>
      <c r="B770" s="2"/>
      <c r="C770" s="2"/>
      <c r="D770" s="2"/>
      <c r="E770" s="2"/>
      <c r="F770" s="2"/>
      <c r="G770" s="2"/>
      <c r="H770" s="2"/>
      <c r="I770" s="81"/>
      <c r="J770" s="2"/>
      <c r="K770" s="2"/>
      <c r="M770" s="3"/>
    </row>
    <row r="771" spans="1:13" ht="15.75" customHeight="1">
      <c r="A771" s="2"/>
      <c r="B771" s="2"/>
      <c r="C771" s="2"/>
      <c r="D771" s="2"/>
      <c r="E771" s="2"/>
      <c r="F771" s="2"/>
      <c r="G771" s="2"/>
      <c r="H771" s="2"/>
      <c r="I771" s="81"/>
      <c r="J771" s="2"/>
      <c r="K771" s="2"/>
      <c r="M771" s="3"/>
    </row>
    <row r="772" spans="1:13" ht="15.75" customHeight="1">
      <c r="A772" s="2"/>
      <c r="B772" s="2"/>
      <c r="C772" s="2"/>
      <c r="D772" s="2"/>
      <c r="E772" s="2"/>
      <c r="F772" s="2"/>
      <c r="G772" s="2"/>
      <c r="H772" s="2"/>
      <c r="I772" s="81"/>
      <c r="J772" s="2"/>
      <c r="K772" s="2"/>
      <c r="M772" s="3"/>
    </row>
    <row r="773" spans="1:13" ht="15.75" customHeight="1">
      <c r="A773" s="2"/>
      <c r="B773" s="2"/>
      <c r="C773" s="2"/>
      <c r="D773" s="2"/>
      <c r="E773" s="2"/>
      <c r="F773" s="2"/>
      <c r="G773" s="2"/>
      <c r="H773" s="2"/>
      <c r="I773" s="81"/>
      <c r="J773" s="2"/>
      <c r="K773" s="2"/>
      <c r="M773" s="3"/>
    </row>
    <row r="774" spans="1:13" ht="15.75" customHeight="1">
      <c r="A774" s="2"/>
      <c r="B774" s="2"/>
      <c r="C774" s="2"/>
      <c r="D774" s="2"/>
      <c r="E774" s="2"/>
      <c r="F774" s="2"/>
      <c r="G774" s="2"/>
      <c r="H774" s="2"/>
      <c r="I774" s="81"/>
      <c r="J774" s="2"/>
      <c r="K774" s="2"/>
      <c r="M774" s="3"/>
    </row>
    <row r="775" spans="1:13" ht="15.75" customHeight="1">
      <c r="A775" s="2"/>
      <c r="B775" s="2"/>
      <c r="C775" s="2"/>
      <c r="D775" s="2"/>
      <c r="E775" s="2"/>
      <c r="F775" s="2"/>
      <c r="G775" s="2"/>
      <c r="H775" s="2"/>
      <c r="I775" s="81"/>
      <c r="J775" s="2"/>
      <c r="K775" s="2"/>
      <c r="M775" s="3"/>
    </row>
    <row r="776" spans="1:13" ht="15.75" customHeight="1">
      <c r="A776" s="2"/>
      <c r="B776" s="2"/>
      <c r="C776" s="2"/>
      <c r="D776" s="2"/>
      <c r="E776" s="2"/>
      <c r="F776" s="2"/>
      <c r="G776" s="2"/>
      <c r="H776" s="2"/>
      <c r="I776" s="81"/>
      <c r="J776" s="2"/>
      <c r="K776" s="2"/>
      <c r="M776" s="3"/>
    </row>
    <row r="777" spans="1:13" ht="15.75" customHeight="1">
      <c r="A777" s="2"/>
      <c r="B777" s="2"/>
      <c r="C777" s="2"/>
      <c r="D777" s="2"/>
      <c r="E777" s="2"/>
      <c r="F777" s="2"/>
      <c r="G777" s="2"/>
      <c r="H777" s="2"/>
      <c r="I777" s="81"/>
      <c r="J777" s="2"/>
      <c r="K777" s="2"/>
      <c r="M777" s="3"/>
    </row>
    <row r="778" spans="1:13" ht="15.75" customHeight="1">
      <c r="A778" s="2"/>
      <c r="B778" s="2"/>
      <c r="C778" s="2"/>
      <c r="D778" s="2"/>
      <c r="E778" s="2"/>
      <c r="F778" s="2"/>
      <c r="G778" s="2"/>
      <c r="H778" s="2"/>
      <c r="I778" s="81"/>
      <c r="J778" s="2"/>
      <c r="K778" s="2"/>
      <c r="M778" s="3"/>
    </row>
    <row r="779" spans="1:13" ht="15.75" customHeight="1">
      <c r="A779" s="2"/>
      <c r="B779" s="2"/>
      <c r="C779" s="2"/>
      <c r="D779" s="2"/>
      <c r="E779" s="2"/>
      <c r="F779" s="2"/>
      <c r="G779" s="2"/>
      <c r="H779" s="2"/>
      <c r="I779" s="81"/>
      <c r="J779" s="2"/>
      <c r="K779" s="2"/>
      <c r="M779" s="3"/>
    </row>
    <row r="780" spans="1:13" ht="15.75" customHeight="1">
      <c r="A780" s="2"/>
      <c r="B780" s="2"/>
      <c r="C780" s="2"/>
      <c r="D780" s="2"/>
      <c r="E780" s="2"/>
      <c r="F780" s="2"/>
      <c r="G780" s="2"/>
      <c r="H780" s="2"/>
      <c r="I780" s="81"/>
      <c r="J780" s="2"/>
      <c r="K780" s="2"/>
      <c r="M780" s="3"/>
    </row>
    <row r="781" spans="1:13" ht="15.75" customHeight="1">
      <c r="A781" s="2"/>
      <c r="B781" s="2"/>
      <c r="C781" s="2"/>
      <c r="D781" s="2"/>
      <c r="E781" s="2"/>
      <c r="F781" s="2"/>
      <c r="G781" s="2"/>
      <c r="H781" s="2"/>
      <c r="I781" s="81"/>
      <c r="J781" s="2"/>
      <c r="K781" s="2"/>
      <c r="M781" s="3"/>
    </row>
    <row r="782" spans="1:13" ht="15.75" customHeight="1">
      <c r="A782" s="2"/>
      <c r="B782" s="2"/>
      <c r="C782" s="2"/>
      <c r="D782" s="2"/>
      <c r="E782" s="2"/>
      <c r="F782" s="2"/>
      <c r="G782" s="2"/>
      <c r="H782" s="2"/>
      <c r="I782" s="81"/>
      <c r="J782" s="2"/>
      <c r="K782" s="2"/>
      <c r="M782" s="3"/>
    </row>
    <row r="783" spans="1:13" ht="15.75" customHeight="1">
      <c r="A783" s="2"/>
      <c r="B783" s="2"/>
      <c r="C783" s="2"/>
      <c r="D783" s="2"/>
      <c r="E783" s="2"/>
      <c r="F783" s="2"/>
      <c r="G783" s="2"/>
      <c r="H783" s="2"/>
      <c r="I783" s="81"/>
      <c r="J783" s="2"/>
      <c r="K783" s="2"/>
      <c r="M783" s="3"/>
    </row>
    <row r="784" spans="1:13" ht="15.75" customHeight="1">
      <c r="A784" s="2"/>
      <c r="B784" s="2"/>
      <c r="C784" s="2"/>
      <c r="D784" s="2"/>
      <c r="E784" s="2"/>
      <c r="F784" s="2"/>
      <c r="G784" s="2"/>
      <c r="H784" s="2"/>
      <c r="I784" s="81"/>
      <c r="J784" s="2"/>
      <c r="K784" s="2"/>
      <c r="M784" s="3"/>
    </row>
    <row r="785" spans="1:13" ht="15.75" customHeight="1">
      <c r="A785" s="2"/>
      <c r="B785" s="2"/>
      <c r="C785" s="2"/>
      <c r="D785" s="2"/>
      <c r="E785" s="2"/>
      <c r="F785" s="2"/>
      <c r="G785" s="2"/>
      <c r="H785" s="2"/>
      <c r="I785" s="81"/>
      <c r="J785" s="2"/>
      <c r="K785" s="2"/>
      <c r="M785" s="3"/>
    </row>
    <row r="786" spans="1:13" ht="15.75" customHeight="1">
      <c r="A786" s="2"/>
      <c r="B786" s="2"/>
      <c r="C786" s="2"/>
      <c r="D786" s="2"/>
      <c r="E786" s="2"/>
      <c r="F786" s="2"/>
      <c r="G786" s="2"/>
      <c r="H786" s="2"/>
      <c r="I786" s="81"/>
      <c r="J786" s="2"/>
      <c r="K786" s="2"/>
      <c r="M786" s="3"/>
    </row>
    <row r="787" spans="1:13" ht="15.75" customHeight="1">
      <c r="A787" s="2"/>
      <c r="B787" s="2"/>
      <c r="C787" s="2"/>
      <c r="D787" s="2"/>
      <c r="E787" s="2"/>
      <c r="F787" s="2"/>
      <c r="G787" s="2"/>
      <c r="H787" s="2"/>
      <c r="I787" s="81"/>
      <c r="J787" s="2"/>
      <c r="K787" s="2"/>
      <c r="M787" s="3"/>
    </row>
    <row r="788" spans="1:13" ht="15.75" customHeight="1">
      <c r="A788" s="2"/>
      <c r="B788" s="2"/>
      <c r="C788" s="2"/>
      <c r="D788" s="2"/>
      <c r="E788" s="2"/>
      <c r="F788" s="2"/>
      <c r="G788" s="2"/>
      <c r="H788" s="2"/>
      <c r="I788" s="81"/>
      <c r="J788" s="2"/>
      <c r="K788" s="2"/>
      <c r="M788" s="3"/>
    </row>
    <row r="789" spans="1:13" ht="15.75" customHeight="1">
      <c r="A789" s="2"/>
      <c r="B789" s="2"/>
      <c r="C789" s="2"/>
      <c r="D789" s="2"/>
      <c r="E789" s="2"/>
      <c r="F789" s="2"/>
      <c r="G789" s="2"/>
      <c r="H789" s="2"/>
      <c r="I789" s="81"/>
      <c r="J789" s="2"/>
      <c r="K789" s="2"/>
      <c r="M789" s="3"/>
    </row>
    <row r="790" spans="1:13" ht="15.75" customHeight="1">
      <c r="A790" s="2"/>
      <c r="B790" s="2"/>
      <c r="C790" s="2"/>
      <c r="D790" s="2"/>
      <c r="E790" s="2"/>
      <c r="F790" s="2"/>
      <c r="G790" s="2"/>
      <c r="H790" s="2"/>
      <c r="I790" s="81"/>
      <c r="J790" s="2"/>
      <c r="K790" s="2"/>
      <c r="M790" s="3"/>
    </row>
    <row r="791" spans="1:13" ht="15.75" customHeight="1">
      <c r="A791" s="2"/>
      <c r="B791" s="2"/>
      <c r="C791" s="2"/>
      <c r="D791" s="2"/>
      <c r="E791" s="2"/>
      <c r="F791" s="2"/>
      <c r="G791" s="2"/>
      <c r="H791" s="2"/>
      <c r="I791" s="81"/>
      <c r="J791" s="2"/>
      <c r="K791" s="2"/>
      <c r="M791" s="3"/>
    </row>
    <row r="792" spans="1:13" ht="15.75" customHeight="1">
      <c r="A792" s="2"/>
      <c r="B792" s="2"/>
      <c r="C792" s="2"/>
      <c r="D792" s="2"/>
      <c r="E792" s="2"/>
      <c r="F792" s="2"/>
      <c r="G792" s="2"/>
      <c r="H792" s="2"/>
      <c r="I792" s="81"/>
      <c r="J792" s="2"/>
      <c r="K792" s="2"/>
      <c r="M792" s="3"/>
    </row>
    <row r="793" spans="1:13" ht="15.75" customHeight="1">
      <c r="A793" s="2"/>
      <c r="B793" s="2"/>
      <c r="C793" s="2"/>
      <c r="D793" s="2"/>
      <c r="E793" s="2"/>
      <c r="F793" s="2"/>
      <c r="G793" s="2"/>
      <c r="H793" s="2"/>
      <c r="I793" s="81"/>
      <c r="J793" s="2"/>
      <c r="K793" s="2"/>
      <c r="M793" s="3"/>
    </row>
    <row r="794" spans="1:13" ht="15.75" customHeight="1">
      <c r="A794" s="2"/>
      <c r="B794" s="2"/>
      <c r="C794" s="2"/>
      <c r="D794" s="2"/>
      <c r="E794" s="2"/>
      <c r="F794" s="2"/>
      <c r="G794" s="2"/>
      <c r="H794" s="2"/>
      <c r="I794" s="81"/>
      <c r="J794" s="2"/>
      <c r="K794" s="2"/>
      <c r="M794" s="3"/>
    </row>
    <row r="795" spans="1:13" ht="15.75" customHeight="1">
      <c r="A795" s="2"/>
      <c r="B795" s="2"/>
      <c r="C795" s="2"/>
      <c r="D795" s="2"/>
      <c r="E795" s="2"/>
      <c r="F795" s="2"/>
      <c r="G795" s="2"/>
      <c r="H795" s="2"/>
      <c r="I795" s="81"/>
      <c r="J795" s="2"/>
      <c r="K795" s="2"/>
      <c r="M795" s="3"/>
    </row>
    <row r="796" spans="1:13" ht="15.75" customHeight="1">
      <c r="A796" s="2"/>
      <c r="B796" s="2"/>
      <c r="C796" s="2"/>
      <c r="D796" s="2"/>
      <c r="E796" s="2"/>
      <c r="F796" s="2"/>
      <c r="G796" s="2"/>
      <c r="H796" s="2"/>
      <c r="I796" s="81"/>
      <c r="J796" s="2"/>
      <c r="K796" s="2"/>
      <c r="M796" s="3"/>
    </row>
    <row r="797" spans="1:13" ht="15.75" customHeight="1">
      <c r="A797" s="2"/>
      <c r="B797" s="2"/>
      <c r="C797" s="2"/>
      <c r="D797" s="2"/>
      <c r="E797" s="2"/>
      <c r="F797" s="2"/>
      <c r="G797" s="2"/>
      <c r="H797" s="2"/>
      <c r="I797" s="81"/>
      <c r="J797" s="2"/>
      <c r="K797" s="2"/>
      <c r="M797" s="3"/>
    </row>
    <row r="798" spans="1:13" ht="15.75" customHeight="1">
      <c r="A798" s="2"/>
      <c r="B798" s="2"/>
      <c r="C798" s="2"/>
      <c r="D798" s="2"/>
      <c r="E798" s="2"/>
      <c r="F798" s="2"/>
      <c r="G798" s="2"/>
      <c r="H798" s="2"/>
      <c r="I798" s="81"/>
      <c r="J798" s="2"/>
      <c r="K798" s="2"/>
      <c r="M798" s="3"/>
    </row>
    <row r="799" spans="1:13" ht="15.75" customHeight="1">
      <c r="A799" s="2"/>
      <c r="B799" s="2"/>
      <c r="C799" s="2"/>
      <c r="D799" s="2"/>
      <c r="E799" s="2"/>
      <c r="F799" s="2"/>
      <c r="G799" s="2"/>
      <c r="H799" s="2"/>
      <c r="I799" s="81"/>
      <c r="J799" s="2"/>
      <c r="K799" s="2"/>
      <c r="M799" s="3"/>
    </row>
    <row r="800" spans="1:13" ht="15.75" customHeight="1">
      <c r="A800" s="2"/>
      <c r="B800" s="2"/>
      <c r="C800" s="2"/>
      <c r="D800" s="2"/>
      <c r="E800" s="2"/>
      <c r="F800" s="2"/>
      <c r="G800" s="2"/>
      <c r="H800" s="2"/>
      <c r="I800" s="81"/>
      <c r="J800" s="2"/>
      <c r="K800" s="2"/>
      <c r="M800" s="3"/>
    </row>
    <row r="801" spans="1:13" ht="15.75" customHeight="1">
      <c r="A801" s="2"/>
      <c r="B801" s="2"/>
      <c r="C801" s="2"/>
      <c r="D801" s="2"/>
      <c r="E801" s="2"/>
      <c r="F801" s="2"/>
      <c r="G801" s="2"/>
      <c r="H801" s="2"/>
      <c r="I801" s="81"/>
      <c r="J801" s="2"/>
      <c r="K801" s="2"/>
      <c r="M801" s="3"/>
    </row>
    <row r="802" spans="1:13" ht="15.75" customHeight="1">
      <c r="A802" s="2"/>
      <c r="B802" s="2"/>
      <c r="C802" s="2"/>
      <c r="D802" s="2"/>
      <c r="E802" s="2"/>
      <c r="F802" s="2"/>
      <c r="G802" s="2"/>
      <c r="H802" s="2"/>
      <c r="I802" s="81"/>
      <c r="J802" s="2"/>
      <c r="K802" s="2"/>
      <c r="M802" s="3"/>
    </row>
    <row r="803" spans="1:13" ht="15.75" customHeight="1">
      <c r="A803" s="2"/>
      <c r="B803" s="2"/>
      <c r="C803" s="2"/>
      <c r="D803" s="2"/>
      <c r="E803" s="2"/>
      <c r="F803" s="2"/>
      <c r="G803" s="2"/>
      <c r="H803" s="2"/>
      <c r="I803" s="81"/>
      <c r="J803" s="2"/>
      <c r="K803" s="2"/>
      <c r="M803" s="3"/>
    </row>
    <row r="804" spans="1:13" ht="15.75" customHeight="1">
      <c r="A804" s="2"/>
      <c r="B804" s="2"/>
      <c r="C804" s="2"/>
      <c r="D804" s="2"/>
      <c r="E804" s="2"/>
      <c r="F804" s="2"/>
      <c r="G804" s="2"/>
      <c r="H804" s="2"/>
      <c r="I804" s="81"/>
      <c r="J804" s="2"/>
      <c r="K804" s="2"/>
      <c r="M804" s="3"/>
    </row>
    <row r="805" spans="1:13" ht="15.75" customHeight="1">
      <c r="A805" s="2"/>
      <c r="B805" s="2"/>
      <c r="C805" s="2"/>
      <c r="D805" s="2"/>
      <c r="E805" s="2"/>
      <c r="F805" s="2"/>
      <c r="G805" s="2"/>
      <c r="H805" s="2"/>
      <c r="I805" s="81"/>
      <c r="J805" s="2"/>
      <c r="K805" s="2"/>
      <c r="M805" s="3"/>
    </row>
    <row r="806" spans="1:13" ht="15.75" customHeight="1">
      <c r="A806" s="2"/>
      <c r="B806" s="2"/>
      <c r="C806" s="2"/>
      <c r="D806" s="2"/>
      <c r="E806" s="2"/>
      <c r="F806" s="2"/>
      <c r="G806" s="2"/>
      <c r="H806" s="2"/>
      <c r="I806" s="81"/>
      <c r="J806" s="2"/>
      <c r="K806" s="2"/>
      <c r="M806" s="3"/>
    </row>
    <row r="807" spans="1:13" ht="15.75" customHeight="1">
      <c r="A807" s="2"/>
      <c r="B807" s="2"/>
      <c r="C807" s="2"/>
      <c r="D807" s="2"/>
      <c r="E807" s="2"/>
      <c r="F807" s="2"/>
      <c r="G807" s="2"/>
      <c r="H807" s="2"/>
      <c r="I807" s="81"/>
      <c r="J807" s="2"/>
      <c r="K807" s="2"/>
      <c r="M807" s="3"/>
    </row>
    <row r="808" spans="1:13" ht="15.75" customHeight="1">
      <c r="A808" s="2"/>
      <c r="B808" s="2"/>
      <c r="C808" s="2"/>
      <c r="D808" s="2"/>
      <c r="E808" s="2"/>
      <c r="F808" s="2"/>
      <c r="G808" s="2"/>
      <c r="H808" s="2"/>
      <c r="I808" s="81"/>
      <c r="J808" s="2"/>
      <c r="K808" s="2"/>
      <c r="M808" s="3"/>
    </row>
    <row r="809" spans="1:13" ht="15.75" customHeight="1">
      <c r="A809" s="2"/>
      <c r="B809" s="2"/>
      <c r="C809" s="2"/>
      <c r="D809" s="2"/>
      <c r="E809" s="2"/>
      <c r="F809" s="2"/>
      <c r="G809" s="2"/>
      <c r="H809" s="2"/>
      <c r="I809" s="81"/>
      <c r="J809" s="2"/>
      <c r="K809" s="2"/>
      <c r="M809" s="3"/>
    </row>
    <row r="810" spans="1:13" ht="15.75" customHeight="1">
      <c r="A810" s="2"/>
      <c r="B810" s="2"/>
      <c r="C810" s="2"/>
      <c r="D810" s="2"/>
      <c r="E810" s="2"/>
      <c r="F810" s="2"/>
      <c r="G810" s="2"/>
      <c r="H810" s="2"/>
      <c r="I810" s="81"/>
      <c r="J810" s="2"/>
      <c r="K810" s="2"/>
      <c r="M810" s="3"/>
    </row>
    <row r="811" spans="1:13" ht="15.75" customHeight="1">
      <c r="A811" s="2"/>
      <c r="B811" s="2"/>
      <c r="C811" s="2"/>
      <c r="D811" s="2"/>
      <c r="E811" s="2"/>
      <c r="F811" s="2"/>
      <c r="G811" s="2"/>
      <c r="H811" s="2"/>
      <c r="I811" s="81"/>
      <c r="J811" s="2"/>
      <c r="K811" s="2"/>
      <c r="M811" s="3"/>
    </row>
    <row r="812" spans="1:13" ht="15.75" customHeight="1">
      <c r="A812" s="2"/>
      <c r="B812" s="2"/>
      <c r="C812" s="2"/>
      <c r="D812" s="2"/>
      <c r="E812" s="2"/>
      <c r="F812" s="2"/>
      <c r="G812" s="2"/>
      <c r="H812" s="2"/>
      <c r="I812" s="81"/>
      <c r="J812" s="2"/>
      <c r="K812" s="2"/>
      <c r="M812" s="3"/>
    </row>
    <row r="813" spans="1:13" ht="15.75" customHeight="1">
      <c r="A813" s="2"/>
      <c r="B813" s="2"/>
      <c r="C813" s="2"/>
      <c r="D813" s="2"/>
      <c r="E813" s="2"/>
      <c r="F813" s="2"/>
      <c r="G813" s="2"/>
      <c r="H813" s="2"/>
      <c r="I813" s="81"/>
      <c r="J813" s="2"/>
      <c r="K813" s="2"/>
      <c r="M813" s="3"/>
    </row>
    <row r="814" spans="1:13" ht="15.75" customHeight="1">
      <c r="A814" s="2"/>
      <c r="B814" s="2"/>
      <c r="C814" s="2"/>
      <c r="D814" s="2"/>
      <c r="E814" s="2"/>
      <c r="F814" s="2"/>
      <c r="G814" s="2"/>
      <c r="H814" s="2"/>
      <c r="I814" s="81"/>
      <c r="J814" s="2"/>
      <c r="K814" s="2"/>
      <c r="M814" s="3"/>
    </row>
    <row r="815" spans="1:13" ht="15.75" customHeight="1">
      <c r="A815" s="2"/>
      <c r="B815" s="2"/>
      <c r="C815" s="2"/>
      <c r="D815" s="2"/>
      <c r="E815" s="2"/>
      <c r="F815" s="2"/>
      <c r="G815" s="2"/>
      <c r="H815" s="2"/>
      <c r="I815" s="81"/>
      <c r="J815" s="2"/>
      <c r="K815" s="2"/>
      <c r="M815" s="3"/>
    </row>
    <row r="816" spans="1:13" ht="15.75" customHeight="1">
      <c r="A816" s="2"/>
      <c r="B816" s="2"/>
      <c r="C816" s="2"/>
      <c r="D816" s="2"/>
      <c r="E816" s="2"/>
      <c r="F816" s="2"/>
      <c r="G816" s="2"/>
      <c r="H816" s="2"/>
      <c r="I816" s="81"/>
      <c r="J816" s="2"/>
      <c r="K816" s="2"/>
      <c r="M816" s="3"/>
    </row>
    <row r="817" spans="1:13" ht="15.75" customHeight="1">
      <c r="A817" s="2"/>
      <c r="B817" s="2"/>
      <c r="C817" s="2"/>
      <c r="D817" s="2"/>
      <c r="E817" s="2"/>
      <c r="F817" s="2"/>
      <c r="G817" s="2"/>
      <c r="H817" s="2"/>
      <c r="I817" s="81"/>
      <c r="J817" s="2"/>
      <c r="K817" s="2"/>
      <c r="M817" s="3"/>
    </row>
    <row r="818" spans="1:13" ht="15.75" customHeight="1">
      <c r="A818" s="2"/>
      <c r="B818" s="2"/>
      <c r="C818" s="2"/>
      <c r="D818" s="2"/>
      <c r="E818" s="2"/>
      <c r="F818" s="2"/>
      <c r="G818" s="2"/>
      <c r="H818" s="2"/>
      <c r="I818" s="81"/>
      <c r="J818" s="2"/>
      <c r="K818" s="2"/>
      <c r="M818" s="3"/>
    </row>
    <row r="819" spans="1:13" ht="15.75" customHeight="1">
      <c r="A819" s="2"/>
      <c r="B819" s="2"/>
      <c r="C819" s="2"/>
      <c r="D819" s="2"/>
      <c r="E819" s="2"/>
      <c r="F819" s="2"/>
      <c r="G819" s="2"/>
      <c r="H819" s="2"/>
      <c r="I819" s="81"/>
      <c r="J819" s="2"/>
      <c r="K819" s="2"/>
      <c r="M819" s="3"/>
    </row>
    <row r="820" spans="1:13" ht="15.75" customHeight="1">
      <c r="A820" s="2"/>
      <c r="B820" s="2"/>
      <c r="C820" s="2"/>
      <c r="D820" s="2"/>
      <c r="E820" s="2"/>
      <c r="F820" s="2"/>
      <c r="G820" s="2"/>
      <c r="H820" s="2"/>
      <c r="I820" s="81"/>
      <c r="J820" s="2"/>
      <c r="K820" s="2"/>
      <c r="M820" s="3"/>
    </row>
    <row r="821" spans="1:13" ht="15.75" customHeight="1">
      <c r="A821" s="2"/>
      <c r="B821" s="2"/>
      <c r="C821" s="2"/>
      <c r="D821" s="2"/>
      <c r="E821" s="2"/>
      <c r="F821" s="2"/>
      <c r="G821" s="2"/>
      <c r="H821" s="2"/>
      <c r="I821" s="81"/>
      <c r="J821" s="2"/>
      <c r="K821" s="2"/>
      <c r="M821" s="3"/>
    </row>
    <row r="822" spans="1:13" ht="15.75" customHeight="1">
      <c r="A822" s="2"/>
      <c r="B822" s="2"/>
      <c r="C822" s="2"/>
      <c r="D822" s="2"/>
      <c r="E822" s="2"/>
      <c r="F822" s="2"/>
      <c r="G822" s="2"/>
      <c r="H822" s="2"/>
      <c r="I822" s="81"/>
      <c r="J822" s="2"/>
      <c r="K822" s="2"/>
      <c r="M822" s="3"/>
    </row>
    <row r="823" spans="1:13" ht="15.75" customHeight="1">
      <c r="A823" s="2"/>
      <c r="B823" s="2"/>
      <c r="C823" s="2"/>
      <c r="D823" s="2"/>
      <c r="E823" s="2"/>
      <c r="F823" s="2"/>
      <c r="G823" s="2"/>
      <c r="H823" s="2"/>
      <c r="I823" s="81"/>
      <c r="J823" s="2"/>
      <c r="K823" s="2"/>
      <c r="M823" s="3"/>
    </row>
    <row r="824" spans="1:13" ht="15.75" customHeight="1">
      <c r="A824" s="2"/>
      <c r="B824" s="2"/>
      <c r="C824" s="2"/>
      <c r="D824" s="2"/>
      <c r="E824" s="2"/>
      <c r="F824" s="2"/>
      <c r="G824" s="2"/>
      <c r="H824" s="2"/>
      <c r="I824" s="81"/>
      <c r="J824" s="2"/>
      <c r="K824" s="2"/>
      <c r="M824" s="3"/>
    </row>
    <row r="825" spans="1:13" ht="15.75" customHeight="1">
      <c r="A825" s="2"/>
      <c r="B825" s="2"/>
      <c r="C825" s="2"/>
      <c r="D825" s="2"/>
      <c r="E825" s="2"/>
      <c r="F825" s="2"/>
      <c r="G825" s="2"/>
      <c r="H825" s="2"/>
      <c r="I825" s="81"/>
      <c r="J825" s="2"/>
      <c r="K825" s="2"/>
      <c r="M825" s="3"/>
    </row>
    <row r="826" spans="1:13" ht="15.75" customHeight="1">
      <c r="A826" s="2"/>
      <c r="B826" s="2"/>
      <c r="C826" s="2"/>
      <c r="D826" s="2"/>
      <c r="E826" s="2"/>
      <c r="F826" s="2"/>
      <c r="G826" s="2"/>
      <c r="H826" s="2"/>
      <c r="I826" s="81"/>
      <c r="J826" s="2"/>
      <c r="K826" s="2"/>
      <c r="M826" s="3"/>
    </row>
    <row r="827" spans="1:13" ht="15.75" customHeight="1">
      <c r="A827" s="2"/>
      <c r="B827" s="2"/>
      <c r="C827" s="2"/>
      <c r="D827" s="2"/>
      <c r="E827" s="2"/>
      <c r="F827" s="2"/>
      <c r="G827" s="2"/>
      <c r="H827" s="2"/>
      <c r="I827" s="81"/>
      <c r="J827" s="2"/>
      <c r="K827" s="2"/>
      <c r="M827" s="3"/>
    </row>
    <row r="828" spans="1:13" ht="15.75" customHeight="1">
      <c r="A828" s="2"/>
      <c r="B828" s="2"/>
      <c r="C828" s="2"/>
      <c r="D828" s="2"/>
      <c r="E828" s="2"/>
      <c r="F828" s="2"/>
      <c r="G828" s="2"/>
      <c r="H828" s="2"/>
      <c r="I828" s="81"/>
      <c r="J828" s="2"/>
      <c r="K828" s="2"/>
      <c r="M828" s="3"/>
    </row>
    <row r="829" spans="1:13" ht="15.75" customHeight="1">
      <c r="A829" s="2"/>
      <c r="B829" s="2"/>
      <c r="C829" s="2"/>
      <c r="D829" s="2"/>
      <c r="E829" s="2"/>
      <c r="F829" s="2"/>
      <c r="G829" s="2"/>
      <c r="H829" s="2"/>
      <c r="I829" s="81"/>
      <c r="J829" s="2"/>
      <c r="K829" s="2"/>
      <c r="M829" s="3"/>
    </row>
    <row r="830" spans="1:13" ht="15.75" customHeight="1">
      <c r="A830" s="2"/>
      <c r="B830" s="2"/>
      <c r="C830" s="2"/>
      <c r="D830" s="2"/>
      <c r="E830" s="2"/>
      <c r="F830" s="2"/>
      <c r="G830" s="2"/>
      <c r="H830" s="2"/>
      <c r="I830" s="81"/>
      <c r="J830" s="2"/>
      <c r="K830" s="2"/>
      <c r="M830" s="3"/>
    </row>
    <row r="831" spans="1:13" ht="15.75" customHeight="1">
      <c r="A831" s="2"/>
      <c r="B831" s="2"/>
      <c r="C831" s="2"/>
      <c r="D831" s="2"/>
      <c r="E831" s="2"/>
      <c r="F831" s="2"/>
      <c r="G831" s="2"/>
      <c r="H831" s="2"/>
      <c r="I831" s="81"/>
      <c r="J831" s="2"/>
      <c r="K831" s="2"/>
      <c r="M831" s="3"/>
    </row>
    <row r="832" spans="1:13" ht="15.75" customHeight="1">
      <c r="A832" s="2"/>
      <c r="B832" s="2"/>
      <c r="C832" s="2"/>
      <c r="D832" s="2"/>
      <c r="E832" s="2"/>
      <c r="F832" s="2"/>
      <c r="G832" s="2"/>
      <c r="H832" s="2"/>
      <c r="I832" s="81"/>
      <c r="J832" s="2"/>
      <c r="K832" s="2"/>
      <c r="M832" s="3"/>
    </row>
    <row r="833" spans="1:13" ht="15.75" customHeight="1">
      <c r="A833" s="2"/>
      <c r="B833" s="2"/>
      <c r="C833" s="2"/>
      <c r="D833" s="2"/>
      <c r="E833" s="2"/>
      <c r="F833" s="2"/>
      <c r="G833" s="2"/>
      <c r="H833" s="2"/>
      <c r="I833" s="81"/>
      <c r="J833" s="2"/>
      <c r="K833" s="2"/>
      <c r="M833" s="3"/>
    </row>
    <row r="834" spans="1:13" ht="15.75" customHeight="1">
      <c r="A834" s="2"/>
      <c r="B834" s="2"/>
      <c r="C834" s="2"/>
      <c r="D834" s="2"/>
      <c r="E834" s="2"/>
      <c r="F834" s="2"/>
      <c r="G834" s="2"/>
      <c r="H834" s="2"/>
      <c r="I834" s="81"/>
      <c r="J834" s="2"/>
      <c r="K834" s="2"/>
      <c r="M834" s="3"/>
    </row>
    <row r="835" spans="1:13" ht="15.75" customHeight="1">
      <c r="A835" s="2"/>
      <c r="B835" s="2"/>
      <c r="C835" s="2"/>
      <c r="D835" s="2"/>
      <c r="E835" s="2"/>
      <c r="F835" s="2"/>
      <c r="G835" s="2"/>
      <c r="H835" s="2"/>
      <c r="I835" s="81"/>
      <c r="J835" s="2"/>
      <c r="K835" s="2"/>
      <c r="M835" s="3"/>
    </row>
    <row r="836" spans="1:13" ht="15.75" customHeight="1">
      <c r="A836" s="2"/>
      <c r="B836" s="2"/>
      <c r="C836" s="2"/>
      <c r="D836" s="2"/>
      <c r="E836" s="2"/>
      <c r="F836" s="2"/>
      <c r="G836" s="2"/>
      <c r="H836" s="2"/>
      <c r="I836" s="81"/>
      <c r="J836" s="2"/>
      <c r="K836" s="2"/>
      <c r="M836" s="3"/>
    </row>
    <row r="837" spans="1:13" ht="15.75" customHeight="1">
      <c r="A837" s="2"/>
      <c r="B837" s="2"/>
      <c r="C837" s="2"/>
      <c r="D837" s="2"/>
      <c r="E837" s="2"/>
      <c r="F837" s="2"/>
      <c r="G837" s="2"/>
      <c r="H837" s="2"/>
      <c r="I837" s="81"/>
      <c r="J837" s="2"/>
      <c r="K837" s="2"/>
      <c r="M837" s="3"/>
    </row>
    <row r="838" spans="1:13" ht="15.75" customHeight="1">
      <c r="A838" s="2"/>
      <c r="B838" s="2"/>
      <c r="C838" s="2"/>
      <c r="D838" s="2"/>
      <c r="E838" s="2"/>
      <c r="F838" s="2"/>
      <c r="G838" s="2"/>
      <c r="H838" s="2"/>
      <c r="I838" s="81"/>
      <c r="J838" s="2"/>
      <c r="K838" s="2"/>
      <c r="M838" s="3"/>
    </row>
    <row r="839" spans="1:13" ht="15.75" customHeight="1">
      <c r="A839" s="2"/>
      <c r="B839" s="2"/>
      <c r="C839" s="2"/>
      <c r="D839" s="2"/>
      <c r="E839" s="2"/>
      <c r="F839" s="2"/>
      <c r="G839" s="2"/>
      <c r="H839" s="2"/>
      <c r="I839" s="81"/>
      <c r="J839" s="2"/>
      <c r="K839" s="2"/>
      <c r="M839" s="3"/>
    </row>
    <row r="840" spans="1:13" ht="15.75" customHeight="1">
      <c r="A840" s="2"/>
      <c r="B840" s="2"/>
      <c r="C840" s="2"/>
      <c r="D840" s="2"/>
      <c r="E840" s="2"/>
      <c r="F840" s="2"/>
      <c r="G840" s="2"/>
      <c r="H840" s="2"/>
      <c r="I840" s="81"/>
      <c r="J840" s="2"/>
      <c r="K840" s="2"/>
      <c r="M840" s="3"/>
    </row>
    <row r="841" spans="1:13" ht="15.75" customHeight="1">
      <c r="A841" s="2"/>
      <c r="B841" s="2"/>
      <c r="C841" s="2"/>
      <c r="D841" s="2"/>
      <c r="E841" s="2"/>
      <c r="F841" s="2"/>
      <c r="G841" s="2"/>
      <c r="H841" s="2"/>
      <c r="I841" s="81"/>
      <c r="J841" s="2"/>
      <c r="K841" s="2"/>
      <c r="M841" s="3"/>
    </row>
    <row r="842" spans="1:13" ht="15.75" customHeight="1">
      <c r="A842" s="2"/>
      <c r="B842" s="2"/>
      <c r="C842" s="2"/>
      <c r="D842" s="2"/>
      <c r="E842" s="2"/>
      <c r="F842" s="2"/>
      <c r="G842" s="2"/>
      <c r="H842" s="2"/>
      <c r="I842" s="81"/>
      <c r="J842" s="2"/>
      <c r="K842" s="2"/>
      <c r="M842" s="3"/>
    </row>
    <row r="843" spans="1:13" ht="15.75" customHeight="1">
      <c r="A843" s="2"/>
      <c r="B843" s="2"/>
      <c r="C843" s="2"/>
      <c r="D843" s="2"/>
      <c r="E843" s="2"/>
      <c r="F843" s="2"/>
      <c r="G843" s="2"/>
      <c r="H843" s="2"/>
      <c r="I843" s="81"/>
      <c r="J843" s="2"/>
      <c r="K843" s="2"/>
      <c r="M843" s="3"/>
    </row>
    <row r="844" spans="1:13" ht="15.75" customHeight="1">
      <c r="A844" s="2"/>
      <c r="B844" s="2"/>
      <c r="C844" s="2"/>
      <c r="D844" s="2"/>
      <c r="E844" s="2"/>
      <c r="F844" s="2"/>
      <c r="G844" s="2"/>
      <c r="H844" s="2"/>
      <c r="I844" s="81"/>
      <c r="J844" s="2"/>
      <c r="K844" s="2"/>
      <c r="M844" s="3"/>
    </row>
    <row r="845" spans="1:13" ht="15.75" customHeight="1">
      <c r="A845" s="2"/>
      <c r="B845" s="2"/>
      <c r="C845" s="2"/>
      <c r="D845" s="2"/>
      <c r="E845" s="2"/>
      <c r="F845" s="2"/>
      <c r="G845" s="2"/>
      <c r="H845" s="2"/>
      <c r="I845" s="81"/>
      <c r="J845" s="2"/>
      <c r="K845" s="2"/>
      <c r="M845" s="3"/>
    </row>
    <row r="846" spans="1:13" ht="15.75" customHeight="1">
      <c r="A846" s="2"/>
      <c r="B846" s="2"/>
      <c r="C846" s="2"/>
      <c r="D846" s="2"/>
      <c r="E846" s="2"/>
      <c r="F846" s="2"/>
      <c r="G846" s="2"/>
      <c r="H846" s="2"/>
      <c r="I846" s="81"/>
      <c r="J846" s="2"/>
      <c r="K846" s="2"/>
      <c r="M846" s="3"/>
    </row>
    <row r="847" spans="1:13" ht="15.75" customHeight="1">
      <c r="A847" s="2"/>
      <c r="B847" s="2"/>
      <c r="C847" s="2"/>
      <c r="D847" s="2"/>
      <c r="E847" s="2"/>
      <c r="F847" s="2"/>
      <c r="G847" s="2"/>
      <c r="H847" s="2"/>
      <c r="I847" s="81"/>
      <c r="J847" s="2"/>
      <c r="K847" s="2"/>
      <c r="M847" s="3"/>
    </row>
    <row r="848" spans="1:13" ht="15.75" customHeight="1">
      <c r="A848" s="2"/>
      <c r="B848" s="2"/>
      <c r="C848" s="2"/>
      <c r="D848" s="2"/>
      <c r="E848" s="2"/>
      <c r="F848" s="2"/>
      <c r="G848" s="2"/>
      <c r="H848" s="2"/>
      <c r="I848" s="81"/>
      <c r="J848" s="2"/>
      <c r="K848" s="2"/>
      <c r="M848" s="3"/>
    </row>
    <row r="849" spans="1:13" ht="15.75" customHeight="1">
      <c r="A849" s="2"/>
      <c r="B849" s="2"/>
      <c r="C849" s="2"/>
      <c r="D849" s="2"/>
      <c r="E849" s="2"/>
      <c r="F849" s="2"/>
      <c r="G849" s="2"/>
      <c r="H849" s="2"/>
      <c r="I849" s="81"/>
      <c r="J849" s="2"/>
      <c r="K849" s="2"/>
      <c r="M849" s="3"/>
    </row>
    <row r="850" spans="1:13" ht="15.75" customHeight="1">
      <c r="A850" s="2"/>
      <c r="B850" s="2"/>
      <c r="C850" s="2"/>
      <c r="D850" s="2"/>
      <c r="E850" s="2"/>
      <c r="F850" s="2"/>
      <c r="G850" s="2"/>
      <c r="H850" s="2"/>
      <c r="I850" s="81"/>
      <c r="J850" s="2"/>
      <c r="K850" s="2"/>
      <c r="M850" s="3"/>
    </row>
    <row r="851" spans="1:13" ht="15.75" customHeight="1">
      <c r="A851" s="2"/>
      <c r="B851" s="2"/>
      <c r="C851" s="2"/>
      <c r="D851" s="2"/>
      <c r="E851" s="2"/>
      <c r="F851" s="2"/>
      <c r="G851" s="2"/>
      <c r="H851" s="2"/>
      <c r="I851" s="81"/>
      <c r="J851" s="2"/>
      <c r="K851" s="2"/>
      <c r="M851" s="3"/>
    </row>
    <row r="852" spans="1:13" ht="15.75" customHeight="1">
      <c r="A852" s="2"/>
      <c r="B852" s="2"/>
      <c r="C852" s="2"/>
      <c r="D852" s="2"/>
      <c r="E852" s="2"/>
      <c r="F852" s="2"/>
      <c r="G852" s="2"/>
      <c r="H852" s="2"/>
      <c r="I852" s="81"/>
      <c r="J852" s="2"/>
      <c r="K852" s="2"/>
      <c r="M852" s="3"/>
    </row>
    <row r="853" spans="1:13" ht="15.75" customHeight="1">
      <c r="A853" s="2"/>
      <c r="B853" s="2"/>
      <c r="C853" s="2"/>
      <c r="D853" s="2"/>
      <c r="E853" s="2"/>
      <c r="F853" s="2"/>
      <c r="G853" s="2"/>
      <c r="H853" s="2"/>
      <c r="I853" s="81"/>
      <c r="J853" s="2"/>
      <c r="K853" s="2"/>
      <c r="M853" s="3"/>
    </row>
    <row r="854" spans="1:13" ht="15.75" customHeight="1">
      <c r="A854" s="2"/>
      <c r="B854" s="2"/>
      <c r="C854" s="2"/>
      <c r="D854" s="2"/>
      <c r="E854" s="2"/>
      <c r="F854" s="2"/>
      <c r="G854" s="2"/>
      <c r="H854" s="2"/>
      <c r="I854" s="81"/>
      <c r="J854" s="2"/>
      <c r="K854" s="2"/>
      <c r="M854" s="3"/>
    </row>
    <row r="855" spans="1:13" ht="15.75" customHeight="1">
      <c r="A855" s="2"/>
      <c r="B855" s="2"/>
      <c r="C855" s="2"/>
      <c r="D855" s="2"/>
      <c r="E855" s="2"/>
      <c r="F855" s="2"/>
      <c r="G855" s="2"/>
      <c r="H855" s="2"/>
      <c r="I855" s="81"/>
      <c r="J855" s="2"/>
      <c r="K855" s="2"/>
      <c r="M855" s="3"/>
    </row>
    <row r="856" spans="1:13" ht="15.75" customHeight="1">
      <c r="A856" s="2"/>
      <c r="B856" s="2"/>
      <c r="C856" s="2"/>
      <c r="D856" s="2"/>
      <c r="E856" s="2"/>
      <c r="F856" s="2"/>
      <c r="G856" s="2"/>
      <c r="H856" s="2"/>
      <c r="I856" s="81"/>
      <c r="J856" s="2"/>
      <c r="K856" s="2"/>
      <c r="M856" s="3"/>
    </row>
    <row r="857" spans="1:13" ht="15.75" customHeight="1">
      <c r="A857" s="2"/>
      <c r="B857" s="2"/>
      <c r="C857" s="2"/>
      <c r="D857" s="2"/>
      <c r="E857" s="2"/>
      <c r="F857" s="2"/>
      <c r="G857" s="2"/>
      <c r="H857" s="2"/>
      <c r="I857" s="81"/>
      <c r="J857" s="2"/>
      <c r="K857" s="2"/>
      <c r="M857" s="3"/>
    </row>
    <row r="858" spans="1:13" ht="15.75" customHeight="1">
      <c r="A858" s="2"/>
      <c r="B858" s="2"/>
      <c r="C858" s="2"/>
      <c r="D858" s="2"/>
      <c r="E858" s="2"/>
      <c r="F858" s="2"/>
      <c r="G858" s="2"/>
      <c r="H858" s="2"/>
      <c r="I858" s="81"/>
      <c r="J858" s="2"/>
      <c r="K858" s="2"/>
      <c r="M858" s="3"/>
    </row>
    <row r="859" spans="1:13" ht="15.75" customHeight="1">
      <c r="A859" s="2"/>
      <c r="B859" s="2"/>
      <c r="C859" s="2"/>
      <c r="D859" s="2"/>
      <c r="E859" s="2"/>
      <c r="F859" s="2"/>
      <c r="G859" s="2"/>
      <c r="H859" s="2"/>
      <c r="I859" s="81"/>
      <c r="J859" s="2"/>
      <c r="K859" s="2"/>
      <c r="M859" s="3"/>
    </row>
    <row r="860" spans="1:13" ht="15.75" customHeight="1">
      <c r="A860" s="2"/>
      <c r="B860" s="2"/>
      <c r="C860" s="2"/>
      <c r="D860" s="2"/>
      <c r="E860" s="2"/>
      <c r="F860" s="2"/>
      <c r="G860" s="2"/>
      <c r="H860" s="2"/>
      <c r="I860" s="81"/>
      <c r="J860" s="2"/>
      <c r="K860" s="2"/>
      <c r="M860" s="3"/>
    </row>
    <row r="861" spans="1:13" ht="15.75" customHeight="1">
      <c r="A861" s="2"/>
      <c r="B861" s="2"/>
      <c r="C861" s="2"/>
      <c r="D861" s="2"/>
      <c r="E861" s="2"/>
      <c r="F861" s="2"/>
      <c r="G861" s="2"/>
      <c r="H861" s="2"/>
      <c r="I861" s="81"/>
      <c r="J861" s="2"/>
      <c r="K861" s="2"/>
      <c r="M861" s="3"/>
    </row>
    <row r="862" spans="1:13" ht="15.75" customHeight="1">
      <c r="A862" s="2"/>
      <c r="B862" s="2"/>
      <c r="C862" s="2"/>
      <c r="D862" s="2"/>
      <c r="E862" s="2"/>
      <c r="F862" s="2"/>
      <c r="G862" s="2"/>
      <c r="H862" s="2"/>
      <c r="I862" s="81"/>
      <c r="J862" s="2"/>
      <c r="K862" s="2"/>
      <c r="M862" s="3"/>
    </row>
    <row r="863" spans="1:13" ht="15.75" customHeight="1">
      <c r="A863" s="2"/>
      <c r="B863" s="2"/>
      <c r="C863" s="2"/>
      <c r="D863" s="2"/>
      <c r="E863" s="2"/>
      <c r="F863" s="2"/>
      <c r="G863" s="2"/>
      <c r="H863" s="2"/>
      <c r="I863" s="81"/>
      <c r="J863" s="2"/>
      <c r="K863" s="2"/>
      <c r="M863" s="3"/>
    </row>
    <row r="864" spans="1:13" ht="15.75" customHeight="1">
      <c r="A864" s="2"/>
      <c r="B864" s="2"/>
      <c r="C864" s="2"/>
      <c r="D864" s="2"/>
      <c r="E864" s="2"/>
      <c r="F864" s="2"/>
      <c r="G864" s="2"/>
      <c r="H864" s="2"/>
      <c r="I864" s="81"/>
      <c r="J864" s="2"/>
      <c r="K864" s="2"/>
      <c r="M864" s="3"/>
    </row>
    <row r="865" spans="1:13" ht="15.75" customHeight="1">
      <c r="A865" s="2"/>
      <c r="B865" s="2"/>
      <c r="C865" s="2"/>
      <c r="D865" s="2"/>
      <c r="E865" s="2"/>
      <c r="F865" s="2"/>
      <c r="G865" s="2"/>
      <c r="H865" s="2"/>
      <c r="I865" s="81"/>
      <c r="J865" s="2"/>
      <c r="K865" s="2"/>
      <c r="M865" s="3"/>
    </row>
    <row r="866" spans="1:13" ht="15.75" customHeight="1">
      <c r="A866" s="2"/>
      <c r="B866" s="2"/>
      <c r="C866" s="2"/>
      <c r="D866" s="2"/>
      <c r="E866" s="2"/>
      <c r="F866" s="2"/>
      <c r="G866" s="2"/>
      <c r="H866" s="2"/>
      <c r="I866" s="81"/>
      <c r="J866" s="2"/>
      <c r="K866" s="2"/>
      <c r="M866" s="3"/>
    </row>
    <row r="867" spans="1:13" ht="15.75" customHeight="1">
      <c r="A867" s="2"/>
      <c r="B867" s="2"/>
      <c r="C867" s="2"/>
      <c r="D867" s="2"/>
      <c r="E867" s="2"/>
      <c r="F867" s="2"/>
      <c r="G867" s="2"/>
      <c r="H867" s="2"/>
      <c r="I867" s="81"/>
      <c r="J867" s="2"/>
      <c r="K867" s="2"/>
      <c r="M867" s="3"/>
    </row>
    <row r="868" spans="1:13" ht="15.75" customHeight="1">
      <c r="A868" s="2"/>
      <c r="B868" s="2"/>
      <c r="C868" s="2"/>
      <c r="D868" s="2"/>
      <c r="E868" s="2"/>
      <c r="F868" s="2"/>
      <c r="G868" s="2"/>
      <c r="H868" s="2"/>
      <c r="I868" s="81"/>
      <c r="J868" s="2"/>
      <c r="K868" s="2"/>
      <c r="M868" s="3"/>
    </row>
    <row r="869" spans="1:13" ht="15.75" customHeight="1">
      <c r="A869" s="2"/>
      <c r="B869" s="2"/>
      <c r="C869" s="2"/>
      <c r="D869" s="2"/>
      <c r="E869" s="2"/>
      <c r="F869" s="2"/>
      <c r="G869" s="2"/>
      <c r="H869" s="2"/>
      <c r="I869" s="81"/>
      <c r="J869" s="2"/>
      <c r="K869" s="2"/>
      <c r="M869" s="3"/>
    </row>
    <row r="870" spans="1:13" ht="15.75" customHeight="1">
      <c r="A870" s="2"/>
      <c r="B870" s="2"/>
      <c r="C870" s="2"/>
      <c r="D870" s="2"/>
      <c r="E870" s="2"/>
      <c r="F870" s="2"/>
      <c r="G870" s="2"/>
      <c r="H870" s="2"/>
      <c r="I870" s="81"/>
      <c r="J870" s="2"/>
      <c r="K870" s="2"/>
      <c r="M870" s="3"/>
    </row>
    <row r="871" spans="1:13" ht="15.75" customHeight="1">
      <c r="A871" s="2"/>
      <c r="B871" s="2"/>
      <c r="C871" s="2"/>
      <c r="D871" s="2"/>
      <c r="E871" s="2"/>
      <c r="F871" s="2"/>
      <c r="G871" s="2"/>
      <c r="H871" s="2"/>
      <c r="I871" s="81"/>
      <c r="J871" s="2"/>
      <c r="K871" s="2"/>
      <c r="M871" s="3"/>
    </row>
    <row r="872" spans="1:13" ht="15.75" customHeight="1">
      <c r="A872" s="2"/>
      <c r="B872" s="2"/>
      <c r="C872" s="2"/>
      <c r="D872" s="2"/>
      <c r="E872" s="2"/>
      <c r="F872" s="2"/>
      <c r="G872" s="2"/>
      <c r="H872" s="2"/>
      <c r="I872" s="81"/>
      <c r="J872" s="2"/>
      <c r="K872" s="2"/>
      <c r="M872" s="3"/>
    </row>
    <row r="873" spans="1:13" ht="15.75" customHeight="1">
      <c r="A873" s="2"/>
      <c r="B873" s="2"/>
      <c r="C873" s="2"/>
      <c r="D873" s="2"/>
      <c r="E873" s="2"/>
      <c r="F873" s="2"/>
      <c r="G873" s="2"/>
      <c r="H873" s="2"/>
      <c r="I873" s="81"/>
      <c r="J873" s="2"/>
      <c r="K873" s="2"/>
      <c r="M873" s="3"/>
    </row>
    <row r="874" spans="1:13" ht="15.75" customHeight="1">
      <c r="A874" s="2"/>
      <c r="B874" s="2"/>
      <c r="C874" s="2"/>
      <c r="D874" s="2"/>
      <c r="E874" s="2"/>
      <c r="F874" s="2"/>
      <c r="G874" s="2"/>
      <c r="H874" s="2"/>
      <c r="I874" s="81"/>
      <c r="J874" s="2"/>
      <c r="K874" s="2"/>
      <c r="M874" s="3"/>
    </row>
    <row r="875" spans="1:13" ht="15.75" customHeight="1">
      <c r="A875" s="2"/>
      <c r="B875" s="2"/>
      <c r="C875" s="2"/>
      <c r="D875" s="2"/>
      <c r="E875" s="2"/>
      <c r="F875" s="2"/>
      <c r="G875" s="2"/>
      <c r="H875" s="2"/>
      <c r="I875" s="81"/>
      <c r="J875" s="2"/>
      <c r="K875" s="2"/>
      <c r="M875" s="3"/>
    </row>
    <row r="876" spans="1:13" ht="15.75" customHeight="1">
      <c r="A876" s="2"/>
      <c r="B876" s="2"/>
      <c r="C876" s="2"/>
      <c r="D876" s="2"/>
      <c r="E876" s="2"/>
      <c r="F876" s="2"/>
      <c r="G876" s="2"/>
      <c r="H876" s="2"/>
      <c r="I876" s="81"/>
      <c r="J876" s="2"/>
      <c r="K876" s="2"/>
      <c r="M876" s="3"/>
    </row>
    <row r="877" spans="1:13" ht="15.75" customHeight="1">
      <c r="A877" s="2"/>
      <c r="B877" s="2"/>
      <c r="C877" s="2"/>
      <c r="D877" s="2"/>
      <c r="E877" s="2"/>
      <c r="F877" s="2"/>
      <c r="G877" s="2"/>
      <c r="H877" s="2"/>
      <c r="I877" s="81"/>
      <c r="J877" s="2"/>
      <c r="K877" s="2"/>
      <c r="M877" s="3"/>
    </row>
    <row r="878" spans="1:13" ht="15.75" customHeight="1">
      <c r="A878" s="2"/>
      <c r="B878" s="2"/>
      <c r="C878" s="2"/>
      <c r="D878" s="2"/>
      <c r="E878" s="2"/>
      <c r="F878" s="2"/>
      <c r="G878" s="2"/>
      <c r="H878" s="2"/>
      <c r="I878" s="81"/>
      <c r="J878" s="2"/>
      <c r="K878" s="2"/>
      <c r="M878" s="3"/>
    </row>
    <row r="879" spans="1:13" ht="15.75" customHeight="1">
      <c r="A879" s="2"/>
      <c r="B879" s="2"/>
      <c r="C879" s="2"/>
      <c r="D879" s="2"/>
      <c r="E879" s="2"/>
      <c r="F879" s="2"/>
      <c r="G879" s="2"/>
      <c r="H879" s="2"/>
      <c r="I879" s="81"/>
      <c r="J879" s="2"/>
      <c r="K879" s="2"/>
      <c r="M879" s="3"/>
    </row>
    <row r="880" spans="1:13" ht="15.75" customHeight="1">
      <c r="A880" s="2"/>
      <c r="B880" s="2"/>
      <c r="C880" s="2"/>
      <c r="D880" s="2"/>
      <c r="E880" s="2"/>
      <c r="F880" s="2"/>
      <c r="G880" s="2"/>
      <c r="H880" s="2"/>
      <c r="I880" s="81"/>
      <c r="J880" s="2"/>
      <c r="K880" s="2"/>
      <c r="M880" s="3"/>
    </row>
    <row r="881" spans="1:13" ht="15.75" customHeight="1">
      <c r="A881" s="2"/>
      <c r="B881" s="2"/>
      <c r="C881" s="2"/>
      <c r="D881" s="2"/>
      <c r="E881" s="2"/>
      <c r="F881" s="2"/>
      <c r="G881" s="2"/>
      <c r="H881" s="2"/>
      <c r="I881" s="81"/>
      <c r="J881" s="2"/>
      <c r="K881" s="2"/>
      <c r="M881" s="3"/>
    </row>
    <row r="882" spans="1:13" ht="15.75" customHeight="1">
      <c r="A882" s="2"/>
      <c r="B882" s="2"/>
      <c r="C882" s="2"/>
      <c r="D882" s="2"/>
      <c r="E882" s="2"/>
      <c r="F882" s="2"/>
      <c r="G882" s="2"/>
      <c r="H882" s="2"/>
      <c r="I882" s="81"/>
      <c r="J882" s="2"/>
      <c r="K882" s="2"/>
      <c r="M882" s="3"/>
    </row>
    <row r="883" spans="1:13" ht="15.75" customHeight="1">
      <c r="A883" s="2"/>
      <c r="B883" s="2"/>
      <c r="C883" s="2"/>
      <c r="D883" s="2"/>
      <c r="E883" s="2"/>
      <c r="F883" s="2"/>
      <c r="G883" s="2"/>
      <c r="H883" s="2"/>
      <c r="I883" s="81"/>
      <c r="J883" s="2"/>
      <c r="K883" s="2"/>
      <c r="M883" s="3"/>
    </row>
    <row r="884" spans="1:13" ht="15.75" customHeight="1">
      <c r="A884" s="2"/>
      <c r="B884" s="2"/>
      <c r="C884" s="2"/>
      <c r="D884" s="2"/>
      <c r="E884" s="2"/>
      <c r="F884" s="2"/>
      <c r="G884" s="2"/>
      <c r="H884" s="2"/>
      <c r="I884" s="81"/>
      <c r="J884" s="2"/>
      <c r="K884" s="2"/>
      <c r="M884" s="3"/>
    </row>
    <row r="885" spans="1:13" ht="15.75" customHeight="1">
      <c r="A885" s="2"/>
      <c r="B885" s="2"/>
      <c r="C885" s="2"/>
      <c r="D885" s="2"/>
      <c r="E885" s="2"/>
      <c r="F885" s="2"/>
      <c r="G885" s="2"/>
      <c r="H885" s="2"/>
      <c r="I885" s="81"/>
      <c r="J885" s="2"/>
      <c r="K885" s="2"/>
      <c r="M885" s="3"/>
    </row>
    <row r="886" spans="1:13" ht="15.75" customHeight="1">
      <c r="A886" s="2"/>
      <c r="B886" s="2"/>
      <c r="C886" s="2"/>
      <c r="D886" s="2"/>
      <c r="E886" s="2"/>
      <c r="F886" s="2"/>
      <c r="G886" s="2"/>
      <c r="H886" s="2"/>
      <c r="I886" s="81"/>
      <c r="J886" s="2"/>
      <c r="K886" s="2"/>
      <c r="M886" s="3"/>
    </row>
    <row r="887" spans="1:13" ht="15.75" customHeight="1">
      <c r="A887" s="2"/>
      <c r="B887" s="2"/>
      <c r="C887" s="2"/>
      <c r="D887" s="2"/>
      <c r="E887" s="2"/>
      <c r="F887" s="2"/>
      <c r="G887" s="2"/>
      <c r="H887" s="2"/>
      <c r="I887" s="81"/>
      <c r="J887" s="2"/>
      <c r="K887" s="2"/>
      <c r="M887" s="3"/>
    </row>
    <row r="888" spans="1:13" ht="15.75" customHeight="1">
      <c r="A888" s="2"/>
      <c r="B888" s="2"/>
      <c r="C888" s="2"/>
      <c r="D888" s="2"/>
      <c r="E888" s="2"/>
      <c r="F888" s="2"/>
      <c r="G888" s="2"/>
      <c r="H888" s="2"/>
      <c r="I888" s="81"/>
      <c r="J888" s="2"/>
      <c r="K888" s="2"/>
      <c r="M888" s="3"/>
    </row>
    <row r="889" spans="1:13" ht="15.75" customHeight="1">
      <c r="A889" s="2"/>
      <c r="B889" s="2"/>
      <c r="C889" s="2"/>
      <c r="D889" s="2"/>
      <c r="E889" s="2"/>
      <c r="F889" s="2"/>
      <c r="G889" s="2"/>
      <c r="H889" s="2"/>
      <c r="I889" s="81"/>
      <c r="J889" s="2"/>
      <c r="K889" s="2"/>
      <c r="M889" s="3"/>
    </row>
    <row r="890" spans="1:13" ht="15.75" customHeight="1">
      <c r="A890" s="2"/>
      <c r="B890" s="2"/>
      <c r="C890" s="2"/>
      <c r="D890" s="2"/>
      <c r="E890" s="2"/>
      <c r="F890" s="2"/>
      <c r="G890" s="2"/>
      <c r="H890" s="2"/>
      <c r="I890" s="81"/>
      <c r="J890" s="2"/>
      <c r="K890" s="2"/>
      <c r="M890" s="3"/>
    </row>
    <row r="891" spans="1:13" ht="15.75" customHeight="1">
      <c r="A891" s="2"/>
      <c r="B891" s="2"/>
      <c r="C891" s="2"/>
      <c r="D891" s="2"/>
      <c r="E891" s="2"/>
      <c r="F891" s="2"/>
      <c r="G891" s="2"/>
      <c r="H891" s="2"/>
      <c r="I891" s="81"/>
      <c r="J891" s="2"/>
      <c r="K891" s="2"/>
      <c r="M891" s="3"/>
    </row>
    <row r="892" spans="1:13" ht="15.75" customHeight="1">
      <c r="A892" s="2"/>
      <c r="B892" s="2"/>
      <c r="C892" s="2"/>
      <c r="D892" s="2"/>
      <c r="E892" s="2"/>
      <c r="F892" s="2"/>
      <c r="G892" s="2"/>
      <c r="H892" s="2"/>
      <c r="I892" s="81"/>
      <c r="J892" s="2"/>
      <c r="K892" s="2"/>
      <c r="M892" s="3"/>
    </row>
    <row r="893" spans="1:13" ht="15.75" customHeight="1">
      <c r="A893" s="2"/>
      <c r="B893" s="2"/>
      <c r="C893" s="2"/>
      <c r="D893" s="2"/>
      <c r="E893" s="2"/>
      <c r="F893" s="2"/>
      <c r="G893" s="2"/>
      <c r="H893" s="2"/>
      <c r="I893" s="81"/>
      <c r="J893" s="2"/>
      <c r="K893" s="2"/>
      <c r="M893" s="3"/>
    </row>
    <row r="894" spans="1:13" ht="15.75" customHeight="1">
      <c r="A894" s="2"/>
      <c r="B894" s="2"/>
      <c r="C894" s="2"/>
      <c r="D894" s="2"/>
      <c r="E894" s="2"/>
      <c r="F894" s="2"/>
      <c r="G894" s="2"/>
      <c r="H894" s="2"/>
      <c r="I894" s="81"/>
      <c r="J894" s="2"/>
      <c r="K894" s="2"/>
      <c r="M894" s="3"/>
    </row>
    <row r="895" spans="1:13" ht="15.75" customHeight="1">
      <c r="A895" s="2"/>
      <c r="B895" s="2"/>
      <c r="C895" s="2"/>
      <c r="D895" s="2"/>
      <c r="E895" s="2"/>
      <c r="F895" s="2"/>
      <c r="G895" s="2"/>
      <c r="H895" s="2"/>
      <c r="I895" s="81"/>
      <c r="J895" s="2"/>
      <c r="K895" s="2"/>
      <c r="M895" s="3"/>
    </row>
    <row r="896" spans="1:13" ht="15.75" customHeight="1">
      <c r="A896" s="2"/>
      <c r="B896" s="2"/>
      <c r="C896" s="2"/>
      <c r="D896" s="2"/>
      <c r="E896" s="2"/>
      <c r="F896" s="2"/>
      <c r="G896" s="2"/>
      <c r="H896" s="2"/>
      <c r="I896" s="81"/>
      <c r="J896" s="2"/>
      <c r="K896" s="2"/>
      <c r="M896" s="3"/>
    </row>
    <row r="897" spans="1:13" ht="15.75" customHeight="1">
      <c r="A897" s="2"/>
      <c r="B897" s="2"/>
      <c r="C897" s="2"/>
      <c r="D897" s="2"/>
      <c r="E897" s="2"/>
      <c r="F897" s="2"/>
      <c r="G897" s="2"/>
      <c r="H897" s="2"/>
      <c r="I897" s="81"/>
      <c r="J897" s="2"/>
      <c r="K897" s="2"/>
      <c r="M897" s="3"/>
    </row>
    <row r="898" spans="1:13" ht="15.75" customHeight="1">
      <c r="A898" s="2"/>
      <c r="B898" s="2"/>
      <c r="C898" s="2"/>
      <c r="D898" s="2"/>
      <c r="E898" s="2"/>
      <c r="F898" s="2"/>
      <c r="G898" s="2"/>
      <c r="H898" s="2"/>
      <c r="I898" s="81"/>
      <c r="J898" s="2"/>
      <c r="K898" s="2"/>
      <c r="M898" s="3"/>
    </row>
    <row r="899" spans="1:13" ht="15.75" customHeight="1">
      <c r="A899" s="2"/>
      <c r="B899" s="2"/>
      <c r="C899" s="2"/>
      <c r="D899" s="2"/>
      <c r="E899" s="2"/>
      <c r="F899" s="2"/>
      <c r="G899" s="2"/>
      <c r="H899" s="2"/>
      <c r="I899" s="81"/>
      <c r="J899" s="2"/>
      <c r="K899" s="2"/>
      <c r="M899" s="3"/>
    </row>
    <row r="900" spans="1:13" ht="15.75" customHeight="1">
      <c r="A900" s="2"/>
      <c r="B900" s="2"/>
      <c r="C900" s="2"/>
      <c r="D900" s="2"/>
      <c r="E900" s="2"/>
      <c r="F900" s="2"/>
      <c r="G900" s="2"/>
      <c r="H900" s="2"/>
      <c r="I900" s="81"/>
      <c r="J900" s="2"/>
      <c r="K900" s="2"/>
      <c r="M900" s="3"/>
    </row>
    <row r="901" spans="1:13" ht="15.75" customHeight="1">
      <c r="A901" s="2"/>
      <c r="B901" s="2"/>
      <c r="C901" s="2"/>
      <c r="D901" s="2"/>
      <c r="E901" s="2"/>
      <c r="F901" s="2"/>
      <c r="G901" s="2"/>
      <c r="H901" s="2"/>
      <c r="I901" s="81"/>
      <c r="J901" s="2"/>
      <c r="K901" s="2"/>
      <c r="M901" s="3"/>
    </row>
    <row r="902" spans="1:13" ht="15.75" customHeight="1">
      <c r="A902" s="2"/>
      <c r="B902" s="2"/>
      <c r="C902" s="2"/>
      <c r="D902" s="2"/>
      <c r="E902" s="2"/>
      <c r="F902" s="2"/>
      <c r="G902" s="2"/>
      <c r="H902" s="2"/>
      <c r="I902" s="81"/>
      <c r="J902" s="2"/>
      <c r="K902" s="2"/>
      <c r="M902" s="3"/>
    </row>
    <row r="903" spans="1:13" ht="15.75" customHeight="1">
      <c r="A903" s="2"/>
      <c r="B903" s="2"/>
      <c r="C903" s="2"/>
      <c r="D903" s="2"/>
      <c r="E903" s="2"/>
      <c r="F903" s="2"/>
      <c r="G903" s="2"/>
      <c r="H903" s="2"/>
      <c r="I903" s="81"/>
      <c r="J903" s="2"/>
      <c r="K903" s="2"/>
      <c r="M903" s="3"/>
    </row>
    <row r="904" spans="1:13" ht="15.75" customHeight="1">
      <c r="A904" s="2"/>
      <c r="B904" s="2"/>
      <c r="C904" s="2"/>
      <c r="D904" s="2"/>
      <c r="E904" s="2"/>
      <c r="F904" s="2"/>
      <c r="G904" s="2"/>
      <c r="H904" s="2"/>
      <c r="I904" s="81"/>
      <c r="J904" s="2"/>
      <c r="K904" s="2"/>
      <c r="M904" s="3"/>
    </row>
    <row r="905" spans="1:13" ht="15.75" customHeight="1">
      <c r="A905" s="2"/>
      <c r="B905" s="2"/>
      <c r="C905" s="2"/>
      <c r="D905" s="2"/>
      <c r="E905" s="2"/>
      <c r="F905" s="2"/>
      <c r="G905" s="2"/>
      <c r="H905" s="2"/>
      <c r="I905" s="81"/>
      <c r="J905" s="2"/>
      <c r="K905" s="2"/>
      <c r="M905" s="3"/>
    </row>
    <row r="906" spans="1:13" ht="15.75" customHeight="1">
      <c r="A906" s="2"/>
      <c r="B906" s="2"/>
      <c r="C906" s="2"/>
      <c r="D906" s="2"/>
      <c r="E906" s="2"/>
      <c r="F906" s="2"/>
      <c r="G906" s="2"/>
      <c r="H906" s="2"/>
      <c r="I906" s="81"/>
      <c r="J906" s="2"/>
      <c r="K906" s="2"/>
      <c r="M906" s="3"/>
    </row>
    <row r="907" spans="1:13" ht="15.75" customHeight="1">
      <c r="A907" s="2"/>
      <c r="B907" s="2"/>
      <c r="C907" s="2"/>
      <c r="D907" s="2"/>
      <c r="E907" s="2"/>
      <c r="F907" s="2"/>
      <c r="G907" s="2"/>
      <c r="H907" s="2"/>
      <c r="I907" s="81"/>
      <c r="J907" s="2"/>
      <c r="K907" s="2"/>
      <c r="M907" s="3"/>
    </row>
    <row r="908" spans="1:13" ht="15.75" customHeight="1">
      <c r="A908" s="2"/>
      <c r="B908" s="2"/>
      <c r="C908" s="2"/>
      <c r="D908" s="2"/>
      <c r="E908" s="2"/>
      <c r="F908" s="2"/>
      <c r="G908" s="2"/>
      <c r="H908" s="2"/>
      <c r="I908" s="81"/>
      <c r="J908" s="2"/>
      <c r="K908" s="2"/>
      <c r="M908" s="3"/>
    </row>
    <row r="909" spans="1:13" ht="15.75" customHeight="1">
      <c r="A909" s="2"/>
      <c r="B909" s="2"/>
      <c r="C909" s="2"/>
      <c r="D909" s="2"/>
      <c r="E909" s="2"/>
      <c r="F909" s="2"/>
      <c r="G909" s="2"/>
      <c r="H909" s="2"/>
      <c r="I909" s="81"/>
      <c r="J909" s="2"/>
      <c r="K909" s="2"/>
      <c r="M909" s="3"/>
    </row>
    <row r="910" spans="1:13" ht="15.75" customHeight="1">
      <c r="A910" s="2"/>
      <c r="B910" s="2"/>
      <c r="C910" s="2"/>
      <c r="D910" s="2"/>
      <c r="E910" s="2"/>
      <c r="F910" s="2"/>
      <c r="G910" s="2"/>
      <c r="H910" s="2"/>
      <c r="I910" s="81"/>
      <c r="J910" s="2"/>
      <c r="K910" s="2"/>
      <c r="M910" s="3"/>
    </row>
    <row r="911" spans="1:13" ht="15.75" customHeight="1">
      <c r="A911" s="2"/>
      <c r="B911" s="2"/>
      <c r="C911" s="2"/>
      <c r="D911" s="2"/>
      <c r="E911" s="2"/>
      <c r="F911" s="2"/>
      <c r="G911" s="2"/>
      <c r="H911" s="2"/>
      <c r="I911" s="81"/>
      <c r="J911" s="2"/>
      <c r="K911" s="2"/>
      <c r="M911" s="3"/>
    </row>
    <row r="912" spans="1:13" ht="15.75" customHeight="1">
      <c r="A912" s="2"/>
      <c r="B912" s="2"/>
      <c r="C912" s="2"/>
      <c r="D912" s="2"/>
      <c r="E912" s="2"/>
      <c r="F912" s="2"/>
      <c r="G912" s="2"/>
      <c r="H912" s="2"/>
      <c r="I912" s="81"/>
      <c r="J912" s="2"/>
      <c r="K912" s="2"/>
      <c r="M912" s="3"/>
    </row>
    <row r="913" spans="1:13" ht="15.75" customHeight="1">
      <c r="A913" s="2"/>
      <c r="B913" s="2"/>
      <c r="C913" s="2"/>
      <c r="D913" s="2"/>
      <c r="E913" s="2"/>
      <c r="F913" s="2"/>
      <c r="G913" s="2"/>
      <c r="H913" s="2"/>
      <c r="I913" s="81"/>
      <c r="J913" s="2"/>
      <c r="K913" s="2"/>
      <c r="M913" s="3"/>
    </row>
    <row r="914" spans="1:13" ht="15.75" customHeight="1">
      <c r="A914" s="2"/>
      <c r="B914" s="2"/>
      <c r="C914" s="2"/>
      <c r="D914" s="2"/>
      <c r="E914" s="2"/>
      <c r="F914" s="2"/>
      <c r="G914" s="2"/>
      <c r="H914" s="2"/>
      <c r="I914" s="81"/>
      <c r="J914" s="2"/>
      <c r="K914" s="2"/>
      <c r="M914" s="3"/>
    </row>
    <row r="915" spans="1:13" ht="15.75" customHeight="1">
      <c r="A915" s="2"/>
      <c r="B915" s="2"/>
      <c r="C915" s="2"/>
      <c r="D915" s="2"/>
      <c r="E915" s="2"/>
      <c r="F915" s="2"/>
      <c r="G915" s="2"/>
      <c r="H915" s="2"/>
      <c r="I915" s="81"/>
      <c r="J915" s="2"/>
      <c r="K915" s="2"/>
      <c r="M915" s="3"/>
    </row>
    <row r="916" spans="1:13" ht="15.75" customHeight="1">
      <c r="A916" s="2"/>
      <c r="B916" s="2"/>
      <c r="C916" s="2"/>
      <c r="D916" s="2"/>
      <c r="E916" s="2"/>
      <c r="F916" s="2"/>
      <c r="G916" s="2"/>
      <c r="H916" s="2"/>
      <c r="I916" s="81"/>
      <c r="J916" s="2"/>
      <c r="K916" s="2"/>
      <c r="M916" s="3"/>
    </row>
    <row r="917" spans="1:13" ht="15.75" customHeight="1">
      <c r="A917" s="2"/>
      <c r="B917" s="2"/>
      <c r="C917" s="2"/>
      <c r="D917" s="2"/>
      <c r="E917" s="2"/>
      <c r="F917" s="2"/>
      <c r="G917" s="2"/>
      <c r="H917" s="2"/>
      <c r="I917" s="81"/>
      <c r="J917" s="2"/>
      <c r="K917" s="2"/>
      <c r="M917" s="3"/>
    </row>
    <row r="918" spans="1:13" ht="15.75" customHeight="1">
      <c r="A918" s="2"/>
      <c r="B918" s="2"/>
      <c r="C918" s="2"/>
      <c r="D918" s="2"/>
      <c r="E918" s="2"/>
      <c r="F918" s="2"/>
      <c r="G918" s="2"/>
      <c r="H918" s="2"/>
      <c r="I918" s="81"/>
      <c r="J918" s="2"/>
      <c r="K918" s="2"/>
      <c r="M918" s="3"/>
    </row>
    <row r="919" spans="1:13" ht="15.75" customHeight="1">
      <c r="A919" s="2"/>
      <c r="B919" s="2"/>
      <c r="C919" s="2"/>
      <c r="D919" s="2"/>
      <c r="E919" s="2"/>
      <c r="F919" s="2"/>
      <c r="G919" s="2"/>
      <c r="H919" s="2"/>
      <c r="I919" s="81"/>
      <c r="J919" s="2"/>
      <c r="K919" s="2"/>
      <c r="M919" s="3"/>
    </row>
    <row r="920" spans="1:13" ht="15.75" customHeight="1">
      <c r="A920" s="2"/>
      <c r="B920" s="2"/>
      <c r="C920" s="2"/>
      <c r="D920" s="2"/>
      <c r="E920" s="2"/>
      <c r="F920" s="2"/>
      <c r="G920" s="2"/>
      <c r="H920" s="2"/>
      <c r="I920" s="81"/>
      <c r="J920" s="2"/>
      <c r="K920" s="2"/>
      <c r="M920" s="3"/>
    </row>
    <row r="921" spans="1:13" ht="15.75" customHeight="1">
      <c r="A921" s="2"/>
      <c r="B921" s="2"/>
      <c r="C921" s="2"/>
      <c r="D921" s="2"/>
      <c r="E921" s="2"/>
      <c r="F921" s="2"/>
      <c r="G921" s="2"/>
      <c r="H921" s="2"/>
      <c r="I921" s="81"/>
      <c r="J921" s="2"/>
      <c r="K921" s="2"/>
      <c r="M921" s="3"/>
    </row>
    <row r="922" spans="1:13" ht="15.75" customHeight="1">
      <c r="A922" s="2"/>
      <c r="B922" s="2"/>
      <c r="C922" s="2"/>
      <c r="D922" s="2"/>
      <c r="E922" s="2"/>
      <c r="F922" s="2"/>
      <c r="G922" s="2"/>
      <c r="H922" s="2"/>
      <c r="I922" s="81"/>
      <c r="J922" s="2"/>
      <c r="K922" s="2"/>
      <c r="M922" s="3"/>
    </row>
    <row r="923" spans="1:13" ht="15.75" customHeight="1">
      <c r="A923" s="2"/>
      <c r="B923" s="2"/>
      <c r="C923" s="2"/>
      <c r="D923" s="2"/>
      <c r="E923" s="2"/>
      <c r="F923" s="2"/>
      <c r="G923" s="2"/>
      <c r="H923" s="2"/>
      <c r="I923" s="81"/>
      <c r="J923" s="2"/>
      <c r="K923" s="2"/>
      <c r="M923" s="3"/>
    </row>
    <row r="924" spans="1:13" ht="15.75" customHeight="1">
      <c r="A924" s="2"/>
      <c r="B924" s="2"/>
      <c r="C924" s="2"/>
      <c r="D924" s="2"/>
      <c r="E924" s="2"/>
      <c r="F924" s="2"/>
      <c r="G924" s="2"/>
      <c r="H924" s="2"/>
      <c r="I924" s="81"/>
      <c r="J924" s="2"/>
      <c r="K924" s="2"/>
      <c r="M924" s="3"/>
    </row>
    <row r="925" spans="1:13" ht="15.75" customHeight="1">
      <c r="A925" s="2"/>
      <c r="B925" s="2"/>
      <c r="C925" s="2"/>
      <c r="D925" s="2"/>
      <c r="E925" s="2"/>
      <c r="F925" s="2"/>
      <c r="G925" s="2"/>
      <c r="H925" s="2"/>
      <c r="I925" s="81"/>
      <c r="J925" s="2"/>
      <c r="K925" s="2"/>
      <c r="M925" s="3"/>
    </row>
    <row r="926" spans="1:13" ht="15.75" customHeight="1">
      <c r="A926" s="2"/>
      <c r="B926" s="2"/>
      <c r="C926" s="2"/>
      <c r="D926" s="2"/>
      <c r="E926" s="2"/>
      <c r="F926" s="2"/>
      <c r="G926" s="2"/>
      <c r="H926" s="2"/>
      <c r="I926" s="81"/>
      <c r="J926" s="2"/>
      <c r="K926" s="2"/>
      <c r="M926" s="3"/>
    </row>
    <row r="927" spans="1:13" ht="15.75" customHeight="1">
      <c r="A927" s="2"/>
      <c r="B927" s="2"/>
      <c r="C927" s="2"/>
      <c r="D927" s="2"/>
      <c r="E927" s="2"/>
      <c r="F927" s="2"/>
      <c r="G927" s="2"/>
      <c r="H927" s="2"/>
      <c r="I927" s="81"/>
      <c r="J927" s="2"/>
      <c r="K927" s="2"/>
      <c r="M927" s="3"/>
    </row>
    <row r="928" spans="1:13" ht="15.75" customHeight="1">
      <c r="A928" s="2"/>
      <c r="B928" s="2"/>
      <c r="C928" s="2"/>
      <c r="D928" s="2"/>
      <c r="E928" s="2"/>
      <c r="F928" s="2"/>
      <c r="G928" s="2"/>
      <c r="H928" s="2"/>
      <c r="I928" s="81"/>
      <c r="J928" s="2"/>
      <c r="K928" s="2"/>
      <c r="M928" s="3"/>
    </row>
    <row r="929" spans="1:13" ht="15.75" customHeight="1">
      <c r="A929" s="2"/>
      <c r="B929" s="2"/>
      <c r="C929" s="2"/>
      <c r="D929" s="2"/>
      <c r="E929" s="2"/>
      <c r="F929" s="2"/>
      <c r="G929" s="2"/>
      <c r="H929" s="2"/>
      <c r="I929" s="81"/>
      <c r="J929" s="2"/>
      <c r="K929" s="2"/>
      <c r="M929" s="3"/>
    </row>
    <row r="930" spans="1:13" ht="15.75" customHeight="1">
      <c r="A930" s="2"/>
      <c r="B930" s="2"/>
      <c r="C930" s="2"/>
      <c r="D930" s="2"/>
      <c r="E930" s="2"/>
      <c r="F930" s="2"/>
      <c r="G930" s="2"/>
      <c r="H930" s="2"/>
      <c r="I930" s="81"/>
      <c r="J930" s="2"/>
      <c r="K930" s="2"/>
      <c r="M930" s="3"/>
    </row>
    <row r="931" spans="1:13" ht="15.75" customHeight="1">
      <c r="A931" s="2"/>
      <c r="B931" s="2"/>
      <c r="C931" s="2"/>
      <c r="D931" s="2"/>
      <c r="E931" s="2"/>
      <c r="F931" s="2"/>
      <c r="G931" s="2"/>
      <c r="H931" s="2"/>
      <c r="I931" s="81"/>
      <c r="J931" s="2"/>
      <c r="K931" s="2"/>
      <c r="M931" s="3"/>
    </row>
    <row r="932" spans="1:13" ht="15.75" customHeight="1">
      <c r="A932" s="2"/>
      <c r="B932" s="2"/>
      <c r="C932" s="2"/>
      <c r="D932" s="2"/>
      <c r="E932" s="2"/>
      <c r="F932" s="2"/>
      <c r="G932" s="2"/>
      <c r="H932" s="2"/>
      <c r="I932" s="81"/>
      <c r="J932" s="2"/>
      <c r="K932" s="2"/>
      <c r="M932" s="3"/>
    </row>
    <row r="933" spans="1:13" ht="15.75" customHeight="1">
      <c r="A933" s="2"/>
      <c r="B933" s="2"/>
      <c r="C933" s="2"/>
      <c r="D933" s="2"/>
      <c r="E933" s="2"/>
      <c r="F933" s="2"/>
      <c r="G933" s="2"/>
      <c r="H933" s="2"/>
      <c r="I933" s="81"/>
      <c r="J933" s="2"/>
      <c r="K933" s="2"/>
      <c r="M933" s="3"/>
    </row>
    <row r="934" spans="1:13" ht="15.75" customHeight="1">
      <c r="A934" s="2"/>
      <c r="B934" s="2"/>
      <c r="C934" s="2"/>
      <c r="D934" s="2"/>
      <c r="E934" s="2"/>
      <c r="F934" s="2"/>
      <c r="G934" s="2"/>
      <c r="H934" s="2"/>
      <c r="I934" s="81"/>
      <c r="J934" s="2"/>
      <c r="K934" s="2"/>
      <c r="M934" s="3"/>
    </row>
    <row r="935" spans="1:13" ht="15.75" customHeight="1">
      <c r="A935" s="2"/>
      <c r="B935" s="2"/>
      <c r="C935" s="2"/>
      <c r="D935" s="2"/>
      <c r="E935" s="2"/>
      <c r="F935" s="2"/>
      <c r="G935" s="2"/>
      <c r="H935" s="2"/>
      <c r="I935" s="81"/>
      <c r="J935" s="2"/>
      <c r="K935" s="2"/>
      <c r="M935" s="3"/>
    </row>
    <row r="936" spans="1:13" ht="15.75" customHeight="1">
      <c r="A936" s="2"/>
      <c r="B936" s="2"/>
      <c r="C936" s="2"/>
      <c r="D936" s="2"/>
      <c r="E936" s="2"/>
      <c r="F936" s="2"/>
      <c r="G936" s="2"/>
      <c r="H936" s="2"/>
      <c r="I936" s="81"/>
      <c r="J936" s="2"/>
      <c r="K936" s="2"/>
      <c r="M936" s="3"/>
    </row>
    <row r="937" spans="1:13" ht="15.75" customHeight="1">
      <c r="A937" s="2"/>
      <c r="B937" s="2"/>
      <c r="C937" s="2"/>
      <c r="D937" s="2"/>
      <c r="E937" s="2"/>
      <c r="F937" s="2"/>
      <c r="G937" s="2"/>
      <c r="H937" s="2"/>
      <c r="I937" s="81"/>
      <c r="J937" s="2"/>
      <c r="K937" s="2"/>
      <c r="M937" s="3"/>
    </row>
    <row r="938" spans="1:13" ht="15.75" customHeight="1">
      <c r="A938" s="2"/>
      <c r="B938" s="2"/>
      <c r="C938" s="2"/>
      <c r="D938" s="2"/>
      <c r="E938" s="2"/>
      <c r="F938" s="2"/>
      <c r="G938" s="2"/>
      <c r="H938" s="2"/>
      <c r="I938" s="81"/>
      <c r="J938" s="2"/>
      <c r="K938" s="2"/>
      <c r="M938" s="3"/>
    </row>
    <row r="939" spans="1:13" ht="15.75" customHeight="1">
      <c r="A939" s="2"/>
      <c r="B939" s="2"/>
      <c r="C939" s="2"/>
      <c r="D939" s="2"/>
      <c r="E939" s="2"/>
      <c r="F939" s="2"/>
      <c r="G939" s="2"/>
      <c r="H939" s="2"/>
      <c r="I939" s="81"/>
      <c r="J939" s="2"/>
      <c r="K939" s="2"/>
      <c r="M939" s="3"/>
    </row>
    <row r="940" spans="1:13" ht="15.75" customHeight="1">
      <c r="A940" s="2"/>
      <c r="B940" s="2"/>
      <c r="C940" s="2"/>
      <c r="D940" s="2"/>
      <c r="E940" s="2"/>
      <c r="F940" s="2"/>
      <c r="G940" s="2"/>
      <c r="H940" s="2"/>
      <c r="I940" s="81"/>
      <c r="J940" s="2"/>
      <c r="K940" s="2"/>
      <c r="M940" s="3"/>
    </row>
    <row r="941" spans="1:13" ht="15.75" customHeight="1">
      <c r="A941" s="2"/>
      <c r="B941" s="2"/>
      <c r="C941" s="2"/>
      <c r="D941" s="2"/>
      <c r="E941" s="2"/>
      <c r="F941" s="2"/>
      <c r="G941" s="2"/>
      <c r="H941" s="2"/>
      <c r="I941" s="81"/>
      <c r="J941" s="2"/>
      <c r="K941" s="2"/>
      <c r="M941" s="3"/>
    </row>
    <row r="942" spans="1:13" ht="15.75" customHeight="1">
      <c r="A942" s="2"/>
      <c r="B942" s="2"/>
      <c r="C942" s="2"/>
      <c r="D942" s="2"/>
      <c r="E942" s="2"/>
      <c r="F942" s="2"/>
      <c r="G942" s="2"/>
      <c r="H942" s="2"/>
      <c r="I942" s="81"/>
      <c r="J942" s="2"/>
      <c r="K942" s="2"/>
      <c r="M942" s="3"/>
    </row>
    <row r="943" spans="1:13" ht="15.75" customHeight="1">
      <c r="A943" s="2"/>
      <c r="B943" s="2"/>
      <c r="C943" s="2"/>
      <c r="D943" s="2"/>
      <c r="E943" s="2"/>
      <c r="F943" s="2"/>
      <c r="G943" s="2"/>
      <c r="H943" s="2"/>
      <c r="I943" s="81"/>
      <c r="J943" s="2"/>
      <c r="K943" s="2"/>
      <c r="M943" s="3"/>
    </row>
    <row r="944" spans="1:13" ht="15.75" customHeight="1">
      <c r="A944" s="2"/>
      <c r="B944" s="2"/>
      <c r="C944" s="2"/>
      <c r="D944" s="2"/>
      <c r="E944" s="2"/>
      <c r="F944" s="2"/>
      <c r="G944" s="2"/>
      <c r="H944" s="2"/>
      <c r="I944" s="81"/>
      <c r="J944" s="2"/>
      <c r="K944" s="2"/>
      <c r="M944" s="3"/>
    </row>
    <row r="945" spans="1:13" ht="15.75" customHeight="1">
      <c r="A945" s="2"/>
      <c r="B945" s="2"/>
      <c r="C945" s="2"/>
      <c r="D945" s="2"/>
      <c r="E945" s="2"/>
      <c r="F945" s="2"/>
      <c r="G945" s="2"/>
      <c r="H945" s="2"/>
      <c r="I945" s="81"/>
      <c r="J945" s="2"/>
      <c r="K945" s="2"/>
      <c r="M945" s="3"/>
    </row>
    <row r="946" spans="1:13" ht="15.75" customHeight="1">
      <c r="A946" s="2"/>
      <c r="B946" s="2"/>
      <c r="C946" s="2"/>
      <c r="D946" s="2"/>
      <c r="E946" s="2"/>
      <c r="F946" s="2"/>
      <c r="G946" s="2"/>
      <c r="H946" s="2"/>
      <c r="I946" s="81"/>
      <c r="J946" s="2"/>
      <c r="K946" s="2"/>
      <c r="M946" s="3"/>
    </row>
    <row r="947" spans="1:13" ht="15.75" customHeight="1">
      <c r="A947" s="2"/>
      <c r="B947" s="2"/>
      <c r="C947" s="2"/>
      <c r="D947" s="2"/>
      <c r="E947" s="2"/>
      <c r="F947" s="2"/>
      <c r="G947" s="2"/>
      <c r="H947" s="2"/>
      <c r="I947" s="81"/>
      <c r="J947" s="2"/>
      <c r="K947" s="2"/>
      <c r="M947" s="3"/>
    </row>
    <row r="948" spans="1:13" ht="15.75" customHeight="1">
      <c r="A948" s="2"/>
      <c r="B948" s="2"/>
      <c r="C948" s="2"/>
      <c r="D948" s="2"/>
      <c r="E948" s="2"/>
      <c r="F948" s="2"/>
      <c r="G948" s="2"/>
      <c r="H948" s="2"/>
      <c r="I948" s="81"/>
      <c r="J948" s="2"/>
      <c r="K948" s="2"/>
      <c r="M948" s="3"/>
    </row>
    <row r="949" spans="1:13" ht="15.75" customHeight="1">
      <c r="A949" s="2"/>
      <c r="B949" s="2"/>
      <c r="C949" s="2"/>
      <c r="D949" s="2"/>
      <c r="E949" s="2"/>
      <c r="F949" s="2"/>
      <c r="G949" s="2"/>
      <c r="H949" s="2"/>
      <c r="I949" s="81"/>
      <c r="J949" s="2"/>
      <c r="K949" s="2"/>
      <c r="M949" s="3"/>
    </row>
    <row r="950" spans="1:13" ht="15.75" customHeight="1">
      <c r="A950" s="2"/>
      <c r="B950" s="2"/>
      <c r="C950" s="2"/>
      <c r="D950" s="2"/>
      <c r="E950" s="2"/>
      <c r="F950" s="2"/>
      <c r="G950" s="2"/>
      <c r="H950" s="2"/>
      <c r="I950" s="81"/>
      <c r="J950" s="2"/>
      <c r="K950" s="2"/>
      <c r="M950" s="3"/>
    </row>
    <row r="951" spans="1:13" ht="15.75" customHeight="1">
      <c r="A951" s="2"/>
      <c r="B951" s="2"/>
      <c r="C951" s="2"/>
      <c r="D951" s="2"/>
      <c r="E951" s="2"/>
      <c r="F951" s="2"/>
      <c r="G951" s="2"/>
      <c r="H951" s="2"/>
      <c r="I951" s="81"/>
      <c r="J951" s="2"/>
      <c r="K951" s="2"/>
      <c r="M951" s="3"/>
    </row>
    <row r="952" spans="1:13" ht="15.75" customHeight="1">
      <c r="A952" s="2"/>
      <c r="B952" s="2"/>
      <c r="C952" s="2"/>
      <c r="D952" s="2"/>
      <c r="E952" s="2"/>
      <c r="F952" s="2"/>
      <c r="G952" s="2"/>
      <c r="H952" s="2"/>
      <c r="I952" s="81"/>
      <c r="J952" s="2"/>
      <c r="K952" s="2"/>
      <c r="M952" s="3"/>
    </row>
    <row r="953" spans="1:13" ht="15.75" customHeight="1">
      <c r="A953" s="2"/>
      <c r="B953" s="2"/>
      <c r="C953" s="2"/>
      <c r="D953" s="2"/>
      <c r="E953" s="2"/>
      <c r="F953" s="2"/>
      <c r="G953" s="2"/>
      <c r="H953" s="2"/>
      <c r="I953" s="81"/>
      <c r="J953" s="2"/>
      <c r="K953" s="2"/>
      <c r="M953" s="3"/>
    </row>
    <row r="954" spans="1:13" ht="15.75" customHeight="1">
      <c r="A954" s="2"/>
      <c r="B954" s="2"/>
      <c r="C954" s="2"/>
      <c r="D954" s="2"/>
      <c r="E954" s="2"/>
      <c r="F954" s="2"/>
      <c r="G954" s="2"/>
      <c r="H954" s="2"/>
      <c r="I954" s="81"/>
      <c r="J954" s="2"/>
      <c r="K954" s="2"/>
      <c r="M954" s="3"/>
    </row>
    <row r="955" spans="1:13" ht="15.75" customHeight="1">
      <c r="A955" s="2"/>
      <c r="B955" s="2"/>
      <c r="C955" s="2"/>
      <c r="D955" s="2"/>
      <c r="E955" s="2"/>
      <c r="F955" s="2"/>
      <c r="G955" s="2"/>
      <c r="H955" s="2"/>
      <c r="I955" s="81"/>
      <c r="J955" s="2"/>
      <c r="K955" s="2"/>
      <c r="M955" s="3"/>
    </row>
    <row r="956" spans="1:13" ht="15.75" customHeight="1">
      <c r="A956" s="2"/>
      <c r="B956" s="2"/>
      <c r="C956" s="2"/>
      <c r="D956" s="2"/>
      <c r="E956" s="2"/>
      <c r="F956" s="2"/>
      <c r="G956" s="2"/>
      <c r="H956" s="2"/>
      <c r="I956" s="81"/>
      <c r="J956" s="2"/>
      <c r="K956" s="2"/>
      <c r="M956" s="3"/>
    </row>
    <row r="957" spans="1:13" ht="15.75" customHeight="1">
      <c r="A957" s="2"/>
      <c r="B957" s="2"/>
      <c r="C957" s="2"/>
      <c r="D957" s="2"/>
      <c r="E957" s="2"/>
      <c r="F957" s="2"/>
      <c r="G957" s="2"/>
      <c r="H957" s="2"/>
      <c r="I957" s="81"/>
      <c r="J957" s="2"/>
      <c r="K957" s="2"/>
      <c r="M957" s="3"/>
    </row>
    <row r="958" spans="1:13" ht="15.75" customHeight="1">
      <c r="A958" s="2"/>
      <c r="B958" s="2"/>
      <c r="C958" s="2"/>
      <c r="D958" s="2"/>
      <c r="E958" s="2"/>
      <c r="F958" s="2"/>
      <c r="G958" s="2"/>
      <c r="H958" s="2"/>
      <c r="I958" s="81"/>
      <c r="J958" s="2"/>
      <c r="K958" s="2"/>
      <c r="M958" s="3"/>
    </row>
    <row r="959" spans="1:13" ht="15.75" customHeight="1">
      <c r="A959" s="2"/>
      <c r="B959" s="2"/>
      <c r="C959" s="2"/>
      <c r="D959" s="2"/>
      <c r="E959" s="2"/>
      <c r="F959" s="2"/>
      <c r="G959" s="2"/>
      <c r="H959" s="2"/>
      <c r="I959" s="81"/>
      <c r="J959" s="2"/>
      <c r="K959" s="2"/>
      <c r="M959" s="3"/>
    </row>
    <row r="960" spans="1:13" ht="15.75" customHeight="1">
      <c r="A960" s="2"/>
      <c r="B960" s="2"/>
      <c r="C960" s="2"/>
      <c r="D960" s="2"/>
      <c r="E960" s="2"/>
      <c r="F960" s="2"/>
      <c r="G960" s="2"/>
      <c r="H960" s="2"/>
      <c r="I960" s="81"/>
      <c r="J960" s="2"/>
      <c r="K960" s="2"/>
      <c r="M960" s="3"/>
    </row>
    <row r="961" spans="1:13" ht="15.75" customHeight="1">
      <c r="A961" s="2"/>
      <c r="B961" s="2"/>
      <c r="C961" s="2"/>
      <c r="D961" s="2"/>
      <c r="E961" s="2"/>
      <c r="F961" s="2"/>
      <c r="G961" s="2"/>
      <c r="H961" s="2"/>
      <c r="I961" s="81"/>
      <c r="J961" s="2"/>
      <c r="K961" s="2"/>
      <c r="M961" s="3"/>
    </row>
    <row r="962" spans="1:13" ht="15.75" customHeight="1">
      <c r="A962" s="2"/>
      <c r="B962" s="2"/>
      <c r="C962" s="2"/>
      <c r="D962" s="2"/>
      <c r="E962" s="2"/>
      <c r="F962" s="2"/>
      <c r="G962" s="2"/>
      <c r="H962" s="2"/>
      <c r="I962" s="81"/>
      <c r="J962" s="2"/>
      <c r="K962" s="2"/>
      <c r="M962" s="3"/>
    </row>
    <row r="963" spans="1:13" ht="15.75" customHeight="1">
      <c r="A963" s="2"/>
      <c r="B963" s="2"/>
      <c r="C963" s="2"/>
      <c r="D963" s="2"/>
      <c r="E963" s="2"/>
      <c r="F963" s="2"/>
      <c r="G963" s="2"/>
      <c r="H963" s="2"/>
      <c r="I963" s="81"/>
      <c r="J963" s="2"/>
      <c r="K963" s="2"/>
      <c r="M963" s="3"/>
    </row>
    <row r="964" spans="1:13" ht="15.75" customHeight="1">
      <c r="A964" s="2"/>
      <c r="B964" s="2"/>
      <c r="C964" s="2"/>
      <c r="D964" s="2"/>
      <c r="E964" s="2"/>
      <c r="F964" s="2"/>
      <c r="G964" s="2"/>
      <c r="H964" s="2"/>
      <c r="I964" s="81"/>
      <c r="J964" s="2"/>
      <c r="K964" s="2"/>
      <c r="M964" s="3"/>
    </row>
    <row r="965" spans="1:13" ht="15.75" customHeight="1">
      <c r="A965" s="2"/>
      <c r="B965" s="2"/>
      <c r="C965" s="2"/>
      <c r="D965" s="2"/>
      <c r="E965" s="2"/>
      <c r="F965" s="2"/>
      <c r="G965" s="2"/>
      <c r="H965" s="2"/>
      <c r="I965" s="81"/>
      <c r="J965" s="2"/>
      <c r="K965" s="2"/>
      <c r="M965" s="3"/>
    </row>
    <row r="966" spans="1:13" ht="15.75" customHeight="1">
      <c r="A966" s="2"/>
      <c r="B966" s="2"/>
      <c r="C966" s="2"/>
      <c r="D966" s="2"/>
      <c r="E966" s="2"/>
      <c r="F966" s="2"/>
      <c r="G966" s="2"/>
      <c r="H966" s="2"/>
      <c r="I966" s="81"/>
      <c r="J966" s="2"/>
      <c r="K966" s="2"/>
      <c r="M966" s="3"/>
    </row>
    <row r="967" spans="1:13" ht="15.75" customHeight="1">
      <c r="A967" s="2"/>
      <c r="B967" s="2"/>
      <c r="C967" s="2"/>
      <c r="D967" s="2"/>
      <c r="E967" s="2"/>
      <c r="F967" s="2"/>
      <c r="G967" s="2"/>
      <c r="H967" s="2"/>
      <c r="I967" s="81"/>
      <c r="J967" s="2"/>
      <c r="K967" s="2"/>
      <c r="M967" s="3"/>
    </row>
    <row r="968" spans="1:13" ht="15.75" customHeight="1">
      <c r="A968" s="2"/>
      <c r="B968" s="2"/>
      <c r="C968" s="2"/>
      <c r="D968" s="2"/>
      <c r="E968" s="2"/>
      <c r="F968" s="2"/>
      <c r="G968" s="2"/>
      <c r="H968" s="2"/>
      <c r="I968" s="81"/>
      <c r="J968" s="2"/>
      <c r="K968" s="2"/>
      <c r="M968" s="3"/>
    </row>
    <row r="969" spans="1:13" ht="15.75" customHeight="1">
      <c r="A969" s="2"/>
      <c r="B969" s="2"/>
      <c r="C969" s="2"/>
      <c r="D969" s="2"/>
      <c r="E969" s="2"/>
      <c r="F969" s="2"/>
      <c r="G969" s="2"/>
      <c r="H969" s="2"/>
      <c r="I969" s="81"/>
      <c r="J969" s="2"/>
      <c r="K969" s="2"/>
      <c r="M969" s="3"/>
    </row>
    <row r="970" spans="1:13" ht="15.75" customHeight="1">
      <c r="A970" s="2"/>
      <c r="B970" s="2"/>
      <c r="C970" s="2"/>
      <c r="D970" s="2"/>
      <c r="E970" s="2"/>
      <c r="F970" s="2"/>
      <c r="G970" s="2"/>
      <c r="H970" s="2"/>
      <c r="I970" s="81"/>
      <c r="J970" s="2"/>
      <c r="K970" s="2"/>
      <c r="M970" s="3"/>
    </row>
    <row r="971" spans="1:13" ht="15.75" customHeight="1">
      <c r="A971" s="2"/>
      <c r="B971" s="2"/>
      <c r="C971" s="2"/>
      <c r="D971" s="2"/>
      <c r="E971" s="2"/>
      <c r="F971" s="2"/>
      <c r="G971" s="2"/>
      <c r="H971" s="2"/>
      <c r="I971" s="81"/>
      <c r="J971" s="2"/>
      <c r="K971" s="2"/>
      <c r="M971" s="3"/>
    </row>
    <row r="972" spans="1:13" ht="15.75" customHeight="1">
      <c r="A972" s="2"/>
      <c r="B972" s="2"/>
      <c r="C972" s="2"/>
      <c r="D972" s="2"/>
      <c r="E972" s="2"/>
      <c r="F972" s="2"/>
      <c r="G972" s="2"/>
      <c r="H972" s="2"/>
      <c r="I972" s="81"/>
      <c r="J972" s="2"/>
      <c r="K972" s="2"/>
      <c r="M972" s="3"/>
    </row>
    <row r="973" spans="1:13" ht="15.75" customHeight="1">
      <c r="A973" s="2"/>
      <c r="B973" s="2"/>
      <c r="C973" s="2"/>
      <c r="D973" s="2"/>
      <c r="E973" s="2"/>
      <c r="F973" s="2"/>
      <c r="G973" s="2"/>
      <c r="H973" s="2"/>
      <c r="I973" s="81"/>
      <c r="J973" s="2"/>
      <c r="K973" s="2"/>
      <c r="M973" s="3"/>
    </row>
    <row r="974" spans="1:13" ht="15.75" customHeight="1">
      <c r="A974" s="2"/>
      <c r="B974" s="2"/>
      <c r="C974" s="2"/>
      <c r="D974" s="2"/>
      <c r="E974" s="2"/>
      <c r="F974" s="2"/>
      <c r="G974" s="2"/>
      <c r="H974" s="2"/>
      <c r="I974" s="81"/>
      <c r="J974" s="2"/>
      <c r="K974" s="2"/>
      <c r="M974" s="3"/>
    </row>
    <row r="975" spans="1:13" ht="15.75" customHeight="1">
      <c r="A975" s="2"/>
      <c r="B975" s="2"/>
      <c r="C975" s="2"/>
      <c r="D975" s="2"/>
      <c r="E975" s="2"/>
      <c r="F975" s="2"/>
      <c r="G975" s="2"/>
      <c r="H975" s="2"/>
      <c r="I975" s="81"/>
      <c r="J975" s="2"/>
      <c r="K975" s="2"/>
      <c r="M975" s="3"/>
    </row>
    <row r="976" spans="1:13" ht="15.75" customHeight="1">
      <c r="A976" s="2"/>
      <c r="B976" s="2"/>
      <c r="C976" s="2"/>
      <c r="D976" s="2"/>
      <c r="E976" s="2"/>
      <c r="F976" s="2"/>
      <c r="G976" s="2"/>
      <c r="H976" s="2"/>
      <c r="I976" s="81"/>
      <c r="J976" s="2"/>
      <c r="K976" s="2"/>
      <c r="M976" s="3"/>
    </row>
    <row r="977" spans="1:13" ht="15.75" customHeight="1">
      <c r="A977" s="2"/>
      <c r="B977" s="2"/>
      <c r="C977" s="2"/>
      <c r="D977" s="2"/>
      <c r="E977" s="2"/>
      <c r="F977" s="2"/>
      <c r="G977" s="2"/>
      <c r="H977" s="2"/>
      <c r="I977" s="81"/>
      <c r="J977" s="2"/>
      <c r="K977" s="2"/>
      <c r="M977" s="3"/>
    </row>
    <row r="978" spans="1:13" ht="15.75" customHeight="1">
      <c r="A978" s="2"/>
      <c r="B978" s="2"/>
      <c r="C978" s="2"/>
      <c r="D978" s="2"/>
      <c r="E978" s="2"/>
      <c r="F978" s="2"/>
      <c r="G978" s="2"/>
      <c r="H978" s="2"/>
      <c r="I978" s="81"/>
      <c r="J978" s="2"/>
      <c r="K978" s="2"/>
      <c r="M978" s="3"/>
    </row>
    <row r="979" spans="1:13" ht="15.75" customHeight="1">
      <c r="A979" s="2"/>
      <c r="B979" s="2"/>
      <c r="C979" s="2"/>
      <c r="D979" s="2"/>
      <c r="E979" s="2"/>
      <c r="F979" s="2"/>
      <c r="G979" s="2"/>
      <c r="H979" s="2"/>
      <c r="I979" s="81"/>
      <c r="J979" s="2"/>
      <c r="K979" s="2"/>
      <c r="M979" s="3"/>
    </row>
    <row r="980" spans="1:13" ht="15.75" customHeight="1">
      <c r="A980" s="2"/>
      <c r="B980" s="2"/>
      <c r="C980" s="2"/>
      <c r="D980" s="2"/>
      <c r="E980" s="2"/>
      <c r="F980" s="2"/>
      <c r="G980" s="2"/>
      <c r="H980" s="2"/>
      <c r="I980" s="81"/>
      <c r="J980" s="2"/>
      <c r="K980" s="2"/>
      <c r="M980" s="3"/>
    </row>
    <row r="981" spans="1:13" ht="15.75" customHeight="1">
      <c r="A981" s="2"/>
      <c r="B981" s="2"/>
      <c r="C981" s="2"/>
      <c r="D981" s="2"/>
      <c r="E981" s="2"/>
      <c r="F981" s="2"/>
      <c r="G981" s="2"/>
      <c r="H981" s="2"/>
      <c r="I981" s="81"/>
      <c r="J981" s="2"/>
      <c r="K981" s="2"/>
      <c r="M981" s="3"/>
    </row>
    <row r="982" spans="1:13" ht="15.75" customHeight="1">
      <c r="A982" s="2"/>
      <c r="B982" s="2"/>
      <c r="C982" s="2"/>
      <c r="D982" s="2"/>
      <c r="E982" s="2"/>
      <c r="F982" s="2"/>
      <c r="G982" s="2"/>
      <c r="H982" s="2"/>
      <c r="I982" s="81"/>
      <c r="J982" s="2"/>
      <c r="K982" s="2"/>
      <c r="M982" s="3"/>
    </row>
    <row r="983" spans="1:13" ht="15.75" customHeight="1">
      <c r="A983" s="2"/>
      <c r="B983" s="2"/>
      <c r="C983" s="2"/>
      <c r="D983" s="2"/>
      <c r="E983" s="2"/>
      <c r="F983" s="2"/>
      <c r="G983" s="2"/>
      <c r="H983" s="2"/>
      <c r="I983" s="81"/>
      <c r="J983" s="2"/>
      <c r="K983" s="2"/>
      <c r="M983" s="3"/>
    </row>
    <row r="984" spans="1:13" ht="15.75" customHeight="1">
      <c r="A984" s="2"/>
      <c r="B984" s="2"/>
      <c r="C984" s="2"/>
      <c r="D984" s="2"/>
      <c r="E984" s="2"/>
      <c r="F984" s="2"/>
      <c r="G984" s="2"/>
      <c r="H984" s="2"/>
      <c r="I984" s="81"/>
      <c r="J984" s="2"/>
      <c r="K984" s="2"/>
      <c r="M984" s="3"/>
    </row>
    <row r="985" spans="1:13" ht="15.75" customHeight="1">
      <c r="A985" s="2"/>
      <c r="B985" s="2"/>
      <c r="C985" s="2"/>
      <c r="D985" s="2"/>
      <c r="E985" s="2"/>
      <c r="F985" s="2"/>
      <c r="G985" s="2"/>
      <c r="H985" s="2"/>
      <c r="I985" s="81"/>
      <c r="J985" s="2"/>
      <c r="K985" s="2"/>
      <c r="M985" s="3"/>
    </row>
    <row r="986" spans="1:13" ht="15.75" customHeight="1">
      <c r="A986" s="2"/>
      <c r="B986" s="2"/>
      <c r="C986" s="2"/>
      <c r="D986" s="2"/>
      <c r="E986" s="2"/>
      <c r="F986" s="2"/>
      <c r="G986" s="2"/>
      <c r="H986" s="2"/>
      <c r="I986" s="81"/>
      <c r="J986" s="2"/>
      <c r="K986" s="2"/>
      <c r="M986" s="3"/>
    </row>
    <row r="987" spans="1:13" ht="15.75" customHeight="1">
      <c r="A987" s="2"/>
      <c r="B987" s="2"/>
      <c r="C987" s="2"/>
      <c r="D987" s="2"/>
      <c r="E987" s="2"/>
      <c r="F987" s="2"/>
      <c r="G987" s="2"/>
      <c r="H987" s="2"/>
      <c r="I987" s="81"/>
      <c r="J987" s="2"/>
      <c r="K987" s="2"/>
      <c r="M987" s="3"/>
    </row>
    <row r="988" spans="1:13" ht="15.75" customHeight="1">
      <c r="A988" s="2"/>
      <c r="B988" s="2"/>
      <c r="C988" s="2"/>
      <c r="D988" s="2"/>
      <c r="E988" s="2"/>
      <c r="F988" s="2"/>
      <c r="G988" s="2"/>
      <c r="H988" s="2"/>
      <c r="I988" s="81"/>
      <c r="J988" s="2"/>
      <c r="K988" s="2"/>
      <c r="M988" s="3"/>
    </row>
    <row r="989" spans="1:13" ht="15.75" customHeight="1">
      <c r="A989" s="2"/>
      <c r="B989" s="2"/>
      <c r="C989" s="2"/>
      <c r="D989" s="2"/>
      <c r="E989" s="2"/>
      <c r="F989" s="2"/>
      <c r="G989" s="2"/>
      <c r="H989" s="2"/>
      <c r="I989" s="81"/>
      <c r="J989" s="2"/>
      <c r="K989" s="2"/>
      <c r="M989" s="3"/>
    </row>
    <row r="990" spans="1:13" ht="15.75" customHeight="1">
      <c r="A990" s="2"/>
      <c r="B990" s="2"/>
      <c r="C990" s="2"/>
      <c r="D990" s="2"/>
      <c r="E990" s="2"/>
      <c r="F990" s="2"/>
      <c r="G990" s="2"/>
      <c r="H990" s="2"/>
      <c r="I990" s="81"/>
      <c r="J990" s="2"/>
      <c r="K990" s="2"/>
      <c r="M990" s="3"/>
    </row>
    <row r="991" spans="1:13" ht="15.75" customHeight="1">
      <c r="A991" s="2"/>
      <c r="B991" s="2"/>
      <c r="C991" s="2"/>
      <c r="D991" s="2"/>
      <c r="E991" s="2"/>
      <c r="F991" s="2"/>
      <c r="G991" s="2"/>
      <c r="H991" s="2"/>
      <c r="I991" s="81"/>
      <c r="J991" s="2"/>
      <c r="K991" s="2"/>
      <c r="M991" s="3"/>
    </row>
    <row r="992" spans="1:13" ht="15.75" customHeight="1">
      <c r="A992" s="2"/>
      <c r="B992" s="2"/>
      <c r="C992" s="2"/>
      <c r="D992" s="2"/>
      <c r="E992" s="2"/>
      <c r="F992" s="2"/>
      <c r="G992" s="2"/>
      <c r="H992" s="2"/>
      <c r="I992" s="81"/>
      <c r="J992" s="2"/>
      <c r="K992" s="2"/>
      <c r="M992" s="3"/>
    </row>
    <row r="993" spans="1:13" ht="15.75" customHeight="1">
      <c r="A993" s="2"/>
      <c r="B993" s="2"/>
      <c r="C993" s="2"/>
      <c r="D993" s="2"/>
      <c r="E993" s="2"/>
      <c r="F993" s="2"/>
      <c r="G993" s="2"/>
      <c r="H993" s="2"/>
      <c r="I993" s="81"/>
      <c r="J993" s="2"/>
      <c r="K993" s="2"/>
      <c r="M993" s="3"/>
    </row>
    <row r="994" spans="1:13" ht="15.75" customHeight="1">
      <c r="A994" s="2"/>
      <c r="B994" s="2"/>
      <c r="C994" s="2"/>
      <c r="D994" s="2"/>
      <c r="E994" s="2"/>
      <c r="F994" s="2"/>
      <c r="G994" s="2"/>
      <c r="H994" s="2"/>
      <c r="I994" s="81"/>
      <c r="J994" s="2"/>
      <c r="K994" s="2"/>
      <c r="M994" s="3"/>
    </row>
    <row r="995" spans="1:13" ht="15.75" customHeight="1">
      <c r="A995" s="2"/>
      <c r="B995" s="2"/>
      <c r="C995" s="2"/>
      <c r="D995" s="2"/>
      <c r="E995" s="2"/>
      <c r="F995" s="2"/>
      <c r="G995" s="2"/>
      <c r="H995" s="2"/>
      <c r="I995" s="81"/>
      <c r="J995" s="2"/>
      <c r="K995" s="2"/>
      <c r="M995" s="3"/>
    </row>
    <row r="996" spans="1:13" ht="15.75" customHeight="1">
      <c r="A996" s="2"/>
      <c r="B996" s="2"/>
      <c r="C996" s="2"/>
      <c r="D996" s="2"/>
      <c r="E996" s="2"/>
      <c r="F996" s="2"/>
      <c r="G996" s="2"/>
      <c r="H996" s="2"/>
      <c r="I996" s="81"/>
      <c r="J996" s="2"/>
      <c r="K996" s="2"/>
      <c r="M996" s="3"/>
    </row>
    <row r="997" spans="1:13" ht="15.75" customHeight="1">
      <c r="A997" s="2"/>
      <c r="B997" s="2"/>
      <c r="C997" s="2"/>
      <c r="D997" s="2"/>
      <c r="E997" s="2"/>
      <c r="F997" s="2"/>
      <c r="G997" s="2"/>
      <c r="H997" s="2"/>
      <c r="I997" s="81"/>
      <c r="J997" s="2"/>
      <c r="K997" s="2"/>
      <c r="M997" s="3"/>
    </row>
    <row r="998" spans="1:13" ht="15.75" customHeight="1">
      <c r="A998" s="2"/>
      <c r="B998" s="2"/>
      <c r="C998" s="2"/>
      <c r="D998" s="2"/>
      <c r="E998" s="2"/>
      <c r="F998" s="2"/>
      <c r="G998" s="2"/>
      <c r="H998" s="2"/>
      <c r="I998" s="81"/>
      <c r="J998" s="2"/>
      <c r="K998" s="2"/>
      <c r="M998" s="3"/>
    </row>
    <row r="999" spans="1:13" ht="15.75" customHeight="1">
      <c r="A999" s="2"/>
      <c r="B999" s="2"/>
      <c r="C999" s="2"/>
      <c r="D999" s="2"/>
      <c r="E999" s="2"/>
      <c r="F999" s="2"/>
      <c r="G999" s="2"/>
      <c r="H999" s="2"/>
      <c r="I999" s="81"/>
      <c r="J999" s="2"/>
      <c r="K999" s="2"/>
      <c r="M999" s="3"/>
    </row>
    <row r="1000" spans="1:13" ht="15.75" customHeight="1">
      <c r="A1000" s="2"/>
      <c r="B1000" s="2"/>
      <c r="C1000" s="2"/>
      <c r="D1000" s="2"/>
      <c r="E1000" s="2"/>
      <c r="F1000" s="2"/>
      <c r="G1000" s="2"/>
      <c r="H1000" s="2"/>
      <c r="I1000" s="81"/>
      <c r="J1000" s="2"/>
      <c r="K1000" s="2"/>
      <c r="M1000" s="3"/>
    </row>
  </sheetData>
  <mergeCells count="31">
    <mergeCell ref="O233:P233"/>
    <mergeCell ref="P304:Q304"/>
    <mergeCell ref="E372:H372"/>
    <mergeCell ref="E373:H373"/>
    <mergeCell ref="O234:P234"/>
    <mergeCell ref="O238:P238"/>
    <mergeCell ref="O244:P244"/>
    <mergeCell ref="P292:Q292"/>
    <mergeCell ref="P293:Q293"/>
    <mergeCell ref="P294:Q294"/>
    <mergeCell ref="P298:Q298"/>
    <mergeCell ref="O172:P172"/>
    <mergeCell ref="O174:P174"/>
    <mergeCell ref="O179:P179"/>
    <mergeCell ref="O185:P185"/>
    <mergeCell ref="O232:P232"/>
    <mergeCell ref="M83:M92"/>
    <mergeCell ref="M104:M107"/>
    <mergeCell ref="M120:M121"/>
    <mergeCell ref="M128:M129"/>
    <mergeCell ref="M147:M149"/>
    <mergeCell ref="A8:B8"/>
    <mergeCell ref="O10:P10"/>
    <mergeCell ref="O11:P11"/>
    <mergeCell ref="O16:P16"/>
    <mergeCell ref="O19:P19"/>
    <mergeCell ref="A1:I1"/>
    <mergeCell ref="C2:G2"/>
    <mergeCell ref="A6:B6"/>
    <mergeCell ref="F7:H7"/>
    <mergeCell ref="J7:K7"/>
  </mergeCells>
  <pageMargins left="0.5" right="0.5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O1000"/>
  <sheetViews>
    <sheetView topLeftCell="A7" workbookViewId="0">
      <selection sqref="A1:J1"/>
    </sheetView>
  </sheetViews>
  <sheetFormatPr defaultColWidth="14.42578125" defaultRowHeight="15" customHeight="1"/>
  <cols>
    <col min="1" max="1" width="4.7109375" customWidth="1"/>
    <col min="2" max="2" width="22.7109375" customWidth="1"/>
    <col min="3" max="3" width="8.140625" customWidth="1"/>
    <col min="4" max="4" width="14" customWidth="1"/>
    <col min="5" max="5" width="15.7109375" customWidth="1"/>
    <col min="6" max="6" width="9.7109375" customWidth="1"/>
    <col min="7" max="7" width="17.140625" customWidth="1"/>
    <col min="8" max="8" width="13.5703125" customWidth="1"/>
    <col min="9" max="9" width="16.42578125" customWidth="1"/>
    <col min="10" max="10" width="10.7109375" customWidth="1"/>
    <col min="11" max="11" width="8.28515625" customWidth="1"/>
    <col min="12" max="12" width="18.5703125" customWidth="1"/>
    <col min="13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12" t="s">
        <v>528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738" t="s">
        <v>529</v>
      </c>
      <c r="L3" s="717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530</v>
      </c>
      <c r="L4" s="95">
        <v>3</v>
      </c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531</v>
      </c>
      <c r="L5" s="95">
        <v>3</v>
      </c>
    </row>
    <row r="6" spans="1:15" ht="18">
      <c r="A6" s="739" t="s">
        <v>532</v>
      </c>
      <c r="B6" s="714"/>
      <c r="C6" s="96"/>
      <c r="D6" s="5"/>
      <c r="E6" s="15"/>
      <c r="F6" s="9"/>
      <c r="G6" s="5"/>
      <c r="H6" s="93"/>
      <c r="I6" s="55"/>
      <c r="J6" s="92"/>
      <c r="K6" s="16" t="s">
        <v>533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105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116">
        <v>2</v>
      </c>
      <c r="B12" s="48" t="s">
        <v>547</v>
      </c>
      <c r="C12" s="48"/>
      <c r="D12" s="48"/>
      <c r="E12" s="48" t="s">
        <v>245</v>
      </c>
      <c r="F12" s="48"/>
      <c r="G12" s="117" t="s">
        <v>548</v>
      </c>
      <c r="H12" s="118" t="s">
        <v>30</v>
      </c>
      <c r="I12" s="74">
        <v>5200</v>
      </c>
      <c r="J12" s="119" t="s">
        <v>90</v>
      </c>
      <c r="K12" s="120" t="s">
        <v>31</v>
      </c>
      <c r="L12" s="48" t="s">
        <v>32</v>
      </c>
      <c r="N12" s="3">
        <f t="shared" ref="N12:N14" si="0">I12/5</f>
        <v>1040</v>
      </c>
      <c r="O12" s="3">
        <f>I12+I13+I14+I15+I16</f>
        <v>28200</v>
      </c>
    </row>
    <row r="13" spans="1:15">
      <c r="A13" s="121">
        <v>2</v>
      </c>
      <c r="B13" s="122" t="s">
        <v>549</v>
      </c>
      <c r="C13" s="58"/>
      <c r="D13" s="122"/>
      <c r="E13" s="122" t="s">
        <v>86</v>
      </c>
      <c r="F13" s="58"/>
      <c r="G13" s="122" t="s">
        <v>550</v>
      </c>
      <c r="H13" s="123" t="s">
        <v>30</v>
      </c>
      <c r="I13" s="75">
        <v>6000</v>
      </c>
      <c r="J13" s="58" t="s">
        <v>90</v>
      </c>
      <c r="K13" s="122" t="s">
        <v>31</v>
      </c>
      <c r="L13" s="58" t="s">
        <v>32</v>
      </c>
      <c r="N13" s="3">
        <f t="shared" si="0"/>
        <v>1200</v>
      </c>
    </row>
    <row r="14" spans="1:15">
      <c r="A14" s="124">
        <v>16</v>
      </c>
      <c r="B14" s="16" t="s">
        <v>551</v>
      </c>
      <c r="C14" s="16"/>
      <c r="D14" s="16"/>
      <c r="E14" s="16" t="s">
        <v>552</v>
      </c>
      <c r="F14" s="62"/>
      <c r="G14" s="16" t="s">
        <v>553</v>
      </c>
      <c r="H14" s="125" t="s">
        <v>30</v>
      </c>
      <c r="I14" s="73">
        <v>6000</v>
      </c>
      <c r="J14" s="125" t="s">
        <v>90</v>
      </c>
      <c r="K14" s="16" t="s">
        <v>31</v>
      </c>
      <c r="L14" s="16" t="s">
        <v>32</v>
      </c>
      <c r="N14" s="3">
        <f t="shared" si="0"/>
        <v>1200</v>
      </c>
    </row>
    <row r="15" spans="1:15">
      <c r="A15" s="121">
        <v>16</v>
      </c>
      <c r="B15" s="122" t="s">
        <v>554</v>
      </c>
      <c r="C15" s="58"/>
      <c r="D15" s="122"/>
      <c r="E15" s="122" t="s">
        <v>555</v>
      </c>
      <c r="F15" s="58"/>
      <c r="G15" s="122" t="s">
        <v>556</v>
      </c>
      <c r="H15" s="122" t="s">
        <v>30</v>
      </c>
      <c r="I15" s="75">
        <v>6000</v>
      </c>
      <c r="J15" s="58" t="s">
        <v>90</v>
      </c>
      <c r="K15" s="122" t="s">
        <v>31</v>
      </c>
      <c r="L15" s="122" t="s">
        <v>32</v>
      </c>
      <c r="N15" s="126">
        <v>1200</v>
      </c>
    </row>
    <row r="16" spans="1:15" ht="39">
      <c r="A16" s="127">
        <v>20</v>
      </c>
      <c r="B16" s="128" t="s">
        <v>557</v>
      </c>
      <c r="C16" s="129"/>
      <c r="D16" s="130" t="s">
        <v>472</v>
      </c>
      <c r="E16" s="130" t="s">
        <v>41</v>
      </c>
      <c r="F16" s="131"/>
      <c r="G16" s="130" t="s">
        <v>558</v>
      </c>
      <c r="H16" s="132" t="s">
        <v>30</v>
      </c>
      <c r="I16" s="133">
        <v>5000</v>
      </c>
      <c r="J16" s="130" t="s">
        <v>90</v>
      </c>
      <c r="K16" s="130" t="s">
        <v>559</v>
      </c>
      <c r="L16" s="130" t="s">
        <v>32</v>
      </c>
      <c r="N16" s="134">
        <f>5000/5</f>
        <v>1000</v>
      </c>
    </row>
    <row r="17" spans="1:14">
      <c r="A17" s="124">
        <v>21</v>
      </c>
      <c r="B17" s="16" t="s">
        <v>560</v>
      </c>
      <c r="C17" s="16"/>
      <c r="D17" s="62"/>
      <c r="E17" s="16"/>
      <c r="F17" s="62"/>
      <c r="G17" s="16"/>
      <c r="H17" s="135" t="s">
        <v>561</v>
      </c>
      <c r="I17" s="136">
        <v>330</v>
      </c>
      <c r="J17" s="16" t="s">
        <v>90</v>
      </c>
      <c r="K17" s="16"/>
      <c r="L17" s="16"/>
      <c r="N17" s="3">
        <f>SUM(N12:N16)</f>
        <v>5640</v>
      </c>
    </row>
    <row r="18" spans="1:14">
      <c r="A18" s="48"/>
      <c r="B18" s="48"/>
      <c r="C18" s="48"/>
      <c r="D18" s="48"/>
      <c r="E18" s="48"/>
      <c r="F18" s="48"/>
      <c r="G18" s="48"/>
      <c r="H18" s="48"/>
      <c r="I18" s="51"/>
      <c r="J18" s="48"/>
      <c r="K18" s="114"/>
      <c r="L18" s="48"/>
    </row>
    <row r="19" spans="1:14">
      <c r="I19" s="83"/>
      <c r="J19" s="83"/>
    </row>
    <row r="20" spans="1:14">
      <c r="I20" s="137" t="s">
        <v>508</v>
      </c>
      <c r="J20" s="83"/>
    </row>
    <row r="21" spans="1:14" ht="15.75" customHeight="1">
      <c r="I21" s="83" t="s">
        <v>511</v>
      </c>
      <c r="J21" s="83"/>
    </row>
    <row r="22" spans="1:14" ht="15.75" customHeight="1">
      <c r="B22" s="126" t="s">
        <v>509</v>
      </c>
      <c r="E22" s="126" t="s">
        <v>510</v>
      </c>
      <c r="I22" s="83" t="s">
        <v>513</v>
      </c>
      <c r="J22" s="138" t="s">
        <v>562</v>
      </c>
    </row>
    <row r="23" spans="1:14" ht="15.75" customHeight="1">
      <c r="I23" s="83" t="s">
        <v>515</v>
      </c>
      <c r="J23" s="84">
        <v>0</v>
      </c>
    </row>
    <row r="24" spans="1:14" ht="15.75" customHeight="1">
      <c r="I24" s="83" t="s">
        <v>563</v>
      </c>
      <c r="J24" s="84">
        <v>0</v>
      </c>
    </row>
    <row r="25" spans="1:14" ht="15.75" customHeight="1">
      <c r="B25" s="91" t="s">
        <v>516</v>
      </c>
      <c r="E25" s="737" t="s">
        <v>517</v>
      </c>
      <c r="F25" s="711"/>
      <c r="G25" s="711"/>
      <c r="H25" s="711"/>
      <c r="I25" s="83" t="s">
        <v>522</v>
      </c>
      <c r="J25" s="84">
        <v>0</v>
      </c>
    </row>
    <row r="26" spans="1:14" ht="15.75" customHeight="1">
      <c r="B26" s="126" t="s">
        <v>520</v>
      </c>
      <c r="E26" s="732" t="s">
        <v>521</v>
      </c>
      <c r="F26" s="711"/>
      <c r="G26" s="711"/>
      <c r="H26" s="711"/>
      <c r="I26" s="83" t="s">
        <v>564</v>
      </c>
      <c r="J26" s="84">
        <v>0</v>
      </c>
    </row>
    <row r="27" spans="1:14" ht="15.75" customHeight="1">
      <c r="I27" s="83" t="s">
        <v>525</v>
      </c>
      <c r="J27" s="83"/>
    </row>
    <row r="28" spans="1:14" ht="15.75" customHeight="1">
      <c r="I28" s="10" t="s">
        <v>565</v>
      </c>
      <c r="J28" s="89">
        <v>4640</v>
      </c>
    </row>
    <row r="29" spans="1:14" ht="15.75" customHeight="1">
      <c r="I29" s="10" t="s">
        <v>566</v>
      </c>
      <c r="J29" s="89">
        <v>1000</v>
      </c>
    </row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5:H25"/>
    <mergeCell ref="E26:H26"/>
    <mergeCell ref="A1:J1"/>
    <mergeCell ref="C2:H2"/>
    <mergeCell ref="K3:L3"/>
    <mergeCell ref="A6:B6"/>
    <mergeCell ref="H7:I7"/>
    <mergeCell ref="K7:L7"/>
    <mergeCell ref="A8:B8"/>
  </mergeCells>
  <pageMargins left="1" right="1" top="0.75" bottom="0.75" header="0" footer="0"/>
  <pageSetup paperSize="5" scale="9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Z1000"/>
  <sheetViews>
    <sheetView workbookViewId="0"/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20.5703125" customWidth="1"/>
    <col min="5" max="5" width="17.28515625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12" customWidth="1"/>
    <col min="11" max="11" width="18.5703125" customWidth="1"/>
    <col min="12" max="15" width="8.7109375" customWidth="1"/>
    <col min="16" max="16" width="5.7109375" customWidth="1"/>
    <col min="17" max="17" width="10.7109375" customWidth="1"/>
    <col min="18" max="18" width="12" customWidth="1"/>
    <col min="19" max="19" width="18" customWidth="1"/>
    <col min="20" max="20" width="13.5703125" customWidth="1"/>
    <col min="21" max="21" width="11" customWidth="1"/>
    <col min="22" max="26" width="8.7109375" customWidth="1"/>
  </cols>
  <sheetData>
    <row r="1" spans="1:22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"/>
    </row>
    <row r="2" spans="1:22" ht="18">
      <c r="A2" s="4"/>
      <c r="B2" s="5"/>
      <c r="C2" s="712" t="s">
        <v>567</v>
      </c>
      <c r="D2" s="711"/>
      <c r="E2" s="711"/>
      <c r="F2" s="711"/>
      <c r="G2" s="711"/>
      <c r="H2" s="6"/>
      <c r="I2" s="140"/>
      <c r="J2" s="8"/>
      <c r="K2" s="9"/>
    </row>
    <row r="3" spans="1:22">
      <c r="A3" s="4"/>
      <c r="B3" s="5"/>
      <c r="C3" s="10"/>
      <c r="D3" s="5"/>
      <c r="E3" s="5"/>
      <c r="F3" s="2"/>
      <c r="G3" s="10"/>
      <c r="H3" s="6"/>
      <c r="I3" s="140"/>
      <c r="J3" s="738" t="s">
        <v>568</v>
      </c>
      <c r="K3" s="717"/>
    </row>
    <row r="4" spans="1:22">
      <c r="A4" s="4"/>
      <c r="B4" s="5"/>
      <c r="C4" s="10"/>
      <c r="D4" s="5"/>
      <c r="E4" s="5"/>
      <c r="F4" s="2"/>
      <c r="G4" s="10"/>
      <c r="H4" s="6"/>
      <c r="I4" s="141"/>
      <c r="J4" s="1" t="s">
        <v>569</v>
      </c>
      <c r="K4" s="14">
        <v>232</v>
      </c>
    </row>
    <row r="5" spans="1:22">
      <c r="A5" s="4"/>
      <c r="B5" s="5"/>
      <c r="C5" s="10"/>
      <c r="D5" s="5"/>
      <c r="E5" s="5"/>
      <c r="F5" s="2"/>
      <c r="G5" s="10"/>
      <c r="H5" s="6"/>
      <c r="I5" s="141"/>
      <c r="J5" s="1" t="s">
        <v>4</v>
      </c>
      <c r="K5" s="14">
        <v>49</v>
      </c>
    </row>
    <row r="6" spans="1:22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740" t="s">
        <v>571</v>
      </c>
      <c r="K6" s="741"/>
    </row>
    <row r="7" spans="1:22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</row>
    <row r="8" spans="1:22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</row>
    <row r="9" spans="1:22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</row>
    <row r="10" spans="1:22" ht="17.25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  <c r="Q10" s="742" t="s">
        <v>572</v>
      </c>
      <c r="R10" s="743"/>
      <c r="S10" s="719"/>
    </row>
    <row r="11" spans="1:22" ht="17.25">
      <c r="A11" s="47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Q11" s="729"/>
      <c r="R11" s="743"/>
      <c r="S11" s="719"/>
    </row>
    <row r="12" spans="1:22" ht="17.25">
      <c r="A12" s="48">
        <v>3</v>
      </c>
      <c r="B12" s="48" t="s">
        <v>573</v>
      </c>
      <c r="C12" s="48" t="s">
        <v>27</v>
      </c>
      <c r="D12" s="48" t="s">
        <v>371</v>
      </c>
      <c r="E12" s="48" t="s">
        <v>245</v>
      </c>
      <c r="F12" s="48"/>
      <c r="G12" s="48" t="s">
        <v>30</v>
      </c>
      <c r="H12" s="51">
        <v>1000</v>
      </c>
      <c r="I12" s="119">
        <v>200</v>
      </c>
      <c r="J12" s="48" t="s">
        <v>31</v>
      </c>
      <c r="K12" s="48" t="s">
        <v>32</v>
      </c>
      <c r="N12" s="126">
        <v>300</v>
      </c>
      <c r="Q12" s="744" t="s">
        <v>25</v>
      </c>
      <c r="R12" s="743"/>
      <c r="S12" s="719"/>
    </row>
    <row r="13" spans="1:22" ht="17.25">
      <c r="A13" s="146">
        <v>3</v>
      </c>
      <c r="B13" s="146" t="s">
        <v>574</v>
      </c>
      <c r="C13" s="48" t="s">
        <v>27</v>
      </c>
      <c r="D13" s="48" t="s">
        <v>193</v>
      </c>
      <c r="E13" s="146" t="s">
        <v>36</v>
      </c>
      <c r="F13" s="48"/>
      <c r="G13" s="48" t="s">
        <v>30</v>
      </c>
      <c r="H13" s="147">
        <v>500</v>
      </c>
      <c r="I13" s="148" t="s">
        <v>90</v>
      </c>
      <c r="J13" s="48" t="s">
        <v>31</v>
      </c>
      <c r="K13" s="48" t="s">
        <v>32</v>
      </c>
      <c r="N13" s="126">
        <v>200</v>
      </c>
      <c r="Q13" s="745" t="s">
        <v>33</v>
      </c>
      <c r="R13" s="719"/>
      <c r="S13" s="149">
        <v>326800</v>
      </c>
      <c r="T13" s="55">
        <f>SUM(H12,H14:H16,H18,H20,H22:H24,H26:H29,H31:H33,H31:H33,H37:H38,H40:H42,H44,H46:H48,H50:H51,H53:H56,H58,H60,H62,H64:H66,H70:H71,H73:H74,H76,H81:H82,H84:H85,H87:H88)</f>
        <v>326800</v>
      </c>
    </row>
    <row r="14" spans="1:22" ht="17.25">
      <c r="A14" s="48">
        <v>3</v>
      </c>
      <c r="B14" s="146" t="s">
        <v>574</v>
      </c>
      <c r="C14" s="48" t="s">
        <v>27</v>
      </c>
      <c r="D14" s="48" t="s">
        <v>193</v>
      </c>
      <c r="E14" s="146" t="s">
        <v>36</v>
      </c>
      <c r="F14" s="48"/>
      <c r="G14" s="48" t="s">
        <v>30</v>
      </c>
      <c r="H14" s="51">
        <v>500</v>
      </c>
      <c r="I14" s="119">
        <v>100</v>
      </c>
      <c r="J14" s="48" t="s">
        <v>31</v>
      </c>
      <c r="K14" s="48" t="s">
        <v>32</v>
      </c>
      <c r="Q14" s="745" t="s">
        <v>37</v>
      </c>
      <c r="R14" s="719"/>
      <c r="S14" s="69">
        <v>58200</v>
      </c>
      <c r="T14" s="55">
        <f>H13+H25+H30+H36+H45+H61+H67+H68+H69+H72</f>
        <v>8200</v>
      </c>
      <c r="U14" s="3">
        <v>50000</v>
      </c>
      <c r="V14" s="55">
        <f>SUM(T14:U14)</f>
        <v>58200</v>
      </c>
    </row>
    <row r="15" spans="1:22" ht="17.25">
      <c r="A15" s="48">
        <v>3</v>
      </c>
      <c r="B15" s="48" t="s">
        <v>575</v>
      </c>
      <c r="C15" s="48" t="s">
        <v>27</v>
      </c>
      <c r="D15" s="48" t="s">
        <v>98</v>
      </c>
      <c r="E15" s="48" t="s">
        <v>36</v>
      </c>
      <c r="F15" s="48"/>
      <c r="G15" s="48" t="s">
        <v>30</v>
      </c>
      <c r="H15" s="51">
        <v>1000</v>
      </c>
      <c r="I15" s="119">
        <v>200</v>
      </c>
      <c r="J15" s="48" t="s">
        <v>31</v>
      </c>
      <c r="K15" s="48" t="s">
        <v>32</v>
      </c>
      <c r="N15" s="126">
        <v>400</v>
      </c>
      <c r="Q15" s="746" t="s">
        <v>576</v>
      </c>
      <c r="R15" s="719"/>
      <c r="S15" s="150">
        <f>SUM(S13:S14)</f>
        <v>385000</v>
      </c>
    </row>
    <row r="16" spans="1:22" ht="17.25">
      <c r="A16" s="48">
        <v>3</v>
      </c>
      <c r="B16" s="48" t="s">
        <v>577</v>
      </c>
      <c r="C16" s="48" t="s">
        <v>27</v>
      </c>
      <c r="D16" s="48" t="s">
        <v>578</v>
      </c>
      <c r="E16" s="48" t="s">
        <v>29</v>
      </c>
      <c r="F16" s="48"/>
      <c r="G16" s="48" t="s">
        <v>30</v>
      </c>
      <c r="H16" s="51">
        <v>21000</v>
      </c>
      <c r="I16" s="49">
        <v>4200</v>
      </c>
      <c r="J16" s="48" t="s">
        <v>31</v>
      </c>
      <c r="K16" s="48" t="s">
        <v>32</v>
      </c>
      <c r="N16" s="126">
        <v>3000</v>
      </c>
      <c r="Q16" s="736" t="s">
        <v>286</v>
      </c>
      <c r="R16" s="743"/>
      <c r="S16" s="719"/>
    </row>
    <row r="17" spans="1:20" ht="17.25">
      <c r="A17" s="48">
        <v>3</v>
      </c>
      <c r="B17" s="48" t="s">
        <v>577</v>
      </c>
      <c r="C17" s="48" t="s">
        <v>27</v>
      </c>
      <c r="D17" s="48" t="s">
        <v>578</v>
      </c>
      <c r="E17" s="48" t="s">
        <v>29</v>
      </c>
      <c r="F17" s="48"/>
      <c r="G17" s="151" t="s">
        <v>579</v>
      </c>
      <c r="H17" s="152">
        <v>50</v>
      </c>
      <c r="I17" s="153">
        <v>50</v>
      </c>
      <c r="J17" s="48" t="s">
        <v>31</v>
      </c>
      <c r="K17" s="48" t="s">
        <v>32</v>
      </c>
      <c r="Q17" s="745" t="s">
        <v>580</v>
      </c>
      <c r="R17" s="719"/>
      <c r="S17" s="68">
        <v>415</v>
      </c>
      <c r="T17" s="55">
        <f>H34+H35+H57+H77</f>
        <v>415</v>
      </c>
    </row>
    <row r="18" spans="1:20" ht="17.25">
      <c r="A18" s="48">
        <v>3</v>
      </c>
      <c r="B18" s="48" t="s">
        <v>581</v>
      </c>
      <c r="C18" s="48" t="s">
        <v>27</v>
      </c>
      <c r="D18" s="48" t="s">
        <v>100</v>
      </c>
      <c r="E18" s="48" t="s">
        <v>145</v>
      </c>
      <c r="F18" s="48"/>
      <c r="G18" s="48" t="s">
        <v>30</v>
      </c>
      <c r="H18" s="51">
        <v>1000</v>
      </c>
      <c r="I18" s="119">
        <v>200</v>
      </c>
      <c r="J18" s="48" t="s">
        <v>31</v>
      </c>
      <c r="K18" s="48" t="s">
        <v>32</v>
      </c>
      <c r="N18" s="126">
        <v>336</v>
      </c>
      <c r="Q18" s="745" t="s">
        <v>348</v>
      </c>
      <c r="R18" s="719"/>
      <c r="S18" s="68">
        <v>130</v>
      </c>
      <c r="T18" s="55">
        <f>H21+H78+H79</f>
        <v>130</v>
      </c>
    </row>
    <row r="19" spans="1:20" ht="17.25">
      <c r="A19" s="48">
        <v>3</v>
      </c>
      <c r="B19" s="151" t="s">
        <v>582</v>
      </c>
      <c r="C19" s="151" t="s">
        <v>27</v>
      </c>
      <c r="D19" s="151" t="s">
        <v>583</v>
      </c>
      <c r="E19" s="151" t="s">
        <v>584</v>
      </c>
      <c r="F19" s="151"/>
      <c r="G19" s="151" t="s">
        <v>579</v>
      </c>
      <c r="H19" s="152">
        <v>500</v>
      </c>
      <c r="I19" s="153">
        <v>500</v>
      </c>
      <c r="J19" s="48" t="s">
        <v>31</v>
      </c>
      <c r="K19" s="48" t="s">
        <v>32</v>
      </c>
      <c r="Q19" s="746" t="s">
        <v>576</v>
      </c>
      <c r="R19" s="719"/>
      <c r="S19" s="154">
        <f>SUM(S17:S18)</f>
        <v>545</v>
      </c>
    </row>
    <row r="20" spans="1:20" ht="17.25">
      <c r="A20" s="48">
        <v>3</v>
      </c>
      <c r="B20" s="48" t="s">
        <v>585</v>
      </c>
      <c r="C20" s="48" t="s">
        <v>27</v>
      </c>
      <c r="D20" s="48" t="s">
        <v>100</v>
      </c>
      <c r="E20" s="48" t="s">
        <v>86</v>
      </c>
      <c r="F20" s="48"/>
      <c r="G20" s="48" t="s">
        <v>30</v>
      </c>
      <c r="H20" s="51">
        <v>1000</v>
      </c>
      <c r="I20" s="119">
        <v>200</v>
      </c>
      <c r="J20" s="48" t="s">
        <v>31</v>
      </c>
      <c r="K20" s="48" t="s">
        <v>32</v>
      </c>
      <c r="N20" s="126">
        <v>300</v>
      </c>
      <c r="Q20" s="747" t="s">
        <v>586</v>
      </c>
      <c r="R20" s="743"/>
      <c r="S20" s="719"/>
    </row>
    <row r="21" spans="1:20" ht="15.75" customHeight="1">
      <c r="A21" s="48">
        <v>3</v>
      </c>
      <c r="B21" s="48" t="s">
        <v>587</v>
      </c>
      <c r="C21" s="48" t="s">
        <v>27</v>
      </c>
      <c r="D21" s="48" t="s">
        <v>588</v>
      </c>
      <c r="E21" s="48" t="s">
        <v>584</v>
      </c>
      <c r="F21" s="48"/>
      <c r="G21" s="48" t="s">
        <v>589</v>
      </c>
      <c r="H21" s="51">
        <v>30</v>
      </c>
      <c r="I21" s="119">
        <v>90</v>
      </c>
      <c r="J21" s="48" t="s">
        <v>31</v>
      </c>
      <c r="K21" s="48" t="s">
        <v>32</v>
      </c>
      <c r="Q21" s="745" t="s">
        <v>33</v>
      </c>
      <c r="R21" s="719"/>
      <c r="S21" s="69">
        <v>1290</v>
      </c>
      <c r="T21" s="55">
        <f>H17+H19+H39+H43+H49+H52+H59+H63+H75+H83+H86</f>
        <v>1290</v>
      </c>
    </row>
    <row r="22" spans="1:20" ht="15.75" customHeight="1">
      <c r="A22" s="48">
        <v>3</v>
      </c>
      <c r="B22" s="48" t="s">
        <v>590</v>
      </c>
      <c r="C22" s="48" t="s">
        <v>27</v>
      </c>
      <c r="D22" s="48" t="s">
        <v>591</v>
      </c>
      <c r="E22" s="48" t="s">
        <v>54</v>
      </c>
      <c r="F22" s="48"/>
      <c r="G22" s="48" t="s">
        <v>30</v>
      </c>
      <c r="H22" s="51">
        <v>700</v>
      </c>
      <c r="I22" s="119">
        <v>140</v>
      </c>
      <c r="J22" s="48" t="s">
        <v>31</v>
      </c>
      <c r="K22" s="48" t="s">
        <v>32</v>
      </c>
      <c r="N22" s="126">
        <v>150</v>
      </c>
      <c r="Q22" s="745" t="s">
        <v>37</v>
      </c>
      <c r="R22" s="719"/>
      <c r="S22" s="69">
        <v>3000</v>
      </c>
    </row>
    <row r="23" spans="1:20" ht="15.75" customHeight="1">
      <c r="A23" s="48">
        <v>3</v>
      </c>
      <c r="B23" s="48" t="s">
        <v>592</v>
      </c>
      <c r="C23" s="48" t="s">
        <v>27</v>
      </c>
      <c r="D23" s="48" t="s">
        <v>593</v>
      </c>
      <c r="E23" s="48" t="s">
        <v>169</v>
      </c>
      <c r="F23" s="48"/>
      <c r="G23" s="48" t="s">
        <v>30</v>
      </c>
      <c r="H23" s="51">
        <v>500</v>
      </c>
      <c r="I23" s="119">
        <v>100</v>
      </c>
      <c r="J23" s="48" t="s">
        <v>31</v>
      </c>
      <c r="K23" s="48" t="s">
        <v>32</v>
      </c>
      <c r="N23" s="126">
        <f>500/5</f>
        <v>100</v>
      </c>
      <c r="Q23" s="746" t="s">
        <v>576</v>
      </c>
      <c r="R23" s="719"/>
      <c r="S23" s="155">
        <f>SUM(S21:S22)</f>
        <v>4290</v>
      </c>
    </row>
    <row r="24" spans="1:20" ht="15.75" customHeight="1">
      <c r="A24" s="48">
        <v>3</v>
      </c>
      <c r="B24" s="48" t="s">
        <v>594</v>
      </c>
      <c r="C24" s="48" t="s">
        <v>39</v>
      </c>
      <c r="D24" s="48" t="s">
        <v>595</v>
      </c>
      <c r="E24" s="48" t="s">
        <v>56</v>
      </c>
      <c r="F24" s="48"/>
      <c r="G24" s="48" t="s">
        <v>30</v>
      </c>
      <c r="H24" s="51">
        <v>200</v>
      </c>
      <c r="I24" s="119">
        <v>40</v>
      </c>
      <c r="J24" s="48" t="s">
        <v>31</v>
      </c>
      <c r="K24" s="48" t="s">
        <v>32</v>
      </c>
      <c r="N24" s="126">
        <v>70</v>
      </c>
      <c r="Q24" s="732"/>
      <c r="R24" s="711"/>
      <c r="S24" s="711"/>
    </row>
    <row r="25" spans="1:20" ht="15.75" customHeight="1">
      <c r="A25" s="48">
        <v>3</v>
      </c>
      <c r="B25" s="146" t="s">
        <v>596</v>
      </c>
      <c r="C25" s="48" t="s">
        <v>39</v>
      </c>
      <c r="D25" s="48" t="s">
        <v>597</v>
      </c>
      <c r="E25" s="146" t="s">
        <v>47</v>
      </c>
      <c r="F25" s="48"/>
      <c r="G25" s="48" t="s">
        <v>30</v>
      </c>
      <c r="H25" s="147">
        <v>1200</v>
      </c>
      <c r="I25" s="148" t="s">
        <v>90</v>
      </c>
      <c r="J25" s="48" t="s">
        <v>31</v>
      </c>
      <c r="K25" s="48" t="s">
        <v>32</v>
      </c>
      <c r="N25" s="126">
        <v>300</v>
      </c>
    </row>
    <row r="26" spans="1:20" ht="15.75" customHeight="1">
      <c r="A26" s="48">
        <v>3</v>
      </c>
      <c r="B26" s="48" t="s">
        <v>598</v>
      </c>
      <c r="C26" s="48" t="s">
        <v>27</v>
      </c>
      <c r="D26" s="48" t="s">
        <v>65</v>
      </c>
      <c r="E26" s="48" t="s">
        <v>36</v>
      </c>
      <c r="F26" s="48"/>
      <c r="G26" s="48" t="s">
        <v>30</v>
      </c>
      <c r="H26" s="51">
        <v>4000</v>
      </c>
      <c r="I26" s="119">
        <v>800</v>
      </c>
      <c r="J26" s="48" t="s">
        <v>31</v>
      </c>
      <c r="K26" s="48" t="s">
        <v>32</v>
      </c>
      <c r="N26" s="126">
        <v>600</v>
      </c>
    </row>
    <row r="27" spans="1:20" ht="15.75" customHeight="1">
      <c r="A27" s="48">
        <v>3</v>
      </c>
      <c r="B27" s="48" t="s">
        <v>599</v>
      </c>
      <c r="C27" s="48" t="s">
        <v>27</v>
      </c>
      <c r="D27" s="48" t="s">
        <v>600</v>
      </c>
      <c r="E27" s="48" t="s">
        <v>209</v>
      </c>
      <c r="F27" s="48"/>
      <c r="G27" s="48" t="s">
        <v>30</v>
      </c>
      <c r="H27" s="51">
        <v>6000</v>
      </c>
      <c r="I27" s="119">
        <v>1200</v>
      </c>
      <c r="J27" s="48" t="s">
        <v>31</v>
      </c>
      <c r="K27" s="48" t="s">
        <v>32</v>
      </c>
      <c r="N27" s="126">
        <v>1200</v>
      </c>
    </row>
    <row r="28" spans="1:20" ht="15.75" customHeight="1">
      <c r="A28" s="48">
        <v>3</v>
      </c>
      <c r="B28" s="48" t="s">
        <v>465</v>
      </c>
      <c r="C28" s="48" t="s">
        <v>39</v>
      </c>
      <c r="D28" s="48" t="s">
        <v>53</v>
      </c>
      <c r="E28" s="48" t="s">
        <v>54</v>
      </c>
      <c r="F28" s="48"/>
      <c r="G28" s="48" t="s">
        <v>30</v>
      </c>
      <c r="H28" s="51">
        <v>3000</v>
      </c>
      <c r="I28" s="119">
        <v>600</v>
      </c>
      <c r="J28" s="48" t="s">
        <v>31</v>
      </c>
      <c r="K28" s="48" t="s">
        <v>32</v>
      </c>
      <c r="N28" s="126">
        <v>500</v>
      </c>
    </row>
    <row r="29" spans="1:20" ht="15.75" customHeight="1">
      <c r="A29" s="48">
        <v>3</v>
      </c>
      <c r="B29" s="48" t="s">
        <v>601</v>
      </c>
      <c r="C29" s="48" t="s">
        <v>27</v>
      </c>
      <c r="D29" s="48" t="s">
        <v>387</v>
      </c>
      <c r="E29" s="48" t="s">
        <v>602</v>
      </c>
      <c r="F29" s="48"/>
      <c r="G29" s="48" t="s">
        <v>30</v>
      </c>
      <c r="H29" s="51">
        <v>6000</v>
      </c>
      <c r="I29" s="119">
        <v>1200</v>
      </c>
      <c r="J29" s="48" t="s">
        <v>31</v>
      </c>
      <c r="K29" s="48" t="s">
        <v>32</v>
      </c>
      <c r="N29" s="126">
        <v>2500</v>
      </c>
    </row>
    <row r="30" spans="1:20" ht="15.75" customHeight="1">
      <c r="A30" s="48">
        <v>3</v>
      </c>
      <c r="B30" s="146" t="s">
        <v>603</v>
      </c>
      <c r="C30" s="48" t="s">
        <v>27</v>
      </c>
      <c r="D30" s="48" t="s">
        <v>604</v>
      </c>
      <c r="E30" s="146" t="s">
        <v>51</v>
      </c>
      <c r="F30" s="48"/>
      <c r="G30" s="48" t="s">
        <v>30</v>
      </c>
      <c r="H30" s="147">
        <v>500</v>
      </c>
      <c r="I30" s="148" t="s">
        <v>90</v>
      </c>
      <c r="J30" s="48" t="s">
        <v>31</v>
      </c>
      <c r="K30" s="48" t="s">
        <v>32</v>
      </c>
      <c r="N30" s="126">
        <v>400</v>
      </c>
    </row>
    <row r="31" spans="1:20" ht="15.75" customHeight="1">
      <c r="A31" s="48">
        <v>3</v>
      </c>
      <c r="B31" s="146" t="s">
        <v>603</v>
      </c>
      <c r="C31" s="48" t="s">
        <v>27</v>
      </c>
      <c r="D31" s="48" t="s">
        <v>604</v>
      </c>
      <c r="E31" s="146" t="s">
        <v>51</v>
      </c>
      <c r="F31" s="48"/>
      <c r="G31" s="48" t="s">
        <v>30</v>
      </c>
      <c r="H31" s="51">
        <v>1500</v>
      </c>
      <c r="I31" s="119">
        <v>600</v>
      </c>
      <c r="J31" s="48" t="s">
        <v>31</v>
      </c>
      <c r="K31" s="48" t="s">
        <v>32</v>
      </c>
    </row>
    <row r="32" spans="1:20" ht="15.75" customHeight="1">
      <c r="A32" s="48">
        <v>3</v>
      </c>
      <c r="B32" s="48" t="s">
        <v>605</v>
      </c>
      <c r="C32" s="48" t="s">
        <v>27</v>
      </c>
      <c r="D32" s="48" t="s">
        <v>100</v>
      </c>
      <c r="E32" s="48" t="s">
        <v>169</v>
      </c>
      <c r="F32" s="48"/>
      <c r="G32" s="48" t="s">
        <v>30</v>
      </c>
      <c r="H32" s="51">
        <v>6000</v>
      </c>
      <c r="I32" s="119">
        <v>1200</v>
      </c>
      <c r="J32" s="48" t="s">
        <v>31</v>
      </c>
      <c r="K32" s="48" t="s">
        <v>32</v>
      </c>
      <c r="N32" s="126">
        <v>1000</v>
      </c>
    </row>
    <row r="33" spans="1:14" ht="15.75" customHeight="1">
      <c r="A33" s="48">
        <v>3</v>
      </c>
      <c r="B33" s="48" t="s">
        <v>606</v>
      </c>
      <c r="C33" s="48" t="s">
        <v>39</v>
      </c>
      <c r="D33" s="48" t="s">
        <v>607</v>
      </c>
      <c r="E33" s="48" t="s">
        <v>36</v>
      </c>
      <c r="F33" s="48"/>
      <c r="G33" s="48" t="s">
        <v>30</v>
      </c>
      <c r="H33" s="51">
        <v>500</v>
      </c>
      <c r="I33" s="119">
        <v>100</v>
      </c>
      <c r="J33" s="48" t="s">
        <v>31</v>
      </c>
      <c r="K33" s="48" t="s">
        <v>32</v>
      </c>
    </row>
    <row r="34" spans="1:14" ht="15.75" customHeight="1">
      <c r="A34" s="48">
        <v>3</v>
      </c>
      <c r="B34" s="48" t="s">
        <v>606</v>
      </c>
      <c r="C34" s="48" t="s">
        <v>39</v>
      </c>
      <c r="D34" s="48" t="s">
        <v>607</v>
      </c>
      <c r="E34" s="48" t="s">
        <v>36</v>
      </c>
      <c r="F34" s="48"/>
      <c r="G34" s="48" t="s">
        <v>608</v>
      </c>
      <c r="H34" s="51">
        <v>6</v>
      </c>
      <c r="I34" s="119">
        <v>90</v>
      </c>
      <c r="J34" s="48" t="s">
        <v>31</v>
      </c>
      <c r="K34" s="48" t="s">
        <v>32</v>
      </c>
    </row>
    <row r="35" spans="1:14" ht="15.75" customHeight="1">
      <c r="A35" s="48">
        <v>3</v>
      </c>
      <c r="B35" s="48" t="s">
        <v>606</v>
      </c>
      <c r="C35" s="48" t="s">
        <v>39</v>
      </c>
      <c r="D35" s="48" t="s">
        <v>607</v>
      </c>
      <c r="E35" s="48" t="s">
        <v>36</v>
      </c>
      <c r="F35" s="48"/>
      <c r="G35" s="48" t="s">
        <v>608</v>
      </c>
      <c r="H35" s="51">
        <v>4</v>
      </c>
      <c r="I35" s="119">
        <v>80</v>
      </c>
      <c r="J35" s="48" t="s">
        <v>31</v>
      </c>
      <c r="K35" s="48" t="s">
        <v>32</v>
      </c>
    </row>
    <row r="36" spans="1:14" ht="15.75" customHeight="1">
      <c r="A36" s="48">
        <v>3</v>
      </c>
      <c r="B36" s="146" t="s">
        <v>609</v>
      </c>
      <c r="C36" s="48" t="s">
        <v>27</v>
      </c>
      <c r="D36" s="48" t="s">
        <v>610</v>
      </c>
      <c r="E36" s="146" t="s">
        <v>36</v>
      </c>
      <c r="F36" s="48"/>
      <c r="G36" s="48" t="s">
        <v>30</v>
      </c>
      <c r="H36" s="147">
        <v>500</v>
      </c>
      <c r="I36" s="148" t="s">
        <v>90</v>
      </c>
      <c r="J36" s="48" t="s">
        <v>31</v>
      </c>
      <c r="K36" s="48" t="s">
        <v>32</v>
      </c>
      <c r="N36" s="126">
        <v>225</v>
      </c>
    </row>
    <row r="37" spans="1:14" ht="15.75" customHeight="1">
      <c r="A37" s="48">
        <v>3</v>
      </c>
      <c r="B37" s="146" t="s">
        <v>609</v>
      </c>
      <c r="C37" s="48" t="s">
        <v>27</v>
      </c>
      <c r="D37" s="48" t="s">
        <v>610</v>
      </c>
      <c r="E37" s="146" t="s">
        <v>36</v>
      </c>
      <c r="F37" s="48"/>
      <c r="G37" s="48" t="s">
        <v>30</v>
      </c>
      <c r="H37" s="51">
        <v>500</v>
      </c>
      <c r="I37" s="119">
        <v>100</v>
      </c>
      <c r="J37" s="48" t="s">
        <v>31</v>
      </c>
      <c r="K37" s="48" t="s">
        <v>32</v>
      </c>
    </row>
    <row r="38" spans="1:14" ht="15.75" customHeight="1">
      <c r="A38" s="48">
        <v>3</v>
      </c>
      <c r="B38" s="48" t="s">
        <v>611</v>
      </c>
      <c r="C38" s="48" t="s">
        <v>27</v>
      </c>
      <c r="D38" s="48" t="s">
        <v>100</v>
      </c>
      <c r="E38" s="48" t="s">
        <v>54</v>
      </c>
      <c r="F38" s="48"/>
      <c r="G38" s="48" t="s">
        <v>30</v>
      </c>
      <c r="H38" s="51">
        <v>100</v>
      </c>
      <c r="I38" s="119">
        <v>20</v>
      </c>
      <c r="J38" s="48" t="s">
        <v>31</v>
      </c>
      <c r="K38" s="48" t="s">
        <v>32</v>
      </c>
    </row>
    <row r="39" spans="1:14" ht="15.75" customHeight="1">
      <c r="A39" s="48">
        <v>3</v>
      </c>
      <c r="B39" s="48" t="s">
        <v>611</v>
      </c>
      <c r="C39" s="48" t="s">
        <v>27</v>
      </c>
      <c r="D39" s="48" t="s">
        <v>100</v>
      </c>
      <c r="E39" s="48" t="s">
        <v>54</v>
      </c>
      <c r="F39" s="48"/>
      <c r="G39" s="151" t="s">
        <v>579</v>
      </c>
      <c r="H39" s="152">
        <v>30</v>
      </c>
      <c r="I39" s="153">
        <v>30</v>
      </c>
      <c r="J39" s="48" t="s">
        <v>31</v>
      </c>
      <c r="K39" s="48" t="s">
        <v>32</v>
      </c>
    </row>
    <row r="40" spans="1:14" ht="15.75" customHeight="1">
      <c r="A40" s="48">
        <v>3</v>
      </c>
      <c r="B40" s="48" t="s">
        <v>612</v>
      </c>
      <c r="C40" s="48" t="s">
        <v>27</v>
      </c>
      <c r="D40" s="48" t="s">
        <v>100</v>
      </c>
      <c r="E40" s="48" t="s">
        <v>169</v>
      </c>
      <c r="F40" s="48"/>
      <c r="G40" s="48" t="s">
        <v>30</v>
      </c>
      <c r="H40" s="51">
        <v>10000</v>
      </c>
      <c r="I40" s="119">
        <v>2000</v>
      </c>
      <c r="J40" s="48" t="s">
        <v>31</v>
      </c>
      <c r="K40" s="48" t="s">
        <v>32</v>
      </c>
      <c r="N40" s="126">
        <v>2000</v>
      </c>
    </row>
    <row r="41" spans="1:14" ht="15.75" customHeight="1">
      <c r="A41" s="48">
        <v>3</v>
      </c>
      <c r="B41" s="48" t="s">
        <v>613</v>
      </c>
      <c r="C41" s="48" t="s">
        <v>39</v>
      </c>
      <c r="D41" s="48" t="s">
        <v>578</v>
      </c>
      <c r="E41" s="48" t="s">
        <v>29</v>
      </c>
      <c r="F41" s="48"/>
      <c r="G41" s="48" t="s">
        <v>30</v>
      </c>
      <c r="H41" s="51">
        <v>25000</v>
      </c>
      <c r="I41" s="119">
        <v>5000</v>
      </c>
      <c r="J41" s="48" t="s">
        <v>31</v>
      </c>
      <c r="K41" s="48" t="s">
        <v>32</v>
      </c>
      <c r="N41" s="126">
        <v>15000</v>
      </c>
    </row>
    <row r="42" spans="1:14" ht="15.75" customHeight="1">
      <c r="A42" s="48">
        <v>3</v>
      </c>
      <c r="B42" s="48" t="s">
        <v>614</v>
      </c>
      <c r="C42" s="48" t="s">
        <v>39</v>
      </c>
      <c r="D42" s="48" t="s">
        <v>67</v>
      </c>
      <c r="E42" s="48" t="s">
        <v>68</v>
      </c>
      <c r="F42" s="48"/>
      <c r="G42" s="48" t="s">
        <v>30</v>
      </c>
      <c r="H42" s="51">
        <v>15000</v>
      </c>
      <c r="I42" s="119">
        <v>3000</v>
      </c>
      <c r="J42" s="48" t="s">
        <v>31</v>
      </c>
      <c r="K42" s="48" t="s">
        <v>32</v>
      </c>
      <c r="N42" s="126">
        <f>15000/5</f>
        <v>3000</v>
      </c>
    </row>
    <row r="43" spans="1:14" ht="15.75" customHeight="1">
      <c r="A43" s="48">
        <v>3</v>
      </c>
      <c r="B43" s="48" t="s">
        <v>614</v>
      </c>
      <c r="C43" s="48" t="s">
        <v>39</v>
      </c>
      <c r="D43" s="48" t="s">
        <v>67</v>
      </c>
      <c r="E43" s="48" t="s">
        <v>68</v>
      </c>
      <c r="F43" s="48"/>
      <c r="G43" s="151" t="s">
        <v>579</v>
      </c>
      <c r="H43" s="152">
        <v>20</v>
      </c>
      <c r="I43" s="153">
        <v>20</v>
      </c>
      <c r="J43" s="48" t="s">
        <v>31</v>
      </c>
      <c r="K43" s="48" t="s">
        <v>32</v>
      </c>
    </row>
    <row r="44" spans="1:14" ht="15.75" customHeight="1">
      <c r="A44" s="48">
        <v>3</v>
      </c>
      <c r="B44" s="48" t="s">
        <v>615</v>
      </c>
      <c r="C44" s="48" t="s">
        <v>27</v>
      </c>
      <c r="D44" s="48" t="s">
        <v>253</v>
      </c>
      <c r="E44" s="48" t="s">
        <v>54</v>
      </c>
      <c r="F44" s="48"/>
      <c r="G44" s="48" t="s">
        <v>30</v>
      </c>
      <c r="H44" s="51">
        <v>5000</v>
      </c>
      <c r="I44" s="119">
        <v>1000</v>
      </c>
      <c r="J44" s="48" t="s">
        <v>31</v>
      </c>
      <c r="K44" s="48" t="s">
        <v>32</v>
      </c>
      <c r="N44" s="126">
        <v>1200</v>
      </c>
    </row>
    <row r="45" spans="1:14" ht="15.75" customHeight="1">
      <c r="A45" s="48">
        <v>3</v>
      </c>
      <c r="B45" s="146" t="s">
        <v>616</v>
      </c>
      <c r="C45" s="48" t="s">
        <v>27</v>
      </c>
      <c r="D45" s="48" t="s">
        <v>98</v>
      </c>
      <c r="E45" s="146" t="s">
        <v>36</v>
      </c>
      <c r="F45" s="48"/>
      <c r="G45" s="48" t="s">
        <v>30</v>
      </c>
      <c r="H45" s="147">
        <v>500</v>
      </c>
      <c r="I45" s="148" t="s">
        <v>90</v>
      </c>
      <c r="J45" s="48" t="s">
        <v>31</v>
      </c>
      <c r="K45" s="48" t="s">
        <v>32</v>
      </c>
      <c r="N45" s="126">
        <v>900</v>
      </c>
    </row>
    <row r="46" spans="1:14" ht="15.75" customHeight="1">
      <c r="A46" s="48">
        <v>3</v>
      </c>
      <c r="B46" s="146" t="s">
        <v>616</v>
      </c>
      <c r="C46" s="48" t="s">
        <v>27</v>
      </c>
      <c r="D46" s="48" t="s">
        <v>98</v>
      </c>
      <c r="E46" s="146" t="s">
        <v>36</v>
      </c>
      <c r="F46" s="48"/>
      <c r="G46" s="48" t="s">
        <v>30</v>
      </c>
      <c r="H46" s="51">
        <v>4000</v>
      </c>
      <c r="I46" s="119">
        <v>800</v>
      </c>
      <c r="J46" s="48" t="s">
        <v>31</v>
      </c>
      <c r="K46" s="48" t="s">
        <v>32</v>
      </c>
    </row>
    <row r="47" spans="1:14" ht="15.75" customHeight="1">
      <c r="A47" s="48">
        <v>3</v>
      </c>
      <c r="B47" s="48" t="s">
        <v>617</v>
      </c>
      <c r="C47" s="48" t="s">
        <v>27</v>
      </c>
      <c r="D47" s="48" t="s">
        <v>618</v>
      </c>
      <c r="E47" s="48" t="s">
        <v>73</v>
      </c>
      <c r="F47" s="48"/>
      <c r="G47" s="48" t="s">
        <v>30</v>
      </c>
      <c r="H47" s="51">
        <v>3000</v>
      </c>
      <c r="I47" s="119">
        <v>600</v>
      </c>
      <c r="J47" s="48" t="s">
        <v>31</v>
      </c>
      <c r="K47" s="48" t="s">
        <v>32</v>
      </c>
      <c r="N47" s="126">
        <v>672</v>
      </c>
    </row>
    <row r="48" spans="1:14" ht="15.75" customHeight="1">
      <c r="A48" s="48">
        <v>3</v>
      </c>
      <c r="B48" s="48" t="s">
        <v>619</v>
      </c>
      <c r="C48" s="48" t="s">
        <v>27</v>
      </c>
      <c r="D48" s="48" t="s">
        <v>78</v>
      </c>
      <c r="E48" s="48" t="s">
        <v>620</v>
      </c>
      <c r="F48" s="48"/>
      <c r="G48" s="48" t="s">
        <v>30</v>
      </c>
      <c r="H48" s="51">
        <v>500</v>
      </c>
      <c r="I48" s="119">
        <v>100</v>
      </c>
      <c r="J48" s="48" t="s">
        <v>31</v>
      </c>
      <c r="K48" s="48" t="s">
        <v>32</v>
      </c>
      <c r="N48" s="126">
        <v>80</v>
      </c>
    </row>
    <row r="49" spans="1:14" ht="15.75" customHeight="1">
      <c r="A49" s="48">
        <v>3</v>
      </c>
      <c r="B49" s="48" t="s">
        <v>619</v>
      </c>
      <c r="C49" s="48" t="s">
        <v>27</v>
      </c>
      <c r="D49" s="48" t="s">
        <v>78</v>
      </c>
      <c r="E49" s="48" t="s">
        <v>620</v>
      </c>
      <c r="F49" s="48"/>
      <c r="G49" s="151" t="s">
        <v>579</v>
      </c>
      <c r="H49" s="152">
        <v>20</v>
      </c>
      <c r="I49" s="153">
        <v>20</v>
      </c>
      <c r="J49" s="48" t="s">
        <v>31</v>
      </c>
      <c r="K49" s="48" t="s">
        <v>32</v>
      </c>
    </row>
    <row r="50" spans="1:14" ht="15.75" customHeight="1">
      <c r="A50" s="48">
        <v>3</v>
      </c>
      <c r="B50" s="48" t="s">
        <v>621</v>
      </c>
      <c r="C50" s="48" t="s">
        <v>39</v>
      </c>
      <c r="D50" s="48" t="s">
        <v>43</v>
      </c>
      <c r="E50" s="48" t="s">
        <v>44</v>
      </c>
      <c r="F50" s="48"/>
      <c r="G50" s="48" t="s">
        <v>30</v>
      </c>
      <c r="H50" s="51">
        <v>2000</v>
      </c>
      <c r="I50" s="119">
        <v>400</v>
      </c>
      <c r="J50" s="48" t="s">
        <v>31</v>
      </c>
      <c r="K50" s="48" t="s">
        <v>32</v>
      </c>
      <c r="N50" s="126">
        <v>300</v>
      </c>
    </row>
    <row r="51" spans="1:14" ht="15.75" customHeight="1">
      <c r="A51" s="48">
        <v>3</v>
      </c>
      <c r="B51" s="48" t="s">
        <v>445</v>
      </c>
      <c r="C51" s="48" t="s">
        <v>27</v>
      </c>
      <c r="D51" s="48" t="s">
        <v>106</v>
      </c>
      <c r="E51" s="48" t="s">
        <v>86</v>
      </c>
      <c r="F51" s="48"/>
      <c r="G51" s="48" t="s">
        <v>30</v>
      </c>
      <c r="H51" s="51">
        <v>2000</v>
      </c>
      <c r="I51" s="119">
        <v>400</v>
      </c>
      <c r="J51" s="48" t="s">
        <v>31</v>
      </c>
      <c r="K51" s="48" t="s">
        <v>32</v>
      </c>
      <c r="N51" s="126">
        <v>400</v>
      </c>
    </row>
    <row r="52" spans="1:14" ht="15.75" customHeight="1">
      <c r="A52" s="48">
        <v>3</v>
      </c>
      <c r="B52" s="48" t="s">
        <v>445</v>
      </c>
      <c r="C52" s="48" t="s">
        <v>27</v>
      </c>
      <c r="D52" s="48" t="s">
        <v>106</v>
      </c>
      <c r="E52" s="48" t="s">
        <v>86</v>
      </c>
      <c r="F52" s="48"/>
      <c r="G52" s="151" t="s">
        <v>579</v>
      </c>
      <c r="H52" s="152">
        <v>50</v>
      </c>
      <c r="I52" s="153">
        <v>50</v>
      </c>
      <c r="J52" s="48" t="s">
        <v>31</v>
      </c>
      <c r="K52" s="48" t="s">
        <v>32</v>
      </c>
    </row>
    <row r="53" spans="1:14" ht="15.75" customHeight="1">
      <c r="A53" s="48">
        <v>3</v>
      </c>
      <c r="B53" s="48" t="s">
        <v>622</v>
      </c>
      <c r="C53" s="48" t="s">
        <v>27</v>
      </c>
      <c r="D53" s="48" t="s">
        <v>623</v>
      </c>
      <c r="E53" s="48" t="s">
        <v>44</v>
      </c>
      <c r="F53" s="48"/>
      <c r="G53" s="48" t="s">
        <v>30</v>
      </c>
      <c r="H53" s="51">
        <v>1000</v>
      </c>
      <c r="I53" s="119">
        <v>200</v>
      </c>
      <c r="J53" s="48" t="s">
        <v>31</v>
      </c>
      <c r="K53" s="48" t="s">
        <v>32</v>
      </c>
      <c r="N53" s="126">
        <v>200</v>
      </c>
    </row>
    <row r="54" spans="1:14" ht="15.75" customHeight="1">
      <c r="A54" s="48">
        <v>3</v>
      </c>
      <c r="B54" s="48" t="s">
        <v>624</v>
      </c>
      <c r="C54" s="48" t="s">
        <v>27</v>
      </c>
      <c r="D54" s="48" t="s">
        <v>200</v>
      </c>
      <c r="E54" s="48" t="s">
        <v>29</v>
      </c>
      <c r="F54" s="48"/>
      <c r="G54" s="48" t="s">
        <v>30</v>
      </c>
      <c r="H54" s="51">
        <v>5000</v>
      </c>
      <c r="I54" s="119">
        <v>1000</v>
      </c>
      <c r="J54" s="48" t="s">
        <v>31</v>
      </c>
      <c r="K54" s="48" t="s">
        <v>32</v>
      </c>
      <c r="N54" s="126">
        <v>1000</v>
      </c>
    </row>
    <row r="55" spans="1:14" ht="15.75" customHeight="1">
      <c r="A55" s="48">
        <v>3</v>
      </c>
      <c r="B55" s="48" t="s">
        <v>625</v>
      </c>
      <c r="C55" s="48" t="s">
        <v>27</v>
      </c>
      <c r="D55" s="48" t="s">
        <v>100</v>
      </c>
      <c r="E55" s="48" t="s">
        <v>41</v>
      </c>
      <c r="F55" s="48"/>
      <c r="G55" s="48" t="s">
        <v>30</v>
      </c>
      <c r="H55" s="51">
        <v>35000</v>
      </c>
      <c r="I55" s="119">
        <v>7000</v>
      </c>
      <c r="J55" s="48" t="s">
        <v>31</v>
      </c>
      <c r="K55" s="48" t="s">
        <v>32</v>
      </c>
      <c r="N55" s="126">
        <v>6000</v>
      </c>
    </row>
    <row r="56" spans="1:14" ht="15.75" customHeight="1">
      <c r="A56" s="48">
        <v>3</v>
      </c>
      <c r="B56" s="48" t="s">
        <v>626</v>
      </c>
      <c r="C56" s="48" t="s">
        <v>27</v>
      </c>
      <c r="D56" s="48" t="s">
        <v>416</v>
      </c>
      <c r="E56" s="48" t="s">
        <v>73</v>
      </c>
      <c r="F56" s="48"/>
      <c r="G56" s="48" t="s">
        <v>30</v>
      </c>
      <c r="H56" s="51">
        <v>500</v>
      </c>
      <c r="I56" s="119">
        <v>100</v>
      </c>
      <c r="J56" s="48" t="s">
        <v>31</v>
      </c>
      <c r="K56" s="48" t="s">
        <v>32</v>
      </c>
      <c r="N56" s="126">
        <v>200</v>
      </c>
    </row>
    <row r="57" spans="1:14" ht="15.75" customHeight="1">
      <c r="A57" s="48">
        <v>3</v>
      </c>
      <c r="B57" s="48" t="s">
        <v>627</v>
      </c>
      <c r="C57" s="48" t="s">
        <v>27</v>
      </c>
      <c r="D57" s="48" t="s">
        <v>628</v>
      </c>
      <c r="E57" s="48" t="s">
        <v>29</v>
      </c>
      <c r="F57" s="48"/>
      <c r="G57" s="48" t="s">
        <v>608</v>
      </c>
      <c r="H57" s="51">
        <v>5</v>
      </c>
      <c r="I57" s="119">
        <v>500</v>
      </c>
      <c r="J57" s="48" t="s">
        <v>31</v>
      </c>
      <c r="K57" s="48" t="s">
        <v>32</v>
      </c>
    </row>
    <row r="58" spans="1:14" ht="15.75" customHeight="1">
      <c r="A58" s="48">
        <v>3</v>
      </c>
      <c r="B58" s="48" t="s">
        <v>629</v>
      </c>
      <c r="C58" s="48" t="s">
        <v>27</v>
      </c>
      <c r="D58" s="48" t="s">
        <v>100</v>
      </c>
      <c r="E58" s="48" t="s">
        <v>54</v>
      </c>
      <c r="F58" s="48"/>
      <c r="G58" s="48" t="s">
        <v>30</v>
      </c>
      <c r="H58" s="51">
        <v>2000</v>
      </c>
      <c r="I58" s="119">
        <v>400</v>
      </c>
      <c r="J58" s="48" t="s">
        <v>31</v>
      </c>
      <c r="K58" s="48" t="s">
        <v>32</v>
      </c>
      <c r="N58" s="126">
        <v>100</v>
      </c>
    </row>
    <row r="59" spans="1:14" ht="15.75" customHeight="1">
      <c r="A59" s="48">
        <v>3</v>
      </c>
      <c r="B59" s="48" t="s">
        <v>629</v>
      </c>
      <c r="C59" s="48" t="s">
        <v>27</v>
      </c>
      <c r="D59" s="48" t="s">
        <v>100</v>
      </c>
      <c r="E59" s="48" t="s">
        <v>54</v>
      </c>
      <c r="F59" s="48"/>
      <c r="G59" s="151" t="s">
        <v>579</v>
      </c>
      <c r="H59" s="152">
        <v>140</v>
      </c>
      <c r="I59" s="153">
        <v>140</v>
      </c>
      <c r="J59" s="48" t="s">
        <v>31</v>
      </c>
      <c r="K59" s="48" t="s">
        <v>32</v>
      </c>
    </row>
    <row r="60" spans="1:14" ht="15.75" customHeight="1">
      <c r="A60" s="48">
        <v>3</v>
      </c>
      <c r="B60" s="48" t="s">
        <v>630</v>
      </c>
      <c r="C60" s="48" t="s">
        <v>27</v>
      </c>
      <c r="D60" s="48" t="s">
        <v>631</v>
      </c>
      <c r="E60" s="48" t="s">
        <v>84</v>
      </c>
      <c r="F60" s="48"/>
      <c r="G60" s="48" t="s">
        <v>30</v>
      </c>
      <c r="H60" s="51">
        <v>300</v>
      </c>
      <c r="I60" s="119">
        <v>60</v>
      </c>
      <c r="J60" s="48" t="s">
        <v>31</v>
      </c>
      <c r="K60" s="48" t="s">
        <v>32</v>
      </c>
      <c r="N60" s="126">
        <v>80</v>
      </c>
    </row>
    <row r="61" spans="1:14" ht="15.75" customHeight="1">
      <c r="A61" s="48">
        <v>3</v>
      </c>
      <c r="B61" s="146" t="s">
        <v>632</v>
      </c>
      <c r="C61" s="48" t="s">
        <v>27</v>
      </c>
      <c r="D61" s="48" t="s">
        <v>371</v>
      </c>
      <c r="E61" s="146" t="s">
        <v>223</v>
      </c>
      <c r="F61" s="48"/>
      <c r="G61" s="48" t="s">
        <v>30</v>
      </c>
      <c r="H61" s="147">
        <v>2000</v>
      </c>
      <c r="I61" s="148" t="s">
        <v>90</v>
      </c>
      <c r="J61" s="48" t="s">
        <v>31</v>
      </c>
      <c r="K61" s="48" t="s">
        <v>32</v>
      </c>
      <c r="N61" s="126">
        <v>300</v>
      </c>
    </row>
    <row r="62" spans="1:14" ht="15.75" customHeight="1">
      <c r="A62" s="48">
        <v>3</v>
      </c>
      <c r="B62" s="48" t="s">
        <v>633</v>
      </c>
      <c r="C62" s="48" t="s">
        <v>27</v>
      </c>
      <c r="D62" s="48" t="s">
        <v>628</v>
      </c>
      <c r="E62" s="48" t="s">
        <v>73</v>
      </c>
      <c r="F62" s="48"/>
      <c r="G62" s="48" t="s">
        <v>30</v>
      </c>
      <c r="H62" s="51">
        <v>1500</v>
      </c>
      <c r="I62" s="119">
        <v>300</v>
      </c>
      <c r="J62" s="48" t="s">
        <v>31</v>
      </c>
      <c r="K62" s="48" t="s">
        <v>32</v>
      </c>
      <c r="N62" s="126">
        <v>300</v>
      </c>
    </row>
    <row r="63" spans="1:14" ht="15.75" customHeight="1">
      <c r="A63" s="48">
        <v>3</v>
      </c>
      <c r="B63" s="48" t="s">
        <v>633</v>
      </c>
      <c r="C63" s="48" t="s">
        <v>27</v>
      </c>
      <c r="D63" s="48" t="s">
        <v>628</v>
      </c>
      <c r="E63" s="48" t="s">
        <v>73</v>
      </c>
      <c r="F63" s="48"/>
      <c r="G63" s="151" t="s">
        <v>579</v>
      </c>
      <c r="H63" s="152">
        <v>200</v>
      </c>
      <c r="I63" s="153">
        <v>200</v>
      </c>
      <c r="J63" s="48" t="s">
        <v>31</v>
      </c>
      <c r="K63" s="48" t="s">
        <v>32</v>
      </c>
    </row>
    <row r="64" spans="1:14" ht="15.75" customHeight="1">
      <c r="A64" s="48">
        <v>3</v>
      </c>
      <c r="B64" s="48" t="s">
        <v>634</v>
      </c>
      <c r="C64" s="48" t="s">
        <v>27</v>
      </c>
      <c r="D64" s="48" t="s">
        <v>635</v>
      </c>
      <c r="E64" s="48" t="s">
        <v>56</v>
      </c>
      <c r="F64" s="48"/>
      <c r="G64" s="48" t="s">
        <v>30</v>
      </c>
      <c r="H64" s="51">
        <v>500</v>
      </c>
      <c r="I64" s="119">
        <v>100</v>
      </c>
      <c r="J64" s="48" t="s">
        <v>31</v>
      </c>
      <c r="K64" s="48" t="s">
        <v>32</v>
      </c>
    </row>
    <row r="65" spans="1:14" ht="15.75" customHeight="1">
      <c r="A65" s="48">
        <v>3</v>
      </c>
      <c r="B65" s="48" t="s">
        <v>636</v>
      </c>
      <c r="C65" s="48" t="s">
        <v>39</v>
      </c>
      <c r="D65" s="48" t="s">
        <v>637</v>
      </c>
      <c r="E65" s="48" t="s">
        <v>54</v>
      </c>
      <c r="F65" s="48"/>
      <c r="G65" s="48" t="s">
        <v>30</v>
      </c>
      <c r="H65" s="51">
        <v>2000</v>
      </c>
      <c r="I65" s="119">
        <v>400</v>
      </c>
      <c r="J65" s="48" t="s">
        <v>31</v>
      </c>
      <c r="K65" s="48" t="s">
        <v>32</v>
      </c>
      <c r="N65" s="126">
        <v>600</v>
      </c>
    </row>
    <row r="66" spans="1:14" ht="15.75" customHeight="1">
      <c r="A66" s="48">
        <v>3</v>
      </c>
      <c r="B66" s="146" t="s">
        <v>638</v>
      </c>
      <c r="C66" s="48" t="s">
        <v>39</v>
      </c>
      <c r="D66" s="48" t="s">
        <v>639</v>
      </c>
      <c r="E66" s="146" t="s">
        <v>145</v>
      </c>
      <c r="F66" s="48"/>
      <c r="G66" s="48" t="s">
        <v>30</v>
      </c>
      <c r="H66" s="51">
        <v>1000</v>
      </c>
      <c r="I66" s="119">
        <v>200</v>
      </c>
      <c r="J66" s="48" t="s">
        <v>31</v>
      </c>
      <c r="K66" s="48" t="s">
        <v>32</v>
      </c>
      <c r="N66" s="126">
        <v>300</v>
      </c>
    </row>
    <row r="67" spans="1:14" ht="15.75" customHeight="1">
      <c r="A67" s="48">
        <v>3</v>
      </c>
      <c r="B67" s="146" t="s">
        <v>638</v>
      </c>
      <c r="C67" s="48" t="s">
        <v>39</v>
      </c>
      <c r="D67" s="48" t="s">
        <v>639</v>
      </c>
      <c r="E67" s="146" t="s">
        <v>145</v>
      </c>
      <c r="F67" s="48"/>
      <c r="G67" s="48" t="s">
        <v>30</v>
      </c>
      <c r="H67" s="147">
        <v>500</v>
      </c>
      <c r="I67" s="148" t="s">
        <v>90</v>
      </c>
      <c r="J67" s="48" t="s">
        <v>31</v>
      </c>
      <c r="K67" s="48" t="s">
        <v>32</v>
      </c>
    </row>
    <row r="68" spans="1:14" ht="15.75" customHeight="1">
      <c r="A68" s="146">
        <v>3</v>
      </c>
      <c r="B68" s="146" t="s">
        <v>640</v>
      </c>
      <c r="C68" s="48" t="s">
        <v>39</v>
      </c>
      <c r="D68" s="48" t="s">
        <v>639</v>
      </c>
      <c r="E68" s="146" t="s">
        <v>145</v>
      </c>
      <c r="F68" s="48"/>
      <c r="G68" s="48" t="s">
        <v>30</v>
      </c>
      <c r="H68" s="147">
        <v>500</v>
      </c>
      <c r="I68" s="148" t="s">
        <v>90</v>
      </c>
      <c r="J68" s="48" t="s">
        <v>31</v>
      </c>
      <c r="K68" s="48" t="s">
        <v>32</v>
      </c>
      <c r="N68" s="126">
        <v>200</v>
      </c>
    </row>
    <row r="69" spans="1:14" ht="15.75" customHeight="1">
      <c r="A69" s="58">
        <v>3</v>
      </c>
      <c r="B69" s="156" t="s">
        <v>641</v>
      </c>
      <c r="C69" s="58" t="s">
        <v>27</v>
      </c>
      <c r="D69" s="58" t="s">
        <v>639</v>
      </c>
      <c r="E69" s="156" t="s">
        <v>145</v>
      </c>
      <c r="F69" s="58"/>
      <c r="G69" s="58" t="s">
        <v>30</v>
      </c>
      <c r="H69" s="157">
        <v>500</v>
      </c>
      <c r="I69" s="158" t="s">
        <v>90</v>
      </c>
      <c r="J69" s="48" t="s">
        <v>31</v>
      </c>
      <c r="K69" s="48" t="s">
        <v>32</v>
      </c>
      <c r="N69" s="126">
        <v>100</v>
      </c>
    </row>
    <row r="70" spans="1:14" ht="15.75" customHeight="1">
      <c r="A70" s="62">
        <v>4</v>
      </c>
      <c r="B70" s="62" t="s">
        <v>642</v>
      </c>
      <c r="C70" s="62" t="s">
        <v>27</v>
      </c>
      <c r="D70" s="62" t="s">
        <v>29</v>
      </c>
      <c r="E70" s="62" t="s">
        <v>643</v>
      </c>
      <c r="F70" s="62"/>
      <c r="G70" s="62" t="s">
        <v>30</v>
      </c>
      <c r="H70" s="63">
        <v>100000</v>
      </c>
      <c r="I70" s="159">
        <v>20000</v>
      </c>
      <c r="J70" s="62" t="s">
        <v>31</v>
      </c>
      <c r="K70" s="62" t="s">
        <v>32</v>
      </c>
      <c r="N70" s="126">
        <v>20000</v>
      </c>
    </row>
    <row r="71" spans="1:14" ht="15.75" customHeight="1">
      <c r="A71" s="48">
        <v>4</v>
      </c>
      <c r="B71" s="48" t="s">
        <v>644</v>
      </c>
      <c r="C71" s="48" t="s">
        <v>27</v>
      </c>
      <c r="D71" s="48" t="s">
        <v>645</v>
      </c>
      <c r="E71" s="48" t="s">
        <v>29</v>
      </c>
      <c r="F71" s="48"/>
      <c r="G71" s="48" t="s">
        <v>30</v>
      </c>
      <c r="H71" s="51">
        <v>10000</v>
      </c>
      <c r="I71" s="119">
        <v>2000</v>
      </c>
      <c r="J71" s="48" t="s">
        <v>31</v>
      </c>
      <c r="K71" s="48" t="s">
        <v>32</v>
      </c>
      <c r="N71" s="126">
        <v>5000</v>
      </c>
    </row>
    <row r="72" spans="1:14" ht="15.75" customHeight="1">
      <c r="A72" s="146">
        <v>4</v>
      </c>
      <c r="B72" s="146" t="s">
        <v>646</v>
      </c>
      <c r="C72" s="48" t="s">
        <v>27</v>
      </c>
      <c r="D72" s="48" t="s">
        <v>205</v>
      </c>
      <c r="E72" s="146" t="s">
        <v>191</v>
      </c>
      <c r="F72" s="48"/>
      <c r="G72" s="48" t="s">
        <v>30</v>
      </c>
      <c r="H72" s="147">
        <v>1500</v>
      </c>
      <c r="I72" s="148" t="s">
        <v>90</v>
      </c>
      <c r="J72" s="48" t="s">
        <v>31</v>
      </c>
      <c r="K72" s="48" t="s">
        <v>32</v>
      </c>
    </row>
    <row r="73" spans="1:14" ht="15.75" customHeight="1">
      <c r="A73" s="48">
        <v>4</v>
      </c>
      <c r="B73" s="48" t="s">
        <v>647</v>
      </c>
      <c r="C73" s="48" t="s">
        <v>27</v>
      </c>
      <c r="D73" s="48" t="s">
        <v>123</v>
      </c>
      <c r="E73" s="48" t="s">
        <v>84</v>
      </c>
      <c r="F73" s="48"/>
      <c r="G73" s="48" t="s">
        <v>30</v>
      </c>
      <c r="H73" s="51">
        <v>300</v>
      </c>
      <c r="I73" s="119">
        <v>60</v>
      </c>
      <c r="J73" s="48" t="s">
        <v>31</v>
      </c>
      <c r="K73" s="48" t="s">
        <v>32</v>
      </c>
      <c r="N73" s="126">
        <v>200</v>
      </c>
    </row>
    <row r="74" spans="1:14" ht="15.75" customHeight="1">
      <c r="A74" s="48">
        <v>4</v>
      </c>
      <c r="B74" s="48" t="s">
        <v>648</v>
      </c>
      <c r="C74" s="48" t="s">
        <v>27</v>
      </c>
      <c r="D74" s="48" t="s">
        <v>649</v>
      </c>
      <c r="E74" s="48" t="s">
        <v>310</v>
      </c>
      <c r="F74" s="48"/>
      <c r="G74" s="48" t="s">
        <v>30</v>
      </c>
      <c r="H74" s="51">
        <v>1500</v>
      </c>
      <c r="I74" s="119">
        <v>300</v>
      </c>
      <c r="J74" s="48" t="s">
        <v>31</v>
      </c>
      <c r="K74" s="48" t="s">
        <v>32</v>
      </c>
      <c r="N74" s="126">
        <v>300</v>
      </c>
    </row>
    <row r="75" spans="1:14" ht="15.75" customHeight="1">
      <c r="A75" s="48">
        <v>4</v>
      </c>
      <c r="B75" s="151" t="s">
        <v>650</v>
      </c>
      <c r="C75" s="151" t="s">
        <v>39</v>
      </c>
      <c r="D75" s="151" t="s">
        <v>651</v>
      </c>
      <c r="E75" s="151" t="s">
        <v>86</v>
      </c>
      <c r="F75" s="151"/>
      <c r="G75" s="151" t="s">
        <v>579</v>
      </c>
      <c r="H75" s="152">
        <v>200</v>
      </c>
      <c r="I75" s="153">
        <v>200</v>
      </c>
      <c r="J75" s="48" t="s">
        <v>31</v>
      </c>
      <c r="K75" s="48" t="s">
        <v>32</v>
      </c>
      <c r="N75" s="126">
        <v>1080</v>
      </c>
    </row>
    <row r="76" spans="1:14" ht="15.75" customHeight="1">
      <c r="A76" s="48">
        <v>4</v>
      </c>
      <c r="B76" s="48" t="s">
        <v>652</v>
      </c>
      <c r="C76" s="48" t="s">
        <v>27</v>
      </c>
      <c r="D76" s="48" t="s">
        <v>371</v>
      </c>
      <c r="E76" s="48" t="s">
        <v>29</v>
      </c>
      <c r="F76" s="48"/>
      <c r="G76" s="48" t="s">
        <v>30</v>
      </c>
      <c r="H76" s="51">
        <v>1500</v>
      </c>
      <c r="I76" s="119">
        <v>450</v>
      </c>
      <c r="J76" s="48" t="s">
        <v>31</v>
      </c>
      <c r="K76" s="48" t="s">
        <v>32</v>
      </c>
      <c r="N76" s="126">
        <v>200</v>
      </c>
    </row>
    <row r="77" spans="1:14" ht="15.75" customHeight="1">
      <c r="A77" s="48">
        <v>4</v>
      </c>
      <c r="B77" s="48" t="s">
        <v>653</v>
      </c>
      <c r="C77" s="48" t="s">
        <v>27</v>
      </c>
      <c r="D77" s="48" t="s">
        <v>654</v>
      </c>
      <c r="E77" s="48" t="s">
        <v>484</v>
      </c>
      <c r="F77" s="48"/>
      <c r="G77" s="48" t="s">
        <v>608</v>
      </c>
      <c r="H77" s="51">
        <v>400</v>
      </c>
      <c r="I77" s="119">
        <v>2000</v>
      </c>
      <c r="J77" s="48" t="s">
        <v>31</v>
      </c>
      <c r="K77" s="48" t="s">
        <v>32</v>
      </c>
    </row>
    <row r="78" spans="1:14" ht="15.75" customHeight="1">
      <c r="A78" s="48">
        <v>4</v>
      </c>
      <c r="B78" s="48" t="s">
        <v>655</v>
      </c>
      <c r="C78" s="48" t="s">
        <v>27</v>
      </c>
      <c r="D78" s="48" t="s">
        <v>100</v>
      </c>
      <c r="E78" s="48" t="s">
        <v>84</v>
      </c>
      <c r="F78" s="48"/>
      <c r="G78" s="48" t="s">
        <v>589</v>
      </c>
      <c r="H78" s="51">
        <v>50</v>
      </c>
      <c r="I78" s="119">
        <v>150</v>
      </c>
      <c r="J78" s="48" t="s">
        <v>31</v>
      </c>
      <c r="K78" s="48" t="s">
        <v>32</v>
      </c>
    </row>
    <row r="79" spans="1:14" ht="15.75" customHeight="1">
      <c r="A79" s="48">
        <v>4</v>
      </c>
      <c r="B79" s="48" t="s">
        <v>656</v>
      </c>
      <c r="C79" s="48" t="s">
        <v>27</v>
      </c>
      <c r="D79" s="48" t="s">
        <v>657</v>
      </c>
      <c r="E79" s="48" t="s">
        <v>73</v>
      </c>
      <c r="F79" s="48"/>
      <c r="G79" s="48" t="s">
        <v>589</v>
      </c>
      <c r="H79" s="51">
        <v>50</v>
      </c>
      <c r="I79" s="119">
        <v>150</v>
      </c>
      <c r="J79" s="48" t="s">
        <v>31</v>
      </c>
      <c r="K79" s="48" t="s">
        <v>32</v>
      </c>
    </row>
    <row r="80" spans="1:14" ht="15.75" customHeight="1">
      <c r="A80" s="48">
        <v>4</v>
      </c>
      <c r="B80" s="48" t="s">
        <v>658</v>
      </c>
      <c r="C80" s="48" t="s">
        <v>27</v>
      </c>
      <c r="D80" s="48" t="s">
        <v>659</v>
      </c>
      <c r="E80" s="48" t="s">
        <v>86</v>
      </c>
      <c r="F80" s="48"/>
      <c r="G80" s="48" t="s">
        <v>608</v>
      </c>
      <c r="H80" s="51">
        <v>20</v>
      </c>
      <c r="I80" s="119">
        <v>200</v>
      </c>
      <c r="J80" s="48" t="s">
        <v>31</v>
      </c>
      <c r="K80" s="48" t="s">
        <v>32</v>
      </c>
    </row>
    <row r="81" spans="1:23" ht="15.75" customHeight="1">
      <c r="A81" s="48">
        <v>4</v>
      </c>
      <c r="B81" s="48" t="s">
        <v>660</v>
      </c>
      <c r="C81" s="48" t="s">
        <v>39</v>
      </c>
      <c r="D81" s="48" t="s">
        <v>434</v>
      </c>
      <c r="E81" s="48" t="s">
        <v>36</v>
      </c>
      <c r="F81" s="48"/>
      <c r="G81" s="48" t="s">
        <v>30</v>
      </c>
      <c r="H81" s="51">
        <v>20000</v>
      </c>
      <c r="I81" s="119">
        <v>4000</v>
      </c>
      <c r="J81" s="48" t="s">
        <v>31</v>
      </c>
      <c r="K81" s="48" t="s">
        <v>32</v>
      </c>
      <c r="N81" s="126">
        <v>5000</v>
      </c>
    </row>
    <row r="82" spans="1:23" ht="15.75" customHeight="1">
      <c r="A82" s="48">
        <v>4</v>
      </c>
      <c r="B82" s="48" t="s">
        <v>661</v>
      </c>
      <c r="C82" s="48" t="s">
        <v>27</v>
      </c>
      <c r="D82" s="48" t="s">
        <v>449</v>
      </c>
      <c r="E82" s="48" t="s">
        <v>44</v>
      </c>
      <c r="F82" s="48"/>
      <c r="G82" s="48" t="s">
        <v>30</v>
      </c>
      <c r="H82" s="51">
        <v>500</v>
      </c>
      <c r="I82" s="119">
        <v>100</v>
      </c>
      <c r="J82" s="48" t="s">
        <v>31</v>
      </c>
      <c r="K82" s="48" t="s">
        <v>32</v>
      </c>
      <c r="N82" s="126">
        <v>150</v>
      </c>
    </row>
    <row r="83" spans="1:23" ht="15.75" customHeight="1">
      <c r="A83" s="48">
        <v>4</v>
      </c>
      <c r="B83" s="48" t="s">
        <v>661</v>
      </c>
      <c r="C83" s="48" t="s">
        <v>27</v>
      </c>
      <c r="D83" s="48" t="s">
        <v>449</v>
      </c>
      <c r="E83" s="48" t="s">
        <v>44</v>
      </c>
      <c r="F83" s="48"/>
      <c r="G83" s="151" t="s">
        <v>579</v>
      </c>
      <c r="H83" s="152">
        <v>30</v>
      </c>
      <c r="I83" s="153">
        <v>30</v>
      </c>
      <c r="J83" s="48" t="s">
        <v>31</v>
      </c>
      <c r="K83" s="48" t="s">
        <v>32</v>
      </c>
    </row>
    <row r="84" spans="1:23" ht="15.75" customHeight="1">
      <c r="A84" s="58">
        <v>4</v>
      </c>
      <c r="B84" s="58" t="s">
        <v>662</v>
      </c>
      <c r="C84" s="58" t="s">
        <v>39</v>
      </c>
      <c r="D84" s="58" t="s">
        <v>128</v>
      </c>
      <c r="E84" s="58" t="s">
        <v>44</v>
      </c>
      <c r="F84" s="58"/>
      <c r="G84" s="58" t="s">
        <v>30</v>
      </c>
      <c r="H84" s="59">
        <v>200</v>
      </c>
      <c r="I84" s="160">
        <v>40</v>
      </c>
      <c r="J84" s="58" t="s">
        <v>31</v>
      </c>
      <c r="K84" s="58" t="s">
        <v>32</v>
      </c>
      <c r="N84" s="126">
        <v>192</v>
      </c>
    </row>
    <row r="85" spans="1:23" ht="15.75" customHeight="1">
      <c r="A85" s="62">
        <v>5</v>
      </c>
      <c r="B85" s="62" t="s">
        <v>663</v>
      </c>
      <c r="C85" s="62" t="s">
        <v>27</v>
      </c>
      <c r="D85" s="62" t="s">
        <v>98</v>
      </c>
      <c r="E85" s="62" t="s">
        <v>36</v>
      </c>
      <c r="F85" s="62"/>
      <c r="G85" s="62" t="s">
        <v>30</v>
      </c>
      <c r="H85" s="63">
        <v>12000</v>
      </c>
      <c r="I85" s="159">
        <v>2400</v>
      </c>
      <c r="J85" s="62" t="s">
        <v>31</v>
      </c>
      <c r="K85" s="62" t="s">
        <v>32</v>
      </c>
      <c r="N85" s="126">
        <v>2000</v>
      </c>
    </row>
    <row r="86" spans="1:23" ht="15.75" customHeight="1">
      <c r="A86" s="48">
        <v>5</v>
      </c>
      <c r="B86" s="62" t="s">
        <v>663</v>
      </c>
      <c r="C86" s="62" t="s">
        <v>27</v>
      </c>
      <c r="D86" s="62" t="s">
        <v>98</v>
      </c>
      <c r="E86" s="62" t="s">
        <v>36</v>
      </c>
      <c r="F86" s="48"/>
      <c r="G86" s="151" t="s">
        <v>579</v>
      </c>
      <c r="H86" s="152">
        <v>50</v>
      </c>
      <c r="I86" s="153">
        <v>50</v>
      </c>
      <c r="J86" s="62" t="s">
        <v>31</v>
      </c>
      <c r="K86" s="62" t="s">
        <v>32</v>
      </c>
    </row>
    <row r="87" spans="1:23" ht="15.75" customHeight="1">
      <c r="A87" s="48">
        <v>5</v>
      </c>
      <c r="B87" s="48" t="s">
        <v>664</v>
      </c>
      <c r="C87" s="48" t="s">
        <v>27</v>
      </c>
      <c r="D87" s="48" t="s">
        <v>65</v>
      </c>
      <c r="E87" s="48" t="s">
        <v>36</v>
      </c>
      <c r="F87" s="48"/>
      <c r="G87" s="48" t="s">
        <v>30</v>
      </c>
      <c r="H87" s="51">
        <v>2500</v>
      </c>
      <c r="I87" s="119">
        <v>500</v>
      </c>
      <c r="J87" s="62" t="s">
        <v>31</v>
      </c>
      <c r="K87" s="62" t="s">
        <v>32</v>
      </c>
      <c r="N87" s="126">
        <v>600</v>
      </c>
    </row>
    <row r="88" spans="1:23" ht="15.75" customHeight="1">
      <c r="A88" s="48">
        <v>5</v>
      </c>
      <c r="B88" s="48" t="s">
        <v>665</v>
      </c>
      <c r="C88" s="48" t="s">
        <v>27</v>
      </c>
      <c r="D88" s="48" t="s">
        <v>666</v>
      </c>
      <c r="E88" s="48" t="s">
        <v>36</v>
      </c>
      <c r="F88" s="48"/>
      <c r="G88" s="48" t="s">
        <v>30</v>
      </c>
      <c r="H88" s="51">
        <v>500</v>
      </c>
      <c r="I88" s="119">
        <v>100</v>
      </c>
      <c r="J88" s="62" t="s">
        <v>31</v>
      </c>
      <c r="K88" s="62" t="s">
        <v>32</v>
      </c>
      <c r="S88" s="742" t="s">
        <v>667</v>
      </c>
      <c r="T88" s="743"/>
      <c r="U88" s="719"/>
    </row>
    <row r="89" spans="1:23" ht="15.75" customHeight="1">
      <c r="A89" s="146">
        <v>5</v>
      </c>
      <c r="B89" s="146" t="s">
        <v>668</v>
      </c>
      <c r="C89" s="48" t="s">
        <v>27</v>
      </c>
      <c r="D89" s="48" t="s">
        <v>96</v>
      </c>
      <c r="E89" s="146" t="s">
        <v>44</v>
      </c>
      <c r="F89" s="48"/>
      <c r="G89" s="48" t="s">
        <v>30</v>
      </c>
      <c r="H89" s="51">
        <v>1000</v>
      </c>
      <c r="I89" s="119">
        <v>200</v>
      </c>
      <c r="J89" s="62" t="s">
        <v>31</v>
      </c>
      <c r="K89" s="62" t="s">
        <v>32</v>
      </c>
      <c r="N89" s="126">
        <v>200</v>
      </c>
      <c r="S89" s="729"/>
      <c r="T89" s="743"/>
      <c r="U89" s="719"/>
    </row>
    <row r="90" spans="1:23" ht="15.75" customHeight="1">
      <c r="A90" s="48">
        <v>5</v>
      </c>
      <c r="B90" s="146" t="s">
        <v>668</v>
      </c>
      <c r="C90" s="48" t="s">
        <v>27</v>
      </c>
      <c r="D90" s="48" t="s">
        <v>96</v>
      </c>
      <c r="E90" s="146" t="s">
        <v>44</v>
      </c>
      <c r="F90" s="48"/>
      <c r="G90" s="48" t="s">
        <v>30</v>
      </c>
      <c r="H90" s="147">
        <v>500</v>
      </c>
      <c r="I90" s="148" t="s">
        <v>90</v>
      </c>
      <c r="J90" s="62" t="s">
        <v>31</v>
      </c>
      <c r="K90" s="62" t="s">
        <v>32</v>
      </c>
      <c r="S90" s="744" t="s">
        <v>25</v>
      </c>
      <c r="T90" s="743"/>
      <c r="U90" s="719"/>
    </row>
    <row r="91" spans="1:23" ht="15.75" customHeight="1">
      <c r="A91" s="146">
        <v>5</v>
      </c>
      <c r="B91" s="146" t="s">
        <v>669</v>
      </c>
      <c r="C91" s="48" t="s">
        <v>27</v>
      </c>
      <c r="D91" s="48" t="s">
        <v>98</v>
      </c>
      <c r="E91" s="146" t="s">
        <v>36</v>
      </c>
      <c r="F91" s="48"/>
      <c r="G91" s="48" t="s">
        <v>30</v>
      </c>
      <c r="H91" s="147">
        <v>500</v>
      </c>
      <c r="I91" s="148" t="s">
        <v>90</v>
      </c>
      <c r="J91" s="62" t="s">
        <v>31</v>
      </c>
      <c r="K91" s="62" t="s">
        <v>32</v>
      </c>
      <c r="N91" s="126">
        <v>100</v>
      </c>
      <c r="S91" s="745" t="s">
        <v>33</v>
      </c>
      <c r="T91" s="719"/>
      <c r="U91" s="149">
        <v>84350</v>
      </c>
      <c r="W91" s="55">
        <f>SUM(H89,H97:H98,H109,H112:H121,H123:H124,H126:H128,H130:H134,H141:H146,H149:H150,H153:H160,H162,H164,H166,H168:H169)</f>
        <v>84350</v>
      </c>
    </row>
    <row r="92" spans="1:23" ht="15.75" customHeight="1">
      <c r="A92" s="146">
        <v>5</v>
      </c>
      <c r="B92" s="146" t="s">
        <v>670</v>
      </c>
      <c r="C92" s="48" t="s">
        <v>27</v>
      </c>
      <c r="D92" s="48" t="s">
        <v>98</v>
      </c>
      <c r="E92" s="146" t="s">
        <v>36</v>
      </c>
      <c r="F92" s="48"/>
      <c r="G92" s="48" t="s">
        <v>30</v>
      </c>
      <c r="H92" s="147">
        <v>500</v>
      </c>
      <c r="I92" s="148" t="s">
        <v>90</v>
      </c>
      <c r="J92" s="62" t="s">
        <v>31</v>
      </c>
      <c r="K92" s="62" t="s">
        <v>32</v>
      </c>
      <c r="N92" s="126">
        <v>100</v>
      </c>
      <c r="S92" s="745" t="s">
        <v>37</v>
      </c>
      <c r="T92" s="719"/>
      <c r="U92" s="69">
        <v>21500</v>
      </c>
      <c r="W92" s="55">
        <f>SUM(H90:H96,H99:H108,H122,H135:H140,H147:H148,H152,H161,H163,H165,H167)</f>
        <v>21500</v>
      </c>
    </row>
    <row r="93" spans="1:23" ht="15.75" customHeight="1">
      <c r="A93" s="146">
        <v>5</v>
      </c>
      <c r="B93" s="146" t="s">
        <v>671</v>
      </c>
      <c r="C93" s="48" t="s">
        <v>27</v>
      </c>
      <c r="D93" s="48" t="s">
        <v>98</v>
      </c>
      <c r="E93" s="146" t="s">
        <v>36</v>
      </c>
      <c r="F93" s="48"/>
      <c r="G93" s="48" t="s">
        <v>30</v>
      </c>
      <c r="H93" s="147">
        <v>500</v>
      </c>
      <c r="I93" s="148" t="s">
        <v>90</v>
      </c>
      <c r="J93" s="62" t="s">
        <v>31</v>
      </c>
      <c r="K93" s="62" t="s">
        <v>32</v>
      </c>
      <c r="N93" s="126">
        <v>400</v>
      </c>
      <c r="S93" s="746" t="s">
        <v>576</v>
      </c>
      <c r="T93" s="719"/>
      <c r="U93" s="150">
        <v>105850</v>
      </c>
      <c r="W93" s="55">
        <f>SUM(W91:W92)</f>
        <v>105850</v>
      </c>
    </row>
    <row r="94" spans="1:23" ht="15.75" customHeight="1">
      <c r="A94" s="146">
        <v>5</v>
      </c>
      <c r="B94" s="146" t="s">
        <v>672</v>
      </c>
      <c r="C94" s="48" t="s">
        <v>27</v>
      </c>
      <c r="D94" s="48" t="s">
        <v>400</v>
      </c>
      <c r="E94" s="146" t="s">
        <v>36</v>
      </c>
      <c r="F94" s="48"/>
      <c r="G94" s="48" t="s">
        <v>30</v>
      </c>
      <c r="H94" s="147">
        <v>500</v>
      </c>
      <c r="I94" s="148" t="s">
        <v>90</v>
      </c>
      <c r="J94" s="62" t="s">
        <v>31</v>
      </c>
      <c r="K94" s="62" t="s">
        <v>32</v>
      </c>
      <c r="N94" s="126">
        <v>100</v>
      </c>
      <c r="S94" s="736" t="s">
        <v>286</v>
      </c>
      <c r="T94" s="743"/>
      <c r="U94" s="719"/>
    </row>
    <row r="95" spans="1:23" ht="15.75" customHeight="1">
      <c r="A95" s="146">
        <v>5</v>
      </c>
      <c r="B95" s="146" t="s">
        <v>673</v>
      </c>
      <c r="C95" s="48" t="s">
        <v>27</v>
      </c>
      <c r="D95" s="48" t="s">
        <v>98</v>
      </c>
      <c r="E95" s="146" t="s">
        <v>36</v>
      </c>
      <c r="F95" s="48"/>
      <c r="G95" s="48" t="s">
        <v>30</v>
      </c>
      <c r="H95" s="147">
        <v>500</v>
      </c>
      <c r="I95" s="148" t="s">
        <v>90</v>
      </c>
      <c r="J95" s="62" t="s">
        <v>31</v>
      </c>
      <c r="K95" s="62" t="s">
        <v>32</v>
      </c>
      <c r="N95" s="126">
        <v>100</v>
      </c>
      <c r="S95" s="745" t="s">
        <v>580</v>
      </c>
      <c r="T95" s="719"/>
      <c r="U95" s="68">
        <v>5</v>
      </c>
    </row>
    <row r="96" spans="1:23" ht="15.75" customHeight="1">
      <c r="A96" s="146">
        <v>5</v>
      </c>
      <c r="B96" s="146" t="s">
        <v>674</v>
      </c>
      <c r="C96" s="48" t="s">
        <v>27</v>
      </c>
      <c r="D96" s="48" t="s">
        <v>35</v>
      </c>
      <c r="E96" s="146" t="s">
        <v>36</v>
      </c>
      <c r="F96" s="48"/>
      <c r="G96" s="48" t="s">
        <v>30</v>
      </c>
      <c r="H96" s="147">
        <v>500</v>
      </c>
      <c r="I96" s="148" t="s">
        <v>90</v>
      </c>
      <c r="J96" s="62" t="s">
        <v>31</v>
      </c>
      <c r="K96" s="62" t="s">
        <v>32</v>
      </c>
      <c r="N96" s="126">
        <v>100</v>
      </c>
      <c r="S96" s="745" t="s">
        <v>348</v>
      </c>
      <c r="T96" s="719"/>
      <c r="U96" s="68">
        <v>50</v>
      </c>
    </row>
    <row r="97" spans="1:21" ht="15.75" customHeight="1">
      <c r="A97" s="58">
        <v>5</v>
      </c>
      <c r="B97" s="146" t="s">
        <v>674</v>
      </c>
      <c r="C97" s="48" t="s">
        <v>27</v>
      </c>
      <c r="D97" s="48" t="s">
        <v>35</v>
      </c>
      <c r="E97" s="146" t="s">
        <v>36</v>
      </c>
      <c r="F97" s="58"/>
      <c r="G97" s="58" t="s">
        <v>30</v>
      </c>
      <c r="H97" s="59">
        <v>300</v>
      </c>
      <c r="I97" s="160">
        <v>60</v>
      </c>
      <c r="J97" s="62" t="s">
        <v>31</v>
      </c>
      <c r="K97" s="62" t="s">
        <v>32</v>
      </c>
      <c r="S97" s="746" t="s">
        <v>576</v>
      </c>
      <c r="T97" s="719"/>
      <c r="U97" s="154">
        <v>55</v>
      </c>
    </row>
    <row r="98" spans="1:21" ht="15.75" customHeight="1">
      <c r="A98" s="62">
        <v>6</v>
      </c>
      <c r="B98" s="62" t="s">
        <v>675</v>
      </c>
      <c r="C98" s="62" t="s">
        <v>27</v>
      </c>
      <c r="D98" s="62" t="s">
        <v>100</v>
      </c>
      <c r="E98" s="62" t="s">
        <v>79</v>
      </c>
      <c r="F98" s="62"/>
      <c r="G98" s="62" t="s">
        <v>30</v>
      </c>
      <c r="H98" s="63">
        <v>500</v>
      </c>
      <c r="I98" s="159">
        <v>100</v>
      </c>
      <c r="J98" s="62" t="s">
        <v>31</v>
      </c>
      <c r="K98" s="62" t="s">
        <v>32</v>
      </c>
      <c r="N98" s="126">
        <v>300</v>
      </c>
      <c r="S98" s="747" t="s">
        <v>586</v>
      </c>
      <c r="T98" s="743"/>
      <c r="U98" s="719"/>
    </row>
    <row r="99" spans="1:21" ht="15.75" customHeight="1">
      <c r="A99" s="146">
        <v>6</v>
      </c>
      <c r="B99" s="146" t="s">
        <v>676</v>
      </c>
      <c r="C99" s="48" t="s">
        <v>27</v>
      </c>
      <c r="D99" s="48" t="s">
        <v>153</v>
      </c>
      <c r="E99" s="146" t="s">
        <v>89</v>
      </c>
      <c r="F99" s="48"/>
      <c r="G99" s="48" t="s">
        <v>30</v>
      </c>
      <c r="H99" s="147">
        <v>500</v>
      </c>
      <c r="I99" s="148" t="s">
        <v>90</v>
      </c>
      <c r="J99" s="48" t="s">
        <v>31</v>
      </c>
      <c r="K99" s="48" t="s">
        <v>32</v>
      </c>
      <c r="N99" s="126">
        <v>110</v>
      </c>
      <c r="S99" s="745" t="s">
        <v>33</v>
      </c>
      <c r="T99" s="719"/>
      <c r="U99" s="69">
        <v>650</v>
      </c>
    </row>
    <row r="100" spans="1:21" ht="15.75" customHeight="1">
      <c r="A100" s="146">
        <v>6</v>
      </c>
      <c r="B100" s="146" t="s">
        <v>677</v>
      </c>
      <c r="C100" s="48" t="s">
        <v>27</v>
      </c>
      <c r="D100" s="48" t="s">
        <v>153</v>
      </c>
      <c r="E100" s="146" t="s">
        <v>89</v>
      </c>
      <c r="F100" s="48"/>
      <c r="G100" s="48" t="s">
        <v>30</v>
      </c>
      <c r="H100" s="147">
        <v>500</v>
      </c>
      <c r="I100" s="148" t="s">
        <v>90</v>
      </c>
      <c r="J100" s="48" t="s">
        <v>31</v>
      </c>
      <c r="K100" s="48" t="s">
        <v>32</v>
      </c>
      <c r="N100" s="126">
        <v>110</v>
      </c>
      <c r="S100" s="745" t="s">
        <v>37</v>
      </c>
      <c r="T100" s="719"/>
      <c r="U100" s="69">
        <v>0</v>
      </c>
    </row>
    <row r="101" spans="1:21" ht="15.75" customHeight="1">
      <c r="A101" s="146">
        <v>6</v>
      </c>
      <c r="B101" s="146" t="s">
        <v>678</v>
      </c>
      <c r="C101" s="48" t="s">
        <v>27</v>
      </c>
      <c r="D101" s="48" t="s">
        <v>153</v>
      </c>
      <c r="E101" s="146" t="s">
        <v>89</v>
      </c>
      <c r="F101" s="48"/>
      <c r="G101" s="48" t="s">
        <v>30</v>
      </c>
      <c r="H101" s="147">
        <v>500</v>
      </c>
      <c r="I101" s="148" t="s">
        <v>90</v>
      </c>
      <c r="J101" s="48" t="s">
        <v>31</v>
      </c>
      <c r="K101" s="48" t="s">
        <v>32</v>
      </c>
      <c r="N101" s="126">
        <v>110</v>
      </c>
      <c r="S101" s="746" t="s">
        <v>576</v>
      </c>
      <c r="T101" s="719"/>
      <c r="U101" s="155">
        <v>650</v>
      </c>
    </row>
    <row r="102" spans="1:21" ht="15.75" customHeight="1">
      <c r="A102" s="146">
        <v>6</v>
      </c>
      <c r="B102" s="146" t="s">
        <v>679</v>
      </c>
      <c r="C102" s="48" t="s">
        <v>27</v>
      </c>
      <c r="D102" s="48" t="s">
        <v>153</v>
      </c>
      <c r="E102" s="146" t="s">
        <v>89</v>
      </c>
      <c r="F102" s="48"/>
      <c r="G102" s="48" t="s">
        <v>30</v>
      </c>
      <c r="H102" s="147">
        <v>500</v>
      </c>
      <c r="I102" s="148" t="s">
        <v>90</v>
      </c>
      <c r="J102" s="48" t="s">
        <v>31</v>
      </c>
      <c r="K102" s="48" t="s">
        <v>32</v>
      </c>
      <c r="N102" s="126">
        <v>120</v>
      </c>
    </row>
    <row r="103" spans="1:21" ht="15.75" customHeight="1">
      <c r="A103" s="146">
        <v>6</v>
      </c>
      <c r="B103" s="146" t="s">
        <v>680</v>
      </c>
      <c r="C103" s="48" t="s">
        <v>39</v>
      </c>
      <c r="D103" s="48" t="s">
        <v>153</v>
      </c>
      <c r="E103" s="146" t="s">
        <v>89</v>
      </c>
      <c r="F103" s="48"/>
      <c r="G103" s="48" t="s">
        <v>30</v>
      </c>
      <c r="H103" s="147">
        <v>500</v>
      </c>
      <c r="I103" s="148" t="s">
        <v>90</v>
      </c>
      <c r="J103" s="48" t="s">
        <v>31</v>
      </c>
      <c r="K103" s="48" t="s">
        <v>32</v>
      </c>
      <c r="N103" s="126">
        <v>115</v>
      </c>
    </row>
    <row r="104" spans="1:21" ht="15.75" customHeight="1">
      <c r="A104" s="146">
        <v>6</v>
      </c>
      <c r="B104" s="146" t="s">
        <v>681</v>
      </c>
      <c r="C104" s="48" t="s">
        <v>27</v>
      </c>
      <c r="D104" s="48" t="s">
        <v>153</v>
      </c>
      <c r="E104" s="146" t="s">
        <v>89</v>
      </c>
      <c r="F104" s="48"/>
      <c r="G104" s="48" t="s">
        <v>30</v>
      </c>
      <c r="H104" s="147">
        <v>500</v>
      </c>
      <c r="I104" s="148" t="s">
        <v>90</v>
      </c>
      <c r="J104" s="48" t="s">
        <v>31</v>
      </c>
      <c r="K104" s="48" t="s">
        <v>32</v>
      </c>
      <c r="N104" s="126">
        <v>100</v>
      </c>
    </row>
    <row r="105" spans="1:21" ht="15.75" customHeight="1">
      <c r="A105" s="146">
        <v>6</v>
      </c>
      <c r="B105" s="146" t="s">
        <v>682</v>
      </c>
      <c r="C105" s="48" t="s">
        <v>27</v>
      </c>
      <c r="D105" s="48" t="s">
        <v>153</v>
      </c>
      <c r="E105" s="146" t="s">
        <v>89</v>
      </c>
      <c r="F105" s="48"/>
      <c r="G105" s="48" t="s">
        <v>30</v>
      </c>
      <c r="H105" s="147">
        <v>500</v>
      </c>
      <c r="I105" s="148" t="s">
        <v>90</v>
      </c>
      <c r="J105" s="48" t="s">
        <v>31</v>
      </c>
      <c r="K105" s="48" t="s">
        <v>32</v>
      </c>
      <c r="N105" s="126">
        <v>110</v>
      </c>
    </row>
    <row r="106" spans="1:21" ht="15.75" customHeight="1">
      <c r="A106" s="146">
        <v>6</v>
      </c>
      <c r="B106" s="146" t="s">
        <v>683</v>
      </c>
      <c r="C106" s="48" t="s">
        <v>39</v>
      </c>
      <c r="D106" s="48" t="s">
        <v>153</v>
      </c>
      <c r="E106" s="146" t="s">
        <v>89</v>
      </c>
      <c r="F106" s="48"/>
      <c r="G106" s="48" t="s">
        <v>30</v>
      </c>
      <c r="H106" s="147">
        <v>500</v>
      </c>
      <c r="I106" s="148" t="s">
        <v>90</v>
      </c>
      <c r="J106" s="48" t="s">
        <v>31</v>
      </c>
      <c r="K106" s="48" t="s">
        <v>32</v>
      </c>
      <c r="N106" s="126">
        <v>115</v>
      </c>
    </row>
    <row r="107" spans="1:21" ht="15.75" customHeight="1">
      <c r="A107" s="146">
        <v>6</v>
      </c>
      <c r="B107" s="146" t="s">
        <v>684</v>
      </c>
      <c r="C107" s="48" t="s">
        <v>27</v>
      </c>
      <c r="D107" s="48" t="s">
        <v>153</v>
      </c>
      <c r="E107" s="146" t="s">
        <v>89</v>
      </c>
      <c r="F107" s="48"/>
      <c r="G107" s="48" t="s">
        <v>30</v>
      </c>
      <c r="H107" s="147">
        <v>500</v>
      </c>
      <c r="I107" s="148" t="s">
        <v>90</v>
      </c>
      <c r="J107" s="48" t="s">
        <v>31</v>
      </c>
      <c r="K107" s="48" t="s">
        <v>32</v>
      </c>
      <c r="N107" s="126">
        <v>115</v>
      </c>
    </row>
    <row r="108" spans="1:21" ht="15.75" customHeight="1">
      <c r="A108" s="156">
        <v>6</v>
      </c>
      <c r="B108" s="156" t="s">
        <v>685</v>
      </c>
      <c r="C108" s="58" t="s">
        <v>27</v>
      </c>
      <c r="D108" s="58" t="s">
        <v>153</v>
      </c>
      <c r="E108" s="156" t="s">
        <v>89</v>
      </c>
      <c r="F108" s="58"/>
      <c r="G108" s="58" t="s">
        <v>30</v>
      </c>
      <c r="H108" s="157">
        <v>500</v>
      </c>
      <c r="I108" s="158" t="s">
        <v>90</v>
      </c>
      <c r="J108" s="58" t="s">
        <v>31</v>
      </c>
      <c r="K108" s="58" t="s">
        <v>32</v>
      </c>
      <c r="N108" s="126">
        <v>120</v>
      </c>
    </row>
    <row r="109" spans="1:21" ht="15.75" customHeight="1">
      <c r="A109" s="62">
        <v>10</v>
      </c>
      <c r="B109" s="62" t="s">
        <v>686</v>
      </c>
      <c r="C109" s="62" t="s">
        <v>27</v>
      </c>
      <c r="D109" s="62" t="s">
        <v>347</v>
      </c>
      <c r="E109" s="62" t="s">
        <v>245</v>
      </c>
      <c r="F109" s="62"/>
      <c r="G109" s="62" t="s">
        <v>30</v>
      </c>
      <c r="H109" s="63">
        <v>100</v>
      </c>
      <c r="I109" s="159">
        <v>20</v>
      </c>
      <c r="J109" s="48" t="s">
        <v>31</v>
      </c>
      <c r="K109" s="48" t="s">
        <v>32</v>
      </c>
    </row>
    <row r="110" spans="1:21" ht="15.75" customHeight="1">
      <c r="A110" s="48">
        <v>10</v>
      </c>
      <c r="B110" s="62" t="s">
        <v>686</v>
      </c>
      <c r="C110" s="62" t="s">
        <v>27</v>
      </c>
      <c r="D110" s="62" t="s">
        <v>347</v>
      </c>
      <c r="E110" s="62" t="s">
        <v>245</v>
      </c>
      <c r="F110" s="48"/>
      <c r="G110" s="48" t="s">
        <v>589</v>
      </c>
      <c r="H110" s="51">
        <v>50</v>
      </c>
      <c r="I110" s="119">
        <v>150</v>
      </c>
      <c r="J110" s="48" t="s">
        <v>31</v>
      </c>
      <c r="K110" s="48" t="s">
        <v>32</v>
      </c>
    </row>
    <row r="111" spans="1:21" ht="15.75" customHeight="1">
      <c r="A111" s="48">
        <v>10</v>
      </c>
      <c r="B111" s="48" t="s">
        <v>687</v>
      </c>
      <c r="C111" s="48" t="s">
        <v>27</v>
      </c>
      <c r="D111" s="48" t="s">
        <v>688</v>
      </c>
      <c r="E111" s="48" t="s">
        <v>223</v>
      </c>
      <c r="F111" s="48"/>
      <c r="G111" s="48" t="s">
        <v>608</v>
      </c>
      <c r="H111" s="51">
        <v>5</v>
      </c>
      <c r="I111" s="119">
        <v>100</v>
      </c>
      <c r="J111" s="48" t="s">
        <v>31</v>
      </c>
      <c r="K111" s="48" t="s">
        <v>32</v>
      </c>
    </row>
    <row r="112" spans="1:21" ht="15.75" customHeight="1">
      <c r="A112" s="48">
        <v>10</v>
      </c>
      <c r="B112" s="48" t="s">
        <v>689</v>
      </c>
      <c r="C112" s="48" t="s">
        <v>27</v>
      </c>
      <c r="D112" s="48" t="s">
        <v>416</v>
      </c>
      <c r="E112" s="48" t="s">
        <v>73</v>
      </c>
      <c r="F112" s="48"/>
      <c r="G112" s="48" t="s">
        <v>30</v>
      </c>
      <c r="H112" s="51">
        <v>500</v>
      </c>
      <c r="I112" s="119">
        <v>100</v>
      </c>
      <c r="J112" s="48" t="s">
        <v>31</v>
      </c>
      <c r="K112" s="48" t="s">
        <v>32</v>
      </c>
      <c r="N112" s="126">
        <v>200</v>
      </c>
    </row>
    <row r="113" spans="1:14" ht="15.75" customHeight="1">
      <c r="A113" s="48">
        <v>10</v>
      </c>
      <c r="B113" s="48" t="s">
        <v>690</v>
      </c>
      <c r="C113" s="48" t="s">
        <v>27</v>
      </c>
      <c r="D113" s="48" t="s">
        <v>43</v>
      </c>
      <c r="E113" s="48" t="s">
        <v>44</v>
      </c>
      <c r="F113" s="48"/>
      <c r="G113" s="48" t="s">
        <v>30</v>
      </c>
      <c r="H113" s="51">
        <v>2500</v>
      </c>
      <c r="I113" s="119">
        <v>500</v>
      </c>
      <c r="J113" s="48" t="s">
        <v>31</v>
      </c>
      <c r="K113" s="48" t="s">
        <v>32</v>
      </c>
      <c r="N113" s="126">
        <v>600</v>
      </c>
    </row>
    <row r="114" spans="1:14" ht="15.75" customHeight="1">
      <c r="A114" s="48">
        <v>10</v>
      </c>
      <c r="B114" s="48" t="s">
        <v>691</v>
      </c>
      <c r="C114" s="48" t="s">
        <v>27</v>
      </c>
      <c r="D114" s="48" t="s">
        <v>499</v>
      </c>
      <c r="E114" s="48" t="s">
        <v>145</v>
      </c>
      <c r="F114" s="48"/>
      <c r="G114" s="48" t="s">
        <v>30</v>
      </c>
      <c r="H114" s="51">
        <v>1500</v>
      </c>
      <c r="I114" s="119">
        <v>300</v>
      </c>
      <c r="J114" s="48" t="s">
        <v>31</v>
      </c>
      <c r="K114" s="48" t="s">
        <v>32</v>
      </c>
      <c r="N114" s="126">
        <v>300</v>
      </c>
    </row>
    <row r="115" spans="1:14" ht="15.75" customHeight="1">
      <c r="A115" s="48">
        <v>10</v>
      </c>
      <c r="B115" s="48" t="s">
        <v>692</v>
      </c>
      <c r="C115" s="48" t="s">
        <v>27</v>
      </c>
      <c r="D115" s="48" t="s">
        <v>631</v>
      </c>
      <c r="E115" s="48" t="s">
        <v>84</v>
      </c>
      <c r="F115" s="48"/>
      <c r="G115" s="48" t="s">
        <v>30</v>
      </c>
      <c r="H115" s="51">
        <v>3500</v>
      </c>
      <c r="I115" s="119">
        <v>700</v>
      </c>
      <c r="J115" s="48" t="s">
        <v>31</v>
      </c>
      <c r="K115" s="48" t="s">
        <v>32</v>
      </c>
      <c r="N115" s="126">
        <v>900</v>
      </c>
    </row>
    <row r="116" spans="1:14" ht="15.75" customHeight="1">
      <c r="A116" s="48">
        <v>10</v>
      </c>
      <c r="B116" s="48" t="s">
        <v>693</v>
      </c>
      <c r="C116" s="48" t="s">
        <v>39</v>
      </c>
      <c r="D116" s="48" t="s">
        <v>387</v>
      </c>
      <c r="E116" s="48" t="s">
        <v>602</v>
      </c>
      <c r="F116" s="48"/>
      <c r="G116" s="48" t="s">
        <v>30</v>
      </c>
      <c r="H116" s="51">
        <v>4000</v>
      </c>
      <c r="I116" s="119">
        <v>800</v>
      </c>
      <c r="J116" s="48" t="s">
        <v>31</v>
      </c>
      <c r="K116" s="48" t="s">
        <v>32</v>
      </c>
      <c r="N116" s="126">
        <v>2500</v>
      </c>
    </row>
    <row r="117" spans="1:14" ht="15.75" customHeight="1">
      <c r="A117" s="48">
        <v>10</v>
      </c>
      <c r="B117" s="48" t="s">
        <v>694</v>
      </c>
      <c r="C117" s="48" t="s">
        <v>27</v>
      </c>
      <c r="D117" s="48" t="s">
        <v>695</v>
      </c>
      <c r="E117" s="48" t="s">
        <v>102</v>
      </c>
      <c r="F117" s="48"/>
      <c r="G117" s="48" t="s">
        <v>30</v>
      </c>
      <c r="H117" s="51">
        <v>700</v>
      </c>
      <c r="I117" s="119">
        <v>140</v>
      </c>
      <c r="J117" s="48" t="s">
        <v>31</v>
      </c>
      <c r="K117" s="48" t="s">
        <v>32</v>
      </c>
      <c r="N117" s="126">
        <v>40</v>
      </c>
    </row>
    <row r="118" spans="1:14" ht="15.75" customHeight="1">
      <c r="A118" s="48">
        <v>10</v>
      </c>
      <c r="B118" s="48" t="s">
        <v>696</v>
      </c>
      <c r="C118" s="48" t="s">
        <v>39</v>
      </c>
      <c r="D118" s="48" t="s">
        <v>100</v>
      </c>
      <c r="E118" s="48" t="s">
        <v>86</v>
      </c>
      <c r="F118" s="48"/>
      <c r="G118" s="48" t="s">
        <v>30</v>
      </c>
      <c r="H118" s="51">
        <v>300</v>
      </c>
      <c r="I118" s="119">
        <v>60</v>
      </c>
      <c r="J118" s="48" t="s">
        <v>31</v>
      </c>
      <c r="K118" s="48" t="s">
        <v>32</v>
      </c>
      <c r="N118" s="126">
        <v>50</v>
      </c>
    </row>
    <row r="119" spans="1:14" ht="15.75" customHeight="1">
      <c r="A119" s="48">
        <v>10</v>
      </c>
      <c r="B119" s="48" t="s">
        <v>697</v>
      </c>
      <c r="C119" s="48" t="s">
        <v>27</v>
      </c>
      <c r="D119" s="48" t="s">
        <v>98</v>
      </c>
      <c r="E119" s="48" t="s">
        <v>36</v>
      </c>
      <c r="F119" s="48"/>
      <c r="G119" s="48" t="s">
        <v>30</v>
      </c>
      <c r="H119" s="51">
        <v>2000</v>
      </c>
      <c r="I119" s="119">
        <v>400</v>
      </c>
      <c r="J119" s="48" t="s">
        <v>31</v>
      </c>
      <c r="K119" s="48" t="s">
        <v>32</v>
      </c>
      <c r="N119" s="126">
        <v>300</v>
      </c>
    </row>
    <row r="120" spans="1:14" ht="15.75" customHeight="1">
      <c r="A120" s="48">
        <v>10</v>
      </c>
      <c r="B120" s="48" t="s">
        <v>698</v>
      </c>
      <c r="C120" s="48" t="s">
        <v>27</v>
      </c>
      <c r="D120" s="48" t="s">
        <v>297</v>
      </c>
      <c r="E120" s="48" t="s">
        <v>44</v>
      </c>
      <c r="F120" s="48"/>
      <c r="G120" s="48" t="s">
        <v>30</v>
      </c>
      <c r="H120" s="51">
        <v>400</v>
      </c>
      <c r="I120" s="119">
        <v>80</v>
      </c>
      <c r="J120" s="48" t="s">
        <v>31</v>
      </c>
      <c r="K120" s="48" t="s">
        <v>32</v>
      </c>
      <c r="N120" s="126">
        <v>100</v>
      </c>
    </row>
    <row r="121" spans="1:14" ht="15.75" customHeight="1">
      <c r="A121" s="48">
        <v>10</v>
      </c>
      <c r="B121" s="48" t="s">
        <v>699</v>
      </c>
      <c r="C121" s="48" t="s">
        <v>27</v>
      </c>
      <c r="D121" s="48" t="s">
        <v>98</v>
      </c>
      <c r="E121" s="48" t="s">
        <v>36</v>
      </c>
      <c r="F121" s="48"/>
      <c r="G121" s="48" t="s">
        <v>30</v>
      </c>
      <c r="H121" s="51">
        <v>3500</v>
      </c>
      <c r="I121" s="119">
        <v>700</v>
      </c>
      <c r="J121" s="48" t="s">
        <v>31</v>
      </c>
      <c r="K121" s="48" t="s">
        <v>32</v>
      </c>
      <c r="N121" s="126">
        <v>900</v>
      </c>
    </row>
    <row r="122" spans="1:14" ht="15.75" customHeight="1">
      <c r="A122" s="146">
        <v>10</v>
      </c>
      <c r="B122" s="146" t="s">
        <v>700</v>
      </c>
      <c r="C122" s="48" t="s">
        <v>27</v>
      </c>
      <c r="D122" s="48" t="s">
        <v>110</v>
      </c>
      <c r="E122" s="146" t="s">
        <v>36</v>
      </c>
      <c r="F122" s="48"/>
      <c r="G122" s="48" t="s">
        <v>30</v>
      </c>
      <c r="H122" s="147">
        <v>1500</v>
      </c>
      <c r="I122" s="148" t="s">
        <v>90</v>
      </c>
      <c r="J122" s="48" t="s">
        <v>31</v>
      </c>
      <c r="K122" s="48" t="s">
        <v>32</v>
      </c>
      <c r="N122" s="126">
        <v>200</v>
      </c>
    </row>
    <row r="123" spans="1:14" ht="15.75" customHeight="1">
      <c r="A123" s="48">
        <v>10</v>
      </c>
      <c r="B123" s="146" t="s">
        <v>700</v>
      </c>
      <c r="C123" s="48" t="s">
        <v>27</v>
      </c>
      <c r="D123" s="48" t="s">
        <v>110</v>
      </c>
      <c r="E123" s="146" t="s">
        <v>36</v>
      </c>
      <c r="F123" s="48"/>
      <c r="G123" s="48" t="s">
        <v>30</v>
      </c>
      <c r="H123" s="51">
        <v>500</v>
      </c>
      <c r="I123" s="119">
        <v>100</v>
      </c>
      <c r="J123" s="48" t="s">
        <v>31</v>
      </c>
      <c r="K123" s="48" t="s">
        <v>32</v>
      </c>
    </row>
    <row r="124" spans="1:14" ht="15.75" customHeight="1">
      <c r="A124" s="48">
        <v>10</v>
      </c>
      <c r="B124" s="48" t="s">
        <v>701</v>
      </c>
      <c r="C124" s="48" t="s">
        <v>27</v>
      </c>
      <c r="D124" s="48" t="s">
        <v>295</v>
      </c>
      <c r="E124" s="48" t="s">
        <v>86</v>
      </c>
      <c r="F124" s="48"/>
      <c r="G124" s="48" t="s">
        <v>30</v>
      </c>
      <c r="H124" s="51">
        <v>1000</v>
      </c>
      <c r="I124" s="119">
        <v>200</v>
      </c>
      <c r="J124" s="48" t="s">
        <v>31</v>
      </c>
      <c r="K124" s="48" t="s">
        <v>32</v>
      </c>
      <c r="N124" s="126">
        <v>400</v>
      </c>
    </row>
    <row r="125" spans="1:14" ht="15.75" customHeight="1">
      <c r="A125" s="48">
        <v>10</v>
      </c>
      <c r="B125" s="151" t="s">
        <v>164</v>
      </c>
      <c r="C125" s="151" t="s">
        <v>27</v>
      </c>
      <c r="D125" s="151" t="s">
        <v>165</v>
      </c>
      <c r="E125" s="151" t="s">
        <v>84</v>
      </c>
      <c r="F125" s="151"/>
      <c r="G125" s="151" t="s">
        <v>579</v>
      </c>
      <c r="H125" s="152">
        <v>500</v>
      </c>
      <c r="I125" s="153">
        <v>500</v>
      </c>
      <c r="J125" s="48" t="s">
        <v>31</v>
      </c>
      <c r="K125" s="48" t="s">
        <v>32</v>
      </c>
    </row>
    <row r="126" spans="1:14" ht="15.75" customHeight="1">
      <c r="A126" s="48">
        <v>10</v>
      </c>
      <c r="B126" s="48" t="s">
        <v>702</v>
      </c>
      <c r="C126" s="48" t="s">
        <v>27</v>
      </c>
      <c r="D126" s="48" t="s">
        <v>387</v>
      </c>
      <c r="E126" s="48" t="s">
        <v>73</v>
      </c>
      <c r="F126" s="48"/>
      <c r="G126" s="48" t="s">
        <v>30</v>
      </c>
      <c r="H126" s="51">
        <v>1000</v>
      </c>
      <c r="I126" s="119">
        <v>200</v>
      </c>
      <c r="J126" s="48" t="s">
        <v>31</v>
      </c>
      <c r="K126" s="48" t="s">
        <v>32</v>
      </c>
      <c r="N126" s="126">
        <v>50</v>
      </c>
    </row>
    <row r="127" spans="1:14" ht="15.75" customHeight="1">
      <c r="A127" s="48">
        <v>10</v>
      </c>
      <c r="B127" s="48" t="s">
        <v>703</v>
      </c>
      <c r="C127" s="48" t="s">
        <v>27</v>
      </c>
      <c r="D127" s="48" t="s">
        <v>63</v>
      </c>
      <c r="E127" s="48" t="s">
        <v>29</v>
      </c>
      <c r="F127" s="48"/>
      <c r="G127" s="48" t="s">
        <v>30</v>
      </c>
      <c r="H127" s="51">
        <v>3000</v>
      </c>
      <c r="I127" s="119">
        <v>600</v>
      </c>
      <c r="J127" s="48" t="s">
        <v>31</v>
      </c>
      <c r="K127" s="48" t="s">
        <v>32</v>
      </c>
      <c r="N127" s="126">
        <v>600</v>
      </c>
    </row>
    <row r="128" spans="1:14" ht="15.75" customHeight="1">
      <c r="A128" s="48">
        <v>10</v>
      </c>
      <c r="B128" s="48" t="s">
        <v>704</v>
      </c>
      <c r="C128" s="48" t="s">
        <v>39</v>
      </c>
      <c r="D128" s="48" t="s">
        <v>43</v>
      </c>
      <c r="E128" s="48" t="s">
        <v>44</v>
      </c>
      <c r="F128" s="48"/>
      <c r="G128" s="48" t="s">
        <v>30</v>
      </c>
      <c r="H128" s="51">
        <v>2500</v>
      </c>
      <c r="I128" s="119">
        <v>500</v>
      </c>
      <c r="J128" s="48" t="s">
        <v>31</v>
      </c>
      <c r="K128" s="48" t="s">
        <v>32</v>
      </c>
    </row>
    <row r="129" spans="1:14" ht="15.75" customHeight="1">
      <c r="A129" s="48">
        <v>10</v>
      </c>
      <c r="B129" s="48" t="s">
        <v>704</v>
      </c>
      <c r="C129" s="48" t="s">
        <v>39</v>
      </c>
      <c r="D129" s="48" t="s">
        <v>43</v>
      </c>
      <c r="E129" s="48" t="s">
        <v>44</v>
      </c>
      <c r="F129" s="48"/>
      <c r="G129" s="151" t="s">
        <v>579</v>
      </c>
      <c r="H129" s="152">
        <v>100</v>
      </c>
      <c r="I129" s="153">
        <v>100</v>
      </c>
      <c r="J129" s="48" t="s">
        <v>31</v>
      </c>
      <c r="K129" s="48" t="s">
        <v>32</v>
      </c>
    </row>
    <row r="130" spans="1:14" ht="15.75" customHeight="1">
      <c r="A130" s="48">
        <v>10</v>
      </c>
      <c r="B130" s="48" t="s">
        <v>705</v>
      </c>
      <c r="C130" s="48" t="s">
        <v>27</v>
      </c>
      <c r="D130" s="48" t="s">
        <v>706</v>
      </c>
      <c r="E130" s="48" t="s">
        <v>29</v>
      </c>
      <c r="F130" s="48"/>
      <c r="G130" s="48" t="s">
        <v>30</v>
      </c>
      <c r="H130" s="51">
        <v>10000</v>
      </c>
      <c r="I130" s="119">
        <v>2000</v>
      </c>
      <c r="J130" s="48" t="s">
        <v>31</v>
      </c>
      <c r="K130" s="48" t="s">
        <v>32</v>
      </c>
      <c r="N130" s="126">
        <v>3500</v>
      </c>
    </row>
    <row r="131" spans="1:14" ht="15.75" customHeight="1">
      <c r="A131" s="48">
        <v>10</v>
      </c>
      <c r="B131" s="48" t="s">
        <v>707</v>
      </c>
      <c r="C131" s="48" t="s">
        <v>27</v>
      </c>
      <c r="D131" s="48" t="s">
        <v>35</v>
      </c>
      <c r="E131" s="48" t="s">
        <v>54</v>
      </c>
      <c r="F131" s="48"/>
      <c r="G131" s="48" t="s">
        <v>30</v>
      </c>
      <c r="H131" s="51">
        <v>11000</v>
      </c>
      <c r="I131" s="119">
        <v>2200</v>
      </c>
      <c r="J131" s="48" t="s">
        <v>31</v>
      </c>
      <c r="K131" s="48" t="s">
        <v>32</v>
      </c>
    </row>
    <row r="132" spans="1:14" ht="15.75" customHeight="1">
      <c r="A132" s="48">
        <v>10</v>
      </c>
      <c r="B132" s="48" t="s">
        <v>708</v>
      </c>
      <c r="C132" s="48" t="s">
        <v>27</v>
      </c>
      <c r="D132" s="48" t="s">
        <v>232</v>
      </c>
      <c r="E132" s="48" t="s">
        <v>68</v>
      </c>
      <c r="F132" s="48"/>
      <c r="G132" s="48" t="s">
        <v>30</v>
      </c>
      <c r="H132" s="51">
        <v>2000</v>
      </c>
      <c r="I132" s="119">
        <v>400</v>
      </c>
      <c r="J132" s="48" t="s">
        <v>31</v>
      </c>
      <c r="K132" s="48" t="s">
        <v>32</v>
      </c>
      <c r="N132" s="126">
        <v>600</v>
      </c>
    </row>
    <row r="133" spans="1:14" ht="15.75" customHeight="1">
      <c r="A133" s="48">
        <v>10</v>
      </c>
      <c r="B133" s="48" t="s">
        <v>709</v>
      </c>
      <c r="C133" s="48" t="s">
        <v>39</v>
      </c>
      <c r="D133" s="48" t="s">
        <v>110</v>
      </c>
      <c r="E133" s="48" t="s">
        <v>36</v>
      </c>
      <c r="F133" s="48"/>
      <c r="G133" s="48" t="s">
        <v>30</v>
      </c>
      <c r="H133" s="51">
        <v>2000</v>
      </c>
      <c r="I133" s="119">
        <v>400</v>
      </c>
      <c r="J133" s="48" t="s">
        <v>31</v>
      </c>
      <c r="K133" s="48" t="s">
        <v>32</v>
      </c>
      <c r="N133" s="126">
        <v>100</v>
      </c>
    </row>
    <row r="134" spans="1:14" ht="15.75" customHeight="1">
      <c r="A134" s="146">
        <v>10</v>
      </c>
      <c r="B134" s="146" t="s">
        <v>710</v>
      </c>
      <c r="C134" s="48" t="s">
        <v>39</v>
      </c>
      <c r="D134" s="48" t="s">
        <v>98</v>
      </c>
      <c r="E134" s="146" t="s">
        <v>36</v>
      </c>
      <c r="F134" s="48"/>
      <c r="G134" s="48" t="s">
        <v>30</v>
      </c>
      <c r="H134" s="51">
        <v>2500</v>
      </c>
      <c r="I134" s="119">
        <v>500</v>
      </c>
      <c r="J134" s="48" t="s">
        <v>31</v>
      </c>
      <c r="K134" s="48" t="s">
        <v>32</v>
      </c>
      <c r="N134" s="126">
        <v>2500</v>
      </c>
    </row>
    <row r="135" spans="1:14" ht="15.75" customHeight="1">
      <c r="A135" s="48">
        <v>10</v>
      </c>
      <c r="B135" s="146" t="s">
        <v>710</v>
      </c>
      <c r="C135" s="48" t="s">
        <v>39</v>
      </c>
      <c r="D135" s="48" t="s">
        <v>98</v>
      </c>
      <c r="E135" s="146" t="s">
        <v>36</v>
      </c>
      <c r="F135" s="48"/>
      <c r="G135" s="48" t="s">
        <v>30</v>
      </c>
      <c r="H135" s="147">
        <v>500</v>
      </c>
      <c r="I135" s="148" t="s">
        <v>90</v>
      </c>
      <c r="J135" s="48" t="s">
        <v>31</v>
      </c>
      <c r="K135" s="48" t="s">
        <v>32</v>
      </c>
    </row>
    <row r="136" spans="1:14" ht="15.75" customHeight="1">
      <c r="A136" s="146">
        <v>10</v>
      </c>
      <c r="B136" s="146" t="s">
        <v>711</v>
      </c>
      <c r="C136" s="48" t="s">
        <v>27</v>
      </c>
      <c r="D136" s="48" t="s">
        <v>712</v>
      </c>
      <c r="E136" s="146" t="s">
        <v>145</v>
      </c>
      <c r="F136" s="48"/>
      <c r="G136" s="48" t="s">
        <v>30</v>
      </c>
      <c r="H136" s="147">
        <v>2000</v>
      </c>
      <c r="I136" s="148" t="s">
        <v>90</v>
      </c>
      <c r="J136" s="48" t="s">
        <v>31</v>
      </c>
      <c r="K136" s="48" t="s">
        <v>32</v>
      </c>
      <c r="N136" s="126">
        <v>400</v>
      </c>
    </row>
    <row r="137" spans="1:14" ht="15.75" customHeight="1">
      <c r="A137" s="146">
        <v>10</v>
      </c>
      <c r="B137" s="146" t="s">
        <v>713</v>
      </c>
      <c r="C137" s="48" t="s">
        <v>27</v>
      </c>
      <c r="D137" s="48" t="s">
        <v>205</v>
      </c>
      <c r="E137" s="146" t="s">
        <v>191</v>
      </c>
      <c r="F137" s="48"/>
      <c r="G137" s="48" t="s">
        <v>30</v>
      </c>
      <c r="H137" s="147">
        <v>1500</v>
      </c>
      <c r="I137" s="148" t="s">
        <v>90</v>
      </c>
      <c r="J137" s="48" t="s">
        <v>31</v>
      </c>
      <c r="K137" s="48" t="s">
        <v>32</v>
      </c>
      <c r="N137" s="126">
        <f>4500/5</f>
        <v>900</v>
      </c>
    </row>
    <row r="138" spans="1:14" ht="15.75" customHeight="1">
      <c r="A138" s="146">
        <v>10</v>
      </c>
      <c r="B138" s="146" t="s">
        <v>714</v>
      </c>
      <c r="C138" s="48" t="s">
        <v>27</v>
      </c>
      <c r="D138" s="48" t="s">
        <v>205</v>
      </c>
      <c r="E138" s="146" t="s">
        <v>191</v>
      </c>
      <c r="F138" s="48"/>
      <c r="G138" s="48" t="s">
        <v>30</v>
      </c>
      <c r="H138" s="147">
        <v>1500</v>
      </c>
      <c r="I138" s="148" t="s">
        <v>90</v>
      </c>
      <c r="J138" s="48" t="s">
        <v>31</v>
      </c>
      <c r="K138" s="48" t="s">
        <v>32</v>
      </c>
    </row>
    <row r="139" spans="1:14" ht="15.75" customHeight="1">
      <c r="A139" s="156">
        <v>10</v>
      </c>
      <c r="B139" s="156" t="s">
        <v>715</v>
      </c>
      <c r="C139" s="58" t="s">
        <v>27</v>
      </c>
      <c r="D139" s="58" t="s">
        <v>205</v>
      </c>
      <c r="E139" s="156" t="s">
        <v>191</v>
      </c>
      <c r="F139" s="58"/>
      <c r="G139" s="58" t="s">
        <v>30</v>
      </c>
      <c r="H139" s="157">
        <v>1500</v>
      </c>
      <c r="I139" s="158" t="s">
        <v>90</v>
      </c>
      <c r="J139" s="58" t="s">
        <v>31</v>
      </c>
      <c r="K139" s="58" t="s">
        <v>32</v>
      </c>
    </row>
    <row r="140" spans="1:14" ht="15.75" customHeight="1">
      <c r="A140" s="161">
        <v>11</v>
      </c>
      <c r="B140" s="161" t="s">
        <v>716</v>
      </c>
      <c r="C140" s="62" t="s">
        <v>27</v>
      </c>
      <c r="D140" s="62" t="s">
        <v>108</v>
      </c>
      <c r="E140" s="161" t="s">
        <v>36</v>
      </c>
      <c r="F140" s="62"/>
      <c r="G140" s="62" t="s">
        <v>30</v>
      </c>
      <c r="H140" s="162">
        <v>1000</v>
      </c>
      <c r="I140" s="163" t="s">
        <v>90</v>
      </c>
      <c r="J140" s="62" t="s">
        <v>31</v>
      </c>
      <c r="K140" s="62" t="s">
        <v>32</v>
      </c>
      <c r="N140" s="126">
        <v>1800</v>
      </c>
    </row>
    <row r="141" spans="1:14" ht="15.75" customHeight="1">
      <c r="A141" s="48">
        <v>11</v>
      </c>
      <c r="B141" s="161" t="s">
        <v>716</v>
      </c>
      <c r="C141" s="62" t="s">
        <v>27</v>
      </c>
      <c r="D141" s="62" t="s">
        <v>108</v>
      </c>
      <c r="E141" s="161" t="s">
        <v>36</v>
      </c>
      <c r="F141" s="48"/>
      <c r="G141" s="48" t="s">
        <v>30</v>
      </c>
      <c r="H141" s="51">
        <v>1000</v>
      </c>
      <c r="I141" s="119">
        <v>200</v>
      </c>
      <c r="J141" s="48" t="s">
        <v>31</v>
      </c>
      <c r="K141" s="48" t="s">
        <v>32</v>
      </c>
    </row>
    <row r="142" spans="1:14" ht="15.75" customHeight="1">
      <c r="A142" s="48">
        <v>11</v>
      </c>
      <c r="B142" s="48" t="s">
        <v>717</v>
      </c>
      <c r="C142" s="48" t="s">
        <v>27</v>
      </c>
      <c r="D142" s="48" t="s">
        <v>65</v>
      </c>
      <c r="E142" s="48" t="s">
        <v>36</v>
      </c>
      <c r="F142" s="48"/>
      <c r="G142" s="48" t="s">
        <v>30</v>
      </c>
      <c r="H142" s="51">
        <v>1000</v>
      </c>
      <c r="I142" s="119">
        <v>200</v>
      </c>
      <c r="J142" s="48" t="s">
        <v>31</v>
      </c>
      <c r="K142" s="48" t="s">
        <v>32</v>
      </c>
      <c r="N142" s="126">
        <v>200</v>
      </c>
    </row>
    <row r="143" spans="1:14" ht="15.75" customHeight="1">
      <c r="A143" s="48">
        <v>11</v>
      </c>
      <c r="B143" s="48" t="s">
        <v>718</v>
      </c>
      <c r="C143" s="48" t="s">
        <v>27</v>
      </c>
      <c r="D143" s="48" t="s">
        <v>128</v>
      </c>
      <c r="E143" s="48" t="s">
        <v>36</v>
      </c>
      <c r="F143" s="48"/>
      <c r="G143" s="48" t="s">
        <v>30</v>
      </c>
      <c r="H143" s="51">
        <v>500</v>
      </c>
      <c r="I143" s="119">
        <v>100</v>
      </c>
      <c r="J143" s="48" t="s">
        <v>31</v>
      </c>
      <c r="K143" s="48" t="s">
        <v>32</v>
      </c>
      <c r="N143" s="126">
        <v>50</v>
      </c>
    </row>
    <row r="144" spans="1:14" ht="15.75" customHeight="1">
      <c r="A144" s="48">
        <v>11</v>
      </c>
      <c r="B144" s="48" t="s">
        <v>719</v>
      </c>
      <c r="C144" s="48" t="s">
        <v>39</v>
      </c>
      <c r="D144" s="48" t="s">
        <v>230</v>
      </c>
      <c r="E144" s="48" t="s">
        <v>223</v>
      </c>
      <c r="F144" s="48"/>
      <c r="G144" s="48" t="s">
        <v>30</v>
      </c>
      <c r="H144" s="51">
        <v>200</v>
      </c>
      <c r="I144" s="119">
        <v>60</v>
      </c>
      <c r="J144" s="48" t="s">
        <v>31</v>
      </c>
      <c r="K144" s="48" t="s">
        <v>32</v>
      </c>
    </row>
    <row r="145" spans="1:14" ht="15.75" customHeight="1">
      <c r="A145" s="48">
        <v>11</v>
      </c>
      <c r="B145" s="48" t="s">
        <v>690</v>
      </c>
      <c r="C145" s="48" t="s">
        <v>27</v>
      </c>
      <c r="D145" s="48" t="s">
        <v>43</v>
      </c>
      <c r="E145" s="48" t="s">
        <v>44</v>
      </c>
      <c r="F145" s="48"/>
      <c r="G145" s="48" t="s">
        <v>30</v>
      </c>
      <c r="H145" s="51">
        <v>2500</v>
      </c>
      <c r="I145" s="119">
        <v>500</v>
      </c>
      <c r="J145" s="48" t="s">
        <v>31</v>
      </c>
      <c r="K145" s="48" t="s">
        <v>32</v>
      </c>
      <c r="N145" s="126">
        <v>600</v>
      </c>
    </row>
    <row r="146" spans="1:14" ht="15.75" customHeight="1">
      <c r="A146" s="146">
        <v>11</v>
      </c>
      <c r="B146" s="146" t="s">
        <v>720</v>
      </c>
      <c r="C146" s="48" t="s">
        <v>27</v>
      </c>
      <c r="D146" s="48" t="s">
        <v>721</v>
      </c>
      <c r="E146" s="146" t="s">
        <v>51</v>
      </c>
      <c r="F146" s="48"/>
      <c r="G146" s="48" t="s">
        <v>30</v>
      </c>
      <c r="H146" s="51">
        <v>1000</v>
      </c>
      <c r="I146" s="119">
        <v>200</v>
      </c>
      <c r="J146" s="48" t="s">
        <v>31</v>
      </c>
      <c r="K146" s="48" t="s">
        <v>32</v>
      </c>
      <c r="N146" s="126">
        <v>600</v>
      </c>
    </row>
    <row r="147" spans="1:14" ht="15.75" customHeight="1">
      <c r="A147" s="48">
        <v>11</v>
      </c>
      <c r="B147" s="146" t="s">
        <v>720</v>
      </c>
      <c r="C147" s="48" t="s">
        <v>27</v>
      </c>
      <c r="D147" s="48" t="s">
        <v>721</v>
      </c>
      <c r="E147" s="146" t="s">
        <v>51</v>
      </c>
      <c r="F147" s="48"/>
      <c r="G147" s="48" t="s">
        <v>30</v>
      </c>
      <c r="H147" s="147">
        <v>500</v>
      </c>
      <c r="I147" s="148" t="s">
        <v>90</v>
      </c>
      <c r="J147" s="48" t="s">
        <v>31</v>
      </c>
      <c r="K147" s="48" t="s">
        <v>32</v>
      </c>
    </row>
    <row r="148" spans="1:14" ht="15.75" customHeight="1">
      <c r="A148" s="146">
        <v>11</v>
      </c>
      <c r="B148" s="146" t="s">
        <v>722</v>
      </c>
      <c r="C148" s="48" t="s">
        <v>27</v>
      </c>
      <c r="D148" s="48" t="s">
        <v>98</v>
      </c>
      <c r="E148" s="146" t="s">
        <v>36</v>
      </c>
      <c r="F148" s="48"/>
      <c r="G148" s="48" t="s">
        <v>30</v>
      </c>
      <c r="H148" s="147">
        <v>500</v>
      </c>
      <c r="I148" s="148" t="s">
        <v>90</v>
      </c>
      <c r="J148" s="48" t="s">
        <v>31</v>
      </c>
      <c r="K148" s="48" t="s">
        <v>32</v>
      </c>
      <c r="N148" s="126">
        <v>600</v>
      </c>
    </row>
    <row r="149" spans="1:14" ht="15.75" customHeight="1">
      <c r="A149" s="48">
        <v>11</v>
      </c>
      <c r="B149" s="146" t="s">
        <v>722</v>
      </c>
      <c r="C149" s="48" t="s">
        <v>27</v>
      </c>
      <c r="D149" s="48" t="s">
        <v>98</v>
      </c>
      <c r="E149" s="146" t="s">
        <v>36</v>
      </c>
      <c r="F149" s="48"/>
      <c r="G149" s="48" t="s">
        <v>30</v>
      </c>
      <c r="H149" s="51">
        <v>1500</v>
      </c>
      <c r="I149" s="119">
        <v>300</v>
      </c>
      <c r="J149" s="48" t="s">
        <v>31</v>
      </c>
      <c r="K149" s="48" t="s">
        <v>32</v>
      </c>
      <c r="N149" s="126">
        <v>300</v>
      </c>
    </row>
    <row r="150" spans="1:14" ht="15.75" customHeight="1">
      <c r="A150" s="48">
        <v>11</v>
      </c>
      <c r="B150" s="48" t="s">
        <v>723</v>
      </c>
      <c r="C150" s="48" t="s">
        <v>27</v>
      </c>
      <c r="D150" s="48" t="s">
        <v>100</v>
      </c>
      <c r="E150" s="48" t="s">
        <v>145</v>
      </c>
      <c r="F150" s="48"/>
      <c r="G150" s="48" t="s">
        <v>30</v>
      </c>
      <c r="H150" s="51">
        <v>1500</v>
      </c>
      <c r="I150" s="119">
        <v>300</v>
      </c>
      <c r="J150" s="48" t="s">
        <v>31</v>
      </c>
      <c r="K150" s="48" t="s">
        <v>32</v>
      </c>
      <c r="N150" s="126">
        <v>300</v>
      </c>
    </row>
    <row r="151" spans="1:14" ht="15.75" customHeight="1">
      <c r="A151" s="48">
        <v>11</v>
      </c>
      <c r="B151" s="48" t="s">
        <v>723</v>
      </c>
      <c r="C151" s="48" t="s">
        <v>27</v>
      </c>
      <c r="D151" s="48" t="s">
        <v>100</v>
      </c>
      <c r="E151" s="48" t="s">
        <v>145</v>
      </c>
      <c r="F151" s="48"/>
      <c r="G151" s="151" t="s">
        <v>579</v>
      </c>
      <c r="H151" s="152">
        <v>50</v>
      </c>
      <c r="I151" s="153">
        <v>50</v>
      </c>
      <c r="J151" s="48" t="s">
        <v>31</v>
      </c>
      <c r="K151" s="48" t="s">
        <v>32</v>
      </c>
    </row>
    <row r="152" spans="1:14" ht="15.75" customHeight="1">
      <c r="A152" s="146">
        <v>11</v>
      </c>
      <c r="B152" s="146" t="s">
        <v>724</v>
      </c>
      <c r="C152" s="48" t="s">
        <v>27</v>
      </c>
      <c r="D152" s="48" t="s">
        <v>213</v>
      </c>
      <c r="E152" s="146" t="s">
        <v>36</v>
      </c>
      <c r="F152" s="48"/>
      <c r="G152" s="48" t="s">
        <v>30</v>
      </c>
      <c r="H152" s="147">
        <v>500</v>
      </c>
      <c r="I152" s="148" t="s">
        <v>90</v>
      </c>
      <c r="J152" s="48" t="s">
        <v>31</v>
      </c>
      <c r="K152" s="48" t="s">
        <v>32</v>
      </c>
      <c r="N152" s="126">
        <v>2000</v>
      </c>
    </row>
    <row r="153" spans="1:14" ht="15.75" customHeight="1">
      <c r="A153" s="48">
        <v>11</v>
      </c>
      <c r="B153" s="48" t="s">
        <v>725</v>
      </c>
      <c r="C153" s="48" t="s">
        <v>27</v>
      </c>
      <c r="D153" s="48" t="s">
        <v>726</v>
      </c>
      <c r="E153" s="48" t="s">
        <v>237</v>
      </c>
      <c r="F153" s="48"/>
      <c r="G153" s="48" t="s">
        <v>30</v>
      </c>
      <c r="H153" s="51">
        <v>500</v>
      </c>
      <c r="I153" s="119">
        <v>100</v>
      </c>
      <c r="J153" s="48" t="s">
        <v>31</v>
      </c>
      <c r="K153" s="48" t="s">
        <v>32</v>
      </c>
    </row>
    <row r="154" spans="1:14" ht="15.75" customHeight="1">
      <c r="A154" s="48">
        <v>11</v>
      </c>
      <c r="B154" s="48" t="s">
        <v>303</v>
      </c>
      <c r="C154" s="48" t="s">
        <v>27</v>
      </c>
      <c r="D154" s="48" t="s">
        <v>53</v>
      </c>
      <c r="E154" s="48" t="s">
        <v>54</v>
      </c>
      <c r="F154" s="48"/>
      <c r="G154" s="48" t="s">
        <v>30</v>
      </c>
      <c r="H154" s="51">
        <v>1000</v>
      </c>
      <c r="I154" s="119">
        <v>200</v>
      </c>
      <c r="J154" s="48" t="s">
        <v>31</v>
      </c>
      <c r="K154" s="48" t="s">
        <v>32</v>
      </c>
      <c r="N154" s="126">
        <v>150</v>
      </c>
    </row>
    <row r="155" spans="1:14" ht="15.75" customHeight="1">
      <c r="A155" s="48">
        <v>11</v>
      </c>
      <c r="B155" s="48" t="s">
        <v>727</v>
      </c>
      <c r="C155" s="48" t="s">
        <v>27</v>
      </c>
      <c r="D155" s="48" t="s">
        <v>728</v>
      </c>
      <c r="E155" s="48" t="s">
        <v>86</v>
      </c>
      <c r="F155" s="48"/>
      <c r="G155" s="48" t="s">
        <v>30</v>
      </c>
      <c r="H155" s="51">
        <v>3000</v>
      </c>
      <c r="I155" s="119">
        <v>600</v>
      </c>
      <c r="J155" s="48" t="s">
        <v>31</v>
      </c>
      <c r="K155" s="48" t="s">
        <v>32</v>
      </c>
      <c r="N155" s="126">
        <v>1200</v>
      </c>
    </row>
    <row r="156" spans="1:14" ht="15.75" customHeight="1">
      <c r="A156" s="48">
        <v>11</v>
      </c>
      <c r="B156" s="48" t="s">
        <v>729</v>
      </c>
      <c r="C156" s="48" t="s">
        <v>27</v>
      </c>
      <c r="D156" s="48" t="s">
        <v>266</v>
      </c>
      <c r="E156" s="48" t="s">
        <v>51</v>
      </c>
      <c r="F156" s="48"/>
      <c r="G156" s="48" t="s">
        <v>30</v>
      </c>
      <c r="H156" s="51">
        <v>2000</v>
      </c>
      <c r="I156" s="119">
        <v>400</v>
      </c>
      <c r="J156" s="48" t="s">
        <v>31</v>
      </c>
      <c r="K156" s="48" t="s">
        <v>32</v>
      </c>
      <c r="N156" s="126">
        <v>600</v>
      </c>
    </row>
    <row r="157" spans="1:14" ht="15.75" customHeight="1">
      <c r="A157" s="48">
        <v>11</v>
      </c>
      <c r="B157" s="48" t="s">
        <v>730</v>
      </c>
      <c r="C157" s="48" t="s">
        <v>27</v>
      </c>
      <c r="D157" s="48" t="s">
        <v>731</v>
      </c>
      <c r="E157" s="48" t="s">
        <v>245</v>
      </c>
      <c r="F157" s="48"/>
      <c r="G157" s="48" t="s">
        <v>30</v>
      </c>
      <c r="H157" s="51">
        <v>400</v>
      </c>
      <c r="I157" s="119">
        <v>80</v>
      </c>
      <c r="J157" s="48" t="s">
        <v>31</v>
      </c>
      <c r="K157" s="48" t="s">
        <v>32</v>
      </c>
      <c r="N157" s="126">
        <v>100</v>
      </c>
    </row>
    <row r="158" spans="1:14" ht="15.75" customHeight="1">
      <c r="A158" s="58">
        <v>11</v>
      </c>
      <c r="B158" s="58" t="s">
        <v>732</v>
      </c>
      <c r="C158" s="58" t="s">
        <v>27</v>
      </c>
      <c r="D158" s="58" t="s">
        <v>733</v>
      </c>
      <c r="E158" s="58" t="s">
        <v>54</v>
      </c>
      <c r="F158" s="58"/>
      <c r="G158" s="58" t="s">
        <v>30</v>
      </c>
      <c r="H158" s="59">
        <v>5000</v>
      </c>
      <c r="I158" s="160">
        <v>1000</v>
      </c>
      <c r="J158" s="58" t="s">
        <v>31</v>
      </c>
      <c r="K158" s="58" t="s">
        <v>32</v>
      </c>
    </row>
    <row r="159" spans="1:14" ht="15.75" customHeight="1">
      <c r="A159" s="62">
        <v>12</v>
      </c>
      <c r="B159" s="62" t="s">
        <v>734</v>
      </c>
      <c r="C159" s="62" t="s">
        <v>27</v>
      </c>
      <c r="D159" s="62" t="s">
        <v>666</v>
      </c>
      <c r="E159" s="62" t="s">
        <v>36</v>
      </c>
      <c r="F159" s="62"/>
      <c r="G159" s="62" t="s">
        <v>30</v>
      </c>
      <c r="H159" s="63">
        <v>2000</v>
      </c>
      <c r="I159" s="159">
        <v>400</v>
      </c>
      <c r="J159" s="62" t="s">
        <v>31</v>
      </c>
      <c r="K159" s="62" t="s">
        <v>32</v>
      </c>
      <c r="N159" s="126">
        <v>600</v>
      </c>
    </row>
    <row r="160" spans="1:14" ht="15.75" customHeight="1">
      <c r="A160" s="48">
        <v>12</v>
      </c>
      <c r="B160" s="48" t="s">
        <v>42</v>
      </c>
      <c r="C160" s="48" t="s">
        <v>27</v>
      </c>
      <c r="D160" s="48" t="s">
        <v>43</v>
      </c>
      <c r="E160" s="48" t="s">
        <v>44</v>
      </c>
      <c r="F160" s="48"/>
      <c r="G160" s="48" t="s">
        <v>30</v>
      </c>
      <c r="H160" s="51">
        <v>2500</v>
      </c>
      <c r="I160" s="119">
        <v>500</v>
      </c>
      <c r="J160" s="48" t="s">
        <v>31</v>
      </c>
      <c r="K160" s="48" t="s">
        <v>32</v>
      </c>
      <c r="N160" s="126">
        <v>450</v>
      </c>
    </row>
    <row r="161" spans="1:19" ht="15.75" customHeight="1">
      <c r="A161" s="146">
        <v>12</v>
      </c>
      <c r="B161" s="146" t="s">
        <v>735</v>
      </c>
      <c r="C161" s="48" t="s">
        <v>27</v>
      </c>
      <c r="D161" s="48" t="s">
        <v>295</v>
      </c>
      <c r="E161" s="146" t="s">
        <v>51</v>
      </c>
      <c r="F161" s="48"/>
      <c r="G161" s="48" t="s">
        <v>30</v>
      </c>
      <c r="H161" s="147">
        <v>500</v>
      </c>
      <c r="I161" s="148" t="s">
        <v>90</v>
      </c>
      <c r="J161" s="48" t="s">
        <v>31</v>
      </c>
      <c r="K161" s="48" t="s">
        <v>32</v>
      </c>
      <c r="N161" s="126">
        <v>400</v>
      </c>
    </row>
    <row r="162" spans="1:19" ht="15.75" customHeight="1">
      <c r="A162" s="48">
        <v>12</v>
      </c>
      <c r="B162" s="146" t="s">
        <v>735</v>
      </c>
      <c r="C162" s="48" t="s">
        <v>27</v>
      </c>
      <c r="D162" s="48" t="s">
        <v>295</v>
      </c>
      <c r="E162" s="146" t="s">
        <v>51</v>
      </c>
      <c r="F162" s="48"/>
      <c r="G162" s="48" t="s">
        <v>30</v>
      </c>
      <c r="H162" s="51">
        <v>200</v>
      </c>
      <c r="I162" s="119">
        <v>40</v>
      </c>
      <c r="J162" s="48" t="s">
        <v>31</v>
      </c>
      <c r="K162" s="48" t="s">
        <v>32</v>
      </c>
    </row>
    <row r="163" spans="1:19" ht="15.75" customHeight="1">
      <c r="A163" s="146">
        <v>12</v>
      </c>
      <c r="B163" s="146" t="s">
        <v>736</v>
      </c>
      <c r="C163" s="48" t="s">
        <v>27</v>
      </c>
      <c r="D163" s="48" t="s">
        <v>295</v>
      </c>
      <c r="E163" s="146" t="s">
        <v>51</v>
      </c>
      <c r="F163" s="48"/>
      <c r="G163" s="48" t="s">
        <v>30</v>
      </c>
      <c r="H163" s="147">
        <v>500</v>
      </c>
      <c r="I163" s="148" t="s">
        <v>90</v>
      </c>
      <c r="J163" s="48" t="s">
        <v>31</v>
      </c>
      <c r="K163" s="48" t="s">
        <v>32</v>
      </c>
      <c r="N163" s="126">
        <v>400</v>
      </c>
    </row>
    <row r="164" spans="1:19" ht="15.75" customHeight="1">
      <c r="A164" s="48">
        <v>12</v>
      </c>
      <c r="B164" s="146" t="s">
        <v>736</v>
      </c>
      <c r="C164" s="48" t="s">
        <v>27</v>
      </c>
      <c r="D164" s="48" t="s">
        <v>295</v>
      </c>
      <c r="E164" s="146" t="s">
        <v>51</v>
      </c>
      <c r="F164" s="48"/>
      <c r="G164" s="48" t="s">
        <v>30</v>
      </c>
      <c r="H164" s="51">
        <v>200</v>
      </c>
      <c r="I164" s="119">
        <v>40</v>
      </c>
      <c r="J164" s="48" t="s">
        <v>31</v>
      </c>
      <c r="K164" s="48" t="s">
        <v>32</v>
      </c>
    </row>
    <row r="165" spans="1:19" ht="15.75" customHeight="1">
      <c r="A165" s="146">
        <v>12</v>
      </c>
      <c r="B165" s="146" t="s">
        <v>737</v>
      </c>
      <c r="C165" s="48" t="s">
        <v>27</v>
      </c>
      <c r="D165" s="48" t="s">
        <v>295</v>
      </c>
      <c r="E165" s="146" t="s">
        <v>51</v>
      </c>
      <c r="F165" s="48"/>
      <c r="G165" s="48" t="s">
        <v>30</v>
      </c>
      <c r="H165" s="147">
        <v>500</v>
      </c>
      <c r="I165" s="148" t="s">
        <v>90</v>
      </c>
      <c r="J165" s="48" t="s">
        <v>31</v>
      </c>
      <c r="K165" s="48" t="s">
        <v>32</v>
      </c>
      <c r="N165" s="126">
        <v>900</v>
      </c>
    </row>
    <row r="166" spans="1:19" ht="15.75" customHeight="1">
      <c r="A166" s="48">
        <v>12</v>
      </c>
      <c r="B166" s="146" t="s">
        <v>737</v>
      </c>
      <c r="C166" s="48" t="s">
        <v>27</v>
      </c>
      <c r="D166" s="48" t="s">
        <v>295</v>
      </c>
      <c r="E166" s="146" t="s">
        <v>51</v>
      </c>
      <c r="F166" s="48"/>
      <c r="G166" s="48" t="s">
        <v>30</v>
      </c>
      <c r="H166" s="51">
        <v>400</v>
      </c>
      <c r="I166" s="119">
        <v>80</v>
      </c>
      <c r="J166" s="48" t="s">
        <v>31</v>
      </c>
      <c r="K166" s="48" t="s">
        <v>32</v>
      </c>
    </row>
    <row r="167" spans="1:19" ht="15.75" customHeight="1">
      <c r="A167" s="146">
        <v>12</v>
      </c>
      <c r="B167" s="146" t="s">
        <v>738</v>
      </c>
      <c r="C167" s="48" t="s">
        <v>27</v>
      </c>
      <c r="D167" s="48" t="s">
        <v>295</v>
      </c>
      <c r="E167" s="146" t="s">
        <v>51</v>
      </c>
      <c r="F167" s="48"/>
      <c r="G167" s="48" t="s">
        <v>30</v>
      </c>
      <c r="H167" s="147">
        <v>500</v>
      </c>
      <c r="I167" s="148" t="s">
        <v>90</v>
      </c>
      <c r="J167" s="48" t="s">
        <v>31</v>
      </c>
      <c r="K167" s="48" t="s">
        <v>32</v>
      </c>
      <c r="N167" s="126">
        <v>400</v>
      </c>
    </row>
    <row r="168" spans="1:19" ht="15.75" customHeight="1">
      <c r="A168" s="48">
        <v>12</v>
      </c>
      <c r="B168" s="146" t="s">
        <v>738</v>
      </c>
      <c r="C168" s="48" t="s">
        <v>27</v>
      </c>
      <c r="D168" s="48" t="s">
        <v>295</v>
      </c>
      <c r="E168" s="146" t="s">
        <v>51</v>
      </c>
      <c r="F168" s="48"/>
      <c r="G168" s="48" t="s">
        <v>30</v>
      </c>
      <c r="H168" s="51">
        <v>400</v>
      </c>
      <c r="I168" s="119">
        <v>80</v>
      </c>
      <c r="J168" s="48" t="s">
        <v>31</v>
      </c>
      <c r="K168" s="48" t="s">
        <v>32</v>
      </c>
      <c r="Q168" s="752" t="s">
        <v>739</v>
      </c>
      <c r="R168" s="719"/>
    </row>
    <row r="169" spans="1:19" ht="15.75" customHeight="1">
      <c r="A169" s="48">
        <v>12</v>
      </c>
      <c r="B169" s="48" t="s">
        <v>740</v>
      </c>
      <c r="C169" s="48" t="s">
        <v>27</v>
      </c>
      <c r="D169" s="48" t="s">
        <v>98</v>
      </c>
      <c r="E169" s="48" t="s">
        <v>36</v>
      </c>
      <c r="F169" s="48"/>
      <c r="G169" s="48" t="s">
        <v>30</v>
      </c>
      <c r="H169" s="51">
        <v>1250</v>
      </c>
      <c r="I169" s="119">
        <v>250</v>
      </c>
      <c r="J169" s="48" t="s">
        <v>31</v>
      </c>
      <c r="K169" s="48" t="s">
        <v>32</v>
      </c>
      <c r="N169" s="126">
        <v>600</v>
      </c>
      <c r="Q169" s="752" t="s">
        <v>25</v>
      </c>
      <c r="R169" s="719"/>
    </row>
    <row r="170" spans="1:19" ht="15.75" customHeight="1">
      <c r="A170" s="48">
        <v>12</v>
      </c>
      <c r="B170" s="48" t="s">
        <v>741</v>
      </c>
      <c r="C170" s="48" t="s">
        <v>27</v>
      </c>
      <c r="D170" s="48" t="s">
        <v>742</v>
      </c>
      <c r="E170" s="48" t="s">
        <v>73</v>
      </c>
      <c r="F170" s="48"/>
      <c r="G170" s="48" t="s">
        <v>30</v>
      </c>
      <c r="H170" s="51">
        <v>1000</v>
      </c>
      <c r="I170" s="119">
        <v>200</v>
      </c>
      <c r="J170" s="48" t="s">
        <v>31</v>
      </c>
      <c r="K170" s="48" t="s">
        <v>32</v>
      </c>
      <c r="N170" s="126">
        <v>300</v>
      </c>
      <c r="Q170" s="48" t="s">
        <v>33</v>
      </c>
      <c r="R170" s="51">
        <v>54200</v>
      </c>
      <c r="S170" s="55"/>
    </row>
    <row r="171" spans="1:19" ht="15.75" customHeight="1">
      <c r="A171" s="48">
        <v>12</v>
      </c>
      <c r="B171" s="48" t="s">
        <v>743</v>
      </c>
      <c r="C171" s="48" t="s">
        <v>39</v>
      </c>
      <c r="D171" s="48" t="s">
        <v>262</v>
      </c>
      <c r="E171" s="48" t="s">
        <v>68</v>
      </c>
      <c r="F171" s="48"/>
      <c r="G171" s="48" t="s">
        <v>30</v>
      </c>
      <c r="H171" s="51">
        <v>5000</v>
      </c>
      <c r="I171" s="119">
        <v>1000</v>
      </c>
      <c r="J171" s="48" t="s">
        <v>31</v>
      </c>
      <c r="K171" s="48" t="s">
        <v>32</v>
      </c>
      <c r="N171" s="126">
        <v>600</v>
      </c>
      <c r="Q171" s="48" t="s">
        <v>37</v>
      </c>
      <c r="R171" s="51">
        <v>42000</v>
      </c>
      <c r="S171" s="55" t="s">
        <v>744</v>
      </c>
    </row>
    <row r="172" spans="1:19" ht="15.75" customHeight="1">
      <c r="A172" s="48">
        <v>12</v>
      </c>
      <c r="B172" s="48" t="s">
        <v>745</v>
      </c>
      <c r="C172" s="48" t="s">
        <v>27</v>
      </c>
      <c r="D172" s="48" t="s">
        <v>746</v>
      </c>
      <c r="E172" s="48" t="s">
        <v>102</v>
      </c>
      <c r="F172" s="48"/>
      <c r="G172" s="48" t="s">
        <v>30</v>
      </c>
      <c r="H172" s="51">
        <v>2000</v>
      </c>
      <c r="I172" s="119">
        <v>400</v>
      </c>
      <c r="J172" s="48" t="s">
        <v>31</v>
      </c>
      <c r="K172" s="48" t="s">
        <v>32</v>
      </c>
      <c r="N172" s="126">
        <v>400</v>
      </c>
      <c r="Q172" s="164" t="s">
        <v>576</v>
      </c>
      <c r="R172" s="165">
        <f>SUM(R170:R171)</f>
        <v>96200</v>
      </c>
      <c r="S172" s="55"/>
    </row>
    <row r="173" spans="1:19" ht="15.75" customHeight="1">
      <c r="A173" s="146">
        <v>12</v>
      </c>
      <c r="B173" s="146" t="s">
        <v>747</v>
      </c>
      <c r="C173" s="48" t="s">
        <v>27</v>
      </c>
      <c r="D173" s="48" t="s">
        <v>98</v>
      </c>
      <c r="E173" s="146" t="s">
        <v>36</v>
      </c>
      <c r="F173" s="48"/>
      <c r="G173" s="48" t="s">
        <v>30</v>
      </c>
      <c r="H173" s="147">
        <v>500</v>
      </c>
      <c r="I173" s="148" t="s">
        <v>90</v>
      </c>
      <c r="J173" s="48" t="s">
        <v>31</v>
      </c>
      <c r="K173" s="48" t="s">
        <v>32</v>
      </c>
    </row>
    <row r="174" spans="1:19" ht="15.75" customHeight="1">
      <c r="A174" s="48">
        <v>12</v>
      </c>
      <c r="B174" s="146" t="s">
        <v>747</v>
      </c>
      <c r="C174" s="48" t="s">
        <v>27</v>
      </c>
      <c r="D174" s="48" t="s">
        <v>98</v>
      </c>
      <c r="E174" s="146" t="s">
        <v>36</v>
      </c>
      <c r="F174" s="48"/>
      <c r="G174" s="48" t="s">
        <v>30</v>
      </c>
      <c r="H174" s="51">
        <v>3000</v>
      </c>
      <c r="I174" s="119">
        <v>600</v>
      </c>
      <c r="J174" s="48" t="s">
        <v>31</v>
      </c>
      <c r="K174" s="48" t="s">
        <v>32</v>
      </c>
    </row>
    <row r="175" spans="1:19" ht="15.75" customHeight="1">
      <c r="A175" s="146">
        <v>12</v>
      </c>
      <c r="B175" s="146" t="s">
        <v>748</v>
      </c>
      <c r="C175" s="48" t="s">
        <v>27</v>
      </c>
      <c r="D175" s="48" t="s">
        <v>104</v>
      </c>
      <c r="E175" s="146" t="s">
        <v>36</v>
      </c>
      <c r="F175" s="48"/>
      <c r="G175" s="48" t="s">
        <v>30</v>
      </c>
      <c r="H175" s="147">
        <v>500</v>
      </c>
      <c r="I175" s="148" t="s">
        <v>90</v>
      </c>
      <c r="J175" s="48" t="s">
        <v>31</v>
      </c>
      <c r="K175" s="48" t="s">
        <v>32</v>
      </c>
      <c r="N175" s="126">
        <v>1200</v>
      </c>
    </row>
    <row r="176" spans="1:19" ht="15.75" customHeight="1">
      <c r="A176" s="48">
        <v>12</v>
      </c>
      <c r="B176" s="146" t="s">
        <v>748</v>
      </c>
      <c r="C176" s="48" t="s">
        <v>27</v>
      </c>
      <c r="D176" s="48" t="s">
        <v>104</v>
      </c>
      <c r="E176" s="146" t="s">
        <v>36</v>
      </c>
      <c r="F176" s="48"/>
      <c r="G176" s="48" t="s">
        <v>30</v>
      </c>
      <c r="H176" s="51">
        <v>3000</v>
      </c>
      <c r="I176" s="119">
        <v>600</v>
      </c>
      <c r="J176" s="48" t="s">
        <v>31</v>
      </c>
      <c r="K176" s="48" t="s">
        <v>32</v>
      </c>
    </row>
    <row r="177" spans="1:14" ht="15.75" customHeight="1">
      <c r="A177" s="146">
        <v>12</v>
      </c>
      <c r="B177" s="146" t="s">
        <v>749</v>
      </c>
      <c r="C177" s="48" t="s">
        <v>27</v>
      </c>
      <c r="D177" s="48" t="s">
        <v>104</v>
      </c>
      <c r="E177" s="146" t="s">
        <v>36</v>
      </c>
      <c r="F177" s="48"/>
      <c r="G177" s="48" t="s">
        <v>30</v>
      </c>
      <c r="H177" s="147">
        <v>500</v>
      </c>
      <c r="I177" s="148" t="s">
        <v>90</v>
      </c>
      <c r="J177" s="48" t="s">
        <v>31</v>
      </c>
      <c r="K177" s="48" t="s">
        <v>32</v>
      </c>
      <c r="N177" s="126">
        <v>1800</v>
      </c>
    </row>
    <row r="178" spans="1:14" ht="15.75" customHeight="1">
      <c r="A178" s="48">
        <v>12</v>
      </c>
      <c r="B178" s="146" t="s">
        <v>749</v>
      </c>
      <c r="C178" s="48" t="s">
        <v>27</v>
      </c>
      <c r="D178" s="48" t="s">
        <v>104</v>
      </c>
      <c r="E178" s="146" t="s">
        <v>36</v>
      </c>
      <c r="F178" s="48"/>
      <c r="G178" s="48" t="s">
        <v>30</v>
      </c>
      <c r="H178" s="51">
        <v>1200</v>
      </c>
      <c r="I178" s="119">
        <v>240</v>
      </c>
      <c r="J178" s="48" t="s">
        <v>31</v>
      </c>
      <c r="K178" s="48" t="s">
        <v>32</v>
      </c>
    </row>
    <row r="179" spans="1:14" ht="15.75" customHeight="1">
      <c r="A179" s="146">
        <v>12</v>
      </c>
      <c r="B179" s="146" t="s">
        <v>750</v>
      </c>
      <c r="C179" s="48" t="s">
        <v>39</v>
      </c>
      <c r="D179" s="48" t="s">
        <v>98</v>
      </c>
      <c r="E179" s="146" t="s">
        <v>36</v>
      </c>
      <c r="F179" s="48"/>
      <c r="G179" s="48" t="s">
        <v>30</v>
      </c>
      <c r="H179" s="147">
        <v>500</v>
      </c>
      <c r="I179" s="148" t="s">
        <v>90</v>
      </c>
      <c r="J179" s="48" t="s">
        <v>31</v>
      </c>
      <c r="K179" s="48" t="s">
        <v>32</v>
      </c>
      <c r="N179" s="126">
        <v>100</v>
      </c>
    </row>
    <row r="180" spans="1:14" ht="15.75" customHeight="1">
      <c r="A180" s="146">
        <v>12</v>
      </c>
      <c r="B180" s="146" t="s">
        <v>751</v>
      </c>
      <c r="C180" s="48" t="s">
        <v>27</v>
      </c>
      <c r="D180" s="48" t="s">
        <v>301</v>
      </c>
      <c r="E180" s="146" t="s">
        <v>51</v>
      </c>
      <c r="F180" s="48"/>
      <c r="G180" s="48" t="s">
        <v>30</v>
      </c>
      <c r="H180" s="147">
        <v>500</v>
      </c>
      <c r="I180" s="148" t="s">
        <v>90</v>
      </c>
      <c r="J180" s="48" t="s">
        <v>31</v>
      </c>
      <c r="K180" s="48" t="s">
        <v>32</v>
      </c>
      <c r="N180" s="126">
        <v>300</v>
      </c>
    </row>
    <row r="181" spans="1:14" ht="15.75" customHeight="1">
      <c r="A181" s="48">
        <v>12</v>
      </c>
      <c r="B181" s="146" t="s">
        <v>751</v>
      </c>
      <c r="C181" s="48" t="s">
        <v>27</v>
      </c>
      <c r="D181" s="48" t="s">
        <v>301</v>
      </c>
      <c r="E181" s="146" t="s">
        <v>51</v>
      </c>
      <c r="F181" s="48"/>
      <c r="G181" s="48" t="s">
        <v>30</v>
      </c>
      <c r="H181" s="51">
        <v>1000</v>
      </c>
      <c r="I181" s="119">
        <v>200</v>
      </c>
      <c r="J181" s="48" t="s">
        <v>31</v>
      </c>
      <c r="K181" s="48" t="s">
        <v>32</v>
      </c>
    </row>
    <row r="182" spans="1:14" ht="15.75" customHeight="1">
      <c r="A182" s="146">
        <v>12</v>
      </c>
      <c r="B182" s="146" t="s">
        <v>752</v>
      </c>
      <c r="C182" s="48" t="s">
        <v>27</v>
      </c>
      <c r="D182" s="48" t="s">
        <v>301</v>
      </c>
      <c r="E182" s="146" t="s">
        <v>51</v>
      </c>
      <c r="F182" s="48"/>
      <c r="G182" s="48" t="s">
        <v>30</v>
      </c>
      <c r="H182" s="147">
        <v>500</v>
      </c>
      <c r="I182" s="148" t="s">
        <v>90</v>
      </c>
      <c r="J182" s="48" t="s">
        <v>31</v>
      </c>
      <c r="K182" s="48" t="s">
        <v>32</v>
      </c>
      <c r="N182" s="126">
        <v>300</v>
      </c>
    </row>
    <row r="183" spans="1:14" ht="15.75" customHeight="1">
      <c r="A183" s="48">
        <v>12</v>
      </c>
      <c r="B183" s="146" t="s">
        <v>752</v>
      </c>
      <c r="C183" s="48" t="s">
        <v>27</v>
      </c>
      <c r="D183" s="48" t="s">
        <v>301</v>
      </c>
      <c r="E183" s="146" t="s">
        <v>51</v>
      </c>
      <c r="F183" s="48"/>
      <c r="G183" s="48" t="s">
        <v>30</v>
      </c>
      <c r="H183" s="51">
        <v>1000</v>
      </c>
      <c r="I183" s="119">
        <v>200</v>
      </c>
      <c r="J183" s="48" t="s">
        <v>31</v>
      </c>
      <c r="K183" s="48" t="s">
        <v>32</v>
      </c>
    </row>
    <row r="184" spans="1:14" ht="15.75" customHeight="1">
      <c r="A184" s="48">
        <v>12</v>
      </c>
      <c r="B184" s="48" t="s">
        <v>753</v>
      </c>
      <c r="C184" s="48" t="s">
        <v>27</v>
      </c>
      <c r="D184" s="48" t="s">
        <v>108</v>
      </c>
      <c r="E184" s="48" t="s">
        <v>36</v>
      </c>
      <c r="F184" s="48"/>
      <c r="G184" s="48" t="s">
        <v>30</v>
      </c>
      <c r="H184" s="51">
        <v>3000</v>
      </c>
      <c r="I184" s="119">
        <v>600</v>
      </c>
      <c r="J184" s="48" t="s">
        <v>31</v>
      </c>
      <c r="K184" s="48" t="s">
        <v>32</v>
      </c>
      <c r="N184" s="126">
        <v>600</v>
      </c>
    </row>
    <row r="185" spans="1:14" ht="15.75" customHeight="1">
      <c r="A185" s="48">
        <v>12</v>
      </c>
      <c r="B185" s="48" t="s">
        <v>754</v>
      </c>
      <c r="C185" s="48" t="s">
        <v>27</v>
      </c>
      <c r="D185" s="48" t="s">
        <v>43</v>
      </c>
      <c r="E185" s="48" t="s">
        <v>44</v>
      </c>
      <c r="F185" s="48"/>
      <c r="G185" s="48" t="s">
        <v>30</v>
      </c>
      <c r="H185" s="51">
        <v>6000</v>
      </c>
      <c r="I185" s="119">
        <v>1200</v>
      </c>
      <c r="J185" s="48" t="s">
        <v>31</v>
      </c>
      <c r="K185" s="48" t="s">
        <v>32</v>
      </c>
      <c r="N185" s="126">
        <f>6000/5</f>
        <v>1200</v>
      </c>
    </row>
    <row r="186" spans="1:14" ht="15.75" customHeight="1">
      <c r="A186" s="146">
        <v>12</v>
      </c>
      <c r="B186" s="156" t="s">
        <v>755</v>
      </c>
      <c r="C186" s="58" t="s">
        <v>27</v>
      </c>
      <c r="D186" s="58" t="s">
        <v>756</v>
      </c>
      <c r="E186" s="156" t="s">
        <v>36</v>
      </c>
      <c r="F186" s="58"/>
      <c r="G186" s="58" t="s">
        <v>30</v>
      </c>
      <c r="H186" s="157">
        <v>500</v>
      </c>
      <c r="I186" s="158" t="s">
        <v>90</v>
      </c>
      <c r="J186" s="58" t="s">
        <v>31</v>
      </c>
      <c r="K186" s="58" t="s">
        <v>32</v>
      </c>
      <c r="N186" s="126">
        <v>100</v>
      </c>
    </row>
    <row r="187" spans="1:14" ht="15.75" customHeight="1">
      <c r="A187" s="62">
        <v>13</v>
      </c>
      <c r="B187" s="62" t="s">
        <v>160</v>
      </c>
      <c r="C187" s="62" t="s">
        <v>27</v>
      </c>
      <c r="D187" s="62" t="s">
        <v>156</v>
      </c>
      <c r="E187" s="62" t="s">
        <v>102</v>
      </c>
      <c r="F187" s="62"/>
      <c r="G187" s="62" t="s">
        <v>30</v>
      </c>
      <c r="H187" s="63">
        <v>2000</v>
      </c>
      <c r="I187" s="159">
        <v>400</v>
      </c>
      <c r="J187" s="62" t="s">
        <v>31</v>
      </c>
      <c r="K187" s="62" t="s">
        <v>32</v>
      </c>
      <c r="N187" s="126">
        <v>500</v>
      </c>
    </row>
    <row r="188" spans="1:14" ht="15.75" customHeight="1">
      <c r="A188" s="146">
        <v>13</v>
      </c>
      <c r="B188" s="146" t="s">
        <v>757</v>
      </c>
      <c r="C188" s="48" t="s">
        <v>27</v>
      </c>
      <c r="D188" s="48" t="s">
        <v>289</v>
      </c>
      <c r="E188" s="146" t="s">
        <v>36</v>
      </c>
      <c r="F188" s="48"/>
      <c r="G188" s="48" t="s">
        <v>30</v>
      </c>
      <c r="H188" s="147">
        <v>500</v>
      </c>
      <c r="I188" s="148" t="s">
        <v>90</v>
      </c>
      <c r="J188" s="48" t="s">
        <v>31</v>
      </c>
      <c r="K188" s="48" t="s">
        <v>32</v>
      </c>
      <c r="N188" s="126">
        <v>600</v>
      </c>
    </row>
    <row r="189" spans="1:14" ht="15.75" customHeight="1">
      <c r="A189" s="48">
        <v>13</v>
      </c>
      <c r="B189" s="146" t="s">
        <v>757</v>
      </c>
      <c r="C189" s="48" t="s">
        <v>27</v>
      </c>
      <c r="D189" s="48" t="s">
        <v>289</v>
      </c>
      <c r="E189" s="146" t="s">
        <v>36</v>
      </c>
      <c r="F189" s="48"/>
      <c r="G189" s="48" t="s">
        <v>30</v>
      </c>
      <c r="H189" s="51">
        <v>1000</v>
      </c>
      <c r="I189" s="119">
        <v>200</v>
      </c>
      <c r="J189" s="48" t="s">
        <v>31</v>
      </c>
      <c r="K189" s="48" t="s">
        <v>32</v>
      </c>
    </row>
    <row r="190" spans="1:14" ht="15.75" customHeight="1">
      <c r="A190" s="48">
        <v>13</v>
      </c>
      <c r="B190" s="48" t="s">
        <v>758</v>
      </c>
      <c r="C190" s="48" t="s">
        <v>27</v>
      </c>
      <c r="D190" s="48" t="s">
        <v>239</v>
      </c>
      <c r="E190" s="48" t="s">
        <v>44</v>
      </c>
      <c r="F190" s="48"/>
      <c r="G190" s="48" t="s">
        <v>30</v>
      </c>
      <c r="H190" s="51">
        <v>3000</v>
      </c>
      <c r="I190" s="119">
        <v>600</v>
      </c>
      <c r="J190" s="48" t="s">
        <v>31</v>
      </c>
      <c r="K190" s="48" t="s">
        <v>32</v>
      </c>
      <c r="N190" s="126">
        <v>600</v>
      </c>
    </row>
    <row r="191" spans="1:14" ht="15.75" customHeight="1">
      <c r="A191" s="48">
        <v>13</v>
      </c>
      <c r="B191" s="48" t="s">
        <v>759</v>
      </c>
      <c r="C191" s="48" t="s">
        <v>27</v>
      </c>
      <c r="D191" s="48" t="s">
        <v>760</v>
      </c>
      <c r="E191" s="48" t="s">
        <v>41</v>
      </c>
      <c r="F191" s="48"/>
      <c r="G191" s="48" t="s">
        <v>30</v>
      </c>
      <c r="H191" s="51">
        <v>4000</v>
      </c>
      <c r="I191" s="119">
        <v>800</v>
      </c>
      <c r="J191" s="48" t="s">
        <v>31</v>
      </c>
      <c r="K191" s="48" t="s">
        <v>32</v>
      </c>
      <c r="N191" s="126">
        <v>600</v>
      </c>
    </row>
    <row r="192" spans="1:14" ht="15.75" customHeight="1">
      <c r="A192" s="146">
        <v>13</v>
      </c>
      <c r="B192" s="146" t="s">
        <v>761</v>
      </c>
      <c r="C192" s="48" t="s">
        <v>27</v>
      </c>
      <c r="D192" s="48" t="s">
        <v>213</v>
      </c>
      <c r="E192" s="146" t="s">
        <v>36</v>
      </c>
      <c r="F192" s="48"/>
      <c r="G192" s="48" t="s">
        <v>30</v>
      </c>
      <c r="H192" s="147">
        <v>500</v>
      </c>
      <c r="I192" s="148" t="s">
        <v>90</v>
      </c>
      <c r="J192" s="48" t="s">
        <v>31</v>
      </c>
      <c r="K192" s="48" t="s">
        <v>32</v>
      </c>
      <c r="N192" s="126">
        <v>100</v>
      </c>
    </row>
    <row r="193" spans="1:20" ht="15.75" customHeight="1">
      <c r="A193" s="48">
        <v>13</v>
      </c>
      <c r="B193" s="48" t="s">
        <v>762</v>
      </c>
      <c r="C193" s="48" t="s">
        <v>27</v>
      </c>
      <c r="D193" s="48" t="s">
        <v>763</v>
      </c>
      <c r="E193" s="48" t="s">
        <v>29</v>
      </c>
      <c r="F193" s="48"/>
      <c r="G193" s="48" t="s">
        <v>30</v>
      </c>
      <c r="H193" s="51">
        <v>7000</v>
      </c>
      <c r="I193" s="119">
        <v>1400</v>
      </c>
      <c r="J193" s="48" t="s">
        <v>31</v>
      </c>
      <c r="K193" s="48" t="s">
        <v>32</v>
      </c>
      <c r="N193" s="126">
        <v>600</v>
      </c>
    </row>
    <row r="194" spans="1:20" ht="15.75" customHeight="1">
      <c r="A194" s="146">
        <v>13</v>
      </c>
      <c r="B194" s="146" t="s">
        <v>764</v>
      </c>
      <c r="C194" s="48" t="s">
        <v>27</v>
      </c>
      <c r="D194" s="48" t="s">
        <v>50</v>
      </c>
      <c r="E194" s="146" t="s">
        <v>145</v>
      </c>
      <c r="F194" s="48"/>
      <c r="G194" s="48" t="s">
        <v>30</v>
      </c>
      <c r="H194" s="147">
        <v>500</v>
      </c>
      <c r="I194" s="148" t="s">
        <v>90</v>
      </c>
      <c r="J194" s="48" t="s">
        <v>31</v>
      </c>
      <c r="K194" s="48" t="s">
        <v>32</v>
      </c>
      <c r="N194" s="126">
        <v>1500</v>
      </c>
    </row>
    <row r="195" spans="1:20" ht="15.75" customHeight="1">
      <c r="A195" s="48">
        <v>13</v>
      </c>
      <c r="B195" s="146" t="s">
        <v>764</v>
      </c>
      <c r="C195" s="48" t="s">
        <v>27</v>
      </c>
      <c r="D195" s="48" t="s">
        <v>50</v>
      </c>
      <c r="E195" s="146" t="s">
        <v>145</v>
      </c>
      <c r="F195" s="48"/>
      <c r="G195" s="48" t="s">
        <v>30</v>
      </c>
      <c r="H195" s="51">
        <v>4500</v>
      </c>
      <c r="I195" s="119">
        <v>900</v>
      </c>
      <c r="J195" s="48" t="s">
        <v>31</v>
      </c>
      <c r="K195" s="48" t="s">
        <v>32</v>
      </c>
    </row>
    <row r="196" spans="1:20" ht="15.75" customHeight="1">
      <c r="A196" s="146">
        <v>13</v>
      </c>
      <c r="B196" s="146" t="s">
        <v>765</v>
      </c>
      <c r="C196" s="48" t="s">
        <v>27</v>
      </c>
      <c r="D196" s="48" t="s">
        <v>98</v>
      </c>
      <c r="E196" s="146" t="s">
        <v>36</v>
      </c>
      <c r="F196" s="48"/>
      <c r="G196" s="48" t="s">
        <v>30</v>
      </c>
      <c r="H196" s="147">
        <v>500</v>
      </c>
      <c r="I196" s="148" t="s">
        <v>90</v>
      </c>
      <c r="J196" s="48" t="s">
        <v>31</v>
      </c>
      <c r="K196" s="48" t="s">
        <v>32</v>
      </c>
      <c r="N196" s="126">
        <v>300</v>
      </c>
    </row>
    <row r="197" spans="1:20" ht="15.75" customHeight="1">
      <c r="A197" s="48">
        <v>13</v>
      </c>
      <c r="B197" s="146" t="s">
        <v>765</v>
      </c>
      <c r="C197" s="48" t="s">
        <v>27</v>
      </c>
      <c r="D197" s="48" t="s">
        <v>98</v>
      </c>
      <c r="E197" s="146" t="s">
        <v>36</v>
      </c>
      <c r="F197" s="48"/>
      <c r="G197" s="48" t="s">
        <v>30</v>
      </c>
      <c r="H197" s="51">
        <v>1000</v>
      </c>
      <c r="I197" s="119">
        <v>200</v>
      </c>
      <c r="J197" s="48" t="s">
        <v>31</v>
      </c>
      <c r="K197" s="48" t="s">
        <v>32</v>
      </c>
    </row>
    <row r="198" spans="1:20" ht="15.75" customHeight="1">
      <c r="A198" s="48">
        <v>13</v>
      </c>
      <c r="B198" s="48" t="s">
        <v>719</v>
      </c>
      <c r="C198" s="48" t="s">
        <v>39</v>
      </c>
      <c r="D198" s="48" t="s">
        <v>230</v>
      </c>
      <c r="E198" s="48" t="s">
        <v>223</v>
      </c>
      <c r="F198" s="48"/>
      <c r="G198" s="48" t="s">
        <v>30</v>
      </c>
      <c r="H198" s="51">
        <v>1000</v>
      </c>
      <c r="I198" s="119">
        <v>200</v>
      </c>
      <c r="J198" s="48" t="s">
        <v>31</v>
      </c>
      <c r="K198" s="48" t="s">
        <v>32</v>
      </c>
      <c r="N198" s="126">
        <v>200</v>
      </c>
    </row>
    <row r="199" spans="1:20" ht="15.75" customHeight="1">
      <c r="A199" s="146">
        <v>13</v>
      </c>
      <c r="B199" s="146" t="s">
        <v>766</v>
      </c>
      <c r="C199" s="48" t="s">
        <v>27</v>
      </c>
      <c r="D199" s="48" t="s">
        <v>767</v>
      </c>
      <c r="E199" s="146" t="s">
        <v>84</v>
      </c>
      <c r="F199" s="48"/>
      <c r="G199" s="48" t="s">
        <v>30</v>
      </c>
      <c r="H199" s="147">
        <v>500</v>
      </c>
      <c r="I199" s="148" t="s">
        <v>90</v>
      </c>
      <c r="J199" s="48" t="s">
        <v>31</v>
      </c>
      <c r="K199" s="48" t="s">
        <v>32</v>
      </c>
      <c r="N199" s="126">
        <v>824</v>
      </c>
    </row>
    <row r="200" spans="1:20" ht="15.75" customHeight="1">
      <c r="A200" s="48">
        <v>13</v>
      </c>
      <c r="B200" s="146" t="s">
        <v>766</v>
      </c>
      <c r="C200" s="48" t="s">
        <v>27</v>
      </c>
      <c r="D200" s="48" t="s">
        <v>767</v>
      </c>
      <c r="E200" s="146" t="s">
        <v>84</v>
      </c>
      <c r="F200" s="48"/>
      <c r="G200" s="48" t="s">
        <v>30</v>
      </c>
      <c r="H200" s="51">
        <v>4500</v>
      </c>
      <c r="I200" s="119">
        <v>900</v>
      </c>
      <c r="J200" s="48" t="s">
        <v>31</v>
      </c>
      <c r="K200" s="48" t="s">
        <v>32</v>
      </c>
    </row>
    <row r="201" spans="1:20" ht="15.75" customHeight="1">
      <c r="A201" s="146">
        <v>13</v>
      </c>
      <c r="B201" s="146" t="s">
        <v>768</v>
      </c>
      <c r="C201" s="48" t="s">
        <v>27</v>
      </c>
      <c r="D201" s="48" t="s">
        <v>98</v>
      </c>
      <c r="E201" s="146" t="s">
        <v>36</v>
      </c>
      <c r="F201" s="48"/>
      <c r="G201" s="48" t="s">
        <v>30</v>
      </c>
      <c r="H201" s="147">
        <v>500</v>
      </c>
      <c r="I201" s="148" t="s">
        <v>90</v>
      </c>
      <c r="J201" s="48" t="s">
        <v>31</v>
      </c>
      <c r="K201" s="48" t="s">
        <v>32</v>
      </c>
      <c r="N201" s="126">
        <v>100</v>
      </c>
    </row>
    <row r="202" spans="1:20" ht="15.75" customHeight="1">
      <c r="A202" s="166">
        <v>13</v>
      </c>
      <c r="B202" s="166" t="s">
        <v>705</v>
      </c>
      <c r="C202" s="166" t="s">
        <v>27</v>
      </c>
      <c r="D202" s="166" t="s">
        <v>645</v>
      </c>
      <c r="E202" s="166" t="s">
        <v>29</v>
      </c>
      <c r="F202" s="166"/>
      <c r="G202" s="166" t="s">
        <v>30</v>
      </c>
      <c r="H202" s="167">
        <v>6000</v>
      </c>
      <c r="I202" s="168" t="s">
        <v>90</v>
      </c>
      <c r="J202" s="169" t="s">
        <v>769</v>
      </c>
      <c r="K202" s="166"/>
      <c r="N202" s="126">
        <f>24000/5</f>
        <v>4800</v>
      </c>
      <c r="Q202" s="753" t="s">
        <v>770</v>
      </c>
      <c r="R202" s="719"/>
    </row>
    <row r="203" spans="1:20" ht="15.75" customHeight="1">
      <c r="A203" s="166">
        <v>13</v>
      </c>
      <c r="B203" s="166" t="s">
        <v>705</v>
      </c>
      <c r="C203" s="166" t="s">
        <v>27</v>
      </c>
      <c r="D203" s="166" t="s">
        <v>645</v>
      </c>
      <c r="E203" s="166" t="s">
        <v>29</v>
      </c>
      <c r="F203" s="166"/>
      <c r="G203" s="166" t="s">
        <v>30</v>
      </c>
      <c r="H203" s="167">
        <v>12000</v>
      </c>
      <c r="I203" s="168" t="s">
        <v>90</v>
      </c>
      <c r="J203" s="169" t="s">
        <v>771</v>
      </c>
      <c r="K203" s="166"/>
      <c r="Q203" s="753" t="s">
        <v>25</v>
      </c>
      <c r="R203" s="719"/>
    </row>
    <row r="204" spans="1:20" ht="15.75" customHeight="1">
      <c r="A204" s="48">
        <v>13</v>
      </c>
      <c r="B204" s="166" t="s">
        <v>705</v>
      </c>
      <c r="C204" s="166" t="s">
        <v>27</v>
      </c>
      <c r="D204" s="166" t="s">
        <v>645</v>
      </c>
      <c r="E204" s="166" t="s">
        <v>29</v>
      </c>
      <c r="F204" s="48"/>
      <c r="G204" s="48" t="s">
        <v>30</v>
      </c>
      <c r="H204" s="51">
        <v>3000</v>
      </c>
      <c r="I204" s="119">
        <v>600</v>
      </c>
      <c r="J204" s="62" t="s">
        <v>31</v>
      </c>
      <c r="K204" s="62" t="s">
        <v>32</v>
      </c>
      <c r="Q204" s="48" t="s">
        <v>33</v>
      </c>
      <c r="R204" s="74">
        <v>118630</v>
      </c>
    </row>
    <row r="205" spans="1:20" ht="15.75" customHeight="1">
      <c r="A205" s="58">
        <v>13</v>
      </c>
      <c r="B205" s="58" t="s">
        <v>772</v>
      </c>
      <c r="C205" s="58" t="s">
        <v>27</v>
      </c>
      <c r="D205" s="58" t="s">
        <v>108</v>
      </c>
      <c r="E205" s="58" t="s">
        <v>84</v>
      </c>
      <c r="F205" s="58"/>
      <c r="G205" s="58" t="s">
        <v>30</v>
      </c>
      <c r="H205" s="59">
        <v>3000</v>
      </c>
      <c r="I205" s="160">
        <v>600</v>
      </c>
      <c r="J205" s="62" t="s">
        <v>31</v>
      </c>
      <c r="K205" s="62" t="s">
        <v>32</v>
      </c>
      <c r="Q205" s="48" t="s">
        <v>37</v>
      </c>
      <c r="R205" s="74">
        <v>20000</v>
      </c>
      <c r="S205" s="55"/>
      <c r="T205" s="3"/>
    </row>
    <row r="206" spans="1:20" ht="15.75" customHeight="1">
      <c r="A206" s="62">
        <v>17</v>
      </c>
      <c r="B206" s="62" t="s">
        <v>773</v>
      </c>
      <c r="C206" s="62" t="s">
        <v>27</v>
      </c>
      <c r="D206" s="62" t="s">
        <v>65</v>
      </c>
      <c r="E206" s="62" t="s">
        <v>36</v>
      </c>
      <c r="F206" s="62"/>
      <c r="G206" s="62" t="s">
        <v>30</v>
      </c>
      <c r="H206" s="63">
        <v>5000</v>
      </c>
      <c r="I206" s="159">
        <v>1500</v>
      </c>
      <c r="J206" s="62" t="s">
        <v>31</v>
      </c>
      <c r="K206" s="62" t="s">
        <v>32</v>
      </c>
      <c r="N206" s="126">
        <v>1600</v>
      </c>
      <c r="Q206" s="164" t="s">
        <v>282</v>
      </c>
      <c r="R206" s="165">
        <v>138630</v>
      </c>
    </row>
    <row r="207" spans="1:20" ht="15.75" customHeight="1">
      <c r="A207" s="48">
        <v>17</v>
      </c>
      <c r="B207" s="48" t="s">
        <v>774</v>
      </c>
      <c r="C207" s="48" t="s">
        <v>39</v>
      </c>
      <c r="D207" s="48" t="s">
        <v>775</v>
      </c>
      <c r="E207" s="48" t="s">
        <v>169</v>
      </c>
      <c r="F207" s="48"/>
      <c r="G207" s="48" t="s">
        <v>30</v>
      </c>
      <c r="H207" s="51">
        <v>5700</v>
      </c>
      <c r="I207" s="119">
        <v>1710</v>
      </c>
      <c r="J207" s="48" t="s">
        <v>31</v>
      </c>
      <c r="K207" s="48" t="s">
        <v>32</v>
      </c>
      <c r="N207" s="126">
        <v>1000</v>
      </c>
      <c r="R207" s="3"/>
    </row>
    <row r="208" spans="1:20" ht="15.75" customHeight="1">
      <c r="A208" s="48">
        <v>17</v>
      </c>
      <c r="B208" s="48" t="s">
        <v>776</v>
      </c>
      <c r="C208" s="48" t="s">
        <v>27</v>
      </c>
      <c r="D208" s="48" t="s">
        <v>637</v>
      </c>
      <c r="E208" s="48" t="s">
        <v>54</v>
      </c>
      <c r="F208" s="48"/>
      <c r="G208" s="48" t="s">
        <v>30</v>
      </c>
      <c r="H208" s="51">
        <v>2000</v>
      </c>
      <c r="I208" s="119">
        <v>600</v>
      </c>
      <c r="J208" s="48" t="s">
        <v>31</v>
      </c>
      <c r="K208" s="48" t="s">
        <v>32</v>
      </c>
      <c r="N208" s="126">
        <v>300</v>
      </c>
    </row>
    <row r="209" spans="1:14" ht="15.75" customHeight="1">
      <c r="A209" s="48">
        <v>17</v>
      </c>
      <c r="B209" s="48" t="s">
        <v>777</v>
      </c>
      <c r="C209" s="48" t="s">
        <v>27</v>
      </c>
      <c r="D209" s="48" t="s">
        <v>666</v>
      </c>
      <c r="E209" s="48" t="s">
        <v>36</v>
      </c>
      <c r="F209" s="48"/>
      <c r="G209" s="48" t="s">
        <v>30</v>
      </c>
      <c r="H209" s="51">
        <v>100</v>
      </c>
      <c r="I209" s="119">
        <v>40</v>
      </c>
      <c r="J209" s="48" t="s">
        <v>31</v>
      </c>
      <c r="K209" s="48" t="s">
        <v>32</v>
      </c>
    </row>
    <row r="210" spans="1:14" ht="15.75" customHeight="1">
      <c r="A210" s="146">
        <v>17</v>
      </c>
      <c r="B210" s="146" t="s">
        <v>778</v>
      </c>
      <c r="C210" s="48" t="s">
        <v>27</v>
      </c>
      <c r="D210" s="48" t="s">
        <v>98</v>
      </c>
      <c r="E210" s="146" t="s">
        <v>36</v>
      </c>
      <c r="F210" s="48"/>
      <c r="G210" s="48" t="s">
        <v>30</v>
      </c>
      <c r="H210" s="147">
        <v>500</v>
      </c>
      <c r="I210" s="148" t="s">
        <v>90</v>
      </c>
      <c r="J210" s="48" t="s">
        <v>31</v>
      </c>
      <c r="K210" s="48" t="s">
        <v>32</v>
      </c>
      <c r="N210" s="126">
        <v>3200</v>
      </c>
    </row>
    <row r="211" spans="1:14" ht="15.75" customHeight="1">
      <c r="A211" s="48"/>
      <c r="B211" s="146" t="s">
        <v>778</v>
      </c>
      <c r="C211" s="48" t="s">
        <v>27</v>
      </c>
      <c r="D211" s="48" t="s">
        <v>98</v>
      </c>
      <c r="E211" s="146" t="s">
        <v>36</v>
      </c>
      <c r="F211" s="48"/>
      <c r="G211" s="48" t="s">
        <v>30</v>
      </c>
      <c r="H211" s="51">
        <v>1500</v>
      </c>
      <c r="I211" s="119">
        <v>300</v>
      </c>
      <c r="J211" s="48" t="s">
        <v>31</v>
      </c>
      <c r="K211" s="48" t="s">
        <v>32</v>
      </c>
    </row>
    <row r="212" spans="1:14" ht="15.75" customHeight="1">
      <c r="A212" s="146">
        <v>17</v>
      </c>
      <c r="B212" s="146" t="s">
        <v>779</v>
      </c>
      <c r="C212" s="48" t="s">
        <v>27</v>
      </c>
      <c r="D212" s="48" t="s">
        <v>98</v>
      </c>
      <c r="E212" s="146" t="s">
        <v>36</v>
      </c>
      <c r="F212" s="48"/>
      <c r="G212" s="48" t="s">
        <v>30</v>
      </c>
      <c r="H212" s="147">
        <v>500</v>
      </c>
      <c r="I212" s="148" t="s">
        <v>90</v>
      </c>
      <c r="J212" s="48" t="s">
        <v>31</v>
      </c>
      <c r="K212" s="48" t="s">
        <v>32</v>
      </c>
      <c r="N212" s="126">
        <v>3200</v>
      </c>
    </row>
    <row r="213" spans="1:14" ht="15.75" customHeight="1">
      <c r="A213" s="48"/>
      <c r="B213" s="146" t="s">
        <v>779</v>
      </c>
      <c r="C213" s="48" t="s">
        <v>27</v>
      </c>
      <c r="D213" s="48" t="s">
        <v>98</v>
      </c>
      <c r="E213" s="146" t="s">
        <v>36</v>
      </c>
      <c r="F213" s="48"/>
      <c r="G213" s="48" t="s">
        <v>30</v>
      </c>
      <c r="H213" s="51">
        <v>1000</v>
      </c>
      <c r="I213" s="119">
        <v>200</v>
      </c>
      <c r="J213" s="48" t="s">
        <v>31</v>
      </c>
      <c r="K213" s="48" t="s">
        <v>32</v>
      </c>
    </row>
    <row r="214" spans="1:14" ht="15.75" customHeight="1">
      <c r="A214" s="48">
        <v>17</v>
      </c>
      <c r="B214" s="48" t="s">
        <v>780</v>
      </c>
      <c r="C214" s="48" t="s">
        <v>27</v>
      </c>
      <c r="D214" s="48" t="s">
        <v>645</v>
      </c>
      <c r="E214" s="48" t="s">
        <v>29</v>
      </c>
      <c r="F214" s="48"/>
      <c r="G214" s="48" t="s">
        <v>30</v>
      </c>
      <c r="H214" s="51">
        <v>2500</v>
      </c>
      <c r="I214" s="119">
        <v>500</v>
      </c>
      <c r="J214" s="48" t="s">
        <v>31</v>
      </c>
      <c r="K214" s="48" t="s">
        <v>32</v>
      </c>
      <c r="N214" s="126">
        <v>50</v>
      </c>
    </row>
    <row r="215" spans="1:14" ht="15.75" customHeight="1">
      <c r="A215" s="48">
        <v>17</v>
      </c>
      <c r="B215" s="48" t="s">
        <v>781</v>
      </c>
      <c r="C215" s="48" t="s">
        <v>39</v>
      </c>
      <c r="D215" s="48" t="s">
        <v>645</v>
      </c>
      <c r="E215" s="48" t="s">
        <v>29</v>
      </c>
      <c r="F215" s="48"/>
      <c r="G215" s="48" t="s">
        <v>30</v>
      </c>
      <c r="H215" s="51">
        <v>10000</v>
      </c>
      <c r="I215" s="119">
        <v>2000</v>
      </c>
      <c r="J215" s="48" t="s">
        <v>31</v>
      </c>
      <c r="K215" s="48" t="s">
        <v>32</v>
      </c>
      <c r="N215" s="126">
        <v>600</v>
      </c>
    </row>
    <row r="216" spans="1:14" ht="15.75" customHeight="1">
      <c r="A216" s="48">
        <v>17</v>
      </c>
      <c r="B216" s="48" t="s">
        <v>782</v>
      </c>
      <c r="C216" s="48" t="s">
        <v>39</v>
      </c>
      <c r="D216" s="48" t="s">
        <v>43</v>
      </c>
      <c r="E216" s="48" t="s">
        <v>44</v>
      </c>
      <c r="F216" s="48"/>
      <c r="G216" s="48" t="s">
        <v>30</v>
      </c>
      <c r="H216" s="51">
        <v>8000</v>
      </c>
      <c r="I216" s="119">
        <v>1600</v>
      </c>
      <c r="J216" s="48" t="s">
        <v>31</v>
      </c>
      <c r="K216" s="48" t="s">
        <v>32</v>
      </c>
      <c r="N216" s="126">
        <v>2000</v>
      </c>
    </row>
    <row r="217" spans="1:14" ht="15.75" customHeight="1">
      <c r="A217" s="48">
        <v>17</v>
      </c>
      <c r="B217" s="48" t="s">
        <v>782</v>
      </c>
      <c r="C217" s="48" t="s">
        <v>39</v>
      </c>
      <c r="D217" s="48" t="s">
        <v>43</v>
      </c>
      <c r="E217" s="48" t="s">
        <v>44</v>
      </c>
      <c r="F217" s="48"/>
      <c r="G217" s="48" t="s">
        <v>30</v>
      </c>
      <c r="H217" s="51">
        <v>2500</v>
      </c>
      <c r="I217" s="119">
        <v>750</v>
      </c>
      <c r="J217" s="48" t="s">
        <v>31</v>
      </c>
      <c r="K217" s="48" t="s">
        <v>32</v>
      </c>
    </row>
    <row r="218" spans="1:14" ht="15.75" customHeight="1">
      <c r="A218" s="48">
        <v>17</v>
      </c>
      <c r="B218" s="48" t="s">
        <v>783</v>
      </c>
      <c r="C218" s="48" t="s">
        <v>27</v>
      </c>
      <c r="D218" s="48" t="s">
        <v>100</v>
      </c>
      <c r="E218" s="48" t="s">
        <v>209</v>
      </c>
      <c r="F218" s="48"/>
      <c r="G218" s="48" t="s">
        <v>30</v>
      </c>
      <c r="H218" s="51">
        <v>6000</v>
      </c>
      <c r="I218" s="119">
        <v>1200</v>
      </c>
      <c r="J218" s="48" t="s">
        <v>31</v>
      </c>
      <c r="K218" s="48" t="s">
        <v>32</v>
      </c>
      <c r="N218" s="126">
        <v>1500</v>
      </c>
    </row>
    <row r="219" spans="1:14" ht="15.75" customHeight="1">
      <c r="A219" s="48">
        <v>17</v>
      </c>
      <c r="B219" s="48" t="s">
        <v>784</v>
      </c>
      <c r="C219" s="48" t="s">
        <v>27</v>
      </c>
      <c r="D219" s="48" t="s">
        <v>100</v>
      </c>
      <c r="E219" s="48" t="s">
        <v>145</v>
      </c>
      <c r="F219" s="48"/>
      <c r="G219" s="48" t="s">
        <v>30</v>
      </c>
      <c r="H219" s="51">
        <v>5000</v>
      </c>
      <c r="I219" s="119">
        <v>1000</v>
      </c>
      <c r="J219" s="48" t="s">
        <v>31</v>
      </c>
      <c r="K219" s="48" t="s">
        <v>32</v>
      </c>
      <c r="N219" s="126">
        <v>800</v>
      </c>
    </row>
    <row r="220" spans="1:14" ht="15.75" customHeight="1">
      <c r="A220" s="48">
        <v>17</v>
      </c>
      <c r="B220" s="48" t="s">
        <v>785</v>
      </c>
      <c r="C220" s="48" t="s">
        <v>27</v>
      </c>
      <c r="D220" s="48" t="s">
        <v>786</v>
      </c>
      <c r="E220" s="48" t="s">
        <v>191</v>
      </c>
      <c r="F220" s="48"/>
      <c r="G220" s="48" t="s">
        <v>30</v>
      </c>
      <c r="H220" s="51">
        <v>4000</v>
      </c>
      <c r="I220" s="119">
        <v>800</v>
      </c>
      <c r="J220" s="48" t="s">
        <v>31</v>
      </c>
      <c r="K220" s="48" t="s">
        <v>32</v>
      </c>
      <c r="N220" s="126">
        <v>2400</v>
      </c>
    </row>
    <row r="221" spans="1:14" ht="15.75" customHeight="1">
      <c r="A221" s="48">
        <v>17</v>
      </c>
      <c r="B221" s="48" t="s">
        <v>787</v>
      </c>
      <c r="C221" s="48" t="s">
        <v>39</v>
      </c>
      <c r="D221" s="48" t="s">
        <v>65</v>
      </c>
      <c r="E221" s="48" t="s">
        <v>36</v>
      </c>
      <c r="F221" s="48"/>
      <c r="G221" s="48" t="s">
        <v>30</v>
      </c>
      <c r="H221" s="51">
        <v>1200</v>
      </c>
      <c r="I221" s="119">
        <v>240</v>
      </c>
      <c r="J221" s="48" t="s">
        <v>31</v>
      </c>
      <c r="K221" s="48" t="s">
        <v>32</v>
      </c>
      <c r="N221" s="126">
        <v>200</v>
      </c>
    </row>
    <row r="222" spans="1:14" ht="15.75" customHeight="1">
      <c r="A222" s="48">
        <v>17</v>
      </c>
      <c r="B222" s="48" t="s">
        <v>788</v>
      </c>
      <c r="C222" s="48" t="s">
        <v>27</v>
      </c>
      <c r="D222" s="48" t="s">
        <v>98</v>
      </c>
      <c r="E222" s="48" t="s">
        <v>36</v>
      </c>
      <c r="F222" s="48"/>
      <c r="G222" s="48" t="s">
        <v>30</v>
      </c>
      <c r="H222" s="51">
        <v>2000</v>
      </c>
      <c r="I222" s="119">
        <v>400</v>
      </c>
      <c r="J222" s="48" t="s">
        <v>31</v>
      </c>
      <c r="K222" s="48" t="s">
        <v>32</v>
      </c>
      <c r="N222" s="126">
        <v>600</v>
      </c>
    </row>
    <row r="223" spans="1:14" ht="15.75" customHeight="1">
      <c r="A223" s="48">
        <v>17</v>
      </c>
      <c r="B223" s="48" t="s">
        <v>789</v>
      </c>
      <c r="C223" s="48" t="s">
        <v>27</v>
      </c>
      <c r="D223" s="48" t="s">
        <v>106</v>
      </c>
      <c r="E223" s="48" t="s">
        <v>56</v>
      </c>
      <c r="F223" s="48"/>
      <c r="G223" s="48" t="s">
        <v>30</v>
      </c>
      <c r="H223" s="51">
        <v>200</v>
      </c>
      <c r="I223" s="119">
        <v>60</v>
      </c>
      <c r="J223" s="48" t="s">
        <v>31</v>
      </c>
      <c r="K223" s="48" t="s">
        <v>32</v>
      </c>
      <c r="N223" s="126">
        <v>50</v>
      </c>
    </row>
    <row r="224" spans="1:14" ht="15.75" customHeight="1">
      <c r="A224" s="48">
        <v>17</v>
      </c>
      <c r="B224" s="48" t="s">
        <v>789</v>
      </c>
      <c r="C224" s="48" t="s">
        <v>27</v>
      </c>
      <c r="D224" s="48" t="s">
        <v>106</v>
      </c>
      <c r="E224" s="48" t="s">
        <v>56</v>
      </c>
      <c r="F224" s="48"/>
      <c r="G224" s="48" t="s">
        <v>30</v>
      </c>
      <c r="H224" s="51">
        <v>80</v>
      </c>
      <c r="I224" s="119">
        <v>32</v>
      </c>
      <c r="J224" s="48" t="s">
        <v>31</v>
      </c>
      <c r="K224" s="48" t="s">
        <v>32</v>
      </c>
    </row>
    <row r="225" spans="1:14" ht="15.75" customHeight="1">
      <c r="A225" s="48">
        <v>17</v>
      </c>
      <c r="B225" s="48" t="s">
        <v>790</v>
      </c>
      <c r="C225" s="48" t="s">
        <v>27</v>
      </c>
      <c r="D225" s="48" t="s">
        <v>297</v>
      </c>
      <c r="E225" s="48" t="s">
        <v>44</v>
      </c>
      <c r="F225" s="48"/>
      <c r="G225" s="48" t="s">
        <v>30</v>
      </c>
      <c r="H225" s="51">
        <v>400</v>
      </c>
      <c r="I225" s="119">
        <v>80</v>
      </c>
      <c r="J225" s="48" t="s">
        <v>31</v>
      </c>
      <c r="K225" s="48" t="s">
        <v>32</v>
      </c>
      <c r="N225" s="126">
        <v>150</v>
      </c>
    </row>
    <row r="226" spans="1:14" ht="15.75" customHeight="1">
      <c r="A226" s="48">
        <v>17</v>
      </c>
      <c r="B226" s="48" t="s">
        <v>791</v>
      </c>
      <c r="C226" s="48" t="s">
        <v>27</v>
      </c>
      <c r="D226" s="48" t="s">
        <v>792</v>
      </c>
      <c r="E226" s="48" t="s">
        <v>44</v>
      </c>
      <c r="F226" s="48"/>
      <c r="G226" s="48" t="s">
        <v>30</v>
      </c>
      <c r="H226" s="51">
        <v>50</v>
      </c>
      <c r="I226" s="119">
        <v>15</v>
      </c>
      <c r="J226" s="48" t="s">
        <v>31</v>
      </c>
      <c r="K226" s="48" t="s">
        <v>32</v>
      </c>
      <c r="N226" s="126">
        <v>150</v>
      </c>
    </row>
    <row r="227" spans="1:14" ht="15.75" customHeight="1">
      <c r="A227" s="48">
        <v>17</v>
      </c>
      <c r="B227" s="48" t="s">
        <v>793</v>
      </c>
      <c r="C227" s="48" t="s">
        <v>27</v>
      </c>
      <c r="D227" s="48" t="s">
        <v>59</v>
      </c>
      <c r="E227" s="48" t="s">
        <v>84</v>
      </c>
      <c r="F227" s="48"/>
      <c r="G227" s="48" t="s">
        <v>30</v>
      </c>
      <c r="H227" s="51">
        <v>2000</v>
      </c>
      <c r="I227" s="119">
        <v>400</v>
      </c>
      <c r="J227" s="48" t="s">
        <v>31</v>
      </c>
      <c r="K227" s="48" t="s">
        <v>32</v>
      </c>
      <c r="N227" s="126">
        <v>700</v>
      </c>
    </row>
    <row r="228" spans="1:14" ht="15.75" customHeight="1">
      <c r="A228" s="48">
        <v>17</v>
      </c>
      <c r="B228" s="48" t="s">
        <v>794</v>
      </c>
      <c r="C228" s="48" t="s">
        <v>27</v>
      </c>
      <c r="D228" s="48" t="s">
        <v>43</v>
      </c>
      <c r="E228" s="48" t="s">
        <v>44</v>
      </c>
      <c r="F228" s="48"/>
      <c r="G228" s="48" t="s">
        <v>30</v>
      </c>
      <c r="H228" s="51">
        <v>4000</v>
      </c>
      <c r="I228" s="119">
        <v>800</v>
      </c>
      <c r="J228" s="48" t="s">
        <v>31</v>
      </c>
      <c r="K228" s="48" t="s">
        <v>32</v>
      </c>
      <c r="N228" s="126">
        <v>600</v>
      </c>
    </row>
    <row r="229" spans="1:14" ht="15.75" customHeight="1">
      <c r="A229" s="48">
        <v>17</v>
      </c>
      <c r="B229" s="48" t="s">
        <v>795</v>
      </c>
      <c r="C229" s="48" t="s">
        <v>27</v>
      </c>
      <c r="D229" s="48" t="s">
        <v>173</v>
      </c>
      <c r="E229" s="48" t="s">
        <v>84</v>
      </c>
      <c r="F229" s="48"/>
      <c r="G229" s="48" t="s">
        <v>30</v>
      </c>
      <c r="H229" s="51">
        <v>5000</v>
      </c>
      <c r="I229" s="119">
        <v>1000</v>
      </c>
      <c r="J229" s="48" t="s">
        <v>31</v>
      </c>
      <c r="K229" s="48" t="s">
        <v>32</v>
      </c>
      <c r="N229" s="126">
        <v>1200</v>
      </c>
    </row>
    <row r="230" spans="1:14" ht="15.75" customHeight="1">
      <c r="A230" s="48">
        <v>17</v>
      </c>
      <c r="B230" s="48" t="s">
        <v>796</v>
      </c>
      <c r="C230" s="48" t="s">
        <v>27</v>
      </c>
      <c r="D230" s="48" t="s">
        <v>104</v>
      </c>
      <c r="E230" s="48" t="s">
        <v>36</v>
      </c>
      <c r="F230" s="48"/>
      <c r="G230" s="48" t="s">
        <v>30</v>
      </c>
      <c r="H230" s="51">
        <v>1500</v>
      </c>
      <c r="I230" s="119">
        <v>300</v>
      </c>
      <c r="J230" s="48" t="s">
        <v>31</v>
      </c>
      <c r="K230" s="48" t="s">
        <v>32</v>
      </c>
      <c r="N230" s="126">
        <v>300</v>
      </c>
    </row>
    <row r="231" spans="1:14" ht="15.75" customHeight="1">
      <c r="A231" s="48">
        <v>17</v>
      </c>
      <c r="B231" s="48" t="s">
        <v>797</v>
      </c>
      <c r="C231" s="48" t="s">
        <v>39</v>
      </c>
      <c r="D231" s="48" t="s">
        <v>53</v>
      </c>
      <c r="E231" s="48" t="s">
        <v>54</v>
      </c>
      <c r="F231" s="48"/>
      <c r="G231" s="48" t="s">
        <v>30</v>
      </c>
      <c r="H231" s="51">
        <v>5000</v>
      </c>
      <c r="I231" s="119">
        <v>1000</v>
      </c>
      <c r="J231" s="48" t="s">
        <v>31</v>
      </c>
      <c r="K231" s="48" t="s">
        <v>32</v>
      </c>
      <c r="N231" s="126">
        <v>1200</v>
      </c>
    </row>
    <row r="232" spans="1:14" ht="15.75" customHeight="1">
      <c r="A232" s="48">
        <v>17</v>
      </c>
      <c r="B232" s="48" t="s">
        <v>798</v>
      </c>
      <c r="C232" s="48" t="s">
        <v>27</v>
      </c>
      <c r="D232" s="48" t="s">
        <v>232</v>
      </c>
      <c r="E232" s="48" t="s">
        <v>68</v>
      </c>
      <c r="F232" s="48"/>
      <c r="G232" s="48" t="s">
        <v>30</v>
      </c>
      <c r="H232" s="51">
        <v>5000</v>
      </c>
      <c r="I232" s="119">
        <v>1000</v>
      </c>
      <c r="J232" s="48" t="s">
        <v>31</v>
      </c>
      <c r="K232" s="48" t="s">
        <v>32</v>
      </c>
      <c r="N232" s="126">
        <v>918</v>
      </c>
    </row>
    <row r="233" spans="1:14" ht="15.75" customHeight="1">
      <c r="A233" s="48">
        <v>17</v>
      </c>
      <c r="B233" s="48" t="s">
        <v>799</v>
      </c>
      <c r="C233" s="48" t="s">
        <v>27</v>
      </c>
      <c r="D233" s="48" t="s">
        <v>63</v>
      </c>
      <c r="E233" s="48" t="s">
        <v>29</v>
      </c>
      <c r="F233" s="48"/>
      <c r="G233" s="48" t="s">
        <v>30</v>
      </c>
      <c r="H233" s="51">
        <v>1500</v>
      </c>
      <c r="I233" s="119">
        <v>300</v>
      </c>
      <c r="J233" s="48" t="s">
        <v>31</v>
      </c>
      <c r="K233" s="48" t="s">
        <v>32</v>
      </c>
      <c r="N233" s="126">
        <v>300</v>
      </c>
    </row>
    <row r="234" spans="1:14" ht="15.75" customHeight="1">
      <c r="A234" s="146">
        <v>17</v>
      </c>
      <c r="B234" s="146" t="s">
        <v>800</v>
      </c>
      <c r="C234" s="48" t="s">
        <v>27</v>
      </c>
      <c r="D234" s="48" t="s">
        <v>319</v>
      </c>
      <c r="E234" s="146" t="s">
        <v>36</v>
      </c>
      <c r="F234" s="48"/>
      <c r="G234" s="48" t="s">
        <v>30</v>
      </c>
      <c r="H234" s="147">
        <v>500</v>
      </c>
      <c r="I234" s="148" t="s">
        <v>90</v>
      </c>
      <c r="J234" s="48" t="s">
        <v>31</v>
      </c>
      <c r="K234" s="48" t="s">
        <v>32</v>
      </c>
      <c r="N234" s="126">
        <v>600</v>
      </c>
    </row>
    <row r="235" spans="1:14" ht="15.75" customHeight="1">
      <c r="A235" s="48">
        <v>17</v>
      </c>
      <c r="B235" s="146" t="s">
        <v>800</v>
      </c>
      <c r="C235" s="48" t="s">
        <v>27</v>
      </c>
      <c r="D235" s="48" t="s">
        <v>319</v>
      </c>
      <c r="E235" s="146" t="s">
        <v>36</v>
      </c>
      <c r="F235" s="48"/>
      <c r="G235" s="48" t="s">
        <v>30</v>
      </c>
      <c r="H235" s="51">
        <v>2000</v>
      </c>
      <c r="I235" s="119">
        <v>400</v>
      </c>
      <c r="J235" s="48" t="s">
        <v>31</v>
      </c>
      <c r="K235" s="48" t="s">
        <v>32</v>
      </c>
    </row>
    <row r="236" spans="1:14" ht="15.75" customHeight="1">
      <c r="A236" s="48">
        <v>17</v>
      </c>
      <c r="B236" s="48" t="s">
        <v>801</v>
      </c>
      <c r="C236" s="48" t="s">
        <v>27</v>
      </c>
      <c r="D236" s="48" t="s">
        <v>100</v>
      </c>
      <c r="E236" s="48" t="s">
        <v>89</v>
      </c>
      <c r="F236" s="48"/>
      <c r="G236" s="48" t="s">
        <v>30</v>
      </c>
      <c r="H236" s="51">
        <v>500</v>
      </c>
      <c r="I236" s="119">
        <v>100</v>
      </c>
      <c r="J236" s="48" t="s">
        <v>31</v>
      </c>
      <c r="K236" s="48" t="s">
        <v>32</v>
      </c>
      <c r="N236" s="126">
        <v>100</v>
      </c>
    </row>
    <row r="237" spans="1:14" ht="15.75" customHeight="1">
      <c r="A237" s="48">
        <v>17</v>
      </c>
      <c r="B237" s="48" t="s">
        <v>802</v>
      </c>
      <c r="C237" s="48" t="s">
        <v>27</v>
      </c>
      <c r="D237" s="48" t="s">
        <v>211</v>
      </c>
      <c r="E237" s="48" t="s">
        <v>245</v>
      </c>
      <c r="F237" s="48"/>
      <c r="G237" s="48" t="s">
        <v>30</v>
      </c>
      <c r="H237" s="51">
        <v>500</v>
      </c>
      <c r="I237" s="119">
        <v>100</v>
      </c>
      <c r="J237" s="48" t="s">
        <v>31</v>
      </c>
      <c r="K237" s="48" t="s">
        <v>32</v>
      </c>
      <c r="N237" s="126">
        <v>100</v>
      </c>
    </row>
    <row r="238" spans="1:14" ht="15.75" customHeight="1">
      <c r="A238" s="48">
        <v>17</v>
      </c>
      <c r="B238" s="48" t="s">
        <v>803</v>
      </c>
      <c r="C238" s="48" t="s">
        <v>27</v>
      </c>
      <c r="D238" s="48" t="s">
        <v>804</v>
      </c>
      <c r="E238" s="48" t="s">
        <v>68</v>
      </c>
      <c r="F238" s="48"/>
      <c r="G238" s="48" t="s">
        <v>30</v>
      </c>
      <c r="H238" s="51">
        <v>3000</v>
      </c>
      <c r="I238" s="119">
        <v>600</v>
      </c>
      <c r="J238" s="48" t="s">
        <v>31</v>
      </c>
      <c r="K238" s="48" t="s">
        <v>32</v>
      </c>
      <c r="N238" s="126">
        <v>600</v>
      </c>
    </row>
    <row r="239" spans="1:14" ht="15.75" customHeight="1">
      <c r="A239" s="48">
        <v>17</v>
      </c>
      <c r="B239" s="48" t="s">
        <v>805</v>
      </c>
      <c r="C239" s="48" t="s">
        <v>27</v>
      </c>
      <c r="D239" s="48" t="s">
        <v>806</v>
      </c>
      <c r="E239" s="48" t="s">
        <v>86</v>
      </c>
      <c r="F239" s="48"/>
      <c r="G239" s="48" t="s">
        <v>30</v>
      </c>
      <c r="H239" s="51">
        <v>700</v>
      </c>
      <c r="I239" s="119">
        <v>140</v>
      </c>
      <c r="J239" s="48" t="s">
        <v>31</v>
      </c>
      <c r="K239" s="48" t="s">
        <v>32</v>
      </c>
      <c r="N239" s="126">
        <v>140</v>
      </c>
    </row>
    <row r="240" spans="1:14" ht="15.75" customHeight="1">
      <c r="A240" s="48">
        <v>17</v>
      </c>
      <c r="B240" s="48" t="s">
        <v>807</v>
      </c>
      <c r="C240" s="48" t="s">
        <v>27</v>
      </c>
      <c r="D240" s="48" t="s">
        <v>439</v>
      </c>
      <c r="E240" s="48" t="s">
        <v>145</v>
      </c>
      <c r="F240" s="48"/>
      <c r="G240" s="48" t="s">
        <v>30</v>
      </c>
      <c r="H240" s="51">
        <v>3000</v>
      </c>
      <c r="I240" s="119">
        <v>600</v>
      </c>
      <c r="J240" s="48" t="s">
        <v>31</v>
      </c>
      <c r="K240" s="48" t="s">
        <v>32</v>
      </c>
      <c r="N240" s="126">
        <v>400</v>
      </c>
    </row>
    <row r="241" spans="1:21" ht="15.75" customHeight="1">
      <c r="A241" s="48">
        <v>17</v>
      </c>
      <c r="B241" s="48" t="s">
        <v>808</v>
      </c>
      <c r="C241" s="48" t="s">
        <v>27</v>
      </c>
      <c r="D241" s="48" t="s">
        <v>100</v>
      </c>
      <c r="E241" s="48" t="s">
        <v>809</v>
      </c>
      <c r="F241" s="48"/>
      <c r="G241" s="48" t="s">
        <v>30</v>
      </c>
      <c r="H241" s="51">
        <v>10000</v>
      </c>
      <c r="I241" s="119">
        <v>2000</v>
      </c>
      <c r="J241" s="48" t="s">
        <v>31</v>
      </c>
      <c r="K241" s="48" t="s">
        <v>32</v>
      </c>
      <c r="N241" s="126">
        <v>800</v>
      </c>
    </row>
    <row r="242" spans="1:21" ht="15.75" customHeight="1">
      <c r="A242" s="48">
        <v>17</v>
      </c>
      <c r="B242" s="48" t="s">
        <v>810</v>
      </c>
      <c r="C242" s="48" t="s">
        <v>27</v>
      </c>
      <c r="D242" s="48" t="s">
        <v>666</v>
      </c>
      <c r="E242" s="48" t="s">
        <v>86</v>
      </c>
      <c r="F242" s="48"/>
      <c r="G242" s="48" t="s">
        <v>30</v>
      </c>
      <c r="H242" s="51">
        <v>3000</v>
      </c>
      <c r="I242" s="119">
        <v>600</v>
      </c>
      <c r="J242" s="48" t="s">
        <v>31</v>
      </c>
      <c r="K242" s="48" t="s">
        <v>32</v>
      </c>
      <c r="N242" s="126">
        <v>400</v>
      </c>
    </row>
    <row r="243" spans="1:21" ht="15.75" customHeight="1">
      <c r="A243" s="48">
        <v>17</v>
      </c>
      <c r="B243" s="48" t="s">
        <v>811</v>
      </c>
      <c r="C243" s="48" t="s">
        <v>27</v>
      </c>
      <c r="D243" s="48" t="s">
        <v>177</v>
      </c>
      <c r="E243" s="48" t="s">
        <v>223</v>
      </c>
      <c r="F243" s="48"/>
      <c r="G243" s="48" t="s">
        <v>30</v>
      </c>
      <c r="H243" s="51">
        <v>100</v>
      </c>
      <c r="I243" s="119">
        <v>20</v>
      </c>
      <c r="J243" s="48" t="s">
        <v>31</v>
      </c>
      <c r="K243" s="48" t="s">
        <v>32</v>
      </c>
      <c r="N243" s="126">
        <v>20</v>
      </c>
    </row>
    <row r="244" spans="1:21" ht="15.75" customHeight="1">
      <c r="A244" s="48">
        <v>17</v>
      </c>
      <c r="B244" s="48" t="s">
        <v>812</v>
      </c>
      <c r="C244" s="48" t="s">
        <v>27</v>
      </c>
      <c r="D244" s="48" t="s">
        <v>813</v>
      </c>
      <c r="E244" s="48" t="s">
        <v>148</v>
      </c>
      <c r="F244" s="48"/>
      <c r="G244" s="48" t="s">
        <v>30</v>
      </c>
      <c r="H244" s="51">
        <v>200</v>
      </c>
      <c r="I244" s="119">
        <v>40</v>
      </c>
      <c r="J244" s="48" t="s">
        <v>31</v>
      </c>
      <c r="K244" s="48" t="s">
        <v>32</v>
      </c>
      <c r="N244" s="126">
        <v>40</v>
      </c>
    </row>
    <row r="245" spans="1:21" ht="15.75" customHeight="1">
      <c r="A245" s="48">
        <v>17</v>
      </c>
      <c r="B245" s="48" t="s">
        <v>814</v>
      </c>
      <c r="C245" s="48" t="s">
        <v>27</v>
      </c>
      <c r="D245" s="48" t="s">
        <v>53</v>
      </c>
      <c r="E245" s="48" t="s">
        <v>54</v>
      </c>
      <c r="F245" s="48"/>
      <c r="G245" s="48" t="s">
        <v>30</v>
      </c>
      <c r="H245" s="51">
        <v>3000</v>
      </c>
      <c r="I245" s="119">
        <v>600</v>
      </c>
      <c r="J245" s="48" t="s">
        <v>31</v>
      </c>
      <c r="K245" s="48" t="s">
        <v>32</v>
      </c>
      <c r="N245" s="126">
        <v>400</v>
      </c>
    </row>
    <row r="246" spans="1:21" ht="15.75" customHeight="1">
      <c r="A246" s="48">
        <v>17</v>
      </c>
      <c r="B246" s="48" t="s">
        <v>815</v>
      </c>
      <c r="C246" s="48" t="s">
        <v>27</v>
      </c>
      <c r="D246" s="48" t="s">
        <v>53</v>
      </c>
      <c r="E246" s="48" t="s">
        <v>54</v>
      </c>
      <c r="F246" s="48"/>
      <c r="G246" s="48" t="s">
        <v>30</v>
      </c>
      <c r="H246" s="51">
        <v>1200</v>
      </c>
      <c r="I246" s="119">
        <v>240</v>
      </c>
      <c r="J246" s="48" t="s">
        <v>31</v>
      </c>
      <c r="K246" s="48" t="s">
        <v>32</v>
      </c>
      <c r="N246" s="126">
        <v>240</v>
      </c>
    </row>
    <row r="247" spans="1:21" ht="15.75" customHeight="1">
      <c r="A247" s="48">
        <v>17</v>
      </c>
      <c r="B247" s="48" t="s">
        <v>816</v>
      </c>
      <c r="C247" s="48" t="s">
        <v>39</v>
      </c>
      <c r="D247" s="48" t="s">
        <v>817</v>
      </c>
      <c r="E247" s="48" t="s">
        <v>36</v>
      </c>
      <c r="F247" s="48"/>
      <c r="G247" s="48" t="s">
        <v>30</v>
      </c>
      <c r="H247" s="51">
        <v>500</v>
      </c>
      <c r="I247" s="119">
        <v>150</v>
      </c>
      <c r="J247" s="48" t="s">
        <v>31</v>
      </c>
      <c r="K247" s="48" t="s">
        <v>32</v>
      </c>
      <c r="N247" s="126">
        <v>200</v>
      </c>
    </row>
    <row r="248" spans="1:21" ht="15.75" customHeight="1">
      <c r="A248" s="48">
        <v>17</v>
      </c>
      <c r="B248" s="48" t="s">
        <v>818</v>
      </c>
      <c r="C248" s="48" t="s">
        <v>39</v>
      </c>
      <c r="D248" s="48" t="s">
        <v>728</v>
      </c>
      <c r="E248" s="48" t="s">
        <v>86</v>
      </c>
      <c r="F248" s="48"/>
      <c r="G248" s="48" t="s">
        <v>30</v>
      </c>
      <c r="H248" s="51">
        <v>500</v>
      </c>
      <c r="I248" s="119">
        <v>150</v>
      </c>
      <c r="J248" s="48" t="s">
        <v>31</v>
      </c>
      <c r="K248" s="48" t="s">
        <v>32</v>
      </c>
      <c r="N248" s="126">
        <v>100</v>
      </c>
    </row>
    <row r="249" spans="1:21" ht="15.75" customHeight="1">
      <c r="A249" s="146">
        <v>17</v>
      </c>
      <c r="B249" s="146" t="s">
        <v>819</v>
      </c>
      <c r="C249" s="48" t="s">
        <v>27</v>
      </c>
      <c r="D249" s="48" t="s">
        <v>213</v>
      </c>
      <c r="E249" s="146" t="s">
        <v>36</v>
      </c>
      <c r="F249" s="48"/>
      <c r="G249" s="48" t="s">
        <v>30</v>
      </c>
      <c r="H249" s="147">
        <v>500</v>
      </c>
      <c r="I249" s="148" t="s">
        <v>90</v>
      </c>
      <c r="J249" s="48" t="s">
        <v>31</v>
      </c>
      <c r="K249" s="48" t="s">
        <v>32</v>
      </c>
      <c r="N249" s="126">
        <v>400</v>
      </c>
    </row>
    <row r="250" spans="1:21" ht="15.75" customHeight="1">
      <c r="A250" s="48">
        <v>17</v>
      </c>
      <c r="B250" s="146" t="s">
        <v>819</v>
      </c>
      <c r="C250" s="48" t="s">
        <v>27</v>
      </c>
      <c r="D250" s="48" t="s">
        <v>213</v>
      </c>
      <c r="E250" s="146" t="s">
        <v>36</v>
      </c>
      <c r="F250" s="48"/>
      <c r="G250" s="48" t="s">
        <v>30</v>
      </c>
      <c r="H250" s="51">
        <v>500</v>
      </c>
      <c r="I250" s="119">
        <v>150</v>
      </c>
      <c r="J250" s="48" t="s">
        <v>31</v>
      </c>
      <c r="K250" s="48" t="s">
        <v>32</v>
      </c>
    </row>
    <row r="251" spans="1:21" ht="15.75" customHeight="1">
      <c r="A251" s="48">
        <v>17</v>
      </c>
      <c r="B251" s="48" t="s">
        <v>820</v>
      </c>
      <c r="C251" s="48" t="s">
        <v>27</v>
      </c>
      <c r="D251" s="48" t="s">
        <v>439</v>
      </c>
      <c r="E251" s="48" t="s">
        <v>145</v>
      </c>
      <c r="F251" s="48"/>
      <c r="G251" s="48" t="s">
        <v>30</v>
      </c>
      <c r="H251" s="51">
        <v>500</v>
      </c>
      <c r="I251" s="119">
        <v>100</v>
      </c>
      <c r="J251" s="48" t="s">
        <v>31</v>
      </c>
      <c r="K251" s="48" t="s">
        <v>32</v>
      </c>
      <c r="N251" s="126">
        <v>150</v>
      </c>
    </row>
    <row r="252" spans="1:21" ht="15.75" customHeight="1">
      <c r="A252" s="48">
        <v>17</v>
      </c>
      <c r="B252" s="48" t="s">
        <v>821</v>
      </c>
      <c r="C252" s="48" t="s">
        <v>39</v>
      </c>
      <c r="D252" s="48" t="s">
        <v>108</v>
      </c>
      <c r="E252" s="48" t="s">
        <v>36</v>
      </c>
      <c r="F252" s="48"/>
      <c r="G252" s="48" t="s">
        <v>30</v>
      </c>
      <c r="H252" s="51">
        <v>1200</v>
      </c>
      <c r="I252" s="119">
        <v>240</v>
      </c>
      <c r="J252" s="48" t="s">
        <v>31</v>
      </c>
      <c r="K252" s="48" t="s">
        <v>32</v>
      </c>
      <c r="N252" s="126">
        <v>300</v>
      </c>
    </row>
    <row r="253" spans="1:21" ht="15.75" customHeight="1">
      <c r="A253" s="58">
        <v>17</v>
      </c>
      <c r="B253" s="58" t="s">
        <v>822</v>
      </c>
      <c r="C253" s="58" t="s">
        <v>27</v>
      </c>
      <c r="D253" s="58" t="s">
        <v>823</v>
      </c>
      <c r="E253" s="58" t="s">
        <v>824</v>
      </c>
      <c r="F253" s="58"/>
      <c r="G253" s="58" t="s">
        <v>30</v>
      </c>
      <c r="H253" s="59">
        <v>1000</v>
      </c>
      <c r="I253" s="160">
        <v>300</v>
      </c>
      <c r="J253" s="58" t="s">
        <v>31</v>
      </c>
      <c r="K253" s="58" t="s">
        <v>32</v>
      </c>
      <c r="M253" s="126">
        <v>200</v>
      </c>
    </row>
    <row r="254" spans="1:21" ht="15.75" customHeight="1">
      <c r="A254" s="62">
        <v>18</v>
      </c>
      <c r="B254" s="62" t="s">
        <v>825</v>
      </c>
      <c r="C254" s="62" t="s">
        <v>27</v>
      </c>
      <c r="D254" s="62" t="s">
        <v>110</v>
      </c>
      <c r="E254" s="62" t="s">
        <v>36</v>
      </c>
      <c r="F254" s="62"/>
      <c r="G254" s="62" t="s">
        <v>30</v>
      </c>
      <c r="H254" s="63">
        <v>2500</v>
      </c>
      <c r="I254" s="159">
        <v>500</v>
      </c>
      <c r="J254" s="62" t="s">
        <v>31</v>
      </c>
      <c r="K254" s="62" t="s">
        <v>32</v>
      </c>
      <c r="N254" s="126">
        <v>600</v>
      </c>
      <c r="Q254" s="748" t="s">
        <v>826</v>
      </c>
      <c r="R254" s="719"/>
    </row>
    <row r="255" spans="1:21" ht="15.75" customHeight="1">
      <c r="A255" s="48">
        <v>18</v>
      </c>
      <c r="B255" s="48" t="s">
        <v>827</v>
      </c>
      <c r="C255" s="48" t="s">
        <v>27</v>
      </c>
      <c r="D255" s="48" t="s">
        <v>645</v>
      </c>
      <c r="E255" s="48" t="s">
        <v>29</v>
      </c>
      <c r="F255" s="48"/>
      <c r="G255" s="48" t="s">
        <v>30</v>
      </c>
      <c r="H255" s="51">
        <v>7000</v>
      </c>
      <c r="I255" s="119">
        <v>1400</v>
      </c>
      <c r="J255" s="58" t="s">
        <v>31</v>
      </c>
      <c r="K255" s="58" t="s">
        <v>32</v>
      </c>
      <c r="M255" s="126">
        <v>1400</v>
      </c>
      <c r="Q255" s="748" t="s">
        <v>25</v>
      </c>
      <c r="R255" s="719"/>
    </row>
    <row r="256" spans="1:21" ht="15.75" customHeight="1">
      <c r="A256" s="48">
        <v>18</v>
      </c>
      <c r="B256" s="48" t="s">
        <v>828</v>
      </c>
      <c r="C256" s="48" t="s">
        <v>39</v>
      </c>
      <c r="D256" s="48" t="s">
        <v>829</v>
      </c>
      <c r="E256" s="48" t="s">
        <v>51</v>
      </c>
      <c r="F256" s="48"/>
      <c r="G256" s="48" t="s">
        <v>30</v>
      </c>
      <c r="H256" s="51">
        <v>2000</v>
      </c>
      <c r="I256" s="119">
        <v>400</v>
      </c>
      <c r="J256" s="58" t="s">
        <v>31</v>
      </c>
      <c r="K256" s="58" t="s">
        <v>32</v>
      </c>
      <c r="N256" s="126">
        <v>300</v>
      </c>
      <c r="Q256" s="48" t="s">
        <v>33</v>
      </c>
      <c r="R256" s="51">
        <v>81800</v>
      </c>
      <c r="S256" s="55">
        <f>H254+H255+H256+H258+H260+H261+H262+H263+H270+H272+H273+H274+H275+H276+H277+H278+H280+H281+H283+H284+H285+H286+H287+H290</f>
        <v>69800</v>
      </c>
      <c r="T256" s="126">
        <v>12000</v>
      </c>
      <c r="U256" s="55">
        <f t="shared" ref="U256:U257" si="0">SUM(S256:T256)</f>
        <v>81800</v>
      </c>
    </row>
    <row r="257" spans="1:21" ht="15.75" customHeight="1">
      <c r="A257" s="146">
        <v>18</v>
      </c>
      <c r="B257" s="146" t="s">
        <v>830</v>
      </c>
      <c r="C257" s="48" t="s">
        <v>27</v>
      </c>
      <c r="D257" s="48" t="s">
        <v>418</v>
      </c>
      <c r="E257" s="146" t="s">
        <v>51</v>
      </c>
      <c r="F257" s="48"/>
      <c r="G257" s="48" t="s">
        <v>30</v>
      </c>
      <c r="H257" s="147">
        <v>500</v>
      </c>
      <c r="I257" s="148" t="s">
        <v>90</v>
      </c>
      <c r="J257" s="58" t="s">
        <v>31</v>
      </c>
      <c r="K257" s="58" t="s">
        <v>32</v>
      </c>
      <c r="N257" s="126">
        <v>2000</v>
      </c>
      <c r="Q257" s="48" t="s">
        <v>37</v>
      </c>
      <c r="R257" s="51">
        <v>73000</v>
      </c>
      <c r="S257" s="55">
        <f>H257+H259+H271+H279+H282+H288+H289</f>
        <v>12000</v>
      </c>
      <c r="T257" s="126">
        <v>61000</v>
      </c>
      <c r="U257" s="55">
        <f t="shared" si="0"/>
        <v>73000</v>
      </c>
    </row>
    <row r="258" spans="1:21" ht="15.75" customHeight="1">
      <c r="A258" s="48">
        <v>18</v>
      </c>
      <c r="B258" s="146" t="s">
        <v>830</v>
      </c>
      <c r="C258" s="48" t="s">
        <v>27</v>
      </c>
      <c r="D258" s="48" t="s">
        <v>418</v>
      </c>
      <c r="E258" s="146" t="s">
        <v>51</v>
      </c>
      <c r="F258" s="48"/>
      <c r="G258" s="48" t="s">
        <v>30</v>
      </c>
      <c r="H258" s="51">
        <v>9600</v>
      </c>
      <c r="I258" s="119">
        <v>1920</v>
      </c>
      <c r="J258" s="58" t="s">
        <v>31</v>
      </c>
      <c r="K258" s="58" t="s">
        <v>32</v>
      </c>
      <c r="Q258" s="170" t="s">
        <v>576</v>
      </c>
      <c r="R258" s="171">
        <f>R256+R257</f>
        <v>154800</v>
      </c>
      <c r="S258" s="55"/>
      <c r="U258" s="55">
        <f>SUM(U256:U257)</f>
        <v>154800</v>
      </c>
    </row>
    <row r="259" spans="1:21" ht="15.75" customHeight="1">
      <c r="A259" s="146">
        <v>18</v>
      </c>
      <c r="B259" s="146" t="s">
        <v>831</v>
      </c>
      <c r="C259" s="48" t="s">
        <v>27</v>
      </c>
      <c r="D259" s="48" t="s">
        <v>98</v>
      </c>
      <c r="E259" s="146" t="s">
        <v>36</v>
      </c>
      <c r="F259" s="48"/>
      <c r="G259" s="48" t="s">
        <v>30</v>
      </c>
      <c r="H259" s="147">
        <v>500</v>
      </c>
      <c r="I259" s="148" t="s">
        <v>90</v>
      </c>
      <c r="J259" s="58" t="s">
        <v>31</v>
      </c>
      <c r="K259" s="58" t="s">
        <v>32</v>
      </c>
      <c r="N259" s="126">
        <v>2500</v>
      </c>
      <c r="Q259" s="748" t="s">
        <v>286</v>
      </c>
      <c r="R259" s="719"/>
      <c r="S259" s="55"/>
    </row>
    <row r="260" spans="1:21" ht="15.75" customHeight="1">
      <c r="A260" s="48">
        <v>18</v>
      </c>
      <c r="B260" s="146" t="s">
        <v>831</v>
      </c>
      <c r="C260" s="48" t="s">
        <v>27</v>
      </c>
      <c r="D260" s="48" t="s">
        <v>98</v>
      </c>
      <c r="E260" s="146" t="s">
        <v>36</v>
      </c>
      <c r="F260" s="48"/>
      <c r="G260" s="48" t="s">
        <v>30</v>
      </c>
      <c r="H260" s="51">
        <v>6500</v>
      </c>
      <c r="I260" s="119">
        <v>1300</v>
      </c>
      <c r="J260" s="58" t="s">
        <v>31</v>
      </c>
      <c r="K260" s="58" t="s">
        <v>32</v>
      </c>
      <c r="Q260" s="48" t="s">
        <v>580</v>
      </c>
      <c r="R260" s="48">
        <v>209</v>
      </c>
      <c r="S260" s="55"/>
    </row>
    <row r="261" spans="1:21" ht="15.75" customHeight="1">
      <c r="A261" s="48">
        <v>18</v>
      </c>
      <c r="B261" s="48" t="s">
        <v>832</v>
      </c>
      <c r="C261" s="48" t="s">
        <v>27</v>
      </c>
      <c r="D261" s="48" t="s">
        <v>319</v>
      </c>
      <c r="E261" s="48" t="s">
        <v>36</v>
      </c>
      <c r="F261" s="48"/>
      <c r="G261" s="48" t="s">
        <v>30</v>
      </c>
      <c r="H261" s="51">
        <v>2500</v>
      </c>
      <c r="I261" s="119">
        <v>500</v>
      </c>
      <c r="J261" s="58" t="s">
        <v>31</v>
      </c>
      <c r="K261" s="58" t="s">
        <v>32</v>
      </c>
      <c r="N261" s="126">
        <v>600</v>
      </c>
      <c r="Q261" s="48" t="s">
        <v>589</v>
      </c>
      <c r="R261" s="48">
        <v>55</v>
      </c>
    </row>
    <row r="262" spans="1:21" ht="15.75" customHeight="1">
      <c r="A262" s="48">
        <v>18</v>
      </c>
      <c r="B262" s="48" t="s">
        <v>833</v>
      </c>
      <c r="C262" s="48" t="s">
        <v>27</v>
      </c>
      <c r="D262" s="48" t="s">
        <v>137</v>
      </c>
      <c r="E262" s="48" t="s">
        <v>73</v>
      </c>
      <c r="F262" s="48"/>
      <c r="G262" s="48" t="s">
        <v>30</v>
      </c>
      <c r="H262" s="51">
        <v>100</v>
      </c>
      <c r="I262" s="119">
        <v>20</v>
      </c>
      <c r="J262" s="58" t="s">
        <v>31</v>
      </c>
      <c r="K262" s="58" t="s">
        <v>32</v>
      </c>
      <c r="N262" s="126">
        <v>10</v>
      </c>
      <c r="Q262" s="170" t="s">
        <v>576</v>
      </c>
      <c r="R262" s="170">
        <v>264</v>
      </c>
      <c r="S262" s="55"/>
    </row>
    <row r="263" spans="1:21" ht="15.75" customHeight="1">
      <c r="A263" s="48">
        <v>18</v>
      </c>
      <c r="B263" s="48" t="s">
        <v>834</v>
      </c>
      <c r="C263" s="48" t="s">
        <v>27</v>
      </c>
      <c r="D263" s="48" t="s">
        <v>213</v>
      </c>
      <c r="E263" s="48" t="s">
        <v>36</v>
      </c>
      <c r="F263" s="48"/>
      <c r="G263" s="48" t="s">
        <v>30</v>
      </c>
      <c r="H263" s="51">
        <v>1000</v>
      </c>
      <c r="I263" s="119">
        <v>200</v>
      </c>
      <c r="J263" s="58" t="s">
        <v>31</v>
      </c>
      <c r="K263" s="58" t="s">
        <v>32</v>
      </c>
      <c r="N263" s="126">
        <v>280</v>
      </c>
    </row>
    <row r="264" spans="1:21" ht="15.75" customHeight="1">
      <c r="A264" s="48">
        <v>18</v>
      </c>
      <c r="B264" s="48" t="s">
        <v>835</v>
      </c>
      <c r="C264" s="48" t="s">
        <v>27</v>
      </c>
      <c r="D264" s="48" t="s">
        <v>836</v>
      </c>
      <c r="E264" s="48" t="s">
        <v>73</v>
      </c>
      <c r="F264" s="48"/>
      <c r="G264" s="48" t="s">
        <v>608</v>
      </c>
      <c r="H264" s="51">
        <v>15</v>
      </c>
      <c r="I264" s="119">
        <v>150</v>
      </c>
      <c r="J264" s="58" t="s">
        <v>31</v>
      </c>
      <c r="K264" s="58" t="s">
        <v>32</v>
      </c>
    </row>
    <row r="265" spans="1:21" ht="15.75" customHeight="1">
      <c r="A265" s="48">
        <v>18</v>
      </c>
      <c r="B265" s="48" t="s">
        <v>837</v>
      </c>
      <c r="C265" s="48" t="s">
        <v>27</v>
      </c>
      <c r="D265" s="48" t="s">
        <v>387</v>
      </c>
      <c r="E265" s="48" t="s">
        <v>41</v>
      </c>
      <c r="F265" s="48"/>
      <c r="G265" s="48" t="s">
        <v>608</v>
      </c>
      <c r="H265" s="51">
        <v>64</v>
      </c>
      <c r="I265" s="119">
        <v>640</v>
      </c>
      <c r="J265" s="58" t="s">
        <v>31</v>
      </c>
      <c r="K265" s="58" t="s">
        <v>32</v>
      </c>
    </row>
    <row r="266" spans="1:21" ht="15.75" customHeight="1">
      <c r="A266" s="48">
        <v>18</v>
      </c>
      <c r="B266" s="48" t="s">
        <v>838</v>
      </c>
      <c r="C266" s="48" t="s">
        <v>27</v>
      </c>
      <c r="D266" s="48" t="s">
        <v>289</v>
      </c>
      <c r="E266" s="48" t="s">
        <v>839</v>
      </c>
      <c r="F266" s="48"/>
      <c r="G266" s="48" t="s">
        <v>608</v>
      </c>
      <c r="H266" s="51">
        <v>20</v>
      </c>
      <c r="I266" s="119">
        <v>200</v>
      </c>
      <c r="J266" s="58" t="s">
        <v>31</v>
      </c>
      <c r="K266" s="58" t="s">
        <v>32</v>
      </c>
    </row>
    <row r="267" spans="1:21" ht="15.75" customHeight="1">
      <c r="A267" s="48">
        <v>18</v>
      </c>
      <c r="B267" s="48" t="s">
        <v>838</v>
      </c>
      <c r="C267" s="48" t="s">
        <v>27</v>
      </c>
      <c r="D267" s="48" t="s">
        <v>289</v>
      </c>
      <c r="E267" s="48" t="s">
        <v>839</v>
      </c>
      <c r="F267" s="48"/>
      <c r="G267" s="48" t="s">
        <v>589</v>
      </c>
      <c r="H267" s="51">
        <v>20</v>
      </c>
      <c r="I267" s="119">
        <v>60</v>
      </c>
      <c r="J267" s="58" t="s">
        <v>31</v>
      </c>
      <c r="K267" s="58" t="s">
        <v>32</v>
      </c>
    </row>
    <row r="268" spans="1:21" ht="15.75" customHeight="1">
      <c r="A268" s="48">
        <v>18</v>
      </c>
      <c r="B268" s="48" t="s">
        <v>840</v>
      </c>
      <c r="C268" s="48" t="s">
        <v>27</v>
      </c>
      <c r="D268" s="48" t="s">
        <v>841</v>
      </c>
      <c r="E268" s="48" t="s">
        <v>29</v>
      </c>
      <c r="F268" s="48"/>
      <c r="G268" s="48" t="s">
        <v>608</v>
      </c>
      <c r="H268" s="51">
        <v>80</v>
      </c>
      <c r="I268" s="119">
        <v>800</v>
      </c>
      <c r="J268" s="58" t="s">
        <v>31</v>
      </c>
      <c r="K268" s="58" t="s">
        <v>32</v>
      </c>
    </row>
    <row r="269" spans="1:21" ht="15.75" customHeight="1">
      <c r="A269" s="48">
        <v>18</v>
      </c>
      <c r="B269" s="48" t="s">
        <v>840</v>
      </c>
      <c r="C269" s="48" t="s">
        <v>27</v>
      </c>
      <c r="D269" s="48" t="s">
        <v>841</v>
      </c>
      <c r="E269" s="48" t="s">
        <v>29</v>
      </c>
      <c r="F269" s="48"/>
      <c r="G269" s="48" t="s">
        <v>589</v>
      </c>
      <c r="H269" s="51">
        <v>35</v>
      </c>
      <c r="I269" s="119">
        <v>105</v>
      </c>
      <c r="J269" s="58" t="s">
        <v>31</v>
      </c>
      <c r="K269" s="58" t="s">
        <v>32</v>
      </c>
    </row>
    <row r="270" spans="1:21" ht="15.75" customHeight="1">
      <c r="A270" s="48">
        <v>18</v>
      </c>
      <c r="B270" s="48" t="s">
        <v>842</v>
      </c>
      <c r="C270" s="48" t="s">
        <v>27</v>
      </c>
      <c r="D270" s="48" t="s">
        <v>205</v>
      </c>
      <c r="E270" s="48" t="s">
        <v>191</v>
      </c>
      <c r="F270" s="48"/>
      <c r="G270" s="48" t="s">
        <v>30</v>
      </c>
      <c r="H270" s="51">
        <v>1000</v>
      </c>
      <c r="I270" s="119">
        <v>200</v>
      </c>
      <c r="J270" s="58" t="s">
        <v>31</v>
      </c>
      <c r="K270" s="58" t="s">
        <v>32</v>
      </c>
      <c r="N270" s="126">
        <v>200</v>
      </c>
    </row>
    <row r="271" spans="1:21" ht="15.75" customHeight="1">
      <c r="A271" s="156">
        <v>18</v>
      </c>
      <c r="B271" s="156" t="s">
        <v>843</v>
      </c>
      <c r="C271" s="58" t="s">
        <v>27</v>
      </c>
      <c r="D271" s="58" t="s">
        <v>205</v>
      </c>
      <c r="E271" s="156" t="s">
        <v>191</v>
      </c>
      <c r="F271" s="58"/>
      <c r="G271" s="58" t="s">
        <v>30</v>
      </c>
      <c r="H271" s="157">
        <v>1500</v>
      </c>
      <c r="I271" s="158" t="s">
        <v>90</v>
      </c>
      <c r="J271" s="58" t="s">
        <v>31</v>
      </c>
      <c r="K271" s="58" t="s">
        <v>32</v>
      </c>
      <c r="N271" s="126">
        <v>200</v>
      </c>
    </row>
    <row r="272" spans="1:21" ht="15.75" customHeight="1">
      <c r="A272" s="62">
        <v>19</v>
      </c>
      <c r="B272" s="62" t="s">
        <v>844</v>
      </c>
      <c r="C272" s="62" t="s">
        <v>27</v>
      </c>
      <c r="D272" s="62" t="s">
        <v>845</v>
      </c>
      <c r="E272" s="62" t="s">
        <v>68</v>
      </c>
      <c r="F272" s="62"/>
      <c r="G272" s="62" t="s">
        <v>30</v>
      </c>
      <c r="H272" s="63">
        <v>4000</v>
      </c>
      <c r="I272" s="159">
        <v>800</v>
      </c>
      <c r="J272" s="62" t="s">
        <v>31</v>
      </c>
      <c r="K272" s="62" t="s">
        <v>32</v>
      </c>
      <c r="N272" s="126">
        <v>1200</v>
      </c>
    </row>
    <row r="273" spans="1:14" ht="15.75" customHeight="1">
      <c r="A273" s="62">
        <v>19</v>
      </c>
      <c r="B273" s="62" t="s">
        <v>846</v>
      </c>
      <c r="C273" s="62" t="s">
        <v>27</v>
      </c>
      <c r="D273" s="62" t="s">
        <v>847</v>
      </c>
      <c r="E273" s="62" t="s">
        <v>102</v>
      </c>
      <c r="F273" s="62"/>
      <c r="G273" s="62" t="s">
        <v>30</v>
      </c>
      <c r="H273" s="63">
        <v>200</v>
      </c>
      <c r="I273" s="159">
        <v>40</v>
      </c>
      <c r="J273" s="62" t="s">
        <v>31</v>
      </c>
      <c r="K273" s="62" t="s">
        <v>32</v>
      </c>
      <c r="N273" s="126">
        <v>40</v>
      </c>
    </row>
    <row r="274" spans="1:14" ht="15.75" customHeight="1">
      <c r="A274" s="62">
        <v>19</v>
      </c>
      <c r="B274" s="62" t="s">
        <v>848</v>
      </c>
      <c r="C274" s="62" t="s">
        <v>39</v>
      </c>
      <c r="D274" s="62" t="s">
        <v>98</v>
      </c>
      <c r="E274" s="62" t="s">
        <v>36</v>
      </c>
      <c r="F274" s="62"/>
      <c r="G274" s="62" t="s">
        <v>30</v>
      </c>
      <c r="H274" s="63">
        <v>2000</v>
      </c>
      <c r="I274" s="159">
        <v>400</v>
      </c>
      <c r="J274" s="62" t="s">
        <v>31</v>
      </c>
      <c r="K274" s="62" t="s">
        <v>32</v>
      </c>
      <c r="N274" s="126">
        <v>100</v>
      </c>
    </row>
    <row r="275" spans="1:14" ht="15.75" customHeight="1">
      <c r="A275" s="62">
        <v>19</v>
      </c>
      <c r="B275" s="62" t="s">
        <v>849</v>
      </c>
      <c r="C275" s="62" t="s">
        <v>39</v>
      </c>
      <c r="D275" s="62" t="s">
        <v>657</v>
      </c>
      <c r="E275" s="62" t="s">
        <v>73</v>
      </c>
      <c r="F275" s="62"/>
      <c r="G275" s="62" t="s">
        <v>30</v>
      </c>
      <c r="H275" s="63">
        <v>2000</v>
      </c>
      <c r="I275" s="159">
        <v>400</v>
      </c>
      <c r="J275" s="62" t="s">
        <v>31</v>
      </c>
      <c r="K275" s="62" t="s">
        <v>32</v>
      </c>
      <c r="N275" s="126">
        <v>300</v>
      </c>
    </row>
    <row r="276" spans="1:14" ht="15.75" customHeight="1">
      <c r="A276" s="62">
        <v>19</v>
      </c>
      <c r="B276" s="62" t="s">
        <v>850</v>
      </c>
      <c r="C276" s="62" t="s">
        <v>27</v>
      </c>
      <c r="D276" s="62" t="s">
        <v>851</v>
      </c>
      <c r="E276" s="62" t="s">
        <v>68</v>
      </c>
      <c r="F276" s="62"/>
      <c r="G276" s="62" t="s">
        <v>30</v>
      </c>
      <c r="H276" s="63">
        <v>2000</v>
      </c>
      <c r="I276" s="159">
        <v>400</v>
      </c>
      <c r="J276" s="62" t="s">
        <v>31</v>
      </c>
      <c r="K276" s="62" t="s">
        <v>32</v>
      </c>
      <c r="N276" s="126">
        <v>600</v>
      </c>
    </row>
    <row r="277" spans="1:14" ht="15.75" customHeight="1">
      <c r="A277" s="62">
        <v>19</v>
      </c>
      <c r="B277" s="62" t="s">
        <v>852</v>
      </c>
      <c r="C277" s="62" t="s">
        <v>39</v>
      </c>
      <c r="D277" s="62" t="s">
        <v>191</v>
      </c>
      <c r="E277" s="62" t="s">
        <v>36</v>
      </c>
      <c r="F277" s="62"/>
      <c r="G277" s="62" t="s">
        <v>30</v>
      </c>
      <c r="H277" s="63">
        <v>3000</v>
      </c>
      <c r="I277" s="159">
        <v>600</v>
      </c>
      <c r="J277" s="62" t="s">
        <v>31</v>
      </c>
      <c r="K277" s="62" t="s">
        <v>32</v>
      </c>
      <c r="N277" s="126">
        <v>600</v>
      </c>
    </row>
    <row r="278" spans="1:14" ht="15.75" customHeight="1">
      <c r="A278" s="62">
        <v>19</v>
      </c>
      <c r="B278" s="58" t="s">
        <v>853</v>
      </c>
      <c r="C278" s="58" t="s">
        <v>39</v>
      </c>
      <c r="D278" s="58" t="s">
        <v>108</v>
      </c>
      <c r="E278" s="58" t="s">
        <v>36</v>
      </c>
      <c r="F278" s="58"/>
      <c r="G278" s="58" t="s">
        <v>30</v>
      </c>
      <c r="H278" s="59">
        <v>100</v>
      </c>
      <c r="I278" s="160">
        <v>20</v>
      </c>
      <c r="J278" s="58" t="s">
        <v>31</v>
      </c>
      <c r="K278" s="58" t="s">
        <v>32</v>
      </c>
      <c r="N278" s="126">
        <v>100</v>
      </c>
    </row>
    <row r="279" spans="1:14" ht="15.75" customHeight="1">
      <c r="A279" s="161">
        <v>20</v>
      </c>
      <c r="B279" s="161" t="s">
        <v>854</v>
      </c>
      <c r="C279" s="62" t="s">
        <v>27</v>
      </c>
      <c r="D279" s="62" t="s">
        <v>855</v>
      </c>
      <c r="E279" s="161" t="s">
        <v>358</v>
      </c>
      <c r="F279" s="62"/>
      <c r="G279" s="62" t="s">
        <v>30</v>
      </c>
      <c r="H279" s="162">
        <v>6000</v>
      </c>
      <c r="I279" s="163" t="s">
        <v>90</v>
      </c>
      <c r="J279" s="62" t="s">
        <v>31</v>
      </c>
      <c r="K279" s="62" t="s">
        <v>32</v>
      </c>
      <c r="N279" s="126">
        <v>1200</v>
      </c>
    </row>
    <row r="280" spans="1:14" ht="15.75" customHeight="1">
      <c r="A280" s="62">
        <v>20</v>
      </c>
      <c r="B280" s="62" t="s">
        <v>856</v>
      </c>
      <c r="C280" s="62" t="s">
        <v>39</v>
      </c>
      <c r="D280" s="62" t="s">
        <v>347</v>
      </c>
      <c r="E280" s="62" t="s">
        <v>86</v>
      </c>
      <c r="F280" s="62"/>
      <c r="G280" s="62" t="s">
        <v>30</v>
      </c>
      <c r="H280" s="63">
        <v>700</v>
      </c>
      <c r="I280" s="159">
        <v>140</v>
      </c>
      <c r="J280" s="62" t="s">
        <v>31</v>
      </c>
      <c r="K280" s="62" t="s">
        <v>32</v>
      </c>
      <c r="N280" s="126">
        <v>150</v>
      </c>
    </row>
    <row r="281" spans="1:14" ht="15.75" customHeight="1">
      <c r="A281" s="48">
        <v>20</v>
      </c>
      <c r="B281" s="48" t="s">
        <v>857</v>
      </c>
      <c r="C281" s="48" t="s">
        <v>27</v>
      </c>
      <c r="D281" s="48" t="s">
        <v>858</v>
      </c>
      <c r="E281" s="48" t="s">
        <v>86</v>
      </c>
      <c r="F281" s="48"/>
      <c r="G281" s="48" t="s">
        <v>30</v>
      </c>
      <c r="H281" s="51">
        <v>500</v>
      </c>
      <c r="I281" s="119">
        <v>100</v>
      </c>
      <c r="J281" s="62" t="s">
        <v>31</v>
      </c>
      <c r="K281" s="62" t="s">
        <v>32</v>
      </c>
      <c r="N281" s="126">
        <v>100</v>
      </c>
    </row>
    <row r="282" spans="1:14" ht="15.75" customHeight="1">
      <c r="A282" s="146">
        <v>20</v>
      </c>
      <c r="B282" s="146" t="s">
        <v>859</v>
      </c>
      <c r="C282" s="48" t="s">
        <v>27</v>
      </c>
      <c r="D282" s="48" t="s">
        <v>65</v>
      </c>
      <c r="E282" s="146" t="s">
        <v>36</v>
      </c>
      <c r="F282" s="48"/>
      <c r="G282" s="48" t="s">
        <v>30</v>
      </c>
      <c r="H282" s="147">
        <v>500</v>
      </c>
      <c r="I282" s="148" t="s">
        <v>90</v>
      </c>
      <c r="J282" s="62" t="s">
        <v>31</v>
      </c>
      <c r="K282" s="62" t="s">
        <v>32</v>
      </c>
      <c r="N282" s="126">
        <v>1600</v>
      </c>
    </row>
    <row r="283" spans="1:14" ht="15.75" customHeight="1">
      <c r="A283" s="48">
        <v>20</v>
      </c>
      <c r="B283" s="146" t="s">
        <v>859</v>
      </c>
      <c r="C283" s="48" t="s">
        <v>27</v>
      </c>
      <c r="D283" s="48" t="s">
        <v>65</v>
      </c>
      <c r="E283" s="146" t="s">
        <v>36</v>
      </c>
      <c r="F283" s="48"/>
      <c r="G283" s="48" t="s">
        <v>30</v>
      </c>
      <c r="H283" s="51">
        <v>1000</v>
      </c>
      <c r="I283" s="119">
        <v>200</v>
      </c>
      <c r="J283" s="62" t="s">
        <v>31</v>
      </c>
      <c r="K283" s="62" t="s">
        <v>32</v>
      </c>
    </row>
    <row r="284" spans="1:14" ht="15.75" customHeight="1">
      <c r="A284" s="48">
        <v>20</v>
      </c>
      <c r="B284" s="48" t="s">
        <v>860</v>
      </c>
      <c r="C284" s="48" t="s">
        <v>39</v>
      </c>
      <c r="D284" s="48" t="s">
        <v>861</v>
      </c>
      <c r="E284" s="48" t="s">
        <v>148</v>
      </c>
      <c r="F284" s="48"/>
      <c r="G284" s="48" t="s">
        <v>30</v>
      </c>
      <c r="H284" s="51">
        <v>5000</v>
      </c>
      <c r="I284" s="119">
        <v>1500</v>
      </c>
      <c r="J284" s="62" t="s">
        <v>31</v>
      </c>
      <c r="K284" s="62" t="s">
        <v>32</v>
      </c>
      <c r="N284" s="126">
        <v>900</v>
      </c>
    </row>
    <row r="285" spans="1:14" ht="15.75" customHeight="1">
      <c r="A285" s="48">
        <v>20</v>
      </c>
      <c r="B285" s="48" t="s">
        <v>862</v>
      </c>
      <c r="C285" s="48" t="s">
        <v>27</v>
      </c>
      <c r="D285" s="48" t="s">
        <v>845</v>
      </c>
      <c r="E285" s="48" t="s">
        <v>68</v>
      </c>
      <c r="F285" s="48"/>
      <c r="G285" s="48" t="s">
        <v>30</v>
      </c>
      <c r="H285" s="51">
        <v>5000</v>
      </c>
      <c r="I285" s="119">
        <v>1000</v>
      </c>
      <c r="J285" s="62" t="s">
        <v>31</v>
      </c>
      <c r="K285" s="62" t="s">
        <v>32</v>
      </c>
      <c r="N285" s="126">
        <v>1000</v>
      </c>
    </row>
    <row r="286" spans="1:14" ht="15.75" customHeight="1">
      <c r="A286" s="48">
        <v>20</v>
      </c>
      <c r="B286" s="48" t="s">
        <v>863</v>
      </c>
      <c r="C286" s="48" t="s">
        <v>27</v>
      </c>
      <c r="D286" s="48" t="s">
        <v>864</v>
      </c>
      <c r="E286" s="48" t="s">
        <v>839</v>
      </c>
      <c r="F286" s="48"/>
      <c r="G286" s="48" t="s">
        <v>30</v>
      </c>
      <c r="H286" s="51">
        <v>100</v>
      </c>
      <c r="I286" s="119">
        <v>20</v>
      </c>
      <c r="J286" s="62" t="s">
        <v>31</v>
      </c>
      <c r="K286" s="62" t="s">
        <v>32</v>
      </c>
      <c r="N286" s="126">
        <f>10000/5</f>
        <v>2000</v>
      </c>
    </row>
    <row r="287" spans="1:14" ht="15.75" customHeight="1">
      <c r="A287" s="48">
        <v>20</v>
      </c>
      <c r="B287" s="48" t="s">
        <v>865</v>
      </c>
      <c r="C287" s="48" t="s">
        <v>39</v>
      </c>
      <c r="D287" s="48" t="s">
        <v>866</v>
      </c>
      <c r="E287" s="48" t="s">
        <v>273</v>
      </c>
      <c r="F287" s="48"/>
      <c r="G287" s="48" t="s">
        <v>30</v>
      </c>
      <c r="H287" s="51">
        <v>2000</v>
      </c>
      <c r="I287" s="119">
        <v>100</v>
      </c>
      <c r="J287" s="62" t="s">
        <v>31</v>
      </c>
      <c r="K287" s="62" t="s">
        <v>32</v>
      </c>
    </row>
    <row r="288" spans="1:14" ht="15.75" customHeight="1">
      <c r="A288" s="146">
        <v>20</v>
      </c>
      <c r="B288" s="146" t="s">
        <v>867</v>
      </c>
      <c r="C288" s="48" t="s">
        <v>27</v>
      </c>
      <c r="D288" s="48" t="s">
        <v>67</v>
      </c>
      <c r="E288" s="146" t="s">
        <v>68</v>
      </c>
      <c r="F288" s="48"/>
      <c r="G288" s="48" t="s">
        <v>30</v>
      </c>
      <c r="H288" s="147">
        <v>1500</v>
      </c>
      <c r="I288" s="148" t="s">
        <v>90</v>
      </c>
      <c r="J288" s="62" t="s">
        <v>31</v>
      </c>
      <c r="K288" s="62" t="s">
        <v>32</v>
      </c>
    </row>
    <row r="289" spans="1:26" ht="15.75" customHeight="1">
      <c r="A289" s="146">
        <v>20</v>
      </c>
      <c r="B289" s="146" t="s">
        <v>868</v>
      </c>
      <c r="C289" s="48" t="s">
        <v>27</v>
      </c>
      <c r="D289" s="48" t="s">
        <v>869</v>
      </c>
      <c r="E289" s="146" t="s">
        <v>68</v>
      </c>
      <c r="F289" s="48"/>
      <c r="G289" s="48" t="s">
        <v>30</v>
      </c>
      <c r="H289" s="147">
        <v>1500</v>
      </c>
      <c r="I289" s="148" t="s">
        <v>90</v>
      </c>
      <c r="J289" s="62" t="s">
        <v>31</v>
      </c>
      <c r="K289" s="62" t="s">
        <v>32</v>
      </c>
    </row>
    <row r="290" spans="1:26" ht="15.75" customHeight="1">
      <c r="A290" s="62">
        <v>20</v>
      </c>
      <c r="B290" s="48" t="s">
        <v>870</v>
      </c>
      <c r="C290" s="48" t="s">
        <v>27</v>
      </c>
      <c r="D290" s="48" t="s">
        <v>363</v>
      </c>
      <c r="E290" s="48" t="s">
        <v>41</v>
      </c>
      <c r="F290" s="48"/>
      <c r="G290" s="48" t="s">
        <v>30</v>
      </c>
      <c r="H290" s="51">
        <v>10000</v>
      </c>
      <c r="I290" s="119">
        <v>2000</v>
      </c>
      <c r="J290" s="62" t="s">
        <v>31</v>
      </c>
      <c r="K290" s="62" t="s">
        <v>32</v>
      </c>
      <c r="N290" s="126">
        <v>10000</v>
      </c>
    </row>
    <row r="291" spans="1:26" ht="15.75" customHeight="1">
      <c r="A291" s="58">
        <v>20</v>
      </c>
      <c r="B291" s="58" t="s">
        <v>871</v>
      </c>
      <c r="C291" s="58" t="s">
        <v>27</v>
      </c>
      <c r="D291" s="58" t="s">
        <v>153</v>
      </c>
      <c r="E291" s="58" t="s">
        <v>89</v>
      </c>
      <c r="F291" s="58"/>
      <c r="G291" s="58" t="s">
        <v>30</v>
      </c>
      <c r="H291" s="59">
        <v>500</v>
      </c>
      <c r="I291" s="160">
        <v>100</v>
      </c>
      <c r="J291" s="58" t="s">
        <v>31</v>
      </c>
      <c r="K291" s="58" t="s">
        <v>32</v>
      </c>
      <c r="L291" s="172"/>
      <c r="M291" s="172"/>
      <c r="N291" s="172">
        <v>150</v>
      </c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 spans="1:26" ht="15.75" customHeight="1">
      <c r="A292" s="161">
        <v>21</v>
      </c>
      <c r="B292" s="161" t="s">
        <v>872</v>
      </c>
      <c r="C292" s="62" t="s">
        <v>27</v>
      </c>
      <c r="D292" s="62" t="s">
        <v>130</v>
      </c>
      <c r="E292" s="161" t="s">
        <v>51</v>
      </c>
      <c r="F292" s="62"/>
      <c r="G292" s="62" t="s">
        <v>30</v>
      </c>
      <c r="H292" s="162">
        <v>500</v>
      </c>
      <c r="I292" s="163" t="s">
        <v>90</v>
      </c>
      <c r="J292" s="48" t="s">
        <v>31</v>
      </c>
      <c r="K292" s="48" t="s">
        <v>32</v>
      </c>
      <c r="N292" s="126">
        <v>200</v>
      </c>
      <c r="R292" s="749" t="s">
        <v>873</v>
      </c>
      <c r="S292" s="719"/>
    </row>
    <row r="293" spans="1:26" ht="15.75" customHeight="1">
      <c r="A293" s="146">
        <v>21</v>
      </c>
      <c r="B293" s="146" t="s">
        <v>874</v>
      </c>
      <c r="C293" s="48" t="s">
        <v>27</v>
      </c>
      <c r="D293" s="48" t="s">
        <v>389</v>
      </c>
      <c r="E293" s="146" t="s">
        <v>51</v>
      </c>
      <c r="F293" s="48"/>
      <c r="G293" s="48" t="s">
        <v>30</v>
      </c>
      <c r="H293" s="147">
        <v>500</v>
      </c>
      <c r="I293" s="148" t="s">
        <v>90</v>
      </c>
      <c r="J293" s="48" t="s">
        <v>31</v>
      </c>
      <c r="K293" s="48" t="s">
        <v>32</v>
      </c>
      <c r="N293" s="126">
        <v>164</v>
      </c>
      <c r="R293" s="749" t="s">
        <v>25</v>
      </c>
      <c r="S293" s="719"/>
    </row>
    <row r="294" spans="1:26" ht="15.75" customHeight="1">
      <c r="A294" s="146">
        <v>21</v>
      </c>
      <c r="B294" s="146" t="s">
        <v>875</v>
      </c>
      <c r="C294" s="48" t="s">
        <v>27</v>
      </c>
      <c r="D294" s="48" t="s">
        <v>266</v>
      </c>
      <c r="E294" s="146" t="s">
        <v>51</v>
      </c>
      <c r="F294" s="48"/>
      <c r="G294" s="48" t="s">
        <v>30</v>
      </c>
      <c r="H294" s="147">
        <v>500</v>
      </c>
      <c r="I294" s="148" t="s">
        <v>90</v>
      </c>
      <c r="J294" s="48" t="s">
        <v>31</v>
      </c>
      <c r="K294" s="48" t="s">
        <v>32</v>
      </c>
      <c r="N294" s="126">
        <v>200</v>
      </c>
      <c r="R294" s="68" t="s">
        <v>33</v>
      </c>
      <c r="S294" s="69">
        <v>106950</v>
      </c>
      <c r="T294" s="55">
        <f>SUM(H291,H301:H306,H308:H309,H311:H316,H318:H320,H323:H324,H326:H342,H345)</f>
        <v>106950</v>
      </c>
    </row>
    <row r="295" spans="1:26" ht="15.75" customHeight="1">
      <c r="A295" s="146">
        <v>21</v>
      </c>
      <c r="B295" s="146" t="s">
        <v>876</v>
      </c>
      <c r="C295" s="48" t="s">
        <v>27</v>
      </c>
      <c r="D295" s="48" t="s">
        <v>50</v>
      </c>
      <c r="E295" s="146" t="s">
        <v>51</v>
      </c>
      <c r="F295" s="48"/>
      <c r="G295" s="48" t="s">
        <v>30</v>
      </c>
      <c r="H295" s="147">
        <v>500</v>
      </c>
      <c r="I295" s="148" t="s">
        <v>90</v>
      </c>
      <c r="J295" s="48" t="s">
        <v>31</v>
      </c>
      <c r="K295" s="48" t="s">
        <v>32</v>
      </c>
      <c r="N295" s="126">
        <v>300</v>
      </c>
      <c r="R295" s="68" t="s">
        <v>37</v>
      </c>
      <c r="S295" s="69">
        <v>13000</v>
      </c>
      <c r="T295" s="55">
        <f>SUM(H317,H321:H322,H325,H343:H344,H346:H347)</f>
        <v>13000</v>
      </c>
    </row>
    <row r="296" spans="1:26" ht="15.75" customHeight="1">
      <c r="A296" s="146">
        <v>21</v>
      </c>
      <c r="B296" s="146" t="s">
        <v>877</v>
      </c>
      <c r="C296" s="48" t="s">
        <v>27</v>
      </c>
      <c r="D296" s="48" t="s">
        <v>878</v>
      </c>
      <c r="E296" s="146" t="s">
        <v>51</v>
      </c>
      <c r="F296" s="48"/>
      <c r="G296" s="48" t="s">
        <v>30</v>
      </c>
      <c r="H296" s="147">
        <v>500</v>
      </c>
      <c r="I296" s="148" t="s">
        <v>90</v>
      </c>
      <c r="J296" s="48" t="s">
        <v>31</v>
      </c>
      <c r="K296" s="48" t="s">
        <v>32</v>
      </c>
      <c r="N296" s="126">
        <v>200</v>
      </c>
      <c r="R296" s="173" t="s">
        <v>282</v>
      </c>
      <c r="S296" s="174">
        <v>119950</v>
      </c>
      <c r="T296" s="55">
        <f>SUM(T294:T295)</f>
        <v>119950</v>
      </c>
    </row>
    <row r="297" spans="1:26" ht="15.75" customHeight="1">
      <c r="A297" s="146">
        <v>21</v>
      </c>
      <c r="B297" s="146" t="s">
        <v>879</v>
      </c>
      <c r="C297" s="48" t="s">
        <v>27</v>
      </c>
      <c r="D297" s="48" t="s">
        <v>130</v>
      </c>
      <c r="E297" s="146" t="s">
        <v>51</v>
      </c>
      <c r="F297" s="48"/>
      <c r="G297" s="48" t="s">
        <v>30</v>
      </c>
      <c r="H297" s="147">
        <v>500</v>
      </c>
      <c r="I297" s="148" t="s">
        <v>90</v>
      </c>
      <c r="J297" s="48" t="s">
        <v>31</v>
      </c>
      <c r="K297" s="48" t="s">
        <v>32</v>
      </c>
      <c r="N297" s="126">
        <v>100</v>
      </c>
      <c r="R297" s="749" t="s">
        <v>286</v>
      </c>
      <c r="S297" s="719"/>
    </row>
    <row r="298" spans="1:26" ht="15.75" customHeight="1">
      <c r="A298" s="146">
        <v>21</v>
      </c>
      <c r="B298" s="146" t="s">
        <v>880</v>
      </c>
      <c r="C298" s="48" t="s">
        <v>39</v>
      </c>
      <c r="D298" s="48" t="s">
        <v>130</v>
      </c>
      <c r="E298" s="146" t="s">
        <v>51</v>
      </c>
      <c r="F298" s="48"/>
      <c r="G298" s="48" t="s">
        <v>30</v>
      </c>
      <c r="H298" s="147">
        <v>500</v>
      </c>
      <c r="I298" s="148" t="s">
        <v>90</v>
      </c>
      <c r="J298" s="48" t="s">
        <v>31</v>
      </c>
      <c r="K298" s="48" t="s">
        <v>32</v>
      </c>
      <c r="N298" s="126">
        <v>200</v>
      </c>
      <c r="R298" s="68" t="s">
        <v>580</v>
      </c>
      <c r="S298" s="68">
        <v>4</v>
      </c>
    </row>
    <row r="299" spans="1:26" ht="15.75" customHeight="1">
      <c r="A299" s="146">
        <v>21</v>
      </c>
      <c r="B299" s="146" t="s">
        <v>881</v>
      </c>
      <c r="C299" s="48" t="s">
        <v>39</v>
      </c>
      <c r="D299" s="48" t="s">
        <v>882</v>
      </c>
      <c r="E299" s="146" t="s">
        <v>51</v>
      </c>
      <c r="F299" s="48"/>
      <c r="G299" s="48" t="s">
        <v>30</v>
      </c>
      <c r="H299" s="147">
        <v>500</v>
      </c>
      <c r="I299" s="148" t="s">
        <v>90</v>
      </c>
      <c r="J299" s="48" t="s">
        <v>31</v>
      </c>
      <c r="K299" s="48" t="s">
        <v>32</v>
      </c>
      <c r="N299" s="126">
        <v>600</v>
      </c>
      <c r="R299" s="68" t="s">
        <v>589</v>
      </c>
      <c r="S299" s="68">
        <v>20</v>
      </c>
    </row>
    <row r="300" spans="1:26" ht="15.75" customHeight="1">
      <c r="A300" s="175">
        <v>21</v>
      </c>
      <c r="B300" s="175" t="s">
        <v>883</v>
      </c>
      <c r="C300" s="175" t="s">
        <v>27</v>
      </c>
      <c r="D300" s="175" t="s">
        <v>884</v>
      </c>
      <c r="E300" s="175" t="s">
        <v>334</v>
      </c>
      <c r="F300" s="175"/>
      <c r="G300" s="175" t="s">
        <v>579</v>
      </c>
      <c r="H300" s="176">
        <v>1000</v>
      </c>
      <c r="I300" s="177" t="s">
        <v>90</v>
      </c>
      <c r="J300" s="48" t="s">
        <v>31</v>
      </c>
      <c r="K300" s="48" t="s">
        <v>32</v>
      </c>
      <c r="R300" s="173" t="s">
        <v>282</v>
      </c>
      <c r="S300" s="173">
        <v>24</v>
      </c>
    </row>
    <row r="301" spans="1:26" ht="15.75" customHeight="1">
      <c r="A301" s="62">
        <v>24</v>
      </c>
      <c r="B301" s="62" t="s">
        <v>885</v>
      </c>
      <c r="C301" s="62" t="s">
        <v>27</v>
      </c>
      <c r="D301" s="62" t="s">
        <v>886</v>
      </c>
      <c r="E301" s="62" t="s">
        <v>86</v>
      </c>
      <c r="F301" s="62"/>
      <c r="G301" s="62" t="s">
        <v>30</v>
      </c>
      <c r="H301" s="63">
        <v>300</v>
      </c>
      <c r="I301" s="159">
        <v>60</v>
      </c>
      <c r="J301" s="62" t="s">
        <v>31</v>
      </c>
      <c r="K301" s="62" t="s">
        <v>32</v>
      </c>
      <c r="N301" s="126">
        <v>50</v>
      </c>
    </row>
    <row r="302" spans="1:26" ht="15.75" customHeight="1">
      <c r="A302" s="48">
        <v>24</v>
      </c>
      <c r="B302" s="48" t="s">
        <v>887</v>
      </c>
      <c r="C302" s="48" t="s">
        <v>39</v>
      </c>
      <c r="D302" s="48" t="s">
        <v>65</v>
      </c>
      <c r="E302" s="48" t="s">
        <v>36</v>
      </c>
      <c r="F302" s="48"/>
      <c r="G302" s="48" t="s">
        <v>30</v>
      </c>
      <c r="H302" s="51">
        <v>10000</v>
      </c>
      <c r="I302" s="119">
        <v>2000</v>
      </c>
      <c r="J302" s="48" t="s">
        <v>31</v>
      </c>
      <c r="K302" s="48" t="s">
        <v>32</v>
      </c>
      <c r="N302" s="126">
        <v>2250</v>
      </c>
    </row>
    <row r="303" spans="1:26" ht="15.75" customHeight="1">
      <c r="A303" s="48">
        <v>24</v>
      </c>
      <c r="B303" s="48" t="s">
        <v>622</v>
      </c>
      <c r="C303" s="48" t="s">
        <v>27</v>
      </c>
      <c r="D303" s="48" t="s">
        <v>623</v>
      </c>
      <c r="E303" s="48" t="s">
        <v>44</v>
      </c>
      <c r="F303" s="48"/>
      <c r="G303" s="48" t="s">
        <v>30</v>
      </c>
      <c r="H303" s="51">
        <v>500</v>
      </c>
      <c r="I303" s="119">
        <v>100</v>
      </c>
      <c r="J303" s="48" t="s">
        <v>31</v>
      </c>
      <c r="K303" s="48" t="s">
        <v>32</v>
      </c>
      <c r="N303" s="126">
        <v>100</v>
      </c>
    </row>
    <row r="304" spans="1:26" ht="15.75" customHeight="1">
      <c r="A304" s="48">
        <v>24</v>
      </c>
      <c r="B304" s="48" t="s">
        <v>888</v>
      </c>
      <c r="C304" s="48" t="s">
        <v>27</v>
      </c>
      <c r="D304" s="48" t="s">
        <v>889</v>
      </c>
      <c r="E304" s="48" t="s">
        <v>36</v>
      </c>
      <c r="F304" s="48"/>
      <c r="G304" s="48" t="s">
        <v>30</v>
      </c>
      <c r="H304" s="51">
        <v>2000</v>
      </c>
      <c r="I304" s="119">
        <v>400</v>
      </c>
      <c r="J304" s="48" t="s">
        <v>31</v>
      </c>
      <c r="K304" s="48" t="s">
        <v>32</v>
      </c>
      <c r="N304" s="126">
        <v>600</v>
      </c>
    </row>
    <row r="305" spans="1:14" ht="15.75" customHeight="1">
      <c r="A305" s="48">
        <v>24</v>
      </c>
      <c r="B305" s="48" t="s">
        <v>890</v>
      </c>
      <c r="C305" s="48" t="s">
        <v>27</v>
      </c>
      <c r="D305" s="48" t="s">
        <v>891</v>
      </c>
      <c r="E305" s="48" t="s">
        <v>223</v>
      </c>
      <c r="F305" s="48"/>
      <c r="G305" s="48" t="s">
        <v>30</v>
      </c>
      <c r="H305" s="51">
        <v>1000</v>
      </c>
      <c r="I305" s="119">
        <v>200</v>
      </c>
      <c r="J305" s="48" t="s">
        <v>31</v>
      </c>
      <c r="K305" s="48" t="s">
        <v>32</v>
      </c>
      <c r="N305" s="126">
        <v>300</v>
      </c>
    </row>
    <row r="306" spans="1:14" ht="15.75" customHeight="1">
      <c r="A306" s="48">
        <v>24</v>
      </c>
      <c r="B306" s="48" t="s">
        <v>892</v>
      </c>
      <c r="C306" s="48" t="s">
        <v>27</v>
      </c>
      <c r="D306" s="48" t="s">
        <v>171</v>
      </c>
      <c r="E306" s="48" t="s">
        <v>145</v>
      </c>
      <c r="F306" s="48"/>
      <c r="G306" s="48" t="s">
        <v>30</v>
      </c>
      <c r="H306" s="51">
        <v>100</v>
      </c>
      <c r="I306" s="119">
        <v>20</v>
      </c>
      <c r="J306" s="48" t="s">
        <v>31</v>
      </c>
      <c r="K306" s="48" t="s">
        <v>32</v>
      </c>
      <c r="N306" s="126">
        <v>10</v>
      </c>
    </row>
    <row r="307" spans="1:14" ht="15.75" customHeight="1">
      <c r="A307" s="48">
        <v>24</v>
      </c>
      <c r="B307" s="48" t="s">
        <v>893</v>
      </c>
      <c r="C307" s="48" t="s">
        <v>39</v>
      </c>
      <c r="D307" s="48" t="s">
        <v>733</v>
      </c>
      <c r="E307" s="48" t="s">
        <v>36</v>
      </c>
      <c r="F307" s="48"/>
      <c r="G307" s="48" t="s">
        <v>608</v>
      </c>
      <c r="H307" s="51">
        <v>4</v>
      </c>
      <c r="I307" s="119">
        <v>100</v>
      </c>
      <c r="J307" s="58" t="s">
        <v>31</v>
      </c>
      <c r="K307" s="58" t="s">
        <v>32</v>
      </c>
    </row>
    <row r="308" spans="1:14" ht="15.75" customHeight="1">
      <c r="A308" s="48">
        <v>24</v>
      </c>
      <c r="B308" s="48" t="s">
        <v>807</v>
      </c>
      <c r="C308" s="48" t="s">
        <v>27</v>
      </c>
      <c r="D308" s="48" t="s">
        <v>439</v>
      </c>
      <c r="E308" s="48" t="s">
        <v>145</v>
      </c>
      <c r="F308" s="48"/>
      <c r="G308" s="48" t="s">
        <v>30</v>
      </c>
      <c r="H308" s="51">
        <v>500</v>
      </c>
      <c r="I308" s="119">
        <v>100</v>
      </c>
      <c r="J308" s="58" t="s">
        <v>31</v>
      </c>
      <c r="K308" s="58" t="s">
        <v>32</v>
      </c>
      <c r="N308" s="126">
        <v>150</v>
      </c>
    </row>
    <row r="309" spans="1:14" ht="15.75" customHeight="1">
      <c r="A309" s="48">
        <v>24</v>
      </c>
      <c r="B309" s="48" t="s">
        <v>894</v>
      </c>
      <c r="C309" s="48" t="s">
        <v>27</v>
      </c>
      <c r="D309" s="48" t="s">
        <v>895</v>
      </c>
      <c r="E309" s="48" t="s">
        <v>896</v>
      </c>
      <c r="F309" s="48"/>
      <c r="G309" s="48" t="s">
        <v>30</v>
      </c>
      <c r="H309" s="51">
        <v>150</v>
      </c>
      <c r="I309" s="119">
        <v>30</v>
      </c>
      <c r="J309" s="58" t="s">
        <v>31</v>
      </c>
      <c r="K309" s="58" t="s">
        <v>32</v>
      </c>
      <c r="N309" s="126">
        <v>25</v>
      </c>
    </row>
    <row r="310" spans="1:14" ht="15.75" customHeight="1">
      <c r="A310" s="48">
        <v>24</v>
      </c>
      <c r="B310" s="48" t="s">
        <v>894</v>
      </c>
      <c r="C310" s="48" t="s">
        <v>27</v>
      </c>
      <c r="D310" s="48" t="s">
        <v>895</v>
      </c>
      <c r="E310" s="48" t="s">
        <v>896</v>
      </c>
      <c r="F310" s="48"/>
      <c r="G310" s="48" t="s">
        <v>589</v>
      </c>
      <c r="H310" s="51">
        <v>20</v>
      </c>
      <c r="I310" s="119">
        <v>60</v>
      </c>
      <c r="J310" s="58" t="s">
        <v>31</v>
      </c>
      <c r="K310" s="58" t="s">
        <v>32</v>
      </c>
    </row>
    <row r="311" spans="1:14" ht="15.75" customHeight="1">
      <c r="A311" s="48">
        <v>24</v>
      </c>
      <c r="B311" s="48" t="s">
        <v>897</v>
      </c>
      <c r="C311" s="48" t="s">
        <v>27</v>
      </c>
      <c r="D311" s="48" t="s">
        <v>898</v>
      </c>
      <c r="E311" s="48" t="s">
        <v>484</v>
      </c>
      <c r="F311" s="48"/>
      <c r="G311" s="48" t="s">
        <v>30</v>
      </c>
      <c r="H311" s="51">
        <v>500</v>
      </c>
      <c r="I311" s="119">
        <v>100</v>
      </c>
      <c r="J311" s="58" t="s">
        <v>31</v>
      </c>
      <c r="K311" s="58" t="s">
        <v>32</v>
      </c>
      <c r="N311" s="126">
        <v>150</v>
      </c>
    </row>
    <row r="312" spans="1:14" ht="15.75" customHeight="1">
      <c r="A312" s="48">
        <v>24</v>
      </c>
      <c r="B312" s="48" t="s">
        <v>899</v>
      </c>
      <c r="C312" s="48" t="s">
        <v>27</v>
      </c>
      <c r="D312" s="48" t="s">
        <v>88</v>
      </c>
      <c r="E312" s="48" t="s">
        <v>79</v>
      </c>
      <c r="F312" s="48"/>
      <c r="G312" s="48" t="s">
        <v>30</v>
      </c>
      <c r="H312" s="51">
        <v>1000</v>
      </c>
      <c r="I312" s="119">
        <v>200</v>
      </c>
      <c r="J312" s="58" t="s">
        <v>31</v>
      </c>
      <c r="K312" s="58" t="s">
        <v>32</v>
      </c>
      <c r="N312" s="126">
        <v>300</v>
      </c>
    </row>
    <row r="313" spans="1:14" ht="15.75" customHeight="1">
      <c r="A313" s="48">
        <v>24</v>
      </c>
      <c r="B313" s="48" t="s">
        <v>900</v>
      </c>
      <c r="C313" s="48" t="s">
        <v>27</v>
      </c>
      <c r="D313" s="48" t="s">
        <v>901</v>
      </c>
      <c r="E313" s="48" t="s">
        <v>84</v>
      </c>
      <c r="F313" s="48"/>
      <c r="G313" s="48" t="s">
        <v>30</v>
      </c>
      <c r="H313" s="51">
        <v>200</v>
      </c>
      <c r="I313" s="119">
        <v>40</v>
      </c>
      <c r="J313" s="58" t="s">
        <v>31</v>
      </c>
      <c r="K313" s="58" t="s">
        <v>32</v>
      </c>
      <c r="N313" s="126">
        <v>20</v>
      </c>
    </row>
    <row r="314" spans="1:14" ht="15.75" customHeight="1">
      <c r="A314" s="48">
        <v>24</v>
      </c>
      <c r="B314" s="48" t="s">
        <v>902</v>
      </c>
      <c r="C314" s="48" t="s">
        <v>27</v>
      </c>
      <c r="D314" s="48" t="s">
        <v>98</v>
      </c>
      <c r="E314" s="48" t="s">
        <v>36</v>
      </c>
      <c r="F314" s="48"/>
      <c r="G314" s="48" t="s">
        <v>30</v>
      </c>
      <c r="H314" s="51">
        <v>2000</v>
      </c>
      <c r="I314" s="119">
        <v>400</v>
      </c>
      <c r="J314" s="58" t="s">
        <v>31</v>
      </c>
      <c r="K314" s="58" t="s">
        <v>32</v>
      </c>
      <c r="N314" s="126">
        <v>400</v>
      </c>
    </row>
    <row r="315" spans="1:14" ht="15.75" customHeight="1">
      <c r="A315" s="48">
        <v>24</v>
      </c>
      <c r="B315" s="48" t="s">
        <v>903</v>
      </c>
      <c r="C315" s="48" t="s">
        <v>27</v>
      </c>
      <c r="D315" s="48" t="s">
        <v>211</v>
      </c>
      <c r="E315" s="48" t="s">
        <v>36</v>
      </c>
      <c r="F315" s="48"/>
      <c r="G315" s="48" t="s">
        <v>30</v>
      </c>
      <c r="H315" s="51">
        <v>3000</v>
      </c>
      <c r="I315" s="119">
        <v>600</v>
      </c>
      <c r="J315" s="58" t="s">
        <v>31</v>
      </c>
      <c r="K315" s="58" t="s">
        <v>32</v>
      </c>
      <c r="N315" s="126">
        <v>600</v>
      </c>
    </row>
    <row r="316" spans="1:14" ht="15.75" customHeight="1">
      <c r="A316" s="146">
        <v>24</v>
      </c>
      <c r="B316" s="146" t="s">
        <v>904</v>
      </c>
      <c r="C316" s="48" t="s">
        <v>27</v>
      </c>
      <c r="D316" s="48" t="s">
        <v>65</v>
      </c>
      <c r="E316" s="146" t="s">
        <v>36</v>
      </c>
      <c r="F316" s="48"/>
      <c r="G316" s="48" t="s">
        <v>30</v>
      </c>
      <c r="H316" s="51">
        <v>1500</v>
      </c>
      <c r="I316" s="119">
        <v>300</v>
      </c>
      <c r="J316" s="58" t="s">
        <v>31</v>
      </c>
      <c r="K316" s="58" t="s">
        <v>32</v>
      </c>
      <c r="N316" s="126">
        <v>900</v>
      </c>
    </row>
    <row r="317" spans="1:14" ht="15.75" customHeight="1">
      <c r="A317" s="48">
        <v>24</v>
      </c>
      <c r="B317" s="146" t="s">
        <v>904</v>
      </c>
      <c r="C317" s="48" t="s">
        <v>27</v>
      </c>
      <c r="D317" s="48" t="s">
        <v>65</v>
      </c>
      <c r="E317" s="146" t="s">
        <v>36</v>
      </c>
      <c r="F317" s="48"/>
      <c r="G317" s="48" t="s">
        <v>30</v>
      </c>
      <c r="H317" s="147">
        <v>500</v>
      </c>
      <c r="I317" s="148" t="s">
        <v>90</v>
      </c>
      <c r="J317" s="58" t="s">
        <v>31</v>
      </c>
      <c r="K317" s="58" t="s">
        <v>32</v>
      </c>
    </row>
    <row r="318" spans="1:14" ht="15.75" customHeight="1">
      <c r="A318" s="48">
        <v>24</v>
      </c>
      <c r="B318" s="48" t="s">
        <v>905</v>
      </c>
      <c r="C318" s="48" t="s">
        <v>27</v>
      </c>
      <c r="D318" s="48" t="s">
        <v>295</v>
      </c>
      <c r="E318" s="48" t="s">
        <v>54</v>
      </c>
      <c r="F318" s="48"/>
      <c r="G318" s="48" t="s">
        <v>30</v>
      </c>
      <c r="H318" s="51">
        <v>5000</v>
      </c>
      <c r="I318" s="119">
        <v>1000</v>
      </c>
      <c r="J318" s="58" t="s">
        <v>31</v>
      </c>
      <c r="K318" s="58" t="s">
        <v>32</v>
      </c>
      <c r="N318" s="126">
        <v>1200</v>
      </c>
    </row>
    <row r="319" spans="1:14" ht="15.75" customHeight="1">
      <c r="A319" s="48">
        <v>24</v>
      </c>
      <c r="B319" s="48" t="s">
        <v>906</v>
      </c>
      <c r="C319" s="48" t="s">
        <v>27</v>
      </c>
      <c r="D319" s="48" t="s">
        <v>108</v>
      </c>
      <c r="E319" s="48" t="s">
        <v>36</v>
      </c>
      <c r="F319" s="48"/>
      <c r="G319" s="48" t="s">
        <v>30</v>
      </c>
      <c r="H319" s="51">
        <v>800</v>
      </c>
      <c r="I319" s="119">
        <v>160</v>
      </c>
      <c r="J319" s="58" t="s">
        <v>31</v>
      </c>
      <c r="K319" s="58" t="s">
        <v>32</v>
      </c>
      <c r="N319" s="126">
        <v>1500</v>
      </c>
    </row>
    <row r="320" spans="1:14" ht="15.75" customHeight="1">
      <c r="A320" s="48">
        <v>24</v>
      </c>
      <c r="B320" s="146" t="s">
        <v>907</v>
      </c>
      <c r="C320" s="48" t="s">
        <v>39</v>
      </c>
      <c r="D320" s="48" t="s">
        <v>100</v>
      </c>
      <c r="E320" s="146" t="s">
        <v>51</v>
      </c>
      <c r="F320" s="48"/>
      <c r="G320" s="48" t="s">
        <v>30</v>
      </c>
      <c r="H320" s="51">
        <v>3500</v>
      </c>
      <c r="I320" s="119">
        <v>700</v>
      </c>
      <c r="J320" s="58" t="s">
        <v>31</v>
      </c>
      <c r="K320" s="58" t="s">
        <v>32</v>
      </c>
      <c r="N320" s="126">
        <v>600</v>
      </c>
    </row>
    <row r="321" spans="1:14" ht="15.75" customHeight="1">
      <c r="A321" s="48">
        <v>24</v>
      </c>
      <c r="B321" s="146" t="s">
        <v>907</v>
      </c>
      <c r="C321" s="48" t="s">
        <v>39</v>
      </c>
      <c r="D321" s="48" t="s">
        <v>100</v>
      </c>
      <c r="E321" s="146" t="s">
        <v>51</v>
      </c>
      <c r="F321" s="48"/>
      <c r="G321" s="48" t="s">
        <v>30</v>
      </c>
      <c r="H321" s="147">
        <v>500</v>
      </c>
      <c r="I321" s="148" t="s">
        <v>90</v>
      </c>
      <c r="J321" s="58" t="s">
        <v>31</v>
      </c>
      <c r="K321" s="58" t="s">
        <v>32</v>
      </c>
    </row>
    <row r="322" spans="1:14" ht="15.75" customHeight="1">
      <c r="A322" s="58">
        <v>24</v>
      </c>
      <c r="B322" s="156" t="s">
        <v>908</v>
      </c>
      <c r="C322" s="58" t="s">
        <v>27</v>
      </c>
      <c r="D322" s="58" t="s">
        <v>666</v>
      </c>
      <c r="E322" s="156" t="s">
        <v>36</v>
      </c>
      <c r="F322" s="58"/>
      <c r="G322" s="58" t="s">
        <v>30</v>
      </c>
      <c r="H322" s="157">
        <v>500</v>
      </c>
      <c r="I322" s="158" t="s">
        <v>90</v>
      </c>
      <c r="J322" s="58" t="s">
        <v>31</v>
      </c>
      <c r="K322" s="58" t="s">
        <v>32</v>
      </c>
      <c r="N322" s="126">
        <v>363</v>
      </c>
    </row>
    <row r="323" spans="1:14" ht="15.75" customHeight="1">
      <c r="A323" s="62">
        <v>25</v>
      </c>
      <c r="B323" s="62" t="s">
        <v>909</v>
      </c>
      <c r="C323" s="62" t="s">
        <v>27</v>
      </c>
      <c r="D323" s="62" t="s">
        <v>910</v>
      </c>
      <c r="E323" s="62" t="s">
        <v>36</v>
      </c>
      <c r="F323" s="62"/>
      <c r="G323" s="62" t="s">
        <v>30</v>
      </c>
      <c r="H323" s="63">
        <v>4000</v>
      </c>
      <c r="I323" s="159">
        <v>800</v>
      </c>
      <c r="J323" s="62" t="s">
        <v>31</v>
      </c>
      <c r="K323" s="62" t="s">
        <v>32</v>
      </c>
      <c r="N323" s="126">
        <v>500</v>
      </c>
    </row>
    <row r="324" spans="1:14" ht="15.75" customHeight="1">
      <c r="A324" s="48">
        <v>25</v>
      </c>
      <c r="B324" s="48" t="s">
        <v>911</v>
      </c>
      <c r="C324" s="48" t="s">
        <v>27</v>
      </c>
      <c r="D324" s="48" t="s">
        <v>912</v>
      </c>
      <c r="E324" s="48" t="s">
        <v>79</v>
      </c>
      <c r="F324" s="48"/>
      <c r="G324" s="48" t="s">
        <v>30</v>
      </c>
      <c r="H324" s="51">
        <v>600</v>
      </c>
      <c r="I324" s="119">
        <v>120</v>
      </c>
      <c r="J324" s="48" t="s">
        <v>31</v>
      </c>
      <c r="K324" s="48" t="s">
        <v>32</v>
      </c>
      <c r="N324" s="126">
        <v>200</v>
      </c>
    </row>
    <row r="325" spans="1:14" ht="15.75" customHeight="1">
      <c r="A325" s="146">
        <v>25</v>
      </c>
      <c r="B325" s="146" t="s">
        <v>913</v>
      </c>
      <c r="C325" s="48" t="s">
        <v>27</v>
      </c>
      <c r="D325" s="48" t="s">
        <v>914</v>
      </c>
      <c r="E325" s="146" t="s">
        <v>44</v>
      </c>
      <c r="F325" s="48"/>
      <c r="G325" s="48" t="s">
        <v>30</v>
      </c>
      <c r="H325" s="147">
        <v>5000</v>
      </c>
      <c r="I325" s="148" t="s">
        <v>90</v>
      </c>
      <c r="J325" s="48" t="s">
        <v>31</v>
      </c>
      <c r="K325" s="48" t="s">
        <v>32</v>
      </c>
      <c r="N325" s="126">
        <v>600</v>
      </c>
    </row>
    <row r="326" spans="1:14" ht="15.75" customHeight="1">
      <c r="A326" s="48">
        <v>25</v>
      </c>
      <c r="B326" s="48" t="s">
        <v>915</v>
      </c>
      <c r="C326" s="48" t="s">
        <v>39</v>
      </c>
      <c r="D326" s="48" t="s">
        <v>916</v>
      </c>
      <c r="E326" s="48" t="s">
        <v>29</v>
      </c>
      <c r="F326" s="48"/>
      <c r="G326" s="48" t="s">
        <v>30</v>
      </c>
      <c r="H326" s="51">
        <v>5000</v>
      </c>
      <c r="I326" s="119">
        <v>1000</v>
      </c>
      <c r="J326" s="48" t="s">
        <v>31</v>
      </c>
      <c r="K326" s="48" t="s">
        <v>32</v>
      </c>
      <c r="N326" s="2">
        <v>891</v>
      </c>
    </row>
    <row r="327" spans="1:14" ht="15.75" customHeight="1">
      <c r="A327" s="48">
        <v>25</v>
      </c>
      <c r="B327" s="48" t="s">
        <v>917</v>
      </c>
      <c r="C327" s="48" t="s">
        <v>27</v>
      </c>
      <c r="D327" s="48" t="s">
        <v>645</v>
      </c>
      <c r="E327" s="48" t="s">
        <v>29</v>
      </c>
      <c r="F327" s="48"/>
      <c r="G327" s="48" t="s">
        <v>30</v>
      </c>
      <c r="H327" s="51">
        <v>1500</v>
      </c>
      <c r="I327" s="119">
        <v>300</v>
      </c>
      <c r="J327" s="48" t="s">
        <v>31</v>
      </c>
      <c r="K327" s="48" t="s">
        <v>32</v>
      </c>
      <c r="N327" s="2">
        <v>300</v>
      </c>
    </row>
    <row r="328" spans="1:14" ht="15.75" customHeight="1">
      <c r="A328" s="48">
        <v>25</v>
      </c>
      <c r="B328" s="48" t="s">
        <v>888</v>
      </c>
      <c r="C328" s="48" t="s">
        <v>27</v>
      </c>
      <c r="D328" s="48" t="s">
        <v>889</v>
      </c>
      <c r="E328" s="48" t="s">
        <v>36</v>
      </c>
      <c r="F328" s="48"/>
      <c r="G328" s="48" t="s">
        <v>30</v>
      </c>
      <c r="H328" s="51">
        <v>4000</v>
      </c>
      <c r="I328" s="119">
        <v>800</v>
      </c>
      <c r="J328" s="48" t="s">
        <v>31</v>
      </c>
      <c r="K328" s="48" t="s">
        <v>32</v>
      </c>
      <c r="N328" s="2">
        <v>900</v>
      </c>
    </row>
    <row r="329" spans="1:14" ht="15.75" customHeight="1">
      <c r="A329" s="48">
        <v>25</v>
      </c>
      <c r="B329" s="48" t="s">
        <v>474</v>
      </c>
      <c r="C329" s="48" t="s">
        <v>27</v>
      </c>
      <c r="D329" s="48" t="s">
        <v>889</v>
      </c>
      <c r="E329" s="48" t="s">
        <v>36</v>
      </c>
      <c r="F329" s="48"/>
      <c r="G329" s="48" t="s">
        <v>30</v>
      </c>
      <c r="H329" s="51">
        <v>4000</v>
      </c>
      <c r="I329" s="119">
        <v>800</v>
      </c>
      <c r="J329" s="48" t="s">
        <v>31</v>
      </c>
      <c r="K329" s="48" t="s">
        <v>32</v>
      </c>
      <c r="N329" s="2">
        <v>900</v>
      </c>
    </row>
    <row r="330" spans="1:14" ht="15.75" customHeight="1">
      <c r="A330" s="48">
        <v>25</v>
      </c>
      <c r="B330" s="48" t="s">
        <v>918</v>
      </c>
      <c r="C330" s="48" t="s">
        <v>27</v>
      </c>
      <c r="D330" s="48" t="s">
        <v>919</v>
      </c>
      <c r="E330" s="48" t="s">
        <v>84</v>
      </c>
      <c r="F330" s="48"/>
      <c r="G330" s="48" t="s">
        <v>30</v>
      </c>
      <c r="H330" s="51">
        <v>100</v>
      </c>
      <c r="I330" s="119">
        <v>20</v>
      </c>
      <c r="J330" s="48" t="s">
        <v>31</v>
      </c>
      <c r="K330" s="48" t="s">
        <v>32</v>
      </c>
      <c r="N330" s="2">
        <v>20</v>
      </c>
    </row>
    <row r="331" spans="1:14" ht="15.75" customHeight="1">
      <c r="A331" s="48">
        <v>25</v>
      </c>
      <c r="B331" s="48" t="s">
        <v>920</v>
      </c>
      <c r="C331" s="48" t="s">
        <v>27</v>
      </c>
      <c r="D331" s="48" t="s">
        <v>921</v>
      </c>
      <c r="E331" s="48" t="s">
        <v>86</v>
      </c>
      <c r="F331" s="48"/>
      <c r="G331" s="48" t="s">
        <v>30</v>
      </c>
      <c r="H331" s="51">
        <v>300</v>
      </c>
      <c r="I331" s="119">
        <v>60</v>
      </c>
      <c r="J331" s="48" t="s">
        <v>31</v>
      </c>
      <c r="K331" s="48" t="s">
        <v>32</v>
      </c>
      <c r="N331" s="2">
        <v>50</v>
      </c>
    </row>
    <row r="332" spans="1:14" ht="15.75" customHeight="1">
      <c r="A332" s="48">
        <v>25</v>
      </c>
      <c r="B332" s="48" t="s">
        <v>920</v>
      </c>
      <c r="C332" s="48" t="s">
        <v>27</v>
      </c>
      <c r="D332" s="48" t="s">
        <v>921</v>
      </c>
      <c r="E332" s="48" t="s">
        <v>86</v>
      </c>
      <c r="F332" s="48"/>
      <c r="G332" s="48" t="s">
        <v>30</v>
      </c>
      <c r="H332" s="51">
        <v>200</v>
      </c>
      <c r="I332" s="119">
        <v>60</v>
      </c>
      <c r="J332" s="48" t="s">
        <v>31</v>
      </c>
      <c r="K332" s="48" t="s">
        <v>32</v>
      </c>
      <c r="N332" s="2"/>
    </row>
    <row r="333" spans="1:14" ht="15.75" customHeight="1">
      <c r="A333" s="48">
        <v>25</v>
      </c>
      <c r="B333" s="48" t="s">
        <v>26</v>
      </c>
      <c r="C333" s="48" t="s">
        <v>27</v>
      </c>
      <c r="D333" s="48" t="s">
        <v>578</v>
      </c>
      <c r="E333" s="48" t="s">
        <v>29</v>
      </c>
      <c r="F333" s="48"/>
      <c r="G333" s="48" t="s">
        <v>30</v>
      </c>
      <c r="H333" s="51">
        <v>3000</v>
      </c>
      <c r="I333" s="119">
        <v>600</v>
      </c>
      <c r="J333" s="48" t="s">
        <v>31</v>
      </c>
      <c r="K333" s="48" t="s">
        <v>32</v>
      </c>
      <c r="N333" s="2">
        <v>600</v>
      </c>
    </row>
    <row r="334" spans="1:14" ht="15.75" customHeight="1">
      <c r="A334" s="48">
        <v>25</v>
      </c>
      <c r="B334" s="48" t="s">
        <v>922</v>
      </c>
      <c r="C334" s="48" t="s">
        <v>27</v>
      </c>
      <c r="D334" s="48" t="s">
        <v>712</v>
      </c>
      <c r="E334" s="48" t="s">
        <v>145</v>
      </c>
      <c r="F334" s="48"/>
      <c r="G334" s="48" t="s">
        <v>30</v>
      </c>
      <c r="H334" s="51">
        <v>12000</v>
      </c>
      <c r="I334" s="119">
        <v>4800</v>
      </c>
      <c r="J334" s="48" t="s">
        <v>31</v>
      </c>
      <c r="K334" s="48" t="s">
        <v>32</v>
      </c>
      <c r="N334" s="2">
        <v>2400</v>
      </c>
    </row>
    <row r="335" spans="1:14" ht="15.75" customHeight="1">
      <c r="A335" s="48">
        <v>25</v>
      </c>
      <c r="B335" s="58" t="s">
        <v>923</v>
      </c>
      <c r="C335" s="58" t="s">
        <v>39</v>
      </c>
      <c r="D335" s="58" t="s">
        <v>171</v>
      </c>
      <c r="E335" s="58" t="s">
        <v>145</v>
      </c>
      <c r="F335" s="58"/>
      <c r="G335" s="58" t="s">
        <v>30</v>
      </c>
      <c r="H335" s="59">
        <v>500</v>
      </c>
      <c r="I335" s="160">
        <v>100</v>
      </c>
      <c r="J335" s="58" t="s">
        <v>31</v>
      </c>
      <c r="K335" s="58" t="s">
        <v>32</v>
      </c>
      <c r="N335" s="126">
        <v>150</v>
      </c>
    </row>
    <row r="336" spans="1:14" ht="15.75" customHeight="1">
      <c r="A336" s="62">
        <v>26</v>
      </c>
      <c r="B336" s="62" t="s">
        <v>924</v>
      </c>
      <c r="C336" s="62" t="s">
        <v>39</v>
      </c>
      <c r="D336" s="62" t="s">
        <v>760</v>
      </c>
      <c r="E336" s="62" t="s">
        <v>209</v>
      </c>
      <c r="F336" s="62"/>
      <c r="G336" s="62" t="s">
        <v>30</v>
      </c>
      <c r="H336" s="63">
        <v>23500</v>
      </c>
      <c r="I336" s="159">
        <v>9400</v>
      </c>
      <c r="J336" s="62" t="s">
        <v>31</v>
      </c>
      <c r="K336" s="62" t="s">
        <v>32</v>
      </c>
      <c r="N336" s="126">
        <v>5000</v>
      </c>
    </row>
    <row r="337" spans="1:18" ht="15.75" customHeight="1">
      <c r="A337" s="62">
        <v>26</v>
      </c>
      <c r="B337" s="62" t="s">
        <v>924</v>
      </c>
      <c r="C337" s="62" t="s">
        <v>39</v>
      </c>
      <c r="D337" s="62" t="s">
        <v>760</v>
      </c>
      <c r="E337" s="62" t="s">
        <v>209</v>
      </c>
      <c r="F337" s="48"/>
      <c r="G337" s="48" t="s">
        <v>30</v>
      </c>
      <c r="H337" s="51">
        <v>2000</v>
      </c>
      <c r="I337" s="119">
        <v>400</v>
      </c>
      <c r="J337" s="58" t="s">
        <v>31</v>
      </c>
      <c r="K337" s="58" t="s">
        <v>32</v>
      </c>
    </row>
    <row r="338" spans="1:18" ht="15.75" customHeight="1">
      <c r="A338" s="62">
        <v>26</v>
      </c>
      <c r="B338" s="48" t="s">
        <v>925</v>
      </c>
      <c r="C338" s="48" t="s">
        <v>27</v>
      </c>
      <c r="D338" s="48" t="s">
        <v>926</v>
      </c>
      <c r="E338" s="48" t="s">
        <v>145</v>
      </c>
      <c r="F338" s="48"/>
      <c r="G338" s="48" t="s">
        <v>30</v>
      </c>
      <c r="H338" s="51">
        <v>1000</v>
      </c>
      <c r="I338" s="119">
        <v>200</v>
      </c>
      <c r="J338" s="58" t="s">
        <v>31</v>
      </c>
      <c r="K338" s="58" t="s">
        <v>32</v>
      </c>
      <c r="N338" s="126">
        <v>200</v>
      </c>
    </row>
    <row r="339" spans="1:18" ht="15.75" customHeight="1">
      <c r="A339" s="62">
        <v>26</v>
      </c>
      <c r="B339" s="48" t="s">
        <v>927</v>
      </c>
      <c r="C339" s="48" t="s">
        <v>27</v>
      </c>
      <c r="D339" s="48" t="s">
        <v>928</v>
      </c>
      <c r="E339" s="48" t="s">
        <v>51</v>
      </c>
      <c r="F339" s="48"/>
      <c r="G339" s="48" t="s">
        <v>30</v>
      </c>
      <c r="H339" s="51">
        <v>6000</v>
      </c>
      <c r="I339" s="119">
        <v>1200</v>
      </c>
      <c r="J339" s="58" t="s">
        <v>31</v>
      </c>
      <c r="K339" s="58" t="s">
        <v>32</v>
      </c>
      <c r="N339" s="126">
        <v>1196</v>
      </c>
    </row>
    <row r="340" spans="1:18" ht="15.75" customHeight="1">
      <c r="A340" s="62">
        <v>26</v>
      </c>
      <c r="B340" s="48" t="s">
        <v>929</v>
      </c>
      <c r="C340" s="48" t="s">
        <v>27</v>
      </c>
      <c r="D340" s="48" t="s">
        <v>110</v>
      </c>
      <c r="E340" s="48" t="s">
        <v>36</v>
      </c>
      <c r="F340" s="48"/>
      <c r="G340" s="48" t="s">
        <v>30</v>
      </c>
      <c r="H340" s="51">
        <v>200</v>
      </c>
      <c r="I340" s="119">
        <v>40</v>
      </c>
      <c r="J340" s="58" t="s">
        <v>31</v>
      </c>
      <c r="K340" s="58" t="s">
        <v>32</v>
      </c>
    </row>
    <row r="341" spans="1:18" ht="15.75" customHeight="1">
      <c r="A341" s="62">
        <v>26</v>
      </c>
      <c r="B341" s="48" t="s">
        <v>636</v>
      </c>
      <c r="C341" s="48" t="s">
        <v>39</v>
      </c>
      <c r="D341" s="48" t="s">
        <v>637</v>
      </c>
      <c r="E341" s="48" t="s">
        <v>54</v>
      </c>
      <c r="F341" s="48"/>
      <c r="G341" s="48" t="s">
        <v>30</v>
      </c>
      <c r="H341" s="51">
        <v>1000</v>
      </c>
      <c r="I341" s="119">
        <v>200</v>
      </c>
      <c r="J341" s="58" t="s">
        <v>31</v>
      </c>
      <c r="K341" s="58" t="s">
        <v>32</v>
      </c>
      <c r="N341" s="126">
        <v>300</v>
      </c>
    </row>
    <row r="342" spans="1:18" ht="15.75" customHeight="1">
      <c r="A342" s="146">
        <v>26</v>
      </c>
      <c r="B342" s="146" t="s">
        <v>930</v>
      </c>
      <c r="C342" s="48" t="s">
        <v>27</v>
      </c>
      <c r="D342" s="48" t="s">
        <v>931</v>
      </c>
      <c r="E342" s="146" t="s">
        <v>145</v>
      </c>
      <c r="F342" s="48"/>
      <c r="G342" s="48" t="s">
        <v>30</v>
      </c>
      <c r="H342" s="51">
        <v>500</v>
      </c>
      <c r="I342" s="119">
        <v>100</v>
      </c>
      <c r="J342" s="58" t="s">
        <v>31</v>
      </c>
      <c r="K342" s="58" t="s">
        <v>32</v>
      </c>
      <c r="N342" s="126">
        <v>200</v>
      </c>
    </row>
    <row r="343" spans="1:18" ht="15.75" customHeight="1">
      <c r="A343" s="48">
        <v>26</v>
      </c>
      <c r="B343" s="146" t="s">
        <v>930</v>
      </c>
      <c r="C343" s="48" t="s">
        <v>27</v>
      </c>
      <c r="D343" s="48" t="s">
        <v>931</v>
      </c>
      <c r="E343" s="146" t="s">
        <v>145</v>
      </c>
      <c r="F343" s="48"/>
      <c r="G343" s="48" t="s">
        <v>30</v>
      </c>
      <c r="H343" s="147">
        <v>500</v>
      </c>
      <c r="I343" s="148" t="s">
        <v>90</v>
      </c>
      <c r="J343" s="58" t="s">
        <v>31</v>
      </c>
      <c r="K343" s="58" t="s">
        <v>32</v>
      </c>
    </row>
    <row r="344" spans="1:18" ht="15.75" customHeight="1">
      <c r="A344" s="146">
        <v>26</v>
      </c>
      <c r="B344" s="146" t="s">
        <v>932</v>
      </c>
      <c r="C344" s="48" t="s">
        <v>27</v>
      </c>
      <c r="D344" s="48" t="s">
        <v>56</v>
      </c>
      <c r="E344" s="146" t="s">
        <v>51</v>
      </c>
      <c r="F344" s="48"/>
      <c r="G344" s="48" t="s">
        <v>30</v>
      </c>
      <c r="H344" s="147">
        <v>500</v>
      </c>
      <c r="I344" s="148" t="s">
        <v>90</v>
      </c>
      <c r="J344" s="58" t="s">
        <v>31</v>
      </c>
      <c r="K344" s="58" t="s">
        <v>32</v>
      </c>
      <c r="N344" s="126">
        <v>1000</v>
      </c>
    </row>
    <row r="345" spans="1:18" ht="15.75" customHeight="1">
      <c r="A345" s="48">
        <v>26</v>
      </c>
      <c r="B345" s="146" t="s">
        <v>932</v>
      </c>
      <c r="C345" s="48" t="s">
        <v>27</v>
      </c>
      <c r="D345" s="48" t="s">
        <v>56</v>
      </c>
      <c r="E345" s="146" t="s">
        <v>51</v>
      </c>
      <c r="F345" s="48"/>
      <c r="G345" s="48" t="s">
        <v>30</v>
      </c>
      <c r="H345" s="51">
        <v>5000</v>
      </c>
      <c r="I345" s="119">
        <v>1000</v>
      </c>
      <c r="J345" s="58" t="s">
        <v>31</v>
      </c>
      <c r="K345" s="58" t="s">
        <v>32</v>
      </c>
    </row>
    <row r="346" spans="1:18" ht="15.75" customHeight="1">
      <c r="A346" s="146">
        <v>26</v>
      </c>
      <c r="B346" s="146" t="s">
        <v>330</v>
      </c>
      <c r="C346" s="48" t="s">
        <v>39</v>
      </c>
      <c r="D346" s="48" t="s">
        <v>56</v>
      </c>
      <c r="E346" s="146" t="s">
        <v>51</v>
      </c>
      <c r="F346" s="48"/>
      <c r="G346" s="48" t="s">
        <v>30</v>
      </c>
      <c r="H346" s="147">
        <v>500</v>
      </c>
      <c r="I346" s="148" t="s">
        <v>90</v>
      </c>
      <c r="J346" s="58" t="s">
        <v>31</v>
      </c>
      <c r="K346" s="58" t="s">
        <v>32</v>
      </c>
    </row>
    <row r="347" spans="1:18" ht="15.75" customHeight="1">
      <c r="A347" s="156">
        <v>26</v>
      </c>
      <c r="B347" s="156" t="s">
        <v>933</v>
      </c>
      <c r="C347" s="58" t="s">
        <v>27</v>
      </c>
      <c r="D347" s="58" t="s">
        <v>934</v>
      </c>
      <c r="E347" s="156" t="s">
        <v>44</v>
      </c>
      <c r="F347" s="58"/>
      <c r="G347" s="58" t="s">
        <v>30</v>
      </c>
      <c r="H347" s="157">
        <v>5000</v>
      </c>
      <c r="I347" s="158" t="s">
        <v>90</v>
      </c>
      <c r="J347" s="58" t="s">
        <v>31</v>
      </c>
      <c r="K347" s="58" t="s">
        <v>32</v>
      </c>
      <c r="N347" s="126">
        <v>1000</v>
      </c>
    </row>
    <row r="348" spans="1:18" ht="15.75" customHeight="1">
      <c r="A348" s="161">
        <v>27</v>
      </c>
      <c r="B348" s="161" t="s">
        <v>935</v>
      </c>
      <c r="C348" s="62" t="s">
        <v>27</v>
      </c>
      <c r="D348" s="62" t="s">
        <v>639</v>
      </c>
      <c r="E348" s="161" t="s">
        <v>145</v>
      </c>
      <c r="F348" s="62"/>
      <c r="G348" s="62" t="s">
        <v>30</v>
      </c>
      <c r="H348" s="162">
        <v>500</v>
      </c>
      <c r="I348" s="163" t="s">
        <v>90</v>
      </c>
      <c r="J348" s="48" t="s">
        <v>31</v>
      </c>
      <c r="K348" s="48" t="s">
        <v>32</v>
      </c>
      <c r="Q348" s="750">
        <v>43888</v>
      </c>
      <c r="R348" s="719"/>
    </row>
    <row r="349" spans="1:18" ht="15.75" customHeight="1">
      <c r="A349" s="48">
        <v>27</v>
      </c>
      <c r="B349" s="48" t="s">
        <v>936</v>
      </c>
      <c r="C349" s="48" t="s">
        <v>27</v>
      </c>
      <c r="D349" s="48" t="s">
        <v>937</v>
      </c>
      <c r="E349" s="48" t="s">
        <v>44</v>
      </c>
      <c r="F349" s="48"/>
      <c r="G349" s="48" t="s">
        <v>30</v>
      </c>
      <c r="H349" s="51">
        <v>400</v>
      </c>
      <c r="I349" s="119">
        <v>80</v>
      </c>
      <c r="J349" s="48" t="s">
        <v>31</v>
      </c>
      <c r="K349" s="48" t="s">
        <v>32</v>
      </c>
      <c r="N349" s="126">
        <v>100</v>
      </c>
      <c r="Q349" s="751" t="s">
        <v>25</v>
      </c>
      <c r="R349" s="719"/>
    </row>
    <row r="350" spans="1:18" ht="15.75" customHeight="1">
      <c r="A350" s="48">
        <v>27</v>
      </c>
      <c r="B350" s="48" t="s">
        <v>938</v>
      </c>
      <c r="C350" s="48" t="s">
        <v>27</v>
      </c>
      <c r="D350" s="48" t="s">
        <v>363</v>
      </c>
      <c r="E350" s="48" t="s">
        <v>41</v>
      </c>
      <c r="F350" s="48"/>
      <c r="G350" s="48" t="s">
        <v>30</v>
      </c>
      <c r="H350" s="51">
        <v>30000</v>
      </c>
      <c r="I350" s="119">
        <v>6000</v>
      </c>
      <c r="J350" s="48" t="s">
        <v>31</v>
      </c>
      <c r="K350" s="48" t="s">
        <v>32</v>
      </c>
      <c r="N350" s="126">
        <v>5000</v>
      </c>
      <c r="Q350" s="48" t="s">
        <v>33</v>
      </c>
      <c r="R350" s="51">
        <v>62400</v>
      </c>
    </row>
    <row r="351" spans="1:18" ht="15.75" customHeight="1">
      <c r="A351" s="48">
        <v>27</v>
      </c>
      <c r="B351" s="48" t="s">
        <v>939</v>
      </c>
      <c r="C351" s="48" t="s">
        <v>27</v>
      </c>
      <c r="D351" s="48" t="s">
        <v>940</v>
      </c>
      <c r="E351" s="48" t="s">
        <v>809</v>
      </c>
      <c r="F351" s="48"/>
      <c r="G351" s="48" t="s">
        <v>30</v>
      </c>
      <c r="H351" s="51">
        <v>30000</v>
      </c>
      <c r="I351" s="119">
        <v>6000</v>
      </c>
      <c r="J351" s="48" t="s">
        <v>31</v>
      </c>
      <c r="K351" s="48" t="s">
        <v>32</v>
      </c>
      <c r="N351" s="126">
        <v>900</v>
      </c>
      <c r="Q351" s="48" t="s">
        <v>37</v>
      </c>
      <c r="R351" s="48">
        <v>500</v>
      </c>
    </row>
    <row r="352" spans="1:18" ht="15.75" customHeight="1">
      <c r="A352" s="58">
        <v>27</v>
      </c>
      <c r="B352" s="58" t="s">
        <v>941</v>
      </c>
      <c r="C352" s="58" t="s">
        <v>27</v>
      </c>
      <c r="D352" s="58" t="s">
        <v>292</v>
      </c>
      <c r="E352" s="58" t="s">
        <v>47</v>
      </c>
      <c r="F352" s="58"/>
      <c r="G352" s="58" t="s">
        <v>30</v>
      </c>
      <c r="H352" s="59">
        <v>2000</v>
      </c>
      <c r="I352" s="160">
        <v>800</v>
      </c>
      <c r="J352" s="58" t="s">
        <v>31</v>
      </c>
      <c r="K352" s="58" t="s">
        <v>32</v>
      </c>
      <c r="N352" s="126">
        <v>450</v>
      </c>
      <c r="Q352" s="178" t="s">
        <v>282</v>
      </c>
      <c r="R352" s="179">
        <v>62900</v>
      </c>
    </row>
    <row r="353" spans="1:14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N353" s="126">
        <f>SUM(N12:N352)</f>
        <v>215851</v>
      </c>
    </row>
    <row r="354" spans="1:14" ht="15.75" customHeight="1">
      <c r="A354" s="2"/>
      <c r="B354" s="2"/>
      <c r="C354" s="2"/>
      <c r="D354" s="2"/>
      <c r="E354" s="2"/>
      <c r="F354" s="2"/>
      <c r="G354" s="2"/>
      <c r="H354" s="2"/>
      <c r="I354" s="137" t="s">
        <v>508</v>
      </c>
      <c r="J354" s="83"/>
      <c r="K354" s="2"/>
    </row>
    <row r="355" spans="1:14" ht="15.75" customHeight="1">
      <c r="A355" s="2"/>
      <c r="B355" s="2" t="s">
        <v>509</v>
      </c>
      <c r="C355" s="2"/>
      <c r="D355" s="2"/>
      <c r="E355" s="2" t="s">
        <v>510</v>
      </c>
      <c r="F355" s="2"/>
      <c r="G355" s="2"/>
      <c r="H355" s="2"/>
      <c r="I355" s="83" t="s">
        <v>942</v>
      </c>
      <c r="J355" s="89" t="s">
        <v>943</v>
      </c>
      <c r="K355" s="55"/>
    </row>
    <row r="356" spans="1:14" ht="15.75" customHeight="1">
      <c r="A356" s="2"/>
      <c r="B356" s="2"/>
      <c r="C356" s="2"/>
      <c r="D356" s="2"/>
      <c r="E356" s="2"/>
      <c r="F356" s="2"/>
      <c r="G356" s="2"/>
      <c r="H356" s="2"/>
      <c r="I356" s="83" t="s">
        <v>944</v>
      </c>
      <c r="J356" s="89" t="s">
        <v>945</v>
      </c>
      <c r="K356" s="55"/>
    </row>
    <row r="357" spans="1:14" ht="15.75" customHeight="1">
      <c r="A357" s="2"/>
      <c r="B357" s="2"/>
      <c r="C357" s="2"/>
      <c r="D357" s="2"/>
      <c r="E357" s="2"/>
      <c r="F357" s="2"/>
      <c r="G357" s="2"/>
      <c r="H357" s="2"/>
      <c r="I357" s="83" t="s">
        <v>946</v>
      </c>
      <c r="J357" s="84">
        <v>0</v>
      </c>
      <c r="K357" s="2"/>
    </row>
    <row r="358" spans="1:14" ht="15.75" customHeight="1">
      <c r="A358" s="2"/>
      <c r="B358" s="86" t="s">
        <v>516</v>
      </c>
      <c r="C358" s="2"/>
      <c r="D358" s="2"/>
      <c r="E358" s="731" t="s">
        <v>517</v>
      </c>
      <c r="F358" s="711"/>
      <c r="G358" s="711"/>
      <c r="H358" s="711"/>
      <c r="I358" s="83" t="s">
        <v>947</v>
      </c>
      <c r="J358" s="138" t="s">
        <v>948</v>
      </c>
      <c r="K358" s="2"/>
    </row>
    <row r="359" spans="1:14" ht="15.75" customHeight="1">
      <c r="A359" s="2"/>
      <c r="B359" s="4" t="s">
        <v>949</v>
      </c>
      <c r="C359" s="2"/>
      <c r="D359" s="2"/>
      <c r="E359" s="732" t="s">
        <v>521</v>
      </c>
      <c r="F359" s="711"/>
      <c r="G359" s="711"/>
      <c r="H359" s="711"/>
      <c r="I359" s="83" t="s">
        <v>950</v>
      </c>
      <c r="J359" s="138" t="s">
        <v>951</v>
      </c>
      <c r="K359" s="2"/>
    </row>
    <row r="360" spans="1:14" ht="15.75" customHeight="1">
      <c r="A360" s="2"/>
      <c r="B360" s="2"/>
      <c r="C360" s="2"/>
      <c r="D360" s="2"/>
      <c r="E360" s="2"/>
      <c r="F360" s="2"/>
      <c r="G360" s="2"/>
      <c r="H360" s="2"/>
      <c r="I360" s="83" t="s">
        <v>564</v>
      </c>
      <c r="J360" s="84">
        <v>0</v>
      </c>
      <c r="K360" s="2"/>
    </row>
    <row r="361" spans="1:14" ht="15.75" customHeight="1">
      <c r="A361" s="2"/>
      <c r="B361" s="2"/>
      <c r="C361" s="2"/>
      <c r="D361" s="2"/>
      <c r="E361" s="2"/>
      <c r="F361" s="2"/>
      <c r="G361" s="2"/>
      <c r="H361" s="2"/>
      <c r="I361" s="83" t="s">
        <v>525</v>
      </c>
      <c r="J361" s="83"/>
      <c r="K361" s="2"/>
    </row>
    <row r="362" spans="1:14" ht="15.75" customHeight="1">
      <c r="A362" s="2"/>
      <c r="B362" s="2"/>
      <c r="C362" s="2"/>
      <c r="D362" s="2"/>
      <c r="E362" s="2"/>
      <c r="F362" s="2"/>
      <c r="G362" s="2"/>
      <c r="H362" s="2"/>
      <c r="I362" s="10" t="s">
        <v>565</v>
      </c>
      <c r="J362" s="180" t="s">
        <v>952</v>
      </c>
      <c r="K362" s="2"/>
    </row>
    <row r="363" spans="1:14" ht="15.75" customHeight="1">
      <c r="A363" s="2"/>
      <c r="B363" s="2"/>
      <c r="C363" s="2"/>
      <c r="D363" s="2"/>
      <c r="E363" s="2"/>
      <c r="F363" s="2"/>
      <c r="G363" s="2"/>
      <c r="H363" s="2"/>
      <c r="I363" s="10" t="s">
        <v>953</v>
      </c>
      <c r="J363" s="90"/>
      <c r="K363" s="2"/>
    </row>
    <row r="364" spans="1:1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4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4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4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4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50">
    <mergeCell ref="E358:H358"/>
    <mergeCell ref="E359:H359"/>
    <mergeCell ref="S101:T101"/>
    <mergeCell ref="Q168:R168"/>
    <mergeCell ref="Q169:R169"/>
    <mergeCell ref="Q202:R202"/>
    <mergeCell ref="Q203:R203"/>
    <mergeCell ref="Q254:R254"/>
    <mergeCell ref="Q255:R255"/>
    <mergeCell ref="R292:S292"/>
    <mergeCell ref="R293:S293"/>
    <mergeCell ref="R297:S297"/>
    <mergeCell ref="Q348:R348"/>
    <mergeCell ref="Q349:R349"/>
    <mergeCell ref="S97:T97"/>
    <mergeCell ref="S98:U98"/>
    <mergeCell ref="S99:T99"/>
    <mergeCell ref="S100:T100"/>
    <mergeCell ref="Q259:R259"/>
    <mergeCell ref="S92:T92"/>
    <mergeCell ref="S93:T93"/>
    <mergeCell ref="S94:U94"/>
    <mergeCell ref="S95:T95"/>
    <mergeCell ref="S96:T96"/>
    <mergeCell ref="Q24:S24"/>
    <mergeCell ref="S88:U88"/>
    <mergeCell ref="S89:U89"/>
    <mergeCell ref="S90:U90"/>
    <mergeCell ref="S91:T91"/>
    <mergeCell ref="Q19:R19"/>
    <mergeCell ref="Q20:S20"/>
    <mergeCell ref="Q21:R21"/>
    <mergeCell ref="Q22:R22"/>
    <mergeCell ref="Q23:R23"/>
    <mergeCell ref="Q14:R14"/>
    <mergeCell ref="Q15:R15"/>
    <mergeCell ref="Q16:S16"/>
    <mergeCell ref="Q17:R17"/>
    <mergeCell ref="Q18:R18"/>
    <mergeCell ref="A8:B8"/>
    <mergeCell ref="Q10:S10"/>
    <mergeCell ref="Q11:S11"/>
    <mergeCell ref="Q12:S12"/>
    <mergeCell ref="Q13:R13"/>
    <mergeCell ref="A1:I1"/>
    <mergeCell ref="C2:G2"/>
    <mergeCell ref="J3:K3"/>
    <mergeCell ref="J6:K6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O1000"/>
  <sheetViews>
    <sheetView topLeftCell="A11" workbookViewId="0">
      <selection sqref="A1:J1"/>
    </sheetView>
  </sheetViews>
  <sheetFormatPr defaultColWidth="14.42578125" defaultRowHeight="15" customHeight="1"/>
  <cols>
    <col min="1" max="1" width="4.140625" customWidth="1"/>
    <col min="2" max="2" width="25.140625" customWidth="1"/>
    <col min="3" max="3" width="8.140625" customWidth="1"/>
    <col min="4" max="5" width="14.7109375" customWidth="1"/>
    <col min="6" max="6" width="9.140625" customWidth="1"/>
    <col min="7" max="7" width="20.85546875" customWidth="1"/>
    <col min="8" max="8" width="13.5703125" customWidth="1"/>
    <col min="9" max="9" width="15" customWidth="1"/>
    <col min="10" max="10" width="11.85546875" customWidth="1"/>
    <col min="11" max="11" width="8.28515625" customWidth="1"/>
    <col min="12" max="12" width="18.57031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954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738" t="s">
        <v>955</v>
      </c>
      <c r="L3" s="717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956</v>
      </c>
      <c r="L4" s="95">
        <v>6</v>
      </c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957</v>
      </c>
      <c r="L5" s="95">
        <v>3</v>
      </c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959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105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 ht="18.75" customHeight="1">
      <c r="A11" s="18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183">
        <v>3</v>
      </c>
      <c r="B12" s="183" t="s">
        <v>960</v>
      </c>
      <c r="C12" s="120"/>
      <c r="D12" s="120"/>
      <c r="E12" s="183" t="s">
        <v>237</v>
      </c>
      <c r="F12" s="120"/>
      <c r="G12" s="120" t="s">
        <v>961</v>
      </c>
      <c r="H12" s="184" t="s">
        <v>30</v>
      </c>
      <c r="I12" s="185">
        <v>15500</v>
      </c>
      <c r="J12" s="186" t="s">
        <v>90</v>
      </c>
      <c r="K12" s="79" t="s">
        <v>31</v>
      </c>
      <c r="L12" s="120" t="s">
        <v>32</v>
      </c>
      <c r="N12" s="3">
        <f>I12/5</f>
        <v>3100</v>
      </c>
      <c r="O12" s="3">
        <f>I12+I14+I15+I16</f>
        <v>50000</v>
      </c>
    </row>
    <row r="13" spans="1:15">
      <c r="A13" s="122">
        <v>3</v>
      </c>
      <c r="B13" s="187" t="s">
        <v>962</v>
      </c>
      <c r="C13" s="187"/>
      <c r="D13" s="187"/>
      <c r="E13" s="187" t="s">
        <v>220</v>
      </c>
      <c r="F13" s="187"/>
      <c r="G13" s="187" t="s">
        <v>963</v>
      </c>
      <c r="H13" s="188" t="s">
        <v>579</v>
      </c>
      <c r="I13" s="189">
        <v>3000</v>
      </c>
      <c r="J13" s="187" t="s">
        <v>90</v>
      </c>
      <c r="K13" s="190" t="s">
        <v>31</v>
      </c>
      <c r="L13" s="122" t="s">
        <v>32</v>
      </c>
    </row>
    <row r="14" spans="1:15" ht="26.25">
      <c r="A14" s="191">
        <v>4</v>
      </c>
      <c r="B14" s="192" t="s">
        <v>964</v>
      </c>
      <c r="C14" s="16"/>
      <c r="D14" s="16" t="s">
        <v>205</v>
      </c>
      <c r="E14" s="191" t="s">
        <v>191</v>
      </c>
      <c r="F14" s="16"/>
      <c r="G14" s="16" t="s">
        <v>965</v>
      </c>
      <c r="H14" s="193" t="s">
        <v>30</v>
      </c>
      <c r="I14" s="193">
        <v>7500</v>
      </c>
      <c r="J14" s="193" t="s">
        <v>90</v>
      </c>
      <c r="K14" s="194" t="s">
        <v>31</v>
      </c>
      <c r="L14" s="16" t="s">
        <v>32</v>
      </c>
      <c r="N14" s="126">
        <f t="shared" ref="N14:N19" si="0">I14/5</f>
        <v>1500</v>
      </c>
      <c r="O14" s="3">
        <f>I12+I14+I15+I16+I17+I18+I19+I21</f>
        <v>158000</v>
      </c>
    </row>
    <row r="15" spans="1:15">
      <c r="A15" s="183">
        <v>4</v>
      </c>
      <c r="B15" s="183" t="s">
        <v>547</v>
      </c>
      <c r="C15" s="120"/>
      <c r="D15" s="120"/>
      <c r="E15" s="183" t="s">
        <v>245</v>
      </c>
      <c r="F15" s="120"/>
      <c r="G15" s="120" t="s">
        <v>548</v>
      </c>
      <c r="H15" s="183" t="s">
        <v>30</v>
      </c>
      <c r="I15" s="184">
        <v>7000</v>
      </c>
      <c r="J15" s="183" t="s">
        <v>90</v>
      </c>
      <c r="K15" s="79" t="s">
        <v>31</v>
      </c>
      <c r="L15" s="120" t="s">
        <v>32</v>
      </c>
      <c r="N15" s="126">
        <f t="shared" si="0"/>
        <v>1400</v>
      </c>
    </row>
    <row r="16" spans="1:15">
      <c r="A16" s="195">
        <v>4</v>
      </c>
      <c r="B16" s="196" t="s">
        <v>549</v>
      </c>
      <c r="C16" s="122"/>
      <c r="D16" s="122"/>
      <c r="E16" s="195" t="s">
        <v>86</v>
      </c>
      <c r="F16" s="122"/>
      <c r="G16" s="122" t="s">
        <v>550</v>
      </c>
      <c r="H16" s="197" t="s">
        <v>30</v>
      </c>
      <c r="I16" s="197">
        <v>20000</v>
      </c>
      <c r="J16" s="195" t="s">
        <v>90</v>
      </c>
      <c r="K16" s="190" t="s">
        <v>31</v>
      </c>
      <c r="L16" s="122" t="s">
        <v>32</v>
      </c>
      <c r="N16" s="126">
        <f t="shared" si="0"/>
        <v>4000</v>
      </c>
    </row>
    <row r="17" spans="1:15" ht="39">
      <c r="A17" s="198">
        <v>12</v>
      </c>
      <c r="B17" s="199" t="s">
        <v>966</v>
      </c>
      <c r="C17" s="129"/>
      <c r="D17" s="200" t="s">
        <v>46</v>
      </c>
      <c r="E17" s="201" t="s">
        <v>47</v>
      </c>
      <c r="F17" s="200"/>
      <c r="G17" s="200" t="s">
        <v>967</v>
      </c>
      <c r="H17" s="202" t="s">
        <v>30</v>
      </c>
      <c r="I17" s="203">
        <v>30000</v>
      </c>
      <c r="J17" s="201" t="s">
        <v>90</v>
      </c>
      <c r="K17" s="204" t="s">
        <v>31</v>
      </c>
      <c r="L17" s="200" t="s">
        <v>32</v>
      </c>
      <c r="N17" s="126">
        <f t="shared" si="0"/>
        <v>6000</v>
      </c>
    </row>
    <row r="18" spans="1:15">
      <c r="A18" s="205">
        <v>13</v>
      </c>
      <c r="B18" s="205" t="s">
        <v>968</v>
      </c>
      <c r="C18" s="129"/>
      <c r="D18" s="129" t="s">
        <v>756</v>
      </c>
      <c r="E18" s="205" t="s">
        <v>36</v>
      </c>
      <c r="F18" s="129"/>
      <c r="G18" s="129" t="s">
        <v>969</v>
      </c>
      <c r="H18" s="205" t="s">
        <v>30</v>
      </c>
      <c r="I18" s="206">
        <v>5000</v>
      </c>
      <c r="J18" s="205" t="s">
        <v>90</v>
      </c>
      <c r="K18" s="207" t="s">
        <v>31</v>
      </c>
      <c r="L18" s="129" t="s">
        <v>32</v>
      </c>
      <c r="N18" s="126">
        <f t="shared" si="0"/>
        <v>1000</v>
      </c>
      <c r="O18" s="3">
        <v>35000</v>
      </c>
    </row>
    <row r="19" spans="1:15" ht="39.75" customHeight="1">
      <c r="A19" s="208">
        <v>18</v>
      </c>
      <c r="B19" s="209" t="s">
        <v>970</v>
      </c>
      <c r="C19" s="16"/>
      <c r="D19" s="208"/>
      <c r="E19" s="209" t="s">
        <v>971</v>
      </c>
      <c r="F19" s="208"/>
      <c r="G19" s="208" t="s">
        <v>972</v>
      </c>
      <c r="H19" s="208" t="s">
        <v>30</v>
      </c>
      <c r="I19" s="210">
        <v>61000</v>
      </c>
      <c r="J19" s="208" t="s">
        <v>90</v>
      </c>
      <c r="K19" s="211" t="s">
        <v>31</v>
      </c>
      <c r="L19" s="208" t="s">
        <v>32</v>
      </c>
      <c r="N19" s="126">
        <f t="shared" si="0"/>
        <v>12200</v>
      </c>
    </row>
    <row r="20" spans="1:15" ht="38.25">
      <c r="A20" s="208">
        <v>18</v>
      </c>
      <c r="B20" s="209" t="s">
        <v>970</v>
      </c>
      <c r="C20" s="16"/>
      <c r="D20" s="208"/>
      <c r="E20" s="209" t="s">
        <v>971</v>
      </c>
      <c r="F20" s="208"/>
      <c r="G20" s="208" t="s">
        <v>972</v>
      </c>
      <c r="H20" s="122" t="s">
        <v>608</v>
      </c>
      <c r="I20" s="123">
        <v>30</v>
      </c>
      <c r="J20" s="122" t="s">
        <v>90</v>
      </c>
      <c r="K20" s="190" t="s">
        <v>31</v>
      </c>
      <c r="L20" s="122" t="s">
        <v>32</v>
      </c>
    </row>
    <row r="21" spans="1:15" ht="15.75" customHeight="1">
      <c r="A21" s="129">
        <v>19</v>
      </c>
      <c r="B21" s="129" t="s">
        <v>973</v>
      </c>
      <c r="C21" s="129"/>
      <c r="D21" s="129"/>
      <c r="E21" s="129" t="s">
        <v>56</v>
      </c>
      <c r="F21" s="129"/>
      <c r="G21" s="129" t="s">
        <v>974</v>
      </c>
      <c r="H21" s="129" t="s">
        <v>30</v>
      </c>
      <c r="I21" s="212">
        <v>12000</v>
      </c>
      <c r="J21" s="213">
        <v>2400</v>
      </c>
      <c r="K21" s="207" t="s">
        <v>31</v>
      </c>
      <c r="L21" s="129" t="s">
        <v>32</v>
      </c>
      <c r="N21" s="126">
        <f>I21/5</f>
        <v>2400</v>
      </c>
    </row>
    <row r="22" spans="1:15" ht="9" customHeight="1">
      <c r="I22" s="83"/>
      <c r="J22" s="83"/>
    </row>
    <row r="23" spans="1:15" ht="15.75" customHeight="1">
      <c r="I23" s="3"/>
      <c r="J23" s="137" t="s">
        <v>508</v>
      </c>
      <c r="N23" s="3">
        <f>SUM(N12:N22)</f>
        <v>31600</v>
      </c>
    </row>
    <row r="24" spans="1:15" ht="15.75" customHeight="1">
      <c r="J24" s="754" t="s">
        <v>975</v>
      </c>
      <c r="K24" s="711"/>
    </row>
    <row r="25" spans="1:15" ht="15.75" customHeight="1">
      <c r="B25" s="126" t="s">
        <v>509</v>
      </c>
      <c r="E25" s="126" t="s">
        <v>510</v>
      </c>
      <c r="J25" s="83" t="s">
        <v>976</v>
      </c>
    </row>
    <row r="26" spans="1:15" ht="15.75" customHeight="1">
      <c r="J26" s="83" t="s">
        <v>977</v>
      </c>
    </row>
    <row r="27" spans="1:15" ht="15.75" customHeight="1">
      <c r="J27" s="754" t="s">
        <v>978</v>
      </c>
      <c r="K27" s="711"/>
    </row>
    <row r="28" spans="1:15" ht="15.75" customHeight="1">
      <c r="B28" s="139" t="s">
        <v>516</v>
      </c>
      <c r="E28" s="737" t="s">
        <v>517</v>
      </c>
      <c r="F28" s="711"/>
      <c r="G28" s="711"/>
      <c r="H28" s="711"/>
      <c r="J28" s="754" t="s">
        <v>979</v>
      </c>
      <c r="K28" s="711"/>
    </row>
    <row r="29" spans="1:15" ht="15.75" customHeight="1">
      <c r="B29" s="4" t="s">
        <v>980</v>
      </c>
      <c r="E29" s="732" t="s">
        <v>521</v>
      </c>
      <c r="F29" s="711"/>
      <c r="G29" s="711"/>
      <c r="H29" s="711"/>
      <c r="J29" s="83" t="s">
        <v>981</v>
      </c>
    </row>
    <row r="30" spans="1:15" ht="15.75" customHeight="1">
      <c r="J30" s="83" t="s">
        <v>525</v>
      </c>
    </row>
    <row r="31" spans="1:15" ht="15.75" customHeight="1">
      <c r="J31" s="754" t="s">
        <v>982</v>
      </c>
      <c r="K31" s="711"/>
      <c r="L31" s="711"/>
    </row>
    <row r="32" spans="1:15" ht="15.75" customHeight="1">
      <c r="J32" s="754" t="s">
        <v>953</v>
      </c>
      <c r="K32" s="711"/>
      <c r="L32" s="71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32:L32"/>
    <mergeCell ref="A1:J1"/>
    <mergeCell ref="C2:H2"/>
    <mergeCell ref="K3:L3"/>
    <mergeCell ref="H7:I7"/>
    <mergeCell ref="K7:L7"/>
    <mergeCell ref="A8:B8"/>
    <mergeCell ref="J24:K24"/>
    <mergeCell ref="J27:K27"/>
    <mergeCell ref="E28:H28"/>
    <mergeCell ref="J28:K28"/>
    <mergeCell ref="E29:H29"/>
    <mergeCell ref="J31:L31"/>
  </mergeCells>
  <pageMargins left="1" right="1" top="0.75" bottom="0.75" header="0" footer="0"/>
  <pageSetup paperSize="5" scale="9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R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3" width="8.7109375" customWidth="1"/>
    <col min="14" max="14" width="11" customWidth="1"/>
    <col min="15" max="15" width="10.7109375" customWidth="1"/>
    <col min="16" max="16" width="12.85546875" customWidth="1"/>
    <col min="17" max="17" width="11" customWidth="1"/>
    <col min="18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</row>
    <row r="2" spans="1:15" ht="18">
      <c r="A2" s="4"/>
      <c r="B2" s="5"/>
      <c r="C2" s="712" t="s">
        <v>983</v>
      </c>
      <c r="D2" s="711"/>
      <c r="E2" s="711"/>
      <c r="F2" s="711"/>
      <c r="G2" s="711"/>
      <c r="H2" s="6"/>
      <c r="I2" s="140"/>
      <c r="J2" s="8"/>
      <c r="K2" s="9"/>
    </row>
    <row r="3" spans="1:15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</row>
    <row r="4" spans="1:15">
      <c r="A4" s="4"/>
      <c r="B4" s="5"/>
      <c r="C4" s="10"/>
      <c r="D4" s="5"/>
      <c r="E4" s="5"/>
      <c r="G4" s="10"/>
      <c r="H4" s="6"/>
      <c r="I4" s="141"/>
      <c r="J4" s="1" t="s">
        <v>569</v>
      </c>
      <c r="K4" s="214"/>
    </row>
    <row r="5" spans="1:15">
      <c r="A5" s="4"/>
      <c r="B5" s="5"/>
      <c r="C5" s="10"/>
      <c r="D5" s="5"/>
      <c r="E5" s="5"/>
      <c r="G5" s="10"/>
      <c r="H5" s="6"/>
      <c r="I5" s="141"/>
      <c r="J5" s="1" t="s">
        <v>4</v>
      </c>
      <c r="K5" s="214"/>
    </row>
    <row r="6" spans="1:15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</row>
    <row r="7" spans="1:15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</row>
    <row r="8" spans="1:15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</row>
    <row r="9" spans="1:15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</row>
    <row r="10" spans="1:15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  <c r="M10" s="2"/>
      <c r="N10" s="2"/>
    </row>
    <row r="11" spans="1:15">
      <c r="A11" s="47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M11" s="2"/>
      <c r="N11" s="2"/>
    </row>
    <row r="12" spans="1:15">
      <c r="A12" s="48">
        <v>2</v>
      </c>
      <c r="B12" s="48" t="s">
        <v>986</v>
      </c>
      <c r="C12" s="48" t="s">
        <v>27</v>
      </c>
      <c r="D12" s="48" t="s">
        <v>104</v>
      </c>
      <c r="E12" s="48" t="s">
        <v>36</v>
      </c>
      <c r="F12" s="48"/>
      <c r="G12" s="48" t="s">
        <v>30</v>
      </c>
      <c r="H12" s="51">
        <v>1000</v>
      </c>
      <c r="I12" s="119">
        <v>200</v>
      </c>
      <c r="J12" s="48" t="s">
        <v>31</v>
      </c>
      <c r="K12" s="48" t="s">
        <v>32</v>
      </c>
      <c r="M12" s="2"/>
      <c r="N12" s="2"/>
    </row>
    <row r="13" spans="1:15">
      <c r="A13" s="48">
        <v>2</v>
      </c>
      <c r="B13" s="48" t="s">
        <v>987</v>
      </c>
      <c r="C13" s="48" t="s">
        <v>27</v>
      </c>
      <c r="D13" s="48" t="s">
        <v>988</v>
      </c>
      <c r="E13" s="48" t="s">
        <v>44</v>
      </c>
      <c r="F13" s="48"/>
      <c r="G13" s="48" t="s">
        <v>30</v>
      </c>
      <c r="H13" s="51">
        <v>250</v>
      </c>
      <c r="I13" s="119">
        <v>100</v>
      </c>
      <c r="J13" s="48" t="s">
        <v>31</v>
      </c>
      <c r="K13" s="48" t="s">
        <v>32</v>
      </c>
      <c r="M13" s="2">
        <v>15</v>
      </c>
      <c r="N13" s="2"/>
    </row>
    <row r="14" spans="1:15">
      <c r="A14" s="48">
        <v>2</v>
      </c>
      <c r="B14" s="48" t="s">
        <v>989</v>
      </c>
      <c r="C14" s="48" t="s">
        <v>27</v>
      </c>
      <c r="D14" s="48" t="s">
        <v>990</v>
      </c>
      <c r="E14" s="48" t="s">
        <v>73</v>
      </c>
      <c r="F14" s="48"/>
      <c r="G14" s="48" t="s">
        <v>30</v>
      </c>
      <c r="H14" s="51">
        <v>150</v>
      </c>
      <c r="I14" s="119">
        <v>45</v>
      </c>
      <c r="J14" s="48" t="s">
        <v>31</v>
      </c>
      <c r="K14" s="48" t="s">
        <v>32</v>
      </c>
      <c r="M14" s="2">
        <v>40</v>
      </c>
      <c r="N14" s="3"/>
      <c r="O14" s="55"/>
    </row>
    <row r="15" spans="1:15">
      <c r="A15" s="48">
        <v>2</v>
      </c>
      <c r="B15" s="48" t="s">
        <v>491</v>
      </c>
      <c r="C15" s="48" t="s">
        <v>27</v>
      </c>
      <c r="D15" s="48" t="s">
        <v>43</v>
      </c>
      <c r="E15" s="48" t="s">
        <v>44</v>
      </c>
      <c r="F15" s="48"/>
      <c r="G15" s="48" t="s">
        <v>30</v>
      </c>
      <c r="H15" s="51">
        <v>1200</v>
      </c>
      <c r="I15" s="119">
        <v>480</v>
      </c>
      <c r="J15" s="48" t="s">
        <v>31</v>
      </c>
      <c r="K15" s="48" t="s">
        <v>32</v>
      </c>
      <c r="M15" s="2">
        <v>200</v>
      </c>
      <c r="N15" s="2"/>
    </row>
    <row r="16" spans="1:15">
      <c r="A16" s="48">
        <v>2</v>
      </c>
      <c r="B16" s="48" t="s">
        <v>991</v>
      </c>
      <c r="C16" s="48" t="s">
        <v>27</v>
      </c>
      <c r="D16" s="48" t="s">
        <v>992</v>
      </c>
      <c r="E16" s="48" t="s">
        <v>51</v>
      </c>
      <c r="F16" s="48"/>
      <c r="G16" s="48" t="s">
        <v>30</v>
      </c>
      <c r="H16" s="51">
        <v>4000</v>
      </c>
      <c r="I16" s="49">
        <v>800</v>
      </c>
      <c r="J16" s="48" t="s">
        <v>31</v>
      </c>
      <c r="K16" s="48" t="s">
        <v>32</v>
      </c>
      <c r="M16" s="2">
        <v>1200</v>
      </c>
      <c r="N16" s="2"/>
    </row>
    <row r="17" spans="1:14">
      <c r="A17" s="48">
        <v>2</v>
      </c>
      <c r="B17" s="48" t="s">
        <v>993</v>
      </c>
      <c r="C17" s="48" t="s">
        <v>27</v>
      </c>
      <c r="D17" s="48" t="s">
        <v>108</v>
      </c>
      <c r="E17" s="48" t="s">
        <v>36</v>
      </c>
      <c r="F17" s="48"/>
      <c r="G17" s="48" t="s">
        <v>30</v>
      </c>
      <c r="H17" s="51">
        <v>500</v>
      </c>
      <c r="I17" s="119">
        <v>100</v>
      </c>
      <c r="J17" s="48" t="s">
        <v>31</v>
      </c>
      <c r="K17" s="48" t="s">
        <v>32</v>
      </c>
      <c r="M17" s="2">
        <v>9</v>
      </c>
      <c r="N17" s="2"/>
    </row>
    <row r="18" spans="1:14">
      <c r="A18" s="48">
        <v>2</v>
      </c>
      <c r="B18" s="48" t="s">
        <v>994</v>
      </c>
      <c r="C18" s="48" t="s">
        <v>27</v>
      </c>
      <c r="D18" s="48" t="s">
        <v>193</v>
      </c>
      <c r="E18" s="48" t="s">
        <v>36</v>
      </c>
      <c r="F18" s="48"/>
      <c r="G18" s="48" t="s">
        <v>30</v>
      </c>
      <c r="H18" s="51">
        <v>500</v>
      </c>
      <c r="I18" s="119" t="s">
        <v>90</v>
      </c>
      <c r="J18" s="48" t="s">
        <v>31</v>
      </c>
      <c r="K18" s="48" t="s">
        <v>32</v>
      </c>
      <c r="M18" s="2"/>
      <c r="N18" s="2"/>
    </row>
    <row r="19" spans="1:14">
      <c r="A19" s="48">
        <v>2</v>
      </c>
      <c r="B19" s="48" t="s">
        <v>994</v>
      </c>
      <c r="C19" s="48" t="s">
        <v>27</v>
      </c>
      <c r="D19" s="48" t="s">
        <v>193</v>
      </c>
      <c r="E19" s="48" t="s">
        <v>36</v>
      </c>
      <c r="F19" s="48"/>
      <c r="G19" s="48" t="s">
        <v>30</v>
      </c>
      <c r="H19" s="51">
        <v>2500</v>
      </c>
      <c r="I19" s="119">
        <v>500</v>
      </c>
      <c r="J19" s="48" t="s">
        <v>31</v>
      </c>
      <c r="K19" s="48" t="s">
        <v>32</v>
      </c>
      <c r="M19" s="2"/>
      <c r="N19" s="2"/>
    </row>
    <row r="20" spans="1:14">
      <c r="A20" s="48">
        <v>2</v>
      </c>
      <c r="B20" s="48" t="s">
        <v>995</v>
      </c>
      <c r="C20" s="48" t="s">
        <v>27</v>
      </c>
      <c r="D20" s="48" t="s">
        <v>217</v>
      </c>
      <c r="E20" s="48" t="s">
        <v>209</v>
      </c>
      <c r="F20" s="48"/>
      <c r="G20" s="48" t="s">
        <v>30</v>
      </c>
      <c r="H20" s="51">
        <v>2000</v>
      </c>
      <c r="I20" s="119">
        <v>400</v>
      </c>
      <c r="J20" s="48" t="s">
        <v>31</v>
      </c>
      <c r="K20" s="48" t="s">
        <v>32</v>
      </c>
      <c r="M20" s="2">
        <v>300</v>
      </c>
      <c r="N20" s="2"/>
    </row>
    <row r="21" spans="1:14" ht="15.75" customHeight="1">
      <c r="A21" s="48">
        <v>2</v>
      </c>
      <c r="B21" s="48" t="s">
        <v>996</v>
      </c>
      <c r="C21" s="48" t="s">
        <v>27</v>
      </c>
      <c r="D21" s="48" t="s">
        <v>347</v>
      </c>
      <c r="E21" s="48" t="s">
        <v>245</v>
      </c>
      <c r="F21" s="48"/>
      <c r="G21" s="48" t="s">
        <v>30</v>
      </c>
      <c r="H21" s="51">
        <v>1500</v>
      </c>
      <c r="I21" s="119">
        <v>300</v>
      </c>
      <c r="J21" s="48" t="s">
        <v>31</v>
      </c>
      <c r="K21" s="48" t="s">
        <v>32</v>
      </c>
      <c r="M21" s="2">
        <v>900</v>
      </c>
      <c r="N21" s="2"/>
    </row>
    <row r="22" spans="1:14" ht="15.75" customHeight="1">
      <c r="A22" s="48">
        <v>2</v>
      </c>
      <c r="B22" s="48" t="s">
        <v>997</v>
      </c>
      <c r="C22" s="215" t="s">
        <v>39</v>
      </c>
      <c r="D22" s="48" t="s">
        <v>998</v>
      </c>
      <c r="E22" s="48" t="s">
        <v>148</v>
      </c>
      <c r="F22" s="48"/>
      <c r="G22" s="48" t="s">
        <v>608</v>
      </c>
      <c r="H22" s="51">
        <v>33</v>
      </c>
      <c r="I22" s="119">
        <v>165</v>
      </c>
      <c r="J22" s="48" t="s">
        <v>31</v>
      </c>
      <c r="K22" s="48" t="s">
        <v>32</v>
      </c>
      <c r="M22" s="2"/>
      <c r="N22" s="2"/>
    </row>
    <row r="23" spans="1:14" ht="15.75" customHeight="1">
      <c r="A23" s="48">
        <v>2</v>
      </c>
      <c r="B23" s="48" t="s">
        <v>999</v>
      </c>
      <c r="C23" s="48" t="s">
        <v>27</v>
      </c>
      <c r="D23" s="48"/>
      <c r="E23" s="48" t="s">
        <v>54</v>
      </c>
      <c r="F23" s="48"/>
      <c r="G23" s="48" t="s">
        <v>30</v>
      </c>
      <c r="H23" s="51">
        <v>2000</v>
      </c>
      <c r="I23" s="119">
        <v>400</v>
      </c>
      <c r="J23" s="48" t="s">
        <v>31</v>
      </c>
      <c r="K23" s="48" t="s">
        <v>32</v>
      </c>
      <c r="M23" s="2">
        <v>1800</v>
      </c>
      <c r="N23" s="2"/>
    </row>
    <row r="24" spans="1:14" ht="15.75" customHeight="1">
      <c r="A24" s="48">
        <v>2</v>
      </c>
      <c r="B24" s="48" t="s">
        <v>1000</v>
      </c>
      <c r="C24" s="215" t="s">
        <v>39</v>
      </c>
      <c r="D24" s="48" t="s">
        <v>365</v>
      </c>
      <c r="E24" s="48" t="s">
        <v>54</v>
      </c>
      <c r="F24" s="48"/>
      <c r="G24" s="48" t="s">
        <v>30</v>
      </c>
      <c r="H24" s="51">
        <v>4000</v>
      </c>
      <c r="I24" s="119">
        <v>800</v>
      </c>
      <c r="J24" s="48" t="s">
        <v>31</v>
      </c>
      <c r="K24" s="48" t="s">
        <v>32</v>
      </c>
      <c r="M24" s="2"/>
      <c r="N24" s="2"/>
    </row>
    <row r="25" spans="1:14" ht="15.75" customHeight="1">
      <c r="A25" s="48">
        <v>2</v>
      </c>
      <c r="B25" s="48" t="s">
        <v>1001</v>
      </c>
      <c r="C25" s="48" t="s">
        <v>27</v>
      </c>
      <c r="D25" s="48" t="s">
        <v>186</v>
      </c>
      <c r="E25" s="48" t="s">
        <v>73</v>
      </c>
      <c r="F25" s="48"/>
      <c r="G25" s="48" t="s">
        <v>30</v>
      </c>
      <c r="H25" s="51">
        <v>300</v>
      </c>
      <c r="I25" s="119">
        <v>60</v>
      </c>
      <c r="J25" s="48" t="s">
        <v>31</v>
      </c>
      <c r="K25" s="48" t="s">
        <v>32</v>
      </c>
      <c r="M25" s="2"/>
      <c r="N25" s="2"/>
    </row>
    <row r="26" spans="1:14" ht="15.75" customHeight="1">
      <c r="A26" s="48">
        <v>2</v>
      </c>
      <c r="B26" s="48" t="s">
        <v>1002</v>
      </c>
      <c r="C26" s="48" t="s">
        <v>27</v>
      </c>
      <c r="D26" s="48" t="s">
        <v>1003</v>
      </c>
      <c r="E26" s="48" t="s">
        <v>839</v>
      </c>
      <c r="F26" s="48"/>
      <c r="G26" s="48" t="s">
        <v>30</v>
      </c>
      <c r="H26" s="51">
        <v>150</v>
      </c>
      <c r="I26" s="119">
        <v>30</v>
      </c>
      <c r="J26" s="48" t="s">
        <v>31</v>
      </c>
      <c r="K26" s="48" t="s">
        <v>32</v>
      </c>
      <c r="M26" s="2"/>
      <c r="N26" s="2"/>
    </row>
    <row r="27" spans="1:14" ht="15.75" customHeight="1">
      <c r="A27" s="48">
        <v>2</v>
      </c>
      <c r="B27" s="48" t="s">
        <v>1004</v>
      </c>
      <c r="C27" s="48" t="s">
        <v>27</v>
      </c>
      <c r="D27" s="48" t="s">
        <v>889</v>
      </c>
      <c r="E27" s="48" t="s">
        <v>36</v>
      </c>
      <c r="F27" s="48"/>
      <c r="G27" s="48" t="s">
        <v>30</v>
      </c>
      <c r="H27" s="51">
        <v>3500</v>
      </c>
      <c r="I27" s="119">
        <v>700</v>
      </c>
      <c r="J27" s="48" t="s">
        <v>31</v>
      </c>
      <c r="K27" s="48" t="s">
        <v>32</v>
      </c>
      <c r="M27" s="2">
        <v>450</v>
      </c>
      <c r="N27" s="2"/>
    </row>
    <row r="28" spans="1:14" ht="15.75" customHeight="1">
      <c r="A28" s="48">
        <v>2</v>
      </c>
      <c r="B28" s="48" t="s">
        <v>1004</v>
      </c>
      <c r="C28" s="48" t="s">
        <v>27</v>
      </c>
      <c r="D28" s="48" t="s">
        <v>889</v>
      </c>
      <c r="E28" s="48" t="s">
        <v>36</v>
      </c>
      <c r="F28" s="48"/>
      <c r="G28" s="48" t="s">
        <v>608</v>
      </c>
      <c r="H28" s="51">
        <v>40</v>
      </c>
      <c r="I28" s="119">
        <v>400</v>
      </c>
      <c r="J28" s="48" t="s">
        <v>31</v>
      </c>
      <c r="K28" s="48" t="s">
        <v>32</v>
      </c>
      <c r="M28" s="2"/>
      <c r="N28" s="2"/>
    </row>
    <row r="29" spans="1:14" ht="15.75" customHeight="1">
      <c r="A29" s="48">
        <v>2</v>
      </c>
      <c r="B29" s="48" t="s">
        <v>1005</v>
      </c>
      <c r="C29" s="48" t="s">
        <v>27</v>
      </c>
      <c r="D29" s="48" t="s">
        <v>43</v>
      </c>
      <c r="E29" s="48" t="s">
        <v>44</v>
      </c>
      <c r="F29" s="48"/>
      <c r="G29" s="48" t="s">
        <v>30</v>
      </c>
      <c r="H29" s="51">
        <v>3000</v>
      </c>
      <c r="I29" s="119">
        <v>1200</v>
      </c>
      <c r="J29" s="48" t="s">
        <v>31</v>
      </c>
      <c r="K29" s="48" t="s">
        <v>32</v>
      </c>
      <c r="M29" s="2">
        <v>500</v>
      </c>
      <c r="N29" s="2"/>
    </row>
    <row r="30" spans="1:14" ht="15.75" customHeight="1">
      <c r="A30" s="48">
        <v>2</v>
      </c>
      <c r="B30" s="48" t="s">
        <v>1006</v>
      </c>
      <c r="C30" s="48" t="s">
        <v>27</v>
      </c>
      <c r="D30" s="48" t="s">
        <v>1007</v>
      </c>
      <c r="E30" s="48" t="s">
        <v>73</v>
      </c>
      <c r="F30" s="48"/>
      <c r="G30" s="48" t="s">
        <v>30</v>
      </c>
      <c r="H30" s="51">
        <v>200</v>
      </c>
      <c r="I30" s="119">
        <v>40</v>
      </c>
      <c r="J30" s="48" t="s">
        <v>31</v>
      </c>
      <c r="K30" s="48" t="s">
        <v>32</v>
      </c>
      <c r="M30" s="2">
        <v>60</v>
      </c>
      <c r="N30" s="2"/>
    </row>
    <row r="31" spans="1:14" ht="15.75" customHeight="1">
      <c r="A31" s="48">
        <v>2</v>
      </c>
      <c r="B31" s="48" t="s">
        <v>621</v>
      </c>
      <c r="C31" s="215" t="s">
        <v>39</v>
      </c>
      <c r="D31" s="48" t="s">
        <v>43</v>
      </c>
      <c r="E31" s="48" t="s">
        <v>44</v>
      </c>
      <c r="F31" s="48"/>
      <c r="G31" s="48" t="s">
        <v>30</v>
      </c>
      <c r="H31" s="51">
        <v>800</v>
      </c>
      <c r="I31" s="119">
        <v>160</v>
      </c>
      <c r="J31" s="48" t="s">
        <v>31</v>
      </c>
      <c r="K31" s="48" t="s">
        <v>32</v>
      </c>
      <c r="M31" s="2">
        <v>150</v>
      </c>
      <c r="N31" s="2"/>
    </row>
    <row r="32" spans="1:14" ht="15.75" customHeight="1">
      <c r="A32" s="48">
        <v>2</v>
      </c>
      <c r="B32" s="48" t="s">
        <v>1008</v>
      </c>
      <c r="C32" s="48" t="s">
        <v>27</v>
      </c>
      <c r="D32" s="48" t="s">
        <v>439</v>
      </c>
      <c r="E32" s="48" t="s">
        <v>145</v>
      </c>
      <c r="F32" s="48"/>
      <c r="G32" s="48" t="s">
        <v>30</v>
      </c>
      <c r="H32" s="51">
        <v>4000</v>
      </c>
      <c r="I32" s="119">
        <v>800</v>
      </c>
      <c r="J32" s="48" t="s">
        <v>31</v>
      </c>
      <c r="K32" s="48" t="s">
        <v>32</v>
      </c>
      <c r="M32" s="2">
        <v>1500</v>
      </c>
      <c r="N32" s="2"/>
    </row>
    <row r="33" spans="1:14" ht="15.75" customHeight="1">
      <c r="A33" s="48">
        <v>2</v>
      </c>
      <c r="B33" s="48" t="s">
        <v>1009</v>
      </c>
      <c r="C33" s="48" t="s">
        <v>27</v>
      </c>
      <c r="D33" s="48" t="s">
        <v>256</v>
      </c>
      <c r="E33" s="48" t="s">
        <v>245</v>
      </c>
      <c r="F33" s="48"/>
      <c r="G33" s="48" t="s">
        <v>30</v>
      </c>
      <c r="H33" s="51">
        <v>1300</v>
      </c>
      <c r="I33" s="119">
        <v>260</v>
      </c>
      <c r="J33" s="48" t="s">
        <v>31</v>
      </c>
      <c r="K33" s="48" t="s">
        <v>32</v>
      </c>
      <c r="M33" s="2">
        <v>300</v>
      </c>
      <c r="N33" s="2"/>
    </row>
    <row r="34" spans="1:14" ht="15.75" customHeight="1">
      <c r="A34" s="48">
        <v>2</v>
      </c>
      <c r="B34" s="48" t="s">
        <v>1010</v>
      </c>
      <c r="C34" s="48" t="s">
        <v>27</v>
      </c>
      <c r="D34" s="48" t="s">
        <v>68</v>
      </c>
      <c r="E34" s="48" t="s">
        <v>79</v>
      </c>
      <c r="F34" s="48"/>
      <c r="G34" s="48" t="s">
        <v>30</v>
      </c>
      <c r="H34" s="51">
        <v>600</v>
      </c>
      <c r="I34" s="119">
        <v>120</v>
      </c>
      <c r="J34" s="48" t="s">
        <v>31</v>
      </c>
      <c r="K34" s="48" t="s">
        <v>32</v>
      </c>
      <c r="M34" s="2">
        <v>100</v>
      </c>
      <c r="N34" s="2"/>
    </row>
    <row r="35" spans="1:14" ht="15.75" customHeight="1">
      <c r="A35" s="48">
        <v>2</v>
      </c>
      <c r="B35" s="48" t="s">
        <v>1011</v>
      </c>
      <c r="C35" s="48" t="s">
        <v>27</v>
      </c>
      <c r="D35" s="48" t="s">
        <v>934</v>
      </c>
      <c r="E35" s="48" t="s">
        <v>44</v>
      </c>
      <c r="F35" s="48"/>
      <c r="G35" s="48" t="s">
        <v>30</v>
      </c>
      <c r="H35" s="51">
        <v>36000</v>
      </c>
      <c r="I35" s="119">
        <v>7200</v>
      </c>
      <c r="J35" s="48" t="s">
        <v>31</v>
      </c>
      <c r="K35" s="48" t="s">
        <v>32</v>
      </c>
      <c r="M35" s="2">
        <v>15000</v>
      </c>
      <c r="N35" s="2"/>
    </row>
    <row r="36" spans="1:14" ht="15.75" customHeight="1">
      <c r="A36" s="48">
        <v>2</v>
      </c>
      <c r="B36" s="48" t="s">
        <v>1012</v>
      </c>
      <c r="C36" s="215" t="s">
        <v>39</v>
      </c>
      <c r="D36" s="48" t="s">
        <v>889</v>
      </c>
      <c r="E36" s="48" t="s">
        <v>36</v>
      </c>
      <c r="F36" s="48"/>
      <c r="G36" s="48" t="s">
        <v>30</v>
      </c>
      <c r="H36" s="51">
        <v>1000</v>
      </c>
      <c r="I36" s="119">
        <v>400</v>
      </c>
      <c r="J36" s="48" t="s">
        <v>31</v>
      </c>
      <c r="K36" s="48" t="s">
        <v>32</v>
      </c>
      <c r="M36" s="2">
        <v>600</v>
      </c>
      <c r="N36" s="2"/>
    </row>
    <row r="37" spans="1:14" ht="15.75" customHeight="1">
      <c r="A37" s="48">
        <v>2</v>
      </c>
      <c r="B37" s="48" t="s">
        <v>1012</v>
      </c>
      <c r="C37" s="215" t="s">
        <v>39</v>
      </c>
      <c r="D37" s="48" t="s">
        <v>889</v>
      </c>
      <c r="E37" s="48" t="s">
        <v>36</v>
      </c>
      <c r="F37" s="48"/>
      <c r="G37" s="48" t="s">
        <v>608</v>
      </c>
      <c r="H37" s="51">
        <v>20</v>
      </c>
      <c r="I37" s="119">
        <v>200</v>
      </c>
      <c r="J37" s="48" t="s">
        <v>31</v>
      </c>
      <c r="K37" s="48" t="s">
        <v>32</v>
      </c>
      <c r="M37" s="2"/>
      <c r="N37" s="2"/>
    </row>
    <row r="38" spans="1:14" ht="15.75" customHeight="1">
      <c r="A38" s="48">
        <v>2</v>
      </c>
      <c r="B38" s="48" t="s">
        <v>1013</v>
      </c>
      <c r="C38" s="215" t="s">
        <v>39</v>
      </c>
      <c r="D38" s="48" t="s">
        <v>884</v>
      </c>
      <c r="E38" s="48" t="s">
        <v>334</v>
      </c>
      <c r="F38" s="48"/>
      <c r="G38" s="48" t="s">
        <v>589</v>
      </c>
      <c r="H38" s="51">
        <v>150</v>
      </c>
      <c r="I38" s="119">
        <v>450</v>
      </c>
      <c r="J38" s="48" t="s">
        <v>31</v>
      </c>
      <c r="K38" s="48" t="s">
        <v>32</v>
      </c>
      <c r="M38" s="2"/>
      <c r="N38" s="2"/>
    </row>
    <row r="39" spans="1:14" ht="15.75" customHeight="1">
      <c r="A39" s="48">
        <v>2</v>
      </c>
      <c r="B39" s="48" t="s">
        <v>1014</v>
      </c>
      <c r="C39" s="48" t="s">
        <v>27</v>
      </c>
      <c r="D39" s="48" t="s">
        <v>1015</v>
      </c>
      <c r="E39" s="48" t="s">
        <v>29</v>
      </c>
      <c r="F39" s="48"/>
      <c r="G39" s="48" t="s">
        <v>30</v>
      </c>
      <c r="H39" s="51">
        <v>6000</v>
      </c>
      <c r="I39" s="119">
        <v>1200</v>
      </c>
      <c r="J39" s="48" t="s">
        <v>31</v>
      </c>
      <c r="K39" s="48" t="s">
        <v>32</v>
      </c>
      <c r="M39" s="2">
        <v>1200</v>
      </c>
      <c r="N39" s="2"/>
    </row>
    <row r="40" spans="1:14" ht="15.75" customHeight="1">
      <c r="A40" s="48">
        <v>2</v>
      </c>
      <c r="B40" s="48" t="s">
        <v>1016</v>
      </c>
      <c r="C40" s="48" t="s">
        <v>27</v>
      </c>
      <c r="D40" s="48" t="s">
        <v>712</v>
      </c>
      <c r="E40" s="48" t="s">
        <v>145</v>
      </c>
      <c r="F40" s="48"/>
      <c r="G40" s="48" t="s">
        <v>30</v>
      </c>
      <c r="H40" s="51">
        <v>1000</v>
      </c>
      <c r="I40" s="119">
        <v>200</v>
      </c>
      <c r="J40" s="48" t="s">
        <v>31</v>
      </c>
      <c r="K40" s="48" t="s">
        <v>32</v>
      </c>
      <c r="M40" s="2">
        <v>100</v>
      </c>
      <c r="N40" s="2"/>
    </row>
    <row r="41" spans="1:14" ht="15.75" customHeight="1">
      <c r="A41" s="48">
        <v>2</v>
      </c>
      <c r="B41" s="48" t="s">
        <v>1017</v>
      </c>
      <c r="C41" s="48" t="s">
        <v>27</v>
      </c>
      <c r="D41" s="48" t="s">
        <v>418</v>
      </c>
      <c r="E41" s="48" t="s">
        <v>51</v>
      </c>
      <c r="F41" s="48"/>
      <c r="G41" s="48" t="s">
        <v>30</v>
      </c>
      <c r="H41" s="51">
        <v>3000</v>
      </c>
      <c r="I41" s="119">
        <v>1200</v>
      </c>
      <c r="J41" s="48" t="s">
        <v>31</v>
      </c>
      <c r="K41" s="48" t="s">
        <v>32</v>
      </c>
      <c r="M41" s="2">
        <v>900</v>
      </c>
      <c r="N41" s="2"/>
    </row>
    <row r="42" spans="1:14" ht="15.75" customHeight="1">
      <c r="A42" s="48">
        <v>2</v>
      </c>
      <c r="B42" s="48" t="s">
        <v>1018</v>
      </c>
      <c r="C42" s="215" t="s">
        <v>39</v>
      </c>
      <c r="D42" s="48" t="s">
        <v>910</v>
      </c>
      <c r="E42" s="48" t="s">
        <v>36</v>
      </c>
      <c r="F42" s="48"/>
      <c r="G42" s="48" t="s">
        <v>30</v>
      </c>
      <c r="H42" s="51">
        <v>4000</v>
      </c>
      <c r="I42" s="119">
        <v>800</v>
      </c>
      <c r="J42" s="48" t="s">
        <v>31</v>
      </c>
      <c r="K42" s="48" t="s">
        <v>32</v>
      </c>
      <c r="M42" s="2">
        <v>900</v>
      </c>
      <c r="N42" s="2"/>
    </row>
    <row r="43" spans="1:14" ht="15.75" customHeight="1">
      <c r="A43" s="48">
        <v>2</v>
      </c>
      <c r="B43" s="48" t="s">
        <v>1019</v>
      </c>
      <c r="C43" s="48" t="s">
        <v>27</v>
      </c>
      <c r="D43" s="48" t="s">
        <v>108</v>
      </c>
      <c r="E43" s="48" t="s">
        <v>36</v>
      </c>
      <c r="F43" s="48"/>
      <c r="G43" s="48" t="s">
        <v>30</v>
      </c>
      <c r="H43" s="51">
        <v>1000</v>
      </c>
      <c r="I43" s="119">
        <v>200</v>
      </c>
      <c r="J43" s="48" t="s">
        <v>31</v>
      </c>
      <c r="K43" s="48" t="s">
        <v>32</v>
      </c>
      <c r="M43" s="2">
        <v>150</v>
      </c>
      <c r="N43" s="2"/>
    </row>
    <row r="44" spans="1:14" ht="15.75" customHeight="1">
      <c r="A44" s="48">
        <v>2</v>
      </c>
      <c r="B44" s="48" t="s">
        <v>199</v>
      </c>
      <c r="C44" s="48" t="s">
        <v>27</v>
      </c>
      <c r="D44" s="48" t="s">
        <v>1020</v>
      </c>
      <c r="E44" s="48" t="s">
        <v>68</v>
      </c>
      <c r="F44" s="48"/>
      <c r="G44" s="48" t="s">
        <v>30</v>
      </c>
      <c r="H44" s="51">
        <v>3000</v>
      </c>
      <c r="I44" s="119">
        <v>600</v>
      </c>
      <c r="J44" s="48" t="s">
        <v>31</v>
      </c>
      <c r="K44" s="48" t="s">
        <v>32</v>
      </c>
      <c r="M44" s="2">
        <v>600</v>
      </c>
      <c r="N44" s="2"/>
    </row>
    <row r="45" spans="1:14" ht="15.75" customHeight="1">
      <c r="A45" s="48">
        <v>2</v>
      </c>
      <c r="B45" s="48" t="s">
        <v>1021</v>
      </c>
      <c r="C45" s="48" t="s">
        <v>27</v>
      </c>
      <c r="D45" s="48" t="s">
        <v>845</v>
      </c>
      <c r="E45" s="48" t="s">
        <v>68</v>
      </c>
      <c r="F45" s="48"/>
      <c r="G45" s="48" t="s">
        <v>30</v>
      </c>
      <c r="H45" s="51">
        <v>1000</v>
      </c>
      <c r="I45" s="119">
        <v>200</v>
      </c>
      <c r="J45" s="48" t="s">
        <v>31</v>
      </c>
      <c r="K45" s="48" t="s">
        <v>32</v>
      </c>
      <c r="M45" s="2">
        <v>250</v>
      </c>
      <c r="N45" s="2"/>
    </row>
    <row r="46" spans="1:14" ht="15.75" customHeight="1">
      <c r="A46" s="48">
        <v>2</v>
      </c>
      <c r="B46" s="48" t="s">
        <v>1022</v>
      </c>
      <c r="C46" s="48" t="s">
        <v>27</v>
      </c>
      <c r="D46" s="48" t="s">
        <v>100</v>
      </c>
      <c r="E46" s="48" t="s">
        <v>79</v>
      </c>
      <c r="F46" s="48"/>
      <c r="G46" s="48" t="s">
        <v>30</v>
      </c>
      <c r="H46" s="51">
        <v>1500</v>
      </c>
      <c r="I46" s="119">
        <v>300</v>
      </c>
      <c r="J46" s="48" t="s">
        <v>31</v>
      </c>
      <c r="K46" s="48" t="s">
        <v>32</v>
      </c>
      <c r="M46" s="2">
        <v>250</v>
      </c>
      <c r="N46" s="2"/>
    </row>
    <row r="47" spans="1:14" ht="15.75" customHeight="1">
      <c r="A47" s="48">
        <v>2</v>
      </c>
      <c r="B47" s="48" t="s">
        <v>1023</v>
      </c>
      <c r="C47" s="48" t="s">
        <v>27</v>
      </c>
      <c r="D47" s="48" t="s">
        <v>1024</v>
      </c>
      <c r="E47" s="48" t="s">
        <v>223</v>
      </c>
      <c r="F47" s="48"/>
      <c r="G47" s="48" t="s">
        <v>30</v>
      </c>
      <c r="H47" s="51">
        <v>500</v>
      </c>
      <c r="I47" s="119">
        <v>100</v>
      </c>
      <c r="J47" s="48" t="s">
        <v>31</v>
      </c>
      <c r="K47" s="48" t="s">
        <v>32</v>
      </c>
      <c r="M47" s="2"/>
      <c r="N47" s="2"/>
    </row>
    <row r="48" spans="1:14" ht="15.75" customHeight="1">
      <c r="A48" s="48">
        <v>2</v>
      </c>
      <c r="B48" s="48" t="s">
        <v>1025</v>
      </c>
      <c r="C48" s="48" t="s">
        <v>27</v>
      </c>
      <c r="D48" s="48" t="s">
        <v>884</v>
      </c>
      <c r="E48" s="48" t="s">
        <v>334</v>
      </c>
      <c r="F48" s="48"/>
      <c r="G48" s="48" t="s">
        <v>30</v>
      </c>
      <c r="H48" s="51">
        <v>3000</v>
      </c>
      <c r="I48" s="119">
        <v>600</v>
      </c>
      <c r="J48" s="48" t="s">
        <v>31</v>
      </c>
      <c r="K48" s="48" t="s">
        <v>32</v>
      </c>
      <c r="M48" s="2">
        <v>600</v>
      </c>
      <c r="N48" s="2"/>
    </row>
    <row r="49" spans="1:14" ht="15.75" customHeight="1">
      <c r="A49" s="48">
        <v>2</v>
      </c>
      <c r="B49" s="48" t="s">
        <v>1026</v>
      </c>
      <c r="C49" s="215" t="s">
        <v>39</v>
      </c>
      <c r="D49" s="48" t="s">
        <v>886</v>
      </c>
      <c r="E49" s="48" t="s">
        <v>86</v>
      </c>
      <c r="F49" s="48"/>
      <c r="G49" s="48" t="s">
        <v>30</v>
      </c>
      <c r="H49" s="51">
        <v>1500</v>
      </c>
      <c r="I49" s="119">
        <v>300</v>
      </c>
      <c r="J49" s="48" t="s">
        <v>31</v>
      </c>
      <c r="K49" s="48" t="s">
        <v>32</v>
      </c>
      <c r="M49" s="2">
        <v>250</v>
      </c>
      <c r="N49" s="2"/>
    </row>
    <row r="50" spans="1:14" ht="15.75" customHeight="1">
      <c r="A50" s="48">
        <v>2</v>
      </c>
      <c r="B50" s="48" t="s">
        <v>1027</v>
      </c>
      <c r="C50" s="48" t="s">
        <v>27</v>
      </c>
      <c r="D50" s="48" t="s">
        <v>391</v>
      </c>
      <c r="E50" s="48" t="s">
        <v>73</v>
      </c>
      <c r="F50" s="48"/>
      <c r="G50" s="48" t="s">
        <v>30</v>
      </c>
      <c r="H50" s="51">
        <v>250</v>
      </c>
      <c r="I50" s="119">
        <v>50</v>
      </c>
      <c r="J50" s="48" t="s">
        <v>31</v>
      </c>
      <c r="K50" s="48" t="s">
        <v>32</v>
      </c>
      <c r="M50" s="2"/>
      <c r="N50" s="2"/>
    </row>
    <row r="51" spans="1:14" ht="15.75" customHeight="1">
      <c r="A51" s="48">
        <v>2</v>
      </c>
      <c r="B51" s="48" t="s">
        <v>1028</v>
      </c>
      <c r="C51" s="215" t="s">
        <v>39</v>
      </c>
      <c r="D51" s="48" t="s">
        <v>1029</v>
      </c>
      <c r="E51" s="48" t="s">
        <v>310</v>
      </c>
      <c r="F51" s="48"/>
      <c r="G51" s="48" t="s">
        <v>30</v>
      </c>
      <c r="H51" s="51">
        <v>500</v>
      </c>
      <c r="I51" s="119">
        <v>100</v>
      </c>
      <c r="J51" s="48" t="s">
        <v>31</v>
      </c>
      <c r="K51" s="48" t="s">
        <v>32</v>
      </c>
      <c r="M51" s="2"/>
      <c r="N51" s="2"/>
    </row>
    <row r="52" spans="1:14" ht="15.75" customHeight="1">
      <c r="A52" s="58">
        <v>2</v>
      </c>
      <c r="B52" s="58" t="s">
        <v>1030</v>
      </c>
      <c r="C52" s="216" t="s">
        <v>39</v>
      </c>
      <c r="D52" s="58" t="s">
        <v>1031</v>
      </c>
      <c r="E52" s="58" t="s">
        <v>1032</v>
      </c>
      <c r="F52" s="58"/>
      <c r="G52" s="58" t="s">
        <v>30</v>
      </c>
      <c r="H52" s="59">
        <v>15000</v>
      </c>
      <c r="I52" s="160">
        <v>3000</v>
      </c>
      <c r="J52" s="48" t="s">
        <v>31</v>
      </c>
      <c r="K52" s="48" t="s">
        <v>32</v>
      </c>
      <c r="M52" s="2">
        <v>3000</v>
      </c>
      <c r="N52" s="2"/>
    </row>
    <row r="53" spans="1:14" ht="15.75" customHeight="1">
      <c r="A53" s="62">
        <v>3</v>
      </c>
      <c r="B53" s="62" t="s">
        <v>1033</v>
      </c>
      <c r="C53" s="217" t="s">
        <v>39</v>
      </c>
      <c r="D53" s="62" t="s">
        <v>387</v>
      </c>
      <c r="E53" s="62" t="s">
        <v>41</v>
      </c>
      <c r="F53" s="62"/>
      <c r="G53" s="62" t="s">
        <v>30</v>
      </c>
      <c r="H53" s="63">
        <v>100</v>
      </c>
      <c r="I53" s="159">
        <v>40</v>
      </c>
      <c r="J53" s="48" t="s">
        <v>31</v>
      </c>
      <c r="K53" s="48" t="s">
        <v>32</v>
      </c>
      <c r="M53" s="2">
        <v>20</v>
      </c>
      <c r="N53" s="2"/>
    </row>
    <row r="54" spans="1:14" ht="15.75" customHeight="1">
      <c r="A54" s="62">
        <v>3</v>
      </c>
      <c r="B54" s="48" t="s">
        <v>1034</v>
      </c>
      <c r="C54" s="48" t="s">
        <v>27</v>
      </c>
      <c r="D54" s="48" t="s">
        <v>193</v>
      </c>
      <c r="E54" s="48" t="s">
        <v>36</v>
      </c>
      <c r="F54" s="48"/>
      <c r="G54" s="48" t="s">
        <v>30</v>
      </c>
      <c r="H54" s="51">
        <v>500</v>
      </c>
      <c r="I54" s="119">
        <v>100</v>
      </c>
      <c r="J54" s="48" t="s">
        <v>31</v>
      </c>
      <c r="K54" s="48" t="s">
        <v>32</v>
      </c>
      <c r="M54" s="2">
        <v>2400</v>
      </c>
      <c r="N54" s="2"/>
    </row>
    <row r="55" spans="1:14" ht="15.75" customHeight="1">
      <c r="A55" s="62">
        <v>3</v>
      </c>
      <c r="B55" s="48" t="s">
        <v>1034</v>
      </c>
      <c r="C55" s="48" t="s">
        <v>27</v>
      </c>
      <c r="D55" s="48" t="s">
        <v>193</v>
      </c>
      <c r="E55" s="48" t="s">
        <v>36</v>
      </c>
      <c r="F55" s="48"/>
      <c r="G55" s="48" t="s">
        <v>30</v>
      </c>
      <c r="H55" s="51">
        <v>500</v>
      </c>
      <c r="I55" s="119" t="s">
        <v>90</v>
      </c>
      <c r="J55" s="48" t="s">
        <v>31</v>
      </c>
      <c r="K55" s="48" t="s">
        <v>32</v>
      </c>
      <c r="M55" s="2"/>
      <c r="N55" s="2"/>
    </row>
    <row r="56" spans="1:14" ht="15.75" customHeight="1">
      <c r="A56" s="62">
        <v>3</v>
      </c>
      <c r="B56" s="48" t="s">
        <v>1035</v>
      </c>
      <c r="C56" s="48" t="s">
        <v>27</v>
      </c>
      <c r="D56" s="48" t="s">
        <v>98</v>
      </c>
      <c r="E56" s="48" t="s">
        <v>36</v>
      </c>
      <c r="F56" s="48"/>
      <c r="G56" s="48" t="s">
        <v>30</v>
      </c>
      <c r="H56" s="51">
        <v>500</v>
      </c>
      <c r="I56" s="119">
        <v>200</v>
      </c>
      <c r="J56" s="48" t="s">
        <v>31</v>
      </c>
      <c r="K56" s="48" t="s">
        <v>32</v>
      </c>
      <c r="M56" s="2">
        <v>120</v>
      </c>
      <c r="N56" s="2"/>
    </row>
    <row r="57" spans="1:14" ht="15.75" customHeight="1">
      <c r="A57" s="62">
        <v>3</v>
      </c>
      <c r="B57" s="48" t="s">
        <v>496</v>
      </c>
      <c r="C57" s="48" t="s">
        <v>27</v>
      </c>
      <c r="D57" s="48" t="s">
        <v>88</v>
      </c>
      <c r="E57" s="48" t="s">
        <v>54</v>
      </c>
      <c r="F57" s="48"/>
      <c r="G57" s="48" t="s">
        <v>30</v>
      </c>
      <c r="H57" s="51">
        <v>1000</v>
      </c>
      <c r="I57" s="119">
        <v>200</v>
      </c>
      <c r="J57" s="48" t="s">
        <v>31</v>
      </c>
      <c r="K57" s="48" t="s">
        <v>32</v>
      </c>
      <c r="M57" s="2"/>
      <c r="N57" s="2"/>
    </row>
    <row r="58" spans="1:14" ht="15.75" customHeight="1">
      <c r="A58" s="62">
        <v>3</v>
      </c>
      <c r="B58" s="48" t="s">
        <v>496</v>
      </c>
      <c r="C58" s="48" t="s">
        <v>27</v>
      </c>
      <c r="D58" s="48" t="s">
        <v>88</v>
      </c>
      <c r="E58" s="48" t="s">
        <v>54</v>
      </c>
      <c r="F58" s="48"/>
      <c r="G58" s="48" t="s">
        <v>30</v>
      </c>
      <c r="H58" s="51">
        <v>6000</v>
      </c>
      <c r="I58" s="119">
        <v>2400</v>
      </c>
      <c r="J58" s="48" t="s">
        <v>31</v>
      </c>
      <c r="K58" s="48" t="s">
        <v>32</v>
      </c>
      <c r="M58" s="2"/>
      <c r="N58" s="2"/>
    </row>
    <row r="59" spans="1:14" ht="15.75" customHeight="1">
      <c r="A59" s="62">
        <v>3</v>
      </c>
      <c r="B59" s="218" t="s">
        <v>1036</v>
      </c>
      <c r="C59" s="48" t="s">
        <v>27</v>
      </c>
      <c r="D59" s="48" t="s">
        <v>100</v>
      </c>
      <c r="E59" s="48" t="s">
        <v>68</v>
      </c>
      <c r="F59" s="48"/>
      <c r="G59" s="48" t="s">
        <v>30</v>
      </c>
      <c r="H59" s="51">
        <v>1500</v>
      </c>
      <c r="I59" s="119" t="s">
        <v>90</v>
      </c>
      <c r="J59" s="48" t="s">
        <v>31</v>
      </c>
      <c r="K59" s="48" t="s">
        <v>32</v>
      </c>
      <c r="M59" s="2"/>
      <c r="N59" s="2"/>
    </row>
    <row r="60" spans="1:14" ht="15.75" customHeight="1">
      <c r="A60" s="62">
        <v>3</v>
      </c>
      <c r="B60" s="218" t="s">
        <v>1037</v>
      </c>
      <c r="C60" s="48" t="s">
        <v>27</v>
      </c>
      <c r="D60" s="48" t="s">
        <v>100</v>
      </c>
      <c r="E60" s="48" t="s">
        <v>68</v>
      </c>
      <c r="F60" s="48"/>
      <c r="G60" s="48" t="s">
        <v>30</v>
      </c>
      <c r="H60" s="51">
        <v>1500</v>
      </c>
      <c r="I60" s="119" t="s">
        <v>90</v>
      </c>
      <c r="J60" s="48" t="s">
        <v>31</v>
      </c>
      <c r="K60" s="48" t="s">
        <v>32</v>
      </c>
      <c r="M60" s="2"/>
      <c r="N60" s="2"/>
    </row>
    <row r="61" spans="1:14" ht="15.75" customHeight="1">
      <c r="A61" s="62">
        <v>3</v>
      </c>
      <c r="B61" s="218" t="s">
        <v>1038</v>
      </c>
      <c r="C61" s="48" t="s">
        <v>27</v>
      </c>
      <c r="D61" s="48" t="s">
        <v>100</v>
      </c>
      <c r="E61" s="48" t="s">
        <v>68</v>
      </c>
      <c r="F61" s="48"/>
      <c r="G61" s="48" t="s">
        <v>30</v>
      </c>
      <c r="H61" s="51">
        <v>1500</v>
      </c>
      <c r="I61" s="119" t="s">
        <v>90</v>
      </c>
      <c r="J61" s="48" t="s">
        <v>31</v>
      </c>
      <c r="K61" s="48" t="s">
        <v>32</v>
      </c>
      <c r="M61" s="2"/>
      <c r="N61" s="2"/>
    </row>
    <row r="62" spans="1:14" ht="15.75" customHeight="1">
      <c r="A62" s="62">
        <v>3</v>
      </c>
      <c r="B62" s="48" t="s">
        <v>800</v>
      </c>
      <c r="C62" s="48" t="s">
        <v>27</v>
      </c>
      <c r="D62" s="48" t="s">
        <v>319</v>
      </c>
      <c r="E62" s="48" t="s">
        <v>36</v>
      </c>
      <c r="F62" s="48"/>
      <c r="G62" s="48" t="s">
        <v>30</v>
      </c>
      <c r="H62" s="51">
        <v>1500</v>
      </c>
      <c r="I62" s="119" t="s">
        <v>90</v>
      </c>
      <c r="J62" s="48" t="s">
        <v>31</v>
      </c>
      <c r="K62" s="48" t="s">
        <v>32</v>
      </c>
      <c r="M62" s="2">
        <v>600</v>
      </c>
      <c r="N62" s="2"/>
    </row>
    <row r="63" spans="1:14" ht="15.75" customHeight="1">
      <c r="A63" s="62">
        <v>3</v>
      </c>
      <c r="B63" s="48" t="s">
        <v>800</v>
      </c>
      <c r="C63" s="48" t="s">
        <v>27</v>
      </c>
      <c r="D63" s="48" t="s">
        <v>319</v>
      </c>
      <c r="E63" s="48" t="s">
        <v>36</v>
      </c>
      <c r="F63" s="48"/>
      <c r="G63" s="48" t="s">
        <v>30</v>
      </c>
      <c r="H63" s="51">
        <v>500</v>
      </c>
      <c r="I63" s="119">
        <v>100</v>
      </c>
      <c r="J63" s="48" t="s">
        <v>31</v>
      </c>
      <c r="K63" s="48" t="s">
        <v>32</v>
      </c>
      <c r="M63" s="2"/>
      <c r="N63" s="2"/>
    </row>
    <row r="64" spans="1:14" ht="15.75" customHeight="1">
      <c r="A64" s="62">
        <v>3</v>
      </c>
      <c r="B64" s="48" t="s">
        <v>1039</v>
      </c>
      <c r="C64" s="48" t="s">
        <v>27</v>
      </c>
      <c r="D64" s="48" t="s">
        <v>1040</v>
      </c>
      <c r="E64" s="48" t="s">
        <v>839</v>
      </c>
      <c r="F64" s="48"/>
      <c r="G64" s="48" t="s">
        <v>30</v>
      </c>
      <c r="H64" s="51">
        <v>100</v>
      </c>
      <c r="I64" s="119">
        <v>40</v>
      </c>
      <c r="J64" s="48" t="s">
        <v>31</v>
      </c>
      <c r="K64" s="48" t="s">
        <v>32</v>
      </c>
      <c r="M64" s="2">
        <v>10</v>
      </c>
      <c r="N64" s="2"/>
    </row>
    <row r="65" spans="1:18" ht="15.75" customHeight="1">
      <c r="A65" s="62">
        <v>3</v>
      </c>
      <c r="B65" s="58" t="s">
        <v>1041</v>
      </c>
      <c r="C65" s="58" t="s">
        <v>27</v>
      </c>
      <c r="D65" s="58" t="s">
        <v>434</v>
      </c>
      <c r="E65" s="58" t="s">
        <v>36</v>
      </c>
      <c r="F65" s="58"/>
      <c r="G65" s="58" t="s">
        <v>30</v>
      </c>
      <c r="H65" s="59">
        <v>5000</v>
      </c>
      <c r="I65" s="160">
        <v>1000</v>
      </c>
      <c r="J65" s="48" t="s">
        <v>31</v>
      </c>
      <c r="K65" s="48" t="s">
        <v>32</v>
      </c>
      <c r="M65" s="2">
        <v>1000</v>
      </c>
      <c r="N65" s="2"/>
    </row>
    <row r="66" spans="1:18" ht="15.75" customHeight="1">
      <c r="A66" s="62">
        <v>4</v>
      </c>
      <c r="B66" s="62" t="s">
        <v>1042</v>
      </c>
      <c r="C66" s="62" t="s">
        <v>27</v>
      </c>
      <c r="D66" s="62" t="s">
        <v>1043</v>
      </c>
      <c r="E66" s="62" t="s">
        <v>1044</v>
      </c>
      <c r="F66" s="62"/>
      <c r="G66" s="62" t="s">
        <v>30</v>
      </c>
      <c r="H66" s="63">
        <v>200</v>
      </c>
      <c r="I66" s="159">
        <v>80</v>
      </c>
      <c r="J66" s="48" t="s">
        <v>31</v>
      </c>
      <c r="K66" s="48" t="s">
        <v>32</v>
      </c>
      <c r="M66" s="2">
        <v>50</v>
      </c>
      <c r="N66" s="2"/>
    </row>
    <row r="67" spans="1:18" ht="15.75" customHeight="1">
      <c r="A67" s="62">
        <v>4</v>
      </c>
      <c r="B67" s="48" t="s">
        <v>933</v>
      </c>
      <c r="C67" s="48" t="s">
        <v>27</v>
      </c>
      <c r="D67" s="48" t="s">
        <v>934</v>
      </c>
      <c r="E67" s="48" t="s">
        <v>44</v>
      </c>
      <c r="F67" s="48"/>
      <c r="G67" s="48" t="s">
        <v>30</v>
      </c>
      <c r="H67" s="51">
        <v>5000</v>
      </c>
      <c r="I67" s="119">
        <v>1000</v>
      </c>
      <c r="J67" s="48" t="s">
        <v>31</v>
      </c>
      <c r="K67" s="48" t="s">
        <v>32</v>
      </c>
      <c r="M67" s="2">
        <v>1000</v>
      </c>
      <c r="N67" s="2"/>
    </row>
    <row r="68" spans="1:18" ht="15.75" customHeight="1">
      <c r="A68" s="62">
        <v>4</v>
      </c>
      <c r="B68" s="48" t="s">
        <v>1045</v>
      </c>
      <c r="C68" s="48" t="s">
        <v>27</v>
      </c>
      <c r="D68" s="48" t="s">
        <v>363</v>
      </c>
      <c r="E68" s="48" t="s">
        <v>151</v>
      </c>
      <c r="F68" s="48"/>
      <c r="G68" s="48" t="s">
        <v>30</v>
      </c>
      <c r="H68" s="51">
        <v>500</v>
      </c>
      <c r="I68" s="119">
        <v>100</v>
      </c>
      <c r="J68" s="48" t="s">
        <v>31</v>
      </c>
      <c r="K68" s="48" t="s">
        <v>32</v>
      </c>
      <c r="M68" s="2">
        <v>150</v>
      </c>
      <c r="N68" s="2"/>
    </row>
    <row r="69" spans="1:18" ht="15.75" customHeight="1">
      <c r="A69" s="62">
        <v>4</v>
      </c>
      <c r="B69" s="48" t="s">
        <v>1046</v>
      </c>
      <c r="C69" s="48" t="s">
        <v>27</v>
      </c>
      <c r="D69" s="48" t="s">
        <v>104</v>
      </c>
      <c r="E69" s="48" t="s">
        <v>36</v>
      </c>
      <c r="F69" s="48"/>
      <c r="G69" s="48" t="s">
        <v>30</v>
      </c>
      <c r="H69" s="51">
        <v>1500</v>
      </c>
      <c r="I69" s="119" t="s">
        <v>90</v>
      </c>
      <c r="J69" s="48" t="s">
        <v>31</v>
      </c>
      <c r="K69" s="48" t="s">
        <v>32</v>
      </c>
      <c r="M69" s="2"/>
      <c r="N69" s="2"/>
    </row>
    <row r="70" spans="1:18" ht="15.75" customHeight="1">
      <c r="A70" s="62">
        <v>4</v>
      </c>
      <c r="B70" s="48" t="s">
        <v>1047</v>
      </c>
      <c r="C70" s="48" t="s">
        <v>27</v>
      </c>
      <c r="D70" s="48" t="s">
        <v>100</v>
      </c>
      <c r="E70" s="48" t="s">
        <v>273</v>
      </c>
      <c r="F70" s="48"/>
      <c r="G70" s="48" t="s">
        <v>30</v>
      </c>
      <c r="H70" s="51">
        <v>1500</v>
      </c>
      <c r="I70" s="119" t="s">
        <v>90</v>
      </c>
      <c r="J70" s="48" t="s">
        <v>31</v>
      </c>
      <c r="K70" s="48" t="s">
        <v>32</v>
      </c>
      <c r="M70" s="2"/>
      <c r="N70" s="2"/>
    </row>
    <row r="71" spans="1:18" ht="15.75" customHeight="1">
      <c r="A71" s="62">
        <v>4</v>
      </c>
      <c r="B71" s="48" t="s">
        <v>1048</v>
      </c>
      <c r="C71" s="48" t="s">
        <v>27</v>
      </c>
      <c r="D71" s="48" t="s">
        <v>100</v>
      </c>
      <c r="E71" s="48" t="s">
        <v>273</v>
      </c>
      <c r="F71" s="48"/>
      <c r="G71" s="48" t="s">
        <v>30</v>
      </c>
      <c r="H71" s="51">
        <v>1500</v>
      </c>
      <c r="I71" s="119" t="s">
        <v>90</v>
      </c>
      <c r="J71" s="48" t="s">
        <v>31</v>
      </c>
      <c r="K71" s="48" t="s">
        <v>32</v>
      </c>
      <c r="M71" s="2"/>
      <c r="N71" s="2"/>
    </row>
    <row r="72" spans="1:18" ht="15.75" customHeight="1">
      <c r="A72" s="62">
        <v>4</v>
      </c>
      <c r="B72" s="48" t="s">
        <v>1049</v>
      </c>
      <c r="C72" s="48" t="s">
        <v>27</v>
      </c>
      <c r="D72" s="48" t="s">
        <v>100</v>
      </c>
      <c r="E72" s="48" t="s">
        <v>273</v>
      </c>
      <c r="F72" s="48"/>
      <c r="G72" s="48" t="s">
        <v>30</v>
      </c>
      <c r="H72" s="51">
        <v>1500</v>
      </c>
      <c r="I72" s="119" t="s">
        <v>90</v>
      </c>
      <c r="J72" s="48" t="s">
        <v>31</v>
      </c>
      <c r="K72" s="48" t="s">
        <v>32</v>
      </c>
      <c r="M72" s="2"/>
      <c r="N72" s="2"/>
    </row>
    <row r="73" spans="1:18" ht="15.75" customHeight="1">
      <c r="A73" s="62">
        <v>4</v>
      </c>
      <c r="B73" s="48" t="s">
        <v>1050</v>
      </c>
      <c r="C73" s="48" t="s">
        <v>27</v>
      </c>
      <c r="D73" s="48" t="s">
        <v>65</v>
      </c>
      <c r="E73" s="48" t="s">
        <v>36</v>
      </c>
      <c r="F73" s="48"/>
      <c r="G73" s="48" t="s">
        <v>30</v>
      </c>
      <c r="H73" s="51">
        <v>3000</v>
      </c>
      <c r="I73" s="119">
        <v>600</v>
      </c>
      <c r="J73" s="48" t="s">
        <v>31</v>
      </c>
      <c r="K73" s="48" t="s">
        <v>32</v>
      </c>
      <c r="M73" s="2">
        <v>700</v>
      </c>
      <c r="N73" s="2"/>
      <c r="O73" s="756" t="s">
        <v>1051</v>
      </c>
      <c r="P73" s="743"/>
      <c r="Q73" s="719"/>
    </row>
    <row r="74" spans="1:18" ht="15.75" customHeight="1">
      <c r="A74" s="62">
        <v>4</v>
      </c>
      <c r="B74" s="48" t="s">
        <v>1052</v>
      </c>
      <c r="C74" s="48" t="s">
        <v>27</v>
      </c>
      <c r="D74" s="48" t="s">
        <v>319</v>
      </c>
      <c r="E74" s="48" t="s">
        <v>36</v>
      </c>
      <c r="F74" s="48"/>
      <c r="G74" s="48" t="s">
        <v>30</v>
      </c>
      <c r="H74" s="51">
        <v>300</v>
      </c>
      <c r="I74" s="119">
        <v>60</v>
      </c>
      <c r="J74" s="48" t="s">
        <v>31</v>
      </c>
      <c r="K74" s="48" t="s">
        <v>32</v>
      </c>
      <c r="M74" s="2"/>
      <c r="N74" s="2"/>
      <c r="O74" s="756" t="s">
        <v>25</v>
      </c>
      <c r="P74" s="743"/>
      <c r="Q74" s="719"/>
    </row>
    <row r="75" spans="1:18" ht="15.75" customHeight="1">
      <c r="A75" s="62">
        <v>4</v>
      </c>
      <c r="B75" s="48" t="s">
        <v>1053</v>
      </c>
      <c r="C75" s="215" t="s">
        <v>39</v>
      </c>
      <c r="D75" s="48" t="s">
        <v>1054</v>
      </c>
      <c r="E75" s="48" t="s">
        <v>51</v>
      </c>
      <c r="F75" s="48"/>
      <c r="G75" s="48" t="s">
        <v>30</v>
      </c>
      <c r="H75" s="51">
        <v>500</v>
      </c>
      <c r="I75" s="119">
        <v>100</v>
      </c>
      <c r="J75" s="48" t="s">
        <v>31</v>
      </c>
      <c r="K75" s="48" t="s">
        <v>32</v>
      </c>
      <c r="M75" s="2">
        <v>250</v>
      </c>
      <c r="N75" s="2"/>
      <c r="O75" s="757" t="s">
        <v>33</v>
      </c>
      <c r="P75" s="719"/>
      <c r="Q75" s="174">
        <v>147900</v>
      </c>
      <c r="R75" s="55"/>
    </row>
    <row r="76" spans="1:18" ht="15.75" customHeight="1">
      <c r="A76" s="62">
        <v>4</v>
      </c>
      <c r="B76" s="48" t="s">
        <v>1053</v>
      </c>
      <c r="C76" s="215" t="s">
        <v>39</v>
      </c>
      <c r="D76" s="48" t="s">
        <v>1054</v>
      </c>
      <c r="E76" s="48" t="s">
        <v>51</v>
      </c>
      <c r="F76" s="48"/>
      <c r="G76" s="48" t="s">
        <v>30</v>
      </c>
      <c r="H76" s="51">
        <v>500</v>
      </c>
      <c r="I76" s="119" t="s">
        <v>90</v>
      </c>
      <c r="J76" s="48" t="s">
        <v>31</v>
      </c>
      <c r="K76" s="48" t="s">
        <v>32</v>
      </c>
      <c r="M76" s="2"/>
      <c r="N76" s="2"/>
      <c r="O76" s="757" t="s">
        <v>37</v>
      </c>
      <c r="P76" s="719"/>
      <c r="Q76" s="174">
        <v>40500</v>
      </c>
      <c r="R76" s="55"/>
    </row>
    <row r="77" spans="1:18" ht="15.75" customHeight="1">
      <c r="A77" s="62">
        <v>4</v>
      </c>
      <c r="B77" s="48" t="s">
        <v>1055</v>
      </c>
      <c r="C77" s="48" t="s">
        <v>27</v>
      </c>
      <c r="D77" s="48" t="s">
        <v>389</v>
      </c>
      <c r="E77" s="48" t="s">
        <v>584</v>
      </c>
      <c r="F77" s="48"/>
      <c r="G77" s="48" t="s">
        <v>30</v>
      </c>
      <c r="H77" s="51">
        <v>1500</v>
      </c>
      <c r="I77" s="119" t="s">
        <v>90</v>
      </c>
      <c r="J77" s="48" t="s">
        <v>31</v>
      </c>
      <c r="K77" s="48" t="s">
        <v>32</v>
      </c>
      <c r="M77" s="2"/>
      <c r="N77" s="2"/>
      <c r="O77" s="758" t="s">
        <v>576</v>
      </c>
      <c r="P77" s="719"/>
      <c r="Q77" s="219">
        <v>188400</v>
      </c>
    </row>
    <row r="78" spans="1:18" ht="15.75" customHeight="1">
      <c r="A78" s="62">
        <v>4</v>
      </c>
      <c r="B78" s="48" t="s">
        <v>1056</v>
      </c>
      <c r="C78" s="48" t="s">
        <v>27</v>
      </c>
      <c r="D78" s="48" t="s">
        <v>389</v>
      </c>
      <c r="E78" s="48" t="s">
        <v>584</v>
      </c>
      <c r="F78" s="48"/>
      <c r="G78" s="48" t="s">
        <v>30</v>
      </c>
      <c r="H78" s="51">
        <v>1500</v>
      </c>
      <c r="I78" s="119" t="s">
        <v>90</v>
      </c>
      <c r="J78" s="48" t="s">
        <v>31</v>
      </c>
      <c r="K78" s="48" t="s">
        <v>32</v>
      </c>
      <c r="M78" s="2"/>
      <c r="N78" s="2"/>
      <c r="O78" s="756" t="s">
        <v>1057</v>
      </c>
      <c r="P78" s="743"/>
      <c r="Q78" s="719"/>
      <c r="R78" s="55"/>
    </row>
    <row r="79" spans="1:18" ht="15.75" customHeight="1">
      <c r="A79" s="62">
        <v>4</v>
      </c>
      <c r="B79" s="48" t="s">
        <v>1058</v>
      </c>
      <c r="C79" s="48" t="s">
        <v>27</v>
      </c>
      <c r="D79" s="48" t="s">
        <v>1059</v>
      </c>
      <c r="E79" s="48" t="s">
        <v>584</v>
      </c>
      <c r="F79" s="48"/>
      <c r="G79" s="48" t="s">
        <v>30</v>
      </c>
      <c r="H79" s="51">
        <v>1500</v>
      </c>
      <c r="I79" s="119" t="s">
        <v>90</v>
      </c>
      <c r="J79" s="48" t="s">
        <v>31</v>
      </c>
      <c r="K79" s="48" t="s">
        <v>32</v>
      </c>
      <c r="M79" s="2"/>
      <c r="N79" s="2"/>
      <c r="O79" s="757" t="s">
        <v>37</v>
      </c>
      <c r="P79" s="719"/>
      <c r="Q79" s="220">
        <v>61</v>
      </c>
    </row>
    <row r="80" spans="1:18" ht="15.75" customHeight="1">
      <c r="A80" s="62">
        <v>4</v>
      </c>
      <c r="B80" s="48" t="s">
        <v>1060</v>
      </c>
      <c r="C80" s="48" t="s">
        <v>27</v>
      </c>
      <c r="D80" s="48" t="s">
        <v>1059</v>
      </c>
      <c r="E80" s="48" t="s">
        <v>584</v>
      </c>
      <c r="F80" s="48"/>
      <c r="G80" s="48" t="s">
        <v>30</v>
      </c>
      <c r="H80" s="51">
        <v>1500</v>
      </c>
      <c r="I80" s="119" t="s">
        <v>90</v>
      </c>
      <c r="J80" s="48" t="s">
        <v>31</v>
      </c>
      <c r="K80" s="48" t="s">
        <v>32</v>
      </c>
      <c r="M80" s="2"/>
      <c r="N80" s="2"/>
      <c r="O80" s="756" t="s">
        <v>286</v>
      </c>
      <c r="P80" s="743"/>
      <c r="Q80" s="719"/>
    </row>
    <row r="81" spans="1:18" ht="15.75" customHeight="1">
      <c r="A81" s="58">
        <v>4</v>
      </c>
      <c r="B81" s="58" t="s">
        <v>1061</v>
      </c>
      <c r="C81" s="216" t="s">
        <v>39</v>
      </c>
      <c r="D81" s="58" t="s">
        <v>416</v>
      </c>
      <c r="E81" s="58" t="s">
        <v>584</v>
      </c>
      <c r="F81" s="58"/>
      <c r="G81" s="58" t="s">
        <v>30</v>
      </c>
      <c r="H81" s="59">
        <v>1000</v>
      </c>
      <c r="I81" s="160">
        <v>200</v>
      </c>
      <c r="J81" s="48" t="s">
        <v>31</v>
      </c>
      <c r="K81" s="48" t="s">
        <v>32</v>
      </c>
      <c r="M81" s="2"/>
      <c r="N81" s="2"/>
      <c r="O81" s="757" t="s">
        <v>580</v>
      </c>
      <c r="P81" s="719"/>
      <c r="Q81" s="173">
        <v>93</v>
      </c>
      <c r="R81" s="55"/>
    </row>
    <row r="82" spans="1:18" ht="15.75" customHeight="1">
      <c r="A82" s="62">
        <v>5</v>
      </c>
      <c r="B82" s="62" t="s">
        <v>1062</v>
      </c>
      <c r="C82" s="62" t="s">
        <v>27</v>
      </c>
      <c r="D82" s="62" t="s">
        <v>591</v>
      </c>
      <c r="E82" s="62" t="s">
        <v>1063</v>
      </c>
      <c r="F82" s="62"/>
      <c r="G82" s="62" t="s">
        <v>30</v>
      </c>
      <c r="H82" s="63">
        <v>2500</v>
      </c>
      <c r="I82" s="159">
        <v>500</v>
      </c>
      <c r="J82" s="48" t="s">
        <v>31</v>
      </c>
      <c r="K82" s="48" t="s">
        <v>32</v>
      </c>
      <c r="M82" s="2">
        <v>330</v>
      </c>
      <c r="N82" s="2"/>
      <c r="O82" s="757" t="s">
        <v>589</v>
      </c>
      <c r="P82" s="719"/>
      <c r="Q82" s="173">
        <v>150</v>
      </c>
    </row>
    <row r="83" spans="1:18" ht="15.75" customHeight="1">
      <c r="A83" s="62">
        <v>5</v>
      </c>
      <c r="B83" s="62" t="s">
        <v>1062</v>
      </c>
      <c r="C83" s="62" t="s">
        <v>27</v>
      </c>
      <c r="D83" s="62" t="s">
        <v>591</v>
      </c>
      <c r="E83" s="62" t="s">
        <v>1063</v>
      </c>
      <c r="F83" s="48"/>
      <c r="G83" s="48" t="s">
        <v>30</v>
      </c>
      <c r="H83" s="51">
        <v>500</v>
      </c>
      <c r="I83" s="119" t="s">
        <v>90</v>
      </c>
      <c r="J83" s="48" t="s">
        <v>31</v>
      </c>
      <c r="K83" s="48" t="s">
        <v>32</v>
      </c>
      <c r="M83" s="2"/>
      <c r="N83" s="2"/>
      <c r="O83" s="758" t="s">
        <v>576</v>
      </c>
      <c r="P83" s="719"/>
      <c r="Q83" s="220">
        <v>243</v>
      </c>
      <c r="R83" s="55"/>
    </row>
    <row r="84" spans="1:18" ht="15.75" customHeight="1">
      <c r="A84" s="62">
        <v>5</v>
      </c>
      <c r="B84" s="48" t="s">
        <v>854</v>
      </c>
      <c r="C84" s="48" t="s">
        <v>27</v>
      </c>
      <c r="D84" s="48" t="s">
        <v>1064</v>
      </c>
      <c r="E84" s="48" t="s">
        <v>358</v>
      </c>
      <c r="F84" s="48"/>
      <c r="G84" s="48" t="s">
        <v>30</v>
      </c>
      <c r="H84" s="51">
        <v>7000</v>
      </c>
      <c r="I84" s="119">
        <v>2100</v>
      </c>
      <c r="J84" s="48" t="s">
        <v>31</v>
      </c>
      <c r="K84" s="48" t="s">
        <v>32</v>
      </c>
      <c r="M84" s="2" t="s">
        <v>1065</v>
      </c>
      <c r="N84" s="2"/>
    </row>
    <row r="85" spans="1:18" ht="15.75" customHeight="1">
      <c r="A85" s="62">
        <v>5</v>
      </c>
      <c r="B85" s="48" t="s">
        <v>1066</v>
      </c>
      <c r="C85" s="48" t="s">
        <v>27</v>
      </c>
      <c r="D85" s="48" t="s">
        <v>104</v>
      </c>
      <c r="E85" s="48" t="s">
        <v>36</v>
      </c>
      <c r="F85" s="48"/>
      <c r="G85" s="48" t="s">
        <v>30</v>
      </c>
      <c r="H85" s="51">
        <v>1500</v>
      </c>
      <c r="I85" s="119" t="s">
        <v>90</v>
      </c>
      <c r="J85" s="48" t="s">
        <v>31</v>
      </c>
      <c r="K85" s="48" t="s">
        <v>32</v>
      </c>
      <c r="M85" s="2"/>
      <c r="N85" s="2"/>
    </row>
    <row r="86" spans="1:18" ht="15.75" customHeight="1">
      <c r="A86" s="62">
        <v>5</v>
      </c>
      <c r="B86" s="58" t="s">
        <v>1067</v>
      </c>
      <c r="C86" s="58" t="s">
        <v>27</v>
      </c>
      <c r="D86" s="58" t="s">
        <v>137</v>
      </c>
      <c r="E86" s="58" t="s">
        <v>84</v>
      </c>
      <c r="F86" s="58"/>
      <c r="G86" s="58" t="s">
        <v>30</v>
      </c>
      <c r="H86" s="59">
        <v>3000</v>
      </c>
      <c r="I86" s="160">
        <v>600</v>
      </c>
      <c r="J86" s="48" t="s">
        <v>31</v>
      </c>
      <c r="K86" s="48" t="s">
        <v>32</v>
      </c>
      <c r="M86" s="2"/>
      <c r="N86" s="2"/>
    </row>
    <row r="87" spans="1:18" ht="15.75" customHeight="1">
      <c r="A87" s="62">
        <v>5</v>
      </c>
      <c r="B87" s="62" t="s">
        <v>1068</v>
      </c>
      <c r="C87" s="217" t="s">
        <v>39</v>
      </c>
      <c r="D87" s="62" t="s">
        <v>1069</v>
      </c>
      <c r="E87" s="62" t="s">
        <v>223</v>
      </c>
      <c r="F87" s="62"/>
      <c r="G87" s="62" t="s">
        <v>30</v>
      </c>
      <c r="H87" s="63">
        <v>1000</v>
      </c>
      <c r="I87" s="159">
        <v>200</v>
      </c>
      <c r="J87" s="48" t="s">
        <v>31</v>
      </c>
      <c r="K87" s="48" t="s">
        <v>32</v>
      </c>
      <c r="M87" s="2">
        <v>300</v>
      </c>
      <c r="N87" s="2"/>
    </row>
    <row r="88" spans="1:18" ht="15.75" customHeight="1">
      <c r="A88" s="62">
        <v>5</v>
      </c>
      <c r="B88" s="48" t="s">
        <v>1070</v>
      </c>
      <c r="C88" s="48" t="s">
        <v>27</v>
      </c>
      <c r="D88" s="48" t="s">
        <v>1071</v>
      </c>
      <c r="E88" s="48" t="s">
        <v>51</v>
      </c>
      <c r="F88" s="48"/>
      <c r="G88" s="48" t="s">
        <v>30</v>
      </c>
      <c r="H88" s="51">
        <v>700</v>
      </c>
      <c r="I88" s="119">
        <v>140</v>
      </c>
      <c r="J88" s="48" t="s">
        <v>31</v>
      </c>
      <c r="K88" s="48" t="s">
        <v>32</v>
      </c>
      <c r="M88" s="2">
        <v>300</v>
      </c>
      <c r="N88" s="221"/>
    </row>
    <row r="89" spans="1:18" ht="15.75" customHeight="1">
      <c r="A89" s="62">
        <v>5</v>
      </c>
      <c r="B89" s="48" t="s">
        <v>1072</v>
      </c>
      <c r="C89" s="48" t="s">
        <v>27</v>
      </c>
      <c r="D89" s="48" t="s">
        <v>88</v>
      </c>
      <c r="E89" s="48" t="s">
        <v>54</v>
      </c>
      <c r="F89" s="48"/>
      <c r="G89" s="48" t="s">
        <v>30</v>
      </c>
      <c r="H89" s="51">
        <v>150</v>
      </c>
      <c r="I89" s="119">
        <v>30</v>
      </c>
      <c r="J89" s="48" t="s">
        <v>31</v>
      </c>
      <c r="K89" s="48" t="s">
        <v>32</v>
      </c>
      <c r="M89" s="2"/>
      <c r="N89" s="222"/>
    </row>
    <row r="90" spans="1:18" ht="15.75" customHeight="1">
      <c r="A90" s="62">
        <v>5</v>
      </c>
      <c r="B90" s="48" t="s">
        <v>1073</v>
      </c>
      <c r="C90" s="48" t="s">
        <v>27</v>
      </c>
      <c r="D90" s="48" t="s">
        <v>1074</v>
      </c>
      <c r="E90" s="48" t="s">
        <v>223</v>
      </c>
      <c r="F90" s="48"/>
      <c r="G90" s="48" t="s">
        <v>30</v>
      </c>
      <c r="H90" s="51">
        <v>1500</v>
      </c>
      <c r="I90" s="119" t="s">
        <v>90</v>
      </c>
      <c r="J90" s="48" t="s">
        <v>31</v>
      </c>
      <c r="K90" s="48" t="s">
        <v>32</v>
      </c>
      <c r="M90" s="2"/>
      <c r="N90" s="221"/>
    </row>
    <row r="91" spans="1:18" ht="15.75" customHeight="1">
      <c r="A91" s="62">
        <v>5</v>
      </c>
      <c r="B91" s="48" t="s">
        <v>1075</v>
      </c>
      <c r="C91" s="48" t="s">
        <v>27</v>
      </c>
      <c r="D91" s="48" t="s">
        <v>1076</v>
      </c>
      <c r="E91" s="48" t="s">
        <v>89</v>
      </c>
      <c r="F91" s="48"/>
      <c r="G91" s="48" t="s">
        <v>30</v>
      </c>
      <c r="H91" s="51">
        <v>3000</v>
      </c>
      <c r="I91" s="119">
        <v>600</v>
      </c>
      <c r="J91" s="48" t="s">
        <v>31</v>
      </c>
      <c r="K91" s="48" t="s">
        <v>32</v>
      </c>
      <c r="M91" s="2">
        <v>400</v>
      </c>
      <c r="N91" s="223"/>
      <c r="P91" s="55"/>
    </row>
    <row r="92" spans="1:18" ht="15.75" customHeight="1">
      <c r="A92" s="62">
        <v>5</v>
      </c>
      <c r="B92" s="48" t="s">
        <v>1077</v>
      </c>
      <c r="C92" s="48" t="s">
        <v>27</v>
      </c>
      <c r="D92" s="48" t="s">
        <v>98</v>
      </c>
      <c r="E92" s="48" t="s">
        <v>36</v>
      </c>
      <c r="F92" s="48"/>
      <c r="G92" s="48" t="s">
        <v>30</v>
      </c>
      <c r="H92" s="51">
        <v>500</v>
      </c>
      <c r="I92" s="119" t="s">
        <v>90</v>
      </c>
      <c r="J92" s="48" t="s">
        <v>31</v>
      </c>
      <c r="K92" s="48" t="s">
        <v>32</v>
      </c>
      <c r="M92" s="2">
        <v>1200</v>
      </c>
      <c r="N92" s="224"/>
      <c r="P92" s="55"/>
    </row>
    <row r="93" spans="1:18" ht="15.75" customHeight="1">
      <c r="A93" s="62">
        <v>5</v>
      </c>
      <c r="B93" s="48" t="s">
        <v>1077</v>
      </c>
      <c r="C93" s="48" t="s">
        <v>27</v>
      </c>
      <c r="D93" s="48" t="s">
        <v>98</v>
      </c>
      <c r="E93" s="48" t="s">
        <v>36</v>
      </c>
      <c r="F93" s="48"/>
      <c r="G93" s="48" t="s">
        <v>30</v>
      </c>
      <c r="H93" s="51">
        <v>1000</v>
      </c>
      <c r="I93" s="119">
        <v>200</v>
      </c>
      <c r="J93" s="48" t="s">
        <v>31</v>
      </c>
      <c r="K93" s="48" t="s">
        <v>32</v>
      </c>
      <c r="M93" s="2"/>
      <c r="N93" s="223"/>
      <c r="P93" s="55"/>
    </row>
    <row r="94" spans="1:18" ht="15.75" customHeight="1">
      <c r="A94" s="62">
        <v>5</v>
      </c>
      <c r="B94" s="48" t="s">
        <v>1078</v>
      </c>
      <c r="C94" s="48" t="s">
        <v>27</v>
      </c>
      <c r="D94" s="48" t="s">
        <v>98</v>
      </c>
      <c r="E94" s="48" t="s">
        <v>36</v>
      </c>
      <c r="F94" s="48"/>
      <c r="G94" s="48" t="s">
        <v>30</v>
      </c>
      <c r="H94" s="51">
        <v>500</v>
      </c>
      <c r="I94" s="119" t="s">
        <v>90</v>
      </c>
      <c r="J94" s="48" t="s">
        <v>31</v>
      </c>
      <c r="K94" s="48" t="s">
        <v>32</v>
      </c>
      <c r="M94" s="2">
        <v>400</v>
      </c>
      <c r="N94" s="221"/>
    </row>
    <row r="95" spans="1:18" ht="15.75" customHeight="1">
      <c r="A95" s="62">
        <v>5</v>
      </c>
      <c r="B95" s="48" t="s">
        <v>1078</v>
      </c>
      <c r="C95" s="48" t="s">
        <v>27</v>
      </c>
      <c r="D95" s="48" t="s">
        <v>98</v>
      </c>
      <c r="E95" s="48" t="s">
        <v>36</v>
      </c>
      <c r="F95" s="48"/>
      <c r="G95" s="48" t="s">
        <v>30</v>
      </c>
      <c r="H95" s="51">
        <v>500</v>
      </c>
      <c r="I95" s="119">
        <v>100</v>
      </c>
      <c r="J95" s="48" t="s">
        <v>31</v>
      </c>
      <c r="K95" s="48" t="s">
        <v>32</v>
      </c>
      <c r="M95" s="2"/>
      <c r="N95" s="225"/>
    </row>
    <row r="96" spans="1:18" ht="15.75" customHeight="1">
      <c r="A96" s="62">
        <v>5</v>
      </c>
      <c r="B96" s="48" t="s">
        <v>1079</v>
      </c>
      <c r="C96" s="48" t="s">
        <v>27</v>
      </c>
      <c r="D96" s="48" t="s">
        <v>98</v>
      </c>
      <c r="E96" s="48" t="s">
        <v>36</v>
      </c>
      <c r="F96" s="48"/>
      <c r="G96" s="48" t="s">
        <v>30</v>
      </c>
      <c r="H96" s="51">
        <v>500</v>
      </c>
      <c r="I96" s="119" t="s">
        <v>90</v>
      </c>
      <c r="J96" s="48" t="s">
        <v>31</v>
      </c>
      <c r="K96" s="48" t="s">
        <v>32</v>
      </c>
      <c r="M96" s="2"/>
      <c r="N96" s="225"/>
    </row>
    <row r="97" spans="1:14" ht="15.75" customHeight="1">
      <c r="A97" s="62">
        <v>5</v>
      </c>
      <c r="B97" s="48" t="s">
        <v>1079</v>
      </c>
      <c r="C97" s="48" t="s">
        <v>27</v>
      </c>
      <c r="D97" s="48" t="s">
        <v>98</v>
      </c>
      <c r="E97" s="48" t="s">
        <v>36</v>
      </c>
      <c r="F97" s="48"/>
      <c r="G97" s="48" t="s">
        <v>30</v>
      </c>
      <c r="H97" s="51">
        <v>500</v>
      </c>
      <c r="I97" s="119">
        <v>100</v>
      </c>
      <c r="J97" s="48" t="s">
        <v>31</v>
      </c>
      <c r="K97" s="48" t="s">
        <v>32</v>
      </c>
      <c r="M97" s="2"/>
      <c r="N97" s="225"/>
    </row>
    <row r="98" spans="1:14" ht="15.75" customHeight="1">
      <c r="A98" s="62">
        <v>5</v>
      </c>
      <c r="B98" s="48" t="s">
        <v>1080</v>
      </c>
      <c r="C98" s="48" t="s">
        <v>27</v>
      </c>
      <c r="D98" s="48" t="s">
        <v>760</v>
      </c>
      <c r="E98" s="48" t="s">
        <v>209</v>
      </c>
      <c r="F98" s="48"/>
      <c r="G98" s="48" t="s">
        <v>30</v>
      </c>
      <c r="H98" s="51">
        <v>6000</v>
      </c>
      <c r="I98" s="119">
        <v>1200</v>
      </c>
      <c r="J98" s="48" t="s">
        <v>31</v>
      </c>
      <c r="K98" s="48" t="s">
        <v>32</v>
      </c>
      <c r="M98" s="2">
        <v>5000</v>
      </c>
      <c r="N98" s="221"/>
    </row>
    <row r="99" spans="1:14" ht="15.75" customHeight="1">
      <c r="A99" s="62">
        <v>5</v>
      </c>
      <c r="B99" s="48" t="s">
        <v>480</v>
      </c>
      <c r="C99" s="48" t="s">
        <v>27</v>
      </c>
      <c r="D99" s="48" t="s">
        <v>481</v>
      </c>
      <c r="E99" s="215" t="s">
        <v>220</v>
      </c>
      <c r="F99" s="48"/>
      <c r="G99" s="48" t="s">
        <v>30</v>
      </c>
      <c r="H99" s="51">
        <v>10000</v>
      </c>
      <c r="I99" s="119">
        <v>2000</v>
      </c>
      <c r="J99" s="48" t="s">
        <v>31</v>
      </c>
      <c r="K99" s="48" t="s">
        <v>32</v>
      </c>
      <c r="M99" s="2"/>
      <c r="N99" s="224"/>
    </row>
    <row r="100" spans="1:14" ht="15.75" customHeight="1">
      <c r="A100" s="62">
        <v>5</v>
      </c>
      <c r="B100" s="48" t="s">
        <v>1081</v>
      </c>
      <c r="C100" s="48" t="s">
        <v>27</v>
      </c>
      <c r="D100" s="48" t="s">
        <v>104</v>
      </c>
      <c r="E100" s="48" t="s">
        <v>36</v>
      </c>
      <c r="F100" s="48"/>
      <c r="G100" s="48" t="s">
        <v>30</v>
      </c>
      <c r="H100" s="51">
        <v>300</v>
      </c>
      <c r="I100" s="119">
        <v>60</v>
      </c>
      <c r="J100" s="48" t="s">
        <v>31</v>
      </c>
      <c r="K100" s="48" t="s">
        <v>32</v>
      </c>
      <c r="M100" s="2">
        <v>150</v>
      </c>
      <c r="N100" s="224"/>
    </row>
    <row r="101" spans="1:14" ht="15.75" customHeight="1">
      <c r="A101" s="62">
        <v>5</v>
      </c>
      <c r="B101" s="48" t="s">
        <v>1082</v>
      </c>
      <c r="C101" s="48" t="s">
        <v>27</v>
      </c>
      <c r="D101" s="48" t="s">
        <v>1083</v>
      </c>
      <c r="E101" s="48" t="s">
        <v>245</v>
      </c>
      <c r="F101" s="48"/>
      <c r="G101" s="48" t="s">
        <v>30</v>
      </c>
      <c r="H101" s="51">
        <v>1000</v>
      </c>
      <c r="I101" s="119">
        <v>200</v>
      </c>
      <c r="J101" s="48" t="s">
        <v>31</v>
      </c>
      <c r="K101" s="48" t="s">
        <v>32</v>
      </c>
      <c r="M101" s="2">
        <v>300</v>
      </c>
      <c r="N101" s="224"/>
    </row>
    <row r="102" spans="1:14" ht="15.75" customHeight="1">
      <c r="A102" s="62">
        <v>5</v>
      </c>
      <c r="B102" s="48" t="s">
        <v>922</v>
      </c>
      <c r="C102" s="48" t="s">
        <v>27</v>
      </c>
      <c r="D102" s="48" t="s">
        <v>712</v>
      </c>
      <c r="E102" s="48" t="s">
        <v>145</v>
      </c>
      <c r="F102" s="48"/>
      <c r="G102" s="48" t="s">
        <v>30</v>
      </c>
      <c r="H102" s="51">
        <v>500</v>
      </c>
      <c r="I102" s="119" t="s">
        <v>90</v>
      </c>
      <c r="J102" s="48" t="s">
        <v>31</v>
      </c>
      <c r="K102" s="48" t="s">
        <v>32</v>
      </c>
      <c r="M102" s="2">
        <v>400</v>
      </c>
      <c r="N102" s="2"/>
    </row>
    <row r="103" spans="1:14" ht="15.75" customHeight="1">
      <c r="A103" s="62">
        <v>5</v>
      </c>
      <c r="B103" s="48" t="s">
        <v>922</v>
      </c>
      <c r="C103" s="48" t="s">
        <v>27</v>
      </c>
      <c r="D103" s="48" t="s">
        <v>712</v>
      </c>
      <c r="E103" s="48" t="s">
        <v>145</v>
      </c>
      <c r="F103" s="48"/>
      <c r="G103" s="48" t="s">
        <v>30</v>
      </c>
      <c r="H103" s="51">
        <v>2000</v>
      </c>
      <c r="I103" s="119">
        <v>400</v>
      </c>
      <c r="J103" s="48" t="s">
        <v>31</v>
      </c>
      <c r="K103" s="48" t="s">
        <v>32</v>
      </c>
      <c r="M103" s="2"/>
      <c r="N103" s="2"/>
    </row>
    <row r="104" spans="1:14" ht="15.75" customHeight="1">
      <c r="A104" s="62">
        <v>5</v>
      </c>
      <c r="B104" s="48" t="s">
        <v>1084</v>
      </c>
      <c r="C104" s="215" t="s">
        <v>39</v>
      </c>
      <c r="D104" s="48" t="s">
        <v>217</v>
      </c>
      <c r="E104" s="48" t="s">
        <v>209</v>
      </c>
      <c r="F104" s="48"/>
      <c r="G104" s="48" t="s">
        <v>30</v>
      </c>
      <c r="H104" s="51">
        <v>1500</v>
      </c>
      <c r="I104" s="119">
        <v>300</v>
      </c>
      <c r="J104" s="48" t="s">
        <v>31</v>
      </c>
      <c r="K104" s="48" t="s">
        <v>32</v>
      </c>
      <c r="M104" s="2">
        <v>200</v>
      </c>
      <c r="N104" s="2"/>
    </row>
    <row r="105" spans="1:14" ht="15.75" customHeight="1">
      <c r="A105" s="62">
        <v>5</v>
      </c>
      <c r="B105" s="48" t="s">
        <v>1085</v>
      </c>
      <c r="C105" s="48" t="s">
        <v>27</v>
      </c>
      <c r="D105" s="48" t="s">
        <v>434</v>
      </c>
      <c r="E105" s="48" t="s">
        <v>36</v>
      </c>
      <c r="F105" s="48"/>
      <c r="G105" s="48" t="s">
        <v>30</v>
      </c>
      <c r="H105" s="51">
        <v>5000</v>
      </c>
      <c r="I105" s="119">
        <v>1000</v>
      </c>
      <c r="J105" s="48" t="s">
        <v>31</v>
      </c>
      <c r="K105" s="48" t="s">
        <v>32</v>
      </c>
      <c r="M105" s="2">
        <v>900</v>
      </c>
      <c r="N105" s="2"/>
    </row>
    <row r="106" spans="1:14" ht="15.75" customHeight="1">
      <c r="A106" s="62">
        <v>5</v>
      </c>
      <c r="B106" s="48" t="s">
        <v>1086</v>
      </c>
      <c r="C106" s="48" t="s">
        <v>27</v>
      </c>
      <c r="D106" s="48" t="s">
        <v>1087</v>
      </c>
      <c r="E106" s="48" t="s">
        <v>84</v>
      </c>
      <c r="F106" s="48"/>
      <c r="G106" s="48" t="s">
        <v>30</v>
      </c>
      <c r="H106" s="51">
        <v>1500</v>
      </c>
      <c r="I106" s="119">
        <v>300</v>
      </c>
      <c r="J106" s="48" t="s">
        <v>31</v>
      </c>
      <c r="K106" s="48" t="s">
        <v>32</v>
      </c>
      <c r="M106" s="2">
        <v>600</v>
      </c>
      <c r="N106" s="2"/>
    </row>
    <row r="107" spans="1:14" ht="15.75" customHeight="1">
      <c r="A107" s="62">
        <v>5</v>
      </c>
      <c r="B107" s="48" t="s">
        <v>1088</v>
      </c>
      <c r="C107" s="48" t="s">
        <v>27</v>
      </c>
      <c r="D107" s="48" t="s">
        <v>1089</v>
      </c>
      <c r="E107" s="48" t="s">
        <v>56</v>
      </c>
      <c r="F107" s="48"/>
      <c r="G107" s="48" t="s">
        <v>30</v>
      </c>
      <c r="H107" s="51">
        <v>3000</v>
      </c>
      <c r="I107" s="119">
        <v>600</v>
      </c>
      <c r="J107" s="48" t="s">
        <v>31</v>
      </c>
      <c r="K107" s="48" t="s">
        <v>32</v>
      </c>
      <c r="M107" s="2">
        <v>500</v>
      </c>
      <c r="N107" s="2"/>
    </row>
    <row r="108" spans="1:14" ht="15.75" customHeight="1">
      <c r="A108" s="62">
        <v>5</v>
      </c>
      <c r="B108" s="48" t="s">
        <v>1090</v>
      </c>
      <c r="C108" s="48" t="s">
        <v>27</v>
      </c>
      <c r="D108" s="48" t="s">
        <v>108</v>
      </c>
      <c r="E108" s="48" t="s">
        <v>169</v>
      </c>
      <c r="F108" s="48"/>
      <c r="G108" s="48" t="s">
        <v>30</v>
      </c>
      <c r="H108" s="51">
        <v>150</v>
      </c>
      <c r="I108" s="119">
        <v>30</v>
      </c>
      <c r="J108" s="48" t="s">
        <v>31</v>
      </c>
      <c r="K108" s="48" t="s">
        <v>32</v>
      </c>
      <c r="M108" s="2"/>
      <c r="N108" s="2"/>
    </row>
    <row r="109" spans="1:14" ht="15.75" customHeight="1">
      <c r="A109" s="62">
        <v>5</v>
      </c>
      <c r="B109" s="48" t="s">
        <v>1091</v>
      </c>
      <c r="C109" s="215" t="s">
        <v>39</v>
      </c>
      <c r="D109" s="48" t="s">
        <v>289</v>
      </c>
      <c r="E109" s="48" t="s">
        <v>36</v>
      </c>
      <c r="F109" s="48"/>
      <c r="G109" s="48" t="s">
        <v>30</v>
      </c>
      <c r="H109" s="51">
        <v>500</v>
      </c>
      <c r="I109" s="119" t="s">
        <v>90</v>
      </c>
      <c r="J109" s="48" t="s">
        <v>31</v>
      </c>
      <c r="K109" s="48" t="s">
        <v>32</v>
      </c>
      <c r="M109" s="2">
        <v>300</v>
      </c>
      <c r="N109" s="2"/>
    </row>
    <row r="110" spans="1:14" ht="15.75" customHeight="1">
      <c r="A110" s="62">
        <v>5</v>
      </c>
      <c r="B110" s="48" t="s">
        <v>1091</v>
      </c>
      <c r="C110" s="215" t="s">
        <v>39</v>
      </c>
      <c r="D110" s="48" t="s">
        <v>289</v>
      </c>
      <c r="E110" s="48" t="s">
        <v>36</v>
      </c>
      <c r="F110" s="48"/>
      <c r="G110" s="48" t="s">
        <v>30</v>
      </c>
      <c r="H110" s="51">
        <v>1500</v>
      </c>
      <c r="I110" s="119">
        <v>300</v>
      </c>
      <c r="J110" s="48" t="s">
        <v>31</v>
      </c>
      <c r="K110" s="48" t="s">
        <v>32</v>
      </c>
      <c r="M110" s="2"/>
      <c r="N110" s="2"/>
    </row>
    <row r="111" spans="1:14" ht="15.75" customHeight="1">
      <c r="A111" s="62">
        <v>5</v>
      </c>
      <c r="B111" s="48" t="s">
        <v>1092</v>
      </c>
      <c r="C111" s="48" t="s">
        <v>27</v>
      </c>
      <c r="D111" s="48" t="s">
        <v>50</v>
      </c>
      <c r="E111" s="48" t="s">
        <v>145</v>
      </c>
      <c r="F111" s="48"/>
      <c r="G111" s="48" t="s">
        <v>30</v>
      </c>
      <c r="H111" s="51">
        <v>500</v>
      </c>
      <c r="I111" s="119" t="s">
        <v>90</v>
      </c>
      <c r="J111" s="48" t="s">
        <v>31</v>
      </c>
      <c r="K111" s="48" t="s">
        <v>32</v>
      </c>
      <c r="M111" s="2">
        <v>400</v>
      </c>
      <c r="N111" s="2"/>
    </row>
    <row r="112" spans="1:14" ht="15.75" customHeight="1">
      <c r="A112" s="62">
        <v>5</v>
      </c>
      <c r="B112" s="48" t="s">
        <v>1092</v>
      </c>
      <c r="C112" s="48" t="s">
        <v>27</v>
      </c>
      <c r="D112" s="48" t="s">
        <v>50</v>
      </c>
      <c r="E112" s="48" t="s">
        <v>145</v>
      </c>
      <c r="F112" s="48"/>
      <c r="G112" s="48" t="s">
        <v>30</v>
      </c>
      <c r="H112" s="51">
        <v>500</v>
      </c>
      <c r="I112" s="119">
        <v>100</v>
      </c>
      <c r="J112" s="48" t="s">
        <v>31</v>
      </c>
      <c r="K112" s="48" t="s">
        <v>32</v>
      </c>
      <c r="M112" s="2"/>
      <c r="N112" s="2"/>
    </row>
    <row r="113" spans="1:14" ht="15.75" customHeight="1">
      <c r="A113" s="62">
        <v>5</v>
      </c>
      <c r="B113" s="48" t="s">
        <v>1093</v>
      </c>
      <c r="C113" s="48" t="s">
        <v>27</v>
      </c>
      <c r="D113" s="48" t="s">
        <v>253</v>
      </c>
      <c r="E113" s="48" t="s">
        <v>54</v>
      </c>
      <c r="F113" s="48"/>
      <c r="G113" s="48" t="s">
        <v>30</v>
      </c>
      <c r="H113" s="51">
        <v>2000</v>
      </c>
      <c r="I113" s="119">
        <v>400</v>
      </c>
      <c r="J113" s="48" t="s">
        <v>31</v>
      </c>
      <c r="K113" s="48" t="s">
        <v>32</v>
      </c>
      <c r="M113" s="2">
        <v>700</v>
      </c>
      <c r="N113" s="2"/>
    </row>
    <row r="114" spans="1:14" ht="15.75" customHeight="1">
      <c r="A114" s="62">
        <v>5</v>
      </c>
      <c r="B114" s="48" t="s">
        <v>1094</v>
      </c>
      <c r="C114" s="48" t="s">
        <v>27</v>
      </c>
      <c r="D114" s="48" t="s">
        <v>1095</v>
      </c>
      <c r="E114" s="48" t="s">
        <v>89</v>
      </c>
      <c r="F114" s="48"/>
      <c r="G114" s="48" t="s">
        <v>30</v>
      </c>
      <c r="H114" s="51">
        <v>500</v>
      </c>
      <c r="I114" s="119">
        <v>100</v>
      </c>
      <c r="J114" s="48" t="s">
        <v>31</v>
      </c>
      <c r="K114" s="48" t="s">
        <v>32</v>
      </c>
      <c r="M114" s="2">
        <v>300</v>
      </c>
      <c r="N114" s="2"/>
    </row>
    <row r="115" spans="1:14" ht="15.75" customHeight="1">
      <c r="A115" s="62">
        <v>5</v>
      </c>
      <c r="B115" s="48" t="s">
        <v>1096</v>
      </c>
      <c r="C115" s="48" t="s">
        <v>27</v>
      </c>
      <c r="D115" s="48" t="s">
        <v>137</v>
      </c>
      <c r="E115" s="48" t="s">
        <v>84</v>
      </c>
      <c r="F115" s="48"/>
      <c r="G115" s="48" t="s">
        <v>30</v>
      </c>
      <c r="H115" s="51">
        <v>2000</v>
      </c>
      <c r="I115" s="119">
        <v>400</v>
      </c>
      <c r="J115" s="48" t="s">
        <v>31</v>
      </c>
      <c r="K115" s="48" t="s">
        <v>32</v>
      </c>
      <c r="M115" s="2">
        <v>200</v>
      </c>
      <c r="N115" s="2"/>
    </row>
    <row r="116" spans="1:14" ht="15.75" customHeight="1">
      <c r="A116" s="62">
        <v>5</v>
      </c>
      <c r="B116" s="48" t="s">
        <v>1097</v>
      </c>
      <c r="C116" s="48" t="s">
        <v>27</v>
      </c>
      <c r="D116" s="48" t="s">
        <v>319</v>
      </c>
      <c r="E116" s="48" t="s">
        <v>36</v>
      </c>
      <c r="F116" s="48"/>
      <c r="G116" s="48" t="s">
        <v>30</v>
      </c>
      <c r="H116" s="51">
        <v>500</v>
      </c>
      <c r="I116" s="119">
        <v>100</v>
      </c>
      <c r="J116" s="48" t="s">
        <v>31</v>
      </c>
      <c r="K116" s="48" t="s">
        <v>32</v>
      </c>
      <c r="M116" s="2">
        <v>150</v>
      </c>
      <c r="N116" s="2"/>
    </row>
    <row r="117" spans="1:14" ht="15.75" customHeight="1">
      <c r="A117" s="62">
        <v>5</v>
      </c>
      <c r="B117" s="48" t="s">
        <v>1098</v>
      </c>
      <c r="C117" s="215" t="s">
        <v>39</v>
      </c>
      <c r="D117" s="48" t="s">
        <v>1099</v>
      </c>
      <c r="E117" s="48" t="s">
        <v>68</v>
      </c>
      <c r="F117" s="48"/>
      <c r="G117" s="48" t="s">
        <v>30</v>
      </c>
      <c r="H117" s="51">
        <v>2000</v>
      </c>
      <c r="I117" s="119" t="s">
        <v>90</v>
      </c>
      <c r="J117" s="48" t="s">
        <v>31</v>
      </c>
      <c r="K117" s="48" t="s">
        <v>32</v>
      </c>
      <c r="M117" s="2">
        <v>1000</v>
      </c>
      <c r="N117" s="2"/>
    </row>
    <row r="118" spans="1:14" ht="15.75" customHeight="1">
      <c r="A118" s="62">
        <v>5</v>
      </c>
      <c r="B118" s="48" t="s">
        <v>1098</v>
      </c>
      <c r="C118" s="215" t="s">
        <v>39</v>
      </c>
      <c r="D118" s="48" t="s">
        <v>1099</v>
      </c>
      <c r="E118" s="48" t="s">
        <v>68</v>
      </c>
      <c r="F118" s="48"/>
      <c r="G118" s="48" t="s">
        <v>30</v>
      </c>
      <c r="H118" s="51">
        <v>1000</v>
      </c>
      <c r="I118" s="119">
        <v>200</v>
      </c>
      <c r="J118" s="48" t="s">
        <v>31</v>
      </c>
      <c r="K118" s="48" t="s">
        <v>32</v>
      </c>
      <c r="M118" s="2"/>
      <c r="N118" s="2"/>
    </row>
    <row r="119" spans="1:14" ht="15.75" customHeight="1">
      <c r="A119" s="62">
        <v>5</v>
      </c>
      <c r="B119" s="48" t="s">
        <v>1100</v>
      </c>
      <c r="C119" s="48" t="s">
        <v>27</v>
      </c>
      <c r="D119" s="48" t="s">
        <v>68</v>
      </c>
      <c r="E119" s="48" t="s">
        <v>79</v>
      </c>
      <c r="F119" s="48"/>
      <c r="G119" s="48" t="s">
        <v>30</v>
      </c>
      <c r="H119" s="51">
        <v>200</v>
      </c>
      <c r="I119" s="119">
        <v>40</v>
      </c>
      <c r="J119" s="48" t="s">
        <v>31</v>
      </c>
      <c r="K119" s="48" t="s">
        <v>32</v>
      </c>
      <c r="M119" s="2"/>
      <c r="N119" s="2"/>
    </row>
    <row r="120" spans="1:14" ht="15.75" customHeight="1">
      <c r="A120" s="62">
        <v>5</v>
      </c>
      <c r="B120" s="48" t="s">
        <v>1101</v>
      </c>
      <c r="C120" s="48" t="s">
        <v>27</v>
      </c>
      <c r="D120" s="48" t="s">
        <v>106</v>
      </c>
      <c r="E120" s="48" t="s">
        <v>29</v>
      </c>
      <c r="F120" s="48"/>
      <c r="G120" s="48" t="s">
        <v>30</v>
      </c>
      <c r="H120" s="51">
        <v>3500</v>
      </c>
      <c r="I120" s="119">
        <v>700</v>
      </c>
      <c r="J120" s="48" t="s">
        <v>31</v>
      </c>
      <c r="K120" s="48" t="s">
        <v>32</v>
      </c>
      <c r="M120" s="2">
        <v>2500</v>
      </c>
      <c r="N120" s="2"/>
    </row>
    <row r="121" spans="1:14" ht="15.75" customHeight="1">
      <c r="A121" s="62">
        <v>5</v>
      </c>
      <c r="B121" s="48" t="s">
        <v>1102</v>
      </c>
      <c r="C121" s="215" t="s">
        <v>39</v>
      </c>
      <c r="D121" s="48" t="s">
        <v>1103</v>
      </c>
      <c r="E121" s="48" t="s">
        <v>36</v>
      </c>
      <c r="F121" s="48"/>
      <c r="G121" s="48" t="s">
        <v>30</v>
      </c>
      <c r="H121" s="51">
        <v>1000</v>
      </c>
      <c r="I121" s="119">
        <v>300</v>
      </c>
      <c r="J121" s="48" t="s">
        <v>31</v>
      </c>
      <c r="K121" s="48" t="s">
        <v>32</v>
      </c>
      <c r="M121" s="2"/>
      <c r="N121" s="2"/>
    </row>
    <row r="122" spans="1:14" ht="15.75" customHeight="1">
      <c r="A122" s="62">
        <v>5</v>
      </c>
      <c r="B122" s="48" t="s">
        <v>1104</v>
      </c>
      <c r="C122" s="215" t="s">
        <v>39</v>
      </c>
      <c r="D122" s="48" t="s">
        <v>289</v>
      </c>
      <c r="E122" s="48" t="s">
        <v>36</v>
      </c>
      <c r="F122" s="48"/>
      <c r="G122" s="48" t="s">
        <v>30</v>
      </c>
      <c r="H122" s="51">
        <v>500</v>
      </c>
      <c r="I122" s="119" t="s">
        <v>90</v>
      </c>
      <c r="J122" s="48" t="s">
        <v>31</v>
      </c>
      <c r="K122" s="48" t="s">
        <v>32</v>
      </c>
      <c r="M122" s="2">
        <v>104</v>
      </c>
      <c r="N122" s="2"/>
    </row>
    <row r="123" spans="1:14" ht="15.75" customHeight="1">
      <c r="A123" s="62">
        <v>5</v>
      </c>
      <c r="B123" s="48" t="s">
        <v>1104</v>
      </c>
      <c r="C123" s="215" t="s">
        <v>39</v>
      </c>
      <c r="D123" s="48" t="s">
        <v>289</v>
      </c>
      <c r="E123" s="48" t="s">
        <v>36</v>
      </c>
      <c r="F123" s="48"/>
      <c r="G123" s="48" t="s">
        <v>30</v>
      </c>
      <c r="H123" s="51">
        <v>500</v>
      </c>
      <c r="I123" s="119">
        <v>100</v>
      </c>
      <c r="J123" s="48" t="s">
        <v>31</v>
      </c>
      <c r="K123" s="48" t="s">
        <v>32</v>
      </c>
      <c r="M123" s="2"/>
      <c r="N123" s="2"/>
    </row>
    <row r="124" spans="1:14" ht="15.75" customHeight="1">
      <c r="A124" s="62">
        <v>5</v>
      </c>
      <c r="B124" s="48" t="s">
        <v>1105</v>
      </c>
      <c r="C124" s="48" t="s">
        <v>27</v>
      </c>
      <c r="D124" s="48" t="s">
        <v>96</v>
      </c>
      <c r="E124" s="48" t="s">
        <v>44</v>
      </c>
      <c r="F124" s="48"/>
      <c r="G124" s="48" t="s">
        <v>30</v>
      </c>
      <c r="H124" s="51">
        <v>500</v>
      </c>
      <c r="I124" s="119">
        <v>100</v>
      </c>
      <c r="J124" s="48" t="s">
        <v>31</v>
      </c>
      <c r="K124" s="48" t="s">
        <v>32</v>
      </c>
      <c r="M124" s="2">
        <v>50</v>
      </c>
      <c r="N124" s="2"/>
    </row>
    <row r="125" spans="1:14" ht="15.75" customHeight="1">
      <c r="A125" s="62">
        <v>5</v>
      </c>
      <c r="B125" s="48" t="s">
        <v>1106</v>
      </c>
      <c r="C125" s="48" t="s">
        <v>27</v>
      </c>
      <c r="D125" s="48" t="s">
        <v>100</v>
      </c>
      <c r="E125" s="48" t="s">
        <v>484</v>
      </c>
      <c r="F125" s="48"/>
      <c r="G125" s="48" t="s">
        <v>30</v>
      </c>
      <c r="H125" s="51">
        <v>600</v>
      </c>
      <c r="I125" s="119">
        <v>120</v>
      </c>
      <c r="J125" s="48" t="s">
        <v>31</v>
      </c>
      <c r="K125" s="48" t="s">
        <v>32</v>
      </c>
      <c r="M125" s="2">
        <v>150</v>
      </c>
      <c r="N125" s="2"/>
    </row>
    <row r="126" spans="1:14" ht="15.75" customHeight="1">
      <c r="A126" s="62">
        <v>5</v>
      </c>
      <c r="B126" s="48" t="s">
        <v>1107</v>
      </c>
      <c r="C126" s="215" t="s">
        <v>39</v>
      </c>
      <c r="D126" s="48" t="s">
        <v>651</v>
      </c>
      <c r="E126" s="48" t="s">
        <v>86</v>
      </c>
      <c r="F126" s="48"/>
      <c r="G126" s="48" t="s">
        <v>30</v>
      </c>
      <c r="H126" s="51">
        <v>2000</v>
      </c>
      <c r="I126" s="119">
        <v>400</v>
      </c>
      <c r="J126" s="48" t="s">
        <v>31</v>
      </c>
      <c r="K126" s="48" t="s">
        <v>32</v>
      </c>
      <c r="M126" s="2">
        <v>300</v>
      </c>
      <c r="N126" s="2"/>
    </row>
    <row r="127" spans="1:14" ht="15.75" customHeight="1">
      <c r="A127" s="62">
        <v>5</v>
      </c>
      <c r="B127" s="48" t="s">
        <v>1107</v>
      </c>
      <c r="C127" s="215" t="s">
        <v>39</v>
      </c>
      <c r="D127" s="48" t="s">
        <v>651</v>
      </c>
      <c r="E127" s="48" t="s">
        <v>86</v>
      </c>
      <c r="F127" s="48"/>
      <c r="G127" s="48" t="s">
        <v>30</v>
      </c>
      <c r="H127" s="51">
        <v>500</v>
      </c>
      <c r="I127" s="119">
        <v>150</v>
      </c>
      <c r="J127" s="48" t="s">
        <v>31</v>
      </c>
      <c r="K127" s="48" t="s">
        <v>32</v>
      </c>
      <c r="M127" s="2"/>
      <c r="N127" s="2"/>
    </row>
    <row r="128" spans="1:14" ht="15.75" customHeight="1">
      <c r="A128" s="62">
        <v>5</v>
      </c>
      <c r="B128" s="48" t="s">
        <v>1108</v>
      </c>
      <c r="C128" s="215" t="s">
        <v>39</v>
      </c>
      <c r="D128" s="48" t="s">
        <v>211</v>
      </c>
      <c r="E128" s="48" t="s">
        <v>36</v>
      </c>
      <c r="F128" s="48"/>
      <c r="G128" s="48" t="s">
        <v>30</v>
      </c>
      <c r="H128" s="51">
        <v>3500</v>
      </c>
      <c r="I128" s="119">
        <v>700</v>
      </c>
      <c r="J128" s="48" t="s">
        <v>31</v>
      </c>
      <c r="K128" s="48" t="s">
        <v>32</v>
      </c>
      <c r="M128" s="2">
        <v>960</v>
      </c>
      <c r="N128" s="2"/>
    </row>
    <row r="129" spans="1:14" ht="15.75" customHeight="1">
      <c r="A129" s="62">
        <v>5</v>
      </c>
      <c r="B129" s="48" t="s">
        <v>1109</v>
      </c>
      <c r="C129" s="48" t="s">
        <v>27</v>
      </c>
      <c r="D129" s="48" t="s">
        <v>1110</v>
      </c>
      <c r="E129" s="48" t="s">
        <v>79</v>
      </c>
      <c r="F129" s="48"/>
      <c r="G129" s="48" t="s">
        <v>30</v>
      </c>
      <c r="H129" s="51">
        <v>400</v>
      </c>
      <c r="I129" s="119">
        <v>80</v>
      </c>
      <c r="J129" s="48" t="s">
        <v>31</v>
      </c>
      <c r="K129" s="48" t="s">
        <v>32</v>
      </c>
      <c r="M129" s="2">
        <v>70</v>
      </c>
      <c r="N129" s="2"/>
    </row>
    <row r="130" spans="1:14" ht="15.75" customHeight="1">
      <c r="A130" s="62">
        <v>5</v>
      </c>
      <c r="B130" s="48" t="s">
        <v>1111</v>
      </c>
      <c r="C130" s="48" t="s">
        <v>27</v>
      </c>
      <c r="D130" s="48" t="s">
        <v>1112</v>
      </c>
      <c r="E130" s="48" t="s">
        <v>44</v>
      </c>
      <c r="F130" s="48"/>
      <c r="G130" s="48" t="s">
        <v>30</v>
      </c>
      <c r="H130" s="51">
        <v>100</v>
      </c>
      <c r="I130" s="119">
        <v>20</v>
      </c>
      <c r="J130" s="48" t="s">
        <v>31</v>
      </c>
      <c r="K130" s="48" t="s">
        <v>32</v>
      </c>
      <c r="M130" s="2">
        <v>20</v>
      </c>
      <c r="N130" s="2"/>
    </row>
    <row r="131" spans="1:14" ht="15.75" customHeight="1">
      <c r="A131" s="62">
        <v>5</v>
      </c>
      <c r="B131" s="48" t="s">
        <v>1113</v>
      </c>
      <c r="C131" s="48" t="s">
        <v>27</v>
      </c>
      <c r="D131" s="48" t="s">
        <v>695</v>
      </c>
      <c r="E131" s="48" t="s">
        <v>102</v>
      </c>
      <c r="F131" s="48"/>
      <c r="G131" s="48" t="s">
        <v>30</v>
      </c>
      <c r="H131" s="51">
        <v>400</v>
      </c>
      <c r="I131" s="119">
        <v>80</v>
      </c>
      <c r="J131" s="48" t="s">
        <v>31</v>
      </c>
      <c r="K131" s="48" t="s">
        <v>32</v>
      </c>
      <c r="M131" s="2">
        <v>100</v>
      </c>
      <c r="N131" s="2"/>
    </row>
    <row r="132" spans="1:14" ht="15.75" customHeight="1">
      <c r="A132" s="62">
        <v>5</v>
      </c>
      <c r="B132" s="48" t="s">
        <v>1114</v>
      </c>
      <c r="C132" s="215" t="s">
        <v>39</v>
      </c>
      <c r="D132" s="48" t="s">
        <v>1115</v>
      </c>
      <c r="E132" s="48" t="s">
        <v>358</v>
      </c>
      <c r="F132" s="48"/>
      <c r="G132" s="48" t="s">
        <v>30</v>
      </c>
      <c r="H132" s="51">
        <v>5000</v>
      </c>
      <c r="I132" s="119">
        <v>1500</v>
      </c>
      <c r="J132" s="48" t="s">
        <v>31</v>
      </c>
      <c r="K132" s="48" t="s">
        <v>32</v>
      </c>
      <c r="M132" s="2"/>
      <c r="N132" s="2"/>
    </row>
    <row r="133" spans="1:14" ht="15.75" customHeight="1">
      <c r="A133" s="62">
        <v>5</v>
      </c>
      <c r="B133" s="48" t="s">
        <v>1116</v>
      </c>
      <c r="C133" s="48" t="s">
        <v>27</v>
      </c>
      <c r="D133" s="48" t="s">
        <v>645</v>
      </c>
      <c r="E133" s="48" t="s">
        <v>29</v>
      </c>
      <c r="F133" s="48"/>
      <c r="G133" s="48" t="s">
        <v>30</v>
      </c>
      <c r="H133" s="51">
        <v>4000</v>
      </c>
      <c r="I133" s="119">
        <v>800</v>
      </c>
      <c r="J133" s="48" t="s">
        <v>31</v>
      </c>
      <c r="K133" s="48" t="s">
        <v>32</v>
      </c>
      <c r="M133" s="2">
        <v>2500</v>
      </c>
      <c r="N133" s="2"/>
    </row>
    <row r="134" spans="1:14" ht="15.75" customHeight="1">
      <c r="A134" s="62">
        <v>5</v>
      </c>
      <c r="B134" s="48" t="s">
        <v>1117</v>
      </c>
      <c r="C134" s="215" t="s">
        <v>39</v>
      </c>
      <c r="D134" s="48" t="s">
        <v>144</v>
      </c>
      <c r="E134" s="48" t="s">
        <v>145</v>
      </c>
      <c r="F134" s="48"/>
      <c r="G134" s="48" t="s">
        <v>30</v>
      </c>
      <c r="H134" s="51">
        <v>2000</v>
      </c>
      <c r="I134" s="119">
        <v>400</v>
      </c>
      <c r="J134" s="48" t="s">
        <v>31</v>
      </c>
      <c r="K134" s="48" t="s">
        <v>32</v>
      </c>
      <c r="M134" s="2">
        <v>1000</v>
      </c>
      <c r="N134" s="2"/>
    </row>
    <row r="135" spans="1:14" ht="15.75" customHeight="1">
      <c r="A135" s="62">
        <v>5</v>
      </c>
      <c r="B135" s="48" t="s">
        <v>1118</v>
      </c>
      <c r="C135" s="48" t="s">
        <v>27</v>
      </c>
      <c r="D135" s="48" t="s">
        <v>65</v>
      </c>
      <c r="E135" s="48" t="s">
        <v>36</v>
      </c>
      <c r="F135" s="48"/>
      <c r="G135" s="48" t="s">
        <v>30</v>
      </c>
      <c r="H135" s="51">
        <v>500</v>
      </c>
      <c r="I135" s="119" t="s">
        <v>90</v>
      </c>
      <c r="J135" s="48" t="s">
        <v>31</v>
      </c>
      <c r="K135" s="48" t="s">
        <v>32</v>
      </c>
      <c r="M135" s="2">
        <v>600</v>
      </c>
      <c r="N135" s="2"/>
    </row>
    <row r="136" spans="1:14" ht="15.75" customHeight="1">
      <c r="A136" s="62">
        <v>5</v>
      </c>
      <c r="B136" s="48" t="s">
        <v>1118</v>
      </c>
      <c r="C136" s="48" t="s">
        <v>27</v>
      </c>
      <c r="D136" s="48" t="s">
        <v>65</v>
      </c>
      <c r="E136" s="48" t="s">
        <v>36</v>
      </c>
      <c r="F136" s="48"/>
      <c r="G136" s="48" t="s">
        <v>30</v>
      </c>
      <c r="H136" s="51">
        <v>2500</v>
      </c>
      <c r="I136" s="119">
        <v>500</v>
      </c>
      <c r="J136" s="48" t="s">
        <v>31</v>
      </c>
      <c r="K136" s="48" t="s">
        <v>32</v>
      </c>
      <c r="M136" s="2"/>
      <c r="N136" s="2"/>
    </row>
    <row r="137" spans="1:14" ht="15.75" customHeight="1">
      <c r="A137" s="62">
        <v>5</v>
      </c>
      <c r="B137" s="48" t="s">
        <v>1119</v>
      </c>
      <c r="C137" s="48" t="s">
        <v>27</v>
      </c>
      <c r="D137" s="48" t="s">
        <v>1120</v>
      </c>
      <c r="E137" s="48" t="s">
        <v>84</v>
      </c>
      <c r="F137" s="48"/>
      <c r="G137" s="48" t="s">
        <v>30</v>
      </c>
      <c r="H137" s="51">
        <v>150</v>
      </c>
      <c r="I137" s="119" t="s">
        <v>90</v>
      </c>
      <c r="J137" s="48" t="s">
        <v>31</v>
      </c>
      <c r="K137" s="48" t="s">
        <v>32</v>
      </c>
      <c r="M137" s="2">
        <v>250</v>
      </c>
      <c r="N137" s="2"/>
    </row>
    <row r="138" spans="1:14" ht="15.75" customHeight="1">
      <c r="A138" s="58">
        <v>5</v>
      </c>
      <c r="B138" s="58" t="s">
        <v>1121</v>
      </c>
      <c r="C138" s="58" t="s">
        <v>27</v>
      </c>
      <c r="D138" s="58" t="s">
        <v>104</v>
      </c>
      <c r="E138" s="58" t="s">
        <v>36</v>
      </c>
      <c r="F138" s="58"/>
      <c r="G138" s="58" t="s">
        <v>30</v>
      </c>
      <c r="H138" s="59">
        <v>2000</v>
      </c>
      <c r="I138" s="160" t="s">
        <v>90</v>
      </c>
      <c r="J138" s="48" t="s">
        <v>31</v>
      </c>
      <c r="K138" s="48" t="s">
        <v>32</v>
      </c>
      <c r="M138" s="2">
        <v>250</v>
      </c>
      <c r="N138" s="2"/>
    </row>
    <row r="139" spans="1:14" ht="15.75" customHeight="1">
      <c r="A139" s="62">
        <v>10</v>
      </c>
      <c r="B139" s="62" t="s">
        <v>1122</v>
      </c>
      <c r="C139" s="62" t="s">
        <v>27</v>
      </c>
      <c r="D139" s="62" t="s">
        <v>1123</v>
      </c>
      <c r="E139" s="62" t="s">
        <v>73</v>
      </c>
      <c r="F139" s="62"/>
      <c r="G139" s="62" t="s">
        <v>30</v>
      </c>
      <c r="H139" s="63">
        <v>1300</v>
      </c>
      <c r="I139" s="159">
        <v>260</v>
      </c>
      <c r="J139" s="48" t="s">
        <v>31</v>
      </c>
      <c r="K139" s="48" t="s">
        <v>32</v>
      </c>
      <c r="M139" s="2">
        <v>300</v>
      </c>
      <c r="N139" s="2"/>
    </row>
    <row r="140" spans="1:14" ht="15.75" customHeight="1">
      <c r="A140" s="62">
        <v>10</v>
      </c>
      <c r="B140" s="48" t="s">
        <v>1124</v>
      </c>
      <c r="C140" s="48" t="s">
        <v>27</v>
      </c>
      <c r="D140" s="48" t="s">
        <v>98</v>
      </c>
      <c r="E140" s="48" t="s">
        <v>36</v>
      </c>
      <c r="F140" s="48"/>
      <c r="G140" s="48" t="s">
        <v>30</v>
      </c>
      <c r="H140" s="51">
        <v>2100</v>
      </c>
      <c r="I140" s="119">
        <v>840</v>
      </c>
      <c r="J140" s="48" t="s">
        <v>31</v>
      </c>
      <c r="K140" s="48" t="s">
        <v>32</v>
      </c>
      <c r="M140" s="2">
        <v>700</v>
      </c>
      <c r="N140" s="2"/>
    </row>
    <row r="141" spans="1:14" ht="15.75" customHeight="1">
      <c r="A141" s="62">
        <v>10</v>
      </c>
      <c r="B141" s="48" t="s">
        <v>1124</v>
      </c>
      <c r="C141" s="48" t="s">
        <v>27</v>
      </c>
      <c r="D141" s="48" t="s">
        <v>98</v>
      </c>
      <c r="E141" s="48" t="s">
        <v>36</v>
      </c>
      <c r="F141" s="48"/>
      <c r="G141" s="48" t="s">
        <v>30</v>
      </c>
      <c r="H141" s="51">
        <v>1000</v>
      </c>
      <c r="I141" s="119">
        <v>200</v>
      </c>
      <c r="J141" s="48" t="s">
        <v>31</v>
      </c>
      <c r="K141" s="48" t="s">
        <v>32</v>
      </c>
      <c r="M141" s="2"/>
      <c r="N141" s="2"/>
    </row>
    <row r="142" spans="1:14" ht="15.75" customHeight="1">
      <c r="A142" s="62">
        <v>10</v>
      </c>
      <c r="B142" s="48" t="s">
        <v>1125</v>
      </c>
      <c r="C142" s="48" t="s">
        <v>27</v>
      </c>
      <c r="D142" s="48" t="s">
        <v>262</v>
      </c>
      <c r="E142" s="48" t="s">
        <v>68</v>
      </c>
      <c r="F142" s="48"/>
      <c r="G142" s="48" t="s">
        <v>30</v>
      </c>
      <c r="H142" s="51">
        <v>1500</v>
      </c>
      <c r="I142" s="119" t="s">
        <v>90</v>
      </c>
      <c r="J142" s="48" t="s">
        <v>31</v>
      </c>
      <c r="K142" s="48" t="s">
        <v>32</v>
      </c>
      <c r="M142" s="2">
        <v>400</v>
      </c>
      <c r="N142" s="2"/>
    </row>
    <row r="143" spans="1:14" ht="15.75" customHeight="1">
      <c r="A143" s="62">
        <v>10</v>
      </c>
      <c r="B143" s="48" t="s">
        <v>1125</v>
      </c>
      <c r="C143" s="48" t="s">
        <v>27</v>
      </c>
      <c r="D143" s="48" t="s">
        <v>262</v>
      </c>
      <c r="E143" s="48" t="s">
        <v>68</v>
      </c>
      <c r="F143" s="48"/>
      <c r="G143" s="48" t="s">
        <v>30</v>
      </c>
      <c r="H143" s="51">
        <v>500</v>
      </c>
      <c r="I143" s="119">
        <v>100</v>
      </c>
      <c r="J143" s="48" t="s">
        <v>31</v>
      </c>
      <c r="K143" s="48" t="s">
        <v>32</v>
      </c>
      <c r="M143" s="2"/>
      <c r="N143" s="2"/>
    </row>
    <row r="144" spans="1:14" ht="15.75" customHeight="1">
      <c r="A144" s="62">
        <v>10</v>
      </c>
      <c r="B144" s="48" t="s">
        <v>1126</v>
      </c>
      <c r="C144" s="48" t="s">
        <v>27</v>
      </c>
      <c r="D144" s="48" t="s">
        <v>100</v>
      </c>
      <c r="E144" s="48" t="s">
        <v>86</v>
      </c>
      <c r="F144" s="48"/>
      <c r="G144" s="48" t="s">
        <v>30</v>
      </c>
      <c r="H144" s="51">
        <v>200</v>
      </c>
      <c r="I144" s="119">
        <v>40</v>
      </c>
      <c r="J144" s="48" t="s">
        <v>31</v>
      </c>
      <c r="K144" s="48" t="s">
        <v>32</v>
      </c>
      <c r="M144" s="2"/>
      <c r="N144" s="2"/>
    </row>
    <row r="145" spans="1:17" ht="15.75" customHeight="1">
      <c r="A145" s="62">
        <v>10</v>
      </c>
      <c r="B145" s="48" t="s">
        <v>1127</v>
      </c>
      <c r="C145" s="48" t="s">
        <v>27</v>
      </c>
      <c r="D145" s="48" t="s">
        <v>823</v>
      </c>
      <c r="E145" s="48" t="s">
        <v>824</v>
      </c>
      <c r="F145" s="48"/>
      <c r="G145" s="48" t="s">
        <v>30</v>
      </c>
      <c r="H145" s="51">
        <v>1000</v>
      </c>
      <c r="I145" s="119">
        <v>200</v>
      </c>
      <c r="J145" s="48" t="s">
        <v>31</v>
      </c>
      <c r="K145" s="48" t="s">
        <v>32</v>
      </c>
      <c r="M145" s="2">
        <v>240</v>
      </c>
      <c r="N145" s="2"/>
    </row>
    <row r="146" spans="1:17" ht="15.75" customHeight="1">
      <c r="A146" s="58">
        <v>10</v>
      </c>
      <c r="B146" s="48" t="s">
        <v>1127</v>
      </c>
      <c r="C146" s="48" t="s">
        <v>27</v>
      </c>
      <c r="D146" s="48" t="s">
        <v>823</v>
      </c>
      <c r="E146" s="48" t="s">
        <v>824</v>
      </c>
      <c r="F146" s="58"/>
      <c r="G146" s="58" t="s">
        <v>608</v>
      </c>
      <c r="H146" s="59">
        <v>120</v>
      </c>
      <c r="I146" s="160">
        <v>1200</v>
      </c>
      <c r="J146" s="48" t="s">
        <v>31</v>
      </c>
      <c r="K146" s="48" t="s">
        <v>32</v>
      </c>
      <c r="M146" s="2"/>
      <c r="N146" s="2"/>
    </row>
    <row r="147" spans="1:17" ht="15.75" customHeight="1">
      <c r="A147" s="62">
        <v>11</v>
      </c>
      <c r="B147" s="62" t="s">
        <v>1128</v>
      </c>
      <c r="C147" s="62" t="s">
        <v>27</v>
      </c>
      <c r="D147" s="62" t="s">
        <v>1129</v>
      </c>
      <c r="E147" s="62" t="s">
        <v>29</v>
      </c>
      <c r="F147" s="62"/>
      <c r="G147" s="62" t="s">
        <v>30</v>
      </c>
      <c r="H147" s="63">
        <v>34000</v>
      </c>
      <c r="I147" s="159">
        <v>6800</v>
      </c>
      <c r="J147" s="48" t="s">
        <v>31</v>
      </c>
      <c r="K147" s="48" t="s">
        <v>32</v>
      </c>
      <c r="M147" s="2">
        <v>7500</v>
      </c>
      <c r="N147" s="2"/>
    </row>
    <row r="148" spans="1:17" ht="15.75" customHeight="1">
      <c r="A148" s="62">
        <v>11</v>
      </c>
      <c r="B148" s="48" t="s">
        <v>1130</v>
      </c>
      <c r="C148" s="48" t="s">
        <v>27</v>
      </c>
      <c r="D148" s="48" t="s">
        <v>733</v>
      </c>
      <c r="E148" s="48" t="s">
        <v>54</v>
      </c>
      <c r="F148" s="48"/>
      <c r="G148" s="48" t="s">
        <v>30</v>
      </c>
      <c r="H148" s="51">
        <v>4000</v>
      </c>
      <c r="I148" s="119">
        <v>800</v>
      </c>
      <c r="J148" s="48" t="s">
        <v>31</v>
      </c>
      <c r="K148" s="48" t="s">
        <v>32</v>
      </c>
      <c r="M148" s="2">
        <v>900</v>
      </c>
      <c r="N148" s="2"/>
    </row>
    <row r="149" spans="1:17" ht="15.75" customHeight="1">
      <c r="A149" s="62">
        <v>11</v>
      </c>
      <c r="B149" s="48" t="s">
        <v>1131</v>
      </c>
      <c r="C149" s="48" t="s">
        <v>27</v>
      </c>
      <c r="D149" s="48" t="s">
        <v>104</v>
      </c>
      <c r="E149" s="48" t="s">
        <v>36</v>
      </c>
      <c r="F149" s="48"/>
      <c r="G149" s="48" t="s">
        <v>30</v>
      </c>
      <c r="H149" s="51">
        <v>1500</v>
      </c>
      <c r="I149" s="119">
        <v>300</v>
      </c>
      <c r="J149" s="48" t="s">
        <v>31</v>
      </c>
      <c r="K149" s="48" t="s">
        <v>32</v>
      </c>
      <c r="M149" s="2"/>
      <c r="N149" s="2"/>
    </row>
    <row r="150" spans="1:17" ht="15.75" customHeight="1">
      <c r="A150" s="62">
        <v>11</v>
      </c>
      <c r="B150" s="48" t="s">
        <v>1132</v>
      </c>
      <c r="C150" s="48" t="s">
        <v>27</v>
      </c>
      <c r="D150" s="48" t="s">
        <v>1133</v>
      </c>
      <c r="E150" s="48" t="s">
        <v>209</v>
      </c>
      <c r="F150" s="48"/>
      <c r="G150" s="48" t="s">
        <v>30</v>
      </c>
      <c r="H150" s="51">
        <v>7500</v>
      </c>
      <c r="I150" s="119">
        <v>1500</v>
      </c>
      <c r="J150" s="48" t="s">
        <v>31</v>
      </c>
      <c r="K150" s="48" t="s">
        <v>32</v>
      </c>
      <c r="M150" s="2">
        <v>1200</v>
      </c>
      <c r="N150" s="2"/>
    </row>
    <row r="151" spans="1:17" ht="15.75" customHeight="1">
      <c r="A151" s="62">
        <v>11</v>
      </c>
      <c r="B151" s="48" t="s">
        <v>1134</v>
      </c>
      <c r="C151" s="215" t="s">
        <v>39</v>
      </c>
      <c r="D151" s="48" t="s">
        <v>389</v>
      </c>
      <c r="E151" s="48" t="s">
        <v>51</v>
      </c>
      <c r="F151" s="48"/>
      <c r="G151" s="48" t="s">
        <v>30</v>
      </c>
      <c r="H151" s="51">
        <v>1500</v>
      </c>
      <c r="I151" s="119" t="s">
        <v>90</v>
      </c>
      <c r="J151" s="48" t="s">
        <v>31</v>
      </c>
      <c r="K151" s="48" t="s">
        <v>32</v>
      </c>
      <c r="M151" s="2">
        <f>7500/5</f>
        <v>1500</v>
      </c>
      <c r="N151" s="2"/>
    </row>
    <row r="152" spans="1:17" ht="15.75" customHeight="1">
      <c r="A152" s="62">
        <v>11</v>
      </c>
      <c r="B152" s="48" t="s">
        <v>1135</v>
      </c>
      <c r="C152" s="48" t="s">
        <v>27</v>
      </c>
      <c r="D152" s="48" t="s">
        <v>1136</v>
      </c>
      <c r="E152" s="48" t="s">
        <v>135</v>
      </c>
      <c r="F152" s="48"/>
      <c r="G152" s="48" t="s">
        <v>30</v>
      </c>
      <c r="H152" s="51">
        <v>2000</v>
      </c>
      <c r="I152" s="119" t="s">
        <v>90</v>
      </c>
      <c r="J152" s="48" t="s">
        <v>31</v>
      </c>
      <c r="K152" s="48" t="s">
        <v>32</v>
      </c>
      <c r="M152" s="2"/>
      <c r="N152" s="2"/>
    </row>
    <row r="153" spans="1:17" ht="15.75" customHeight="1">
      <c r="A153" s="62">
        <v>11</v>
      </c>
      <c r="B153" s="48" t="s">
        <v>1137</v>
      </c>
      <c r="C153" s="48" t="s">
        <v>27</v>
      </c>
      <c r="D153" s="48" t="s">
        <v>1138</v>
      </c>
      <c r="E153" s="48" t="s">
        <v>135</v>
      </c>
      <c r="F153" s="48"/>
      <c r="G153" s="48" t="s">
        <v>30</v>
      </c>
      <c r="H153" s="51">
        <v>2000</v>
      </c>
      <c r="I153" s="119" t="s">
        <v>90</v>
      </c>
      <c r="J153" s="48" t="s">
        <v>31</v>
      </c>
      <c r="K153" s="48" t="s">
        <v>32</v>
      </c>
      <c r="M153" s="2"/>
      <c r="N153" s="2"/>
    </row>
    <row r="154" spans="1:17" ht="15.75" customHeight="1">
      <c r="A154" s="62">
        <v>11</v>
      </c>
      <c r="B154" s="48" t="s">
        <v>1139</v>
      </c>
      <c r="C154" s="48" t="s">
        <v>27</v>
      </c>
      <c r="D154" s="48" t="s">
        <v>1140</v>
      </c>
      <c r="E154" s="48" t="s">
        <v>135</v>
      </c>
      <c r="F154" s="48"/>
      <c r="G154" s="48" t="s">
        <v>30</v>
      </c>
      <c r="H154" s="51">
        <v>2000</v>
      </c>
      <c r="I154" s="119" t="s">
        <v>90</v>
      </c>
      <c r="J154" s="48" t="s">
        <v>31</v>
      </c>
      <c r="K154" s="48" t="s">
        <v>32</v>
      </c>
      <c r="M154" s="2"/>
      <c r="N154" s="2"/>
    </row>
    <row r="155" spans="1:17" ht="15.75" customHeight="1">
      <c r="A155" s="62">
        <v>11</v>
      </c>
      <c r="B155" s="48" t="s">
        <v>1141</v>
      </c>
      <c r="C155" s="48" t="s">
        <v>27</v>
      </c>
      <c r="D155" s="48" t="s">
        <v>1142</v>
      </c>
      <c r="E155" s="48" t="s">
        <v>89</v>
      </c>
      <c r="F155" s="48"/>
      <c r="G155" s="48" t="s">
        <v>30</v>
      </c>
      <c r="H155" s="51">
        <v>500</v>
      </c>
      <c r="I155" s="119" t="s">
        <v>90</v>
      </c>
      <c r="J155" s="48" t="s">
        <v>31</v>
      </c>
      <c r="K155" s="48" t="s">
        <v>32</v>
      </c>
      <c r="M155" s="2">
        <v>100</v>
      </c>
      <c r="N155" s="2"/>
    </row>
    <row r="156" spans="1:17" ht="15.75" customHeight="1">
      <c r="A156" s="62">
        <v>11</v>
      </c>
      <c r="B156" s="48" t="s">
        <v>1143</v>
      </c>
      <c r="C156" s="48" t="s">
        <v>27</v>
      </c>
      <c r="D156" s="48" t="s">
        <v>232</v>
      </c>
      <c r="E156" s="48" t="s">
        <v>68</v>
      </c>
      <c r="F156" s="48"/>
      <c r="G156" s="48" t="s">
        <v>30</v>
      </c>
      <c r="H156" s="51">
        <v>1000</v>
      </c>
      <c r="I156" s="119">
        <v>200</v>
      </c>
      <c r="J156" s="48" t="s">
        <v>31</v>
      </c>
      <c r="K156" s="48" t="s">
        <v>32</v>
      </c>
      <c r="M156" s="2">
        <v>300</v>
      </c>
      <c r="N156" s="2"/>
    </row>
    <row r="157" spans="1:17" ht="15.75" customHeight="1">
      <c r="A157" s="58">
        <v>11</v>
      </c>
      <c r="B157" s="58" t="s">
        <v>1144</v>
      </c>
      <c r="C157" s="58" t="s">
        <v>27</v>
      </c>
      <c r="D157" s="58" t="s">
        <v>1145</v>
      </c>
      <c r="E157" s="58" t="s">
        <v>36</v>
      </c>
      <c r="F157" s="58"/>
      <c r="G157" s="58" t="s">
        <v>30</v>
      </c>
      <c r="H157" s="59">
        <v>1500</v>
      </c>
      <c r="I157" s="160">
        <v>300</v>
      </c>
      <c r="J157" s="48" t="s">
        <v>31</v>
      </c>
      <c r="K157" s="48" t="s">
        <v>32</v>
      </c>
      <c r="M157" s="2">
        <v>600</v>
      </c>
      <c r="N157" s="2"/>
    </row>
    <row r="158" spans="1:17" ht="15.75" customHeight="1">
      <c r="A158" s="62">
        <v>12</v>
      </c>
      <c r="B158" s="62" t="s">
        <v>1146</v>
      </c>
      <c r="C158" s="62" t="s">
        <v>27</v>
      </c>
      <c r="D158" s="62" t="s">
        <v>1147</v>
      </c>
      <c r="E158" s="217" t="s">
        <v>220</v>
      </c>
      <c r="F158" s="62"/>
      <c r="G158" s="62" t="s">
        <v>608</v>
      </c>
      <c r="H158" s="63">
        <v>200</v>
      </c>
      <c r="I158" s="159">
        <v>2000</v>
      </c>
      <c r="J158" s="48" t="s">
        <v>31</v>
      </c>
      <c r="K158" s="48" t="s">
        <v>32</v>
      </c>
      <c r="M158" s="2"/>
      <c r="N158" s="2"/>
      <c r="O158" s="759" t="s">
        <v>1148</v>
      </c>
      <c r="P158" s="719"/>
    </row>
    <row r="159" spans="1:17" ht="15.75" customHeight="1">
      <c r="A159" s="62">
        <v>12</v>
      </c>
      <c r="B159" s="48" t="s">
        <v>1149</v>
      </c>
      <c r="C159" s="48" t="s">
        <v>27</v>
      </c>
      <c r="D159" s="48" t="s">
        <v>1150</v>
      </c>
      <c r="E159" s="215" t="s">
        <v>220</v>
      </c>
      <c r="F159" s="48"/>
      <c r="G159" s="48" t="s">
        <v>30</v>
      </c>
      <c r="H159" s="51">
        <v>10000</v>
      </c>
      <c r="I159" s="119">
        <v>2000</v>
      </c>
      <c r="J159" s="48" t="s">
        <v>31</v>
      </c>
      <c r="K159" s="48" t="s">
        <v>32</v>
      </c>
      <c r="M159" s="2">
        <v>2000</v>
      </c>
      <c r="N159" s="2"/>
      <c r="O159" s="759" t="s">
        <v>25</v>
      </c>
      <c r="P159" s="719"/>
    </row>
    <row r="160" spans="1:17" ht="15.75" customHeight="1">
      <c r="A160" s="62">
        <v>12</v>
      </c>
      <c r="B160" s="48" t="s">
        <v>1004</v>
      </c>
      <c r="C160" s="48" t="s">
        <v>27</v>
      </c>
      <c r="D160" s="48" t="s">
        <v>889</v>
      </c>
      <c r="E160" s="48" t="s">
        <v>36</v>
      </c>
      <c r="F160" s="48"/>
      <c r="G160" s="48" t="s">
        <v>30</v>
      </c>
      <c r="H160" s="51">
        <v>3000</v>
      </c>
      <c r="I160" s="119">
        <v>600</v>
      </c>
      <c r="J160" s="48" t="s">
        <v>31</v>
      </c>
      <c r="K160" s="48" t="s">
        <v>32</v>
      </c>
      <c r="M160" s="2">
        <v>600</v>
      </c>
      <c r="N160" s="2"/>
      <c r="O160" s="226" t="s">
        <v>33</v>
      </c>
      <c r="P160" s="227">
        <v>265350</v>
      </c>
      <c r="Q160" s="55">
        <f>SUM(H87:H89,H91,H93,H95,H97:H101,H103:H108,H110,H112:H116,H118:H121,H123:H134,H136,H139:H141,H143:H145,H147:H150,H156:H157,H159:H162,H164:H165,H167)</f>
        <v>265350</v>
      </c>
    </row>
    <row r="161" spans="1:17" ht="15.75" customHeight="1">
      <c r="A161" s="62">
        <v>12</v>
      </c>
      <c r="B161" s="48" t="s">
        <v>1151</v>
      </c>
      <c r="C161" s="215" t="s">
        <v>39</v>
      </c>
      <c r="D161" s="48" t="s">
        <v>104</v>
      </c>
      <c r="E161" s="48" t="s">
        <v>36</v>
      </c>
      <c r="F161" s="48"/>
      <c r="G161" s="48" t="s">
        <v>30</v>
      </c>
      <c r="H161" s="51">
        <v>250</v>
      </c>
      <c r="I161" s="119">
        <v>50</v>
      </c>
      <c r="J161" s="48" t="s">
        <v>31</v>
      </c>
      <c r="K161" s="48" t="s">
        <v>32</v>
      </c>
      <c r="M161" s="2">
        <v>50</v>
      </c>
      <c r="N161" s="2"/>
      <c r="O161" s="226" t="s">
        <v>1152</v>
      </c>
      <c r="P161" s="227">
        <v>21650</v>
      </c>
      <c r="Q161" s="55">
        <f>SUM(H168,H166,H163,H151:H155,H142,H137:H138,H135,H122,H117,H111,H109,H102,H96,H94,H92,H90)</f>
        <v>21650</v>
      </c>
    </row>
    <row r="162" spans="1:17" ht="15.75" customHeight="1">
      <c r="A162" s="62">
        <v>12</v>
      </c>
      <c r="B162" s="48" t="s">
        <v>1153</v>
      </c>
      <c r="C162" s="48" t="s">
        <v>27</v>
      </c>
      <c r="D162" s="48" t="s">
        <v>1154</v>
      </c>
      <c r="E162" s="215" t="s">
        <v>220</v>
      </c>
      <c r="F162" s="48"/>
      <c r="G162" s="48" t="s">
        <v>30</v>
      </c>
      <c r="H162" s="51">
        <v>120000</v>
      </c>
      <c r="I162" s="119">
        <v>24000</v>
      </c>
      <c r="J162" s="48" t="s">
        <v>31</v>
      </c>
      <c r="K162" s="48" t="s">
        <v>32</v>
      </c>
      <c r="M162" s="2">
        <v>24000</v>
      </c>
      <c r="N162" s="2"/>
      <c r="O162" s="228" t="s">
        <v>282</v>
      </c>
      <c r="P162" s="229">
        <v>287000</v>
      </c>
      <c r="Q162" s="55">
        <f>SUM(Q160:Q161)</f>
        <v>287000</v>
      </c>
    </row>
    <row r="163" spans="1:17" ht="15.75" customHeight="1">
      <c r="A163" s="62">
        <v>12</v>
      </c>
      <c r="B163" s="48" t="s">
        <v>1155</v>
      </c>
      <c r="C163" s="48" t="s">
        <v>27</v>
      </c>
      <c r="D163" s="48" t="s">
        <v>756</v>
      </c>
      <c r="E163" s="48" t="s">
        <v>36</v>
      </c>
      <c r="F163" s="48"/>
      <c r="G163" s="48" t="s">
        <v>30</v>
      </c>
      <c r="H163" s="51">
        <v>1500</v>
      </c>
      <c r="I163" s="119" t="s">
        <v>90</v>
      </c>
      <c r="J163" s="48" t="s">
        <v>31</v>
      </c>
      <c r="K163" s="48" t="s">
        <v>32</v>
      </c>
      <c r="M163" s="2">
        <v>200</v>
      </c>
      <c r="N163" s="2"/>
      <c r="O163" s="759" t="s">
        <v>286</v>
      </c>
      <c r="P163" s="719"/>
    </row>
    <row r="164" spans="1:17" ht="15.75" customHeight="1">
      <c r="A164" s="62">
        <v>12</v>
      </c>
      <c r="B164" s="48" t="s">
        <v>1155</v>
      </c>
      <c r="C164" s="48" t="s">
        <v>27</v>
      </c>
      <c r="D164" s="48" t="s">
        <v>756</v>
      </c>
      <c r="E164" s="48" t="s">
        <v>36</v>
      </c>
      <c r="F164" s="48"/>
      <c r="G164" s="48" t="s">
        <v>30</v>
      </c>
      <c r="H164" s="51">
        <v>1000</v>
      </c>
      <c r="I164" s="119">
        <v>200</v>
      </c>
      <c r="J164" s="48" t="s">
        <v>31</v>
      </c>
      <c r="K164" s="48" t="s">
        <v>32</v>
      </c>
      <c r="M164" s="2">
        <v>200</v>
      </c>
      <c r="N164" s="2"/>
      <c r="O164" s="226" t="s">
        <v>580</v>
      </c>
      <c r="P164" s="226">
        <v>320</v>
      </c>
      <c r="Q164" s="55">
        <f>H158+H146</f>
        <v>320</v>
      </c>
    </row>
    <row r="165" spans="1:17" ht="15.75" customHeight="1">
      <c r="A165" s="62">
        <v>12</v>
      </c>
      <c r="B165" s="48" t="s">
        <v>1156</v>
      </c>
      <c r="C165" s="48" t="s">
        <v>27</v>
      </c>
      <c r="D165" s="48" t="s">
        <v>53</v>
      </c>
      <c r="E165" s="48" t="s">
        <v>54</v>
      </c>
      <c r="F165" s="48"/>
      <c r="G165" s="48" t="s">
        <v>30</v>
      </c>
      <c r="H165" s="51">
        <v>1500</v>
      </c>
      <c r="I165" s="119">
        <v>300</v>
      </c>
      <c r="J165" s="48" t="s">
        <v>31</v>
      </c>
      <c r="K165" s="48" t="s">
        <v>32</v>
      </c>
      <c r="M165" s="2">
        <v>300</v>
      </c>
      <c r="N165" s="2"/>
      <c r="O165" s="226" t="s">
        <v>348</v>
      </c>
      <c r="P165" s="226">
        <v>0</v>
      </c>
    </row>
    <row r="166" spans="1:17" ht="15.75" customHeight="1">
      <c r="A166" s="62">
        <v>12</v>
      </c>
      <c r="B166" s="48" t="s">
        <v>1157</v>
      </c>
      <c r="C166" s="48" t="s">
        <v>27</v>
      </c>
      <c r="D166" s="48" t="s">
        <v>441</v>
      </c>
      <c r="E166" s="48" t="s">
        <v>36</v>
      </c>
      <c r="F166" s="48"/>
      <c r="G166" s="48" t="s">
        <v>30</v>
      </c>
      <c r="H166" s="51">
        <v>500</v>
      </c>
      <c r="I166" s="119" t="s">
        <v>90</v>
      </c>
      <c r="J166" s="48" t="s">
        <v>31</v>
      </c>
      <c r="K166" s="48" t="s">
        <v>32</v>
      </c>
      <c r="M166" s="2">
        <v>900</v>
      </c>
      <c r="N166" s="2"/>
      <c r="O166" s="228" t="s">
        <v>282</v>
      </c>
      <c r="P166" s="228">
        <v>320</v>
      </c>
    </row>
    <row r="167" spans="1:17" ht="15.75" customHeight="1">
      <c r="A167" s="62">
        <v>12</v>
      </c>
      <c r="B167" s="48" t="s">
        <v>1157</v>
      </c>
      <c r="C167" s="48" t="s">
        <v>27</v>
      </c>
      <c r="D167" s="48" t="s">
        <v>441</v>
      </c>
      <c r="E167" s="48" t="s">
        <v>36</v>
      </c>
      <c r="F167" s="48"/>
      <c r="G167" s="48" t="s">
        <v>30</v>
      </c>
      <c r="H167" s="51">
        <v>2000</v>
      </c>
      <c r="I167" s="119">
        <v>400</v>
      </c>
      <c r="J167" s="48" t="s">
        <v>31</v>
      </c>
      <c r="K167" s="48" t="s">
        <v>32</v>
      </c>
      <c r="M167" s="2"/>
      <c r="N167" s="2"/>
    </row>
    <row r="168" spans="1:17" ht="15.75" customHeight="1">
      <c r="A168" s="62">
        <v>12</v>
      </c>
      <c r="B168" s="58" t="s">
        <v>1158</v>
      </c>
      <c r="C168" s="58" t="s">
        <v>27</v>
      </c>
      <c r="D168" s="58" t="s">
        <v>441</v>
      </c>
      <c r="E168" s="58" t="s">
        <v>36</v>
      </c>
      <c r="F168" s="58"/>
      <c r="G168" s="58" t="s">
        <v>30</v>
      </c>
      <c r="H168" s="59">
        <v>500</v>
      </c>
      <c r="I168" s="160" t="s">
        <v>90</v>
      </c>
      <c r="J168" s="48" t="s">
        <v>31</v>
      </c>
      <c r="K168" s="48" t="s">
        <v>32</v>
      </c>
      <c r="M168" s="2">
        <v>1200</v>
      </c>
      <c r="N168" s="2"/>
    </row>
    <row r="169" spans="1:17" ht="15.75" customHeight="1">
      <c r="A169" s="230">
        <v>13</v>
      </c>
      <c r="B169" s="230" t="s">
        <v>1159</v>
      </c>
      <c r="C169" s="230" t="s">
        <v>27</v>
      </c>
      <c r="D169" s="230" t="s">
        <v>295</v>
      </c>
      <c r="E169" s="230" t="s">
        <v>51</v>
      </c>
      <c r="F169" s="230"/>
      <c r="G169" s="230" t="s">
        <v>30</v>
      </c>
      <c r="H169" s="231">
        <v>500</v>
      </c>
      <c r="I169" s="232" t="s">
        <v>90</v>
      </c>
      <c r="J169" s="48" t="s">
        <v>31</v>
      </c>
      <c r="K169" s="48" t="s">
        <v>32</v>
      </c>
      <c r="M169" s="2">
        <v>250</v>
      </c>
      <c r="N169" s="2"/>
    </row>
    <row r="170" spans="1:17" ht="15.75" customHeight="1">
      <c r="A170" s="62">
        <v>14</v>
      </c>
      <c r="B170" s="62" t="s">
        <v>1160</v>
      </c>
      <c r="C170" s="62" t="s">
        <v>27</v>
      </c>
      <c r="D170" s="62" t="s">
        <v>760</v>
      </c>
      <c r="E170" s="62" t="s">
        <v>209</v>
      </c>
      <c r="F170" s="62"/>
      <c r="G170" s="62" t="s">
        <v>30</v>
      </c>
      <c r="H170" s="63">
        <v>7000</v>
      </c>
      <c r="I170" s="159">
        <v>1400</v>
      </c>
      <c r="J170" s="48" t="s">
        <v>31</v>
      </c>
      <c r="K170" s="48" t="s">
        <v>32</v>
      </c>
      <c r="M170" s="2">
        <v>500</v>
      </c>
      <c r="N170" s="2"/>
    </row>
    <row r="171" spans="1:17" ht="15.75" customHeight="1">
      <c r="A171" s="62">
        <v>14</v>
      </c>
      <c r="B171" s="48" t="s">
        <v>1161</v>
      </c>
      <c r="C171" s="48" t="s">
        <v>27</v>
      </c>
      <c r="D171" s="48" t="s">
        <v>100</v>
      </c>
      <c r="E171" s="48" t="s">
        <v>89</v>
      </c>
      <c r="F171" s="48"/>
      <c r="G171" s="48" t="s">
        <v>30</v>
      </c>
      <c r="H171" s="51">
        <v>500</v>
      </c>
      <c r="I171" s="119" t="s">
        <v>90</v>
      </c>
      <c r="J171" s="48" t="s">
        <v>31</v>
      </c>
      <c r="K171" s="48" t="s">
        <v>32</v>
      </c>
      <c r="M171" s="2">
        <v>200</v>
      </c>
      <c r="N171" s="2"/>
    </row>
    <row r="172" spans="1:17" ht="15.75" customHeight="1">
      <c r="A172" s="62">
        <v>14</v>
      </c>
      <c r="B172" s="48" t="s">
        <v>1161</v>
      </c>
      <c r="C172" s="48" t="s">
        <v>27</v>
      </c>
      <c r="D172" s="48" t="s">
        <v>100</v>
      </c>
      <c r="E172" s="48" t="s">
        <v>89</v>
      </c>
      <c r="F172" s="48"/>
      <c r="G172" s="48" t="s">
        <v>30</v>
      </c>
      <c r="H172" s="51">
        <v>500</v>
      </c>
      <c r="I172" s="119">
        <v>100</v>
      </c>
      <c r="J172" s="48" t="s">
        <v>31</v>
      </c>
      <c r="K172" s="48" t="s">
        <v>32</v>
      </c>
      <c r="M172" s="2"/>
      <c r="N172" s="2"/>
    </row>
    <row r="173" spans="1:17" ht="15.75" customHeight="1">
      <c r="A173" s="62">
        <v>14</v>
      </c>
      <c r="B173" s="48" t="s">
        <v>1162</v>
      </c>
      <c r="C173" s="48" t="s">
        <v>27</v>
      </c>
      <c r="D173" s="48" t="s">
        <v>100</v>
      </c>
      <c r="E173" s="48" t="s">
        <v>89</v>
      </c>
      <c r="F173" s="48"/>
      <c r="G173" s="48" t="s">
        <v>30</v>
      </c>
      <c r="H173" s="51">
        <v>500</v>
      </c>
      <c r="I173" s="119" t="s">
        <v>90</v>
      </c>
      <c r="J173" s="48" t="s">
        <v>31</v>
      </c>
      <c r="K173" s="48" t="s">
        <v>32</v>
      </c>
      <c r="M173" s="2">
        <v>100</v>
      </c>
      <c r="N173" s="2"/>
    </row>
    <row r="174" spans="1:17" ht="15.75" customHeight="1">
      <c r="A174" s="62">
        <v>14</v>
      </c>
      <c r="B174" s="48" t="s">
        <v>1162</v>
      </c>
      <c r="C174" s="48" t="s">
        <v>27</v>
      </c>
      <c r="D174" s="48" t="s">
        <v>100</v>
      </c>
      <c r="E174" s="48" t="s">
        <v>89</v>
      </c>
      <c r="F174" s="48"/>
      <c r="G174" s="48" t="s">
        <v>30</v>
      </c>
      <c r="H174" s="51">
        <v>500</v>
      </c>
      <c r="I174" s="119">
        <v>100</v>
      </c>
      <c r="J174" s="48" t="s">
        <v>31</v>
      </c>
      <c r="K174" s="48" t="s">
        <v>32</v>
      </c>
      <c r="M174" s="2">
        <v>100</v>
      </c>
      <c r="N174" s="2"/>
    </row>
    <row r="175" spans="1:17" ht="15.75" customHeight="1">
      <c r="A175" s="62">
        <v>14</v>
      </c>
      <c r="B175" s="48" t="s">
        <v>1163</v>
      </c>
      <c r="C175" s="48" t="s">
        <v>27</v>
      </c>
      <c r="D175" s="48" t="s">
        <v>100</v>
      </c>
      <c r="E175" s="48" t="s">
        <v>89</v>
      </c>
      <c r="F175" s="48"/>
      <c r="G175" s="48" t="s">
        <v>30</v>
      </c>
      <c r="H175" s="51">
        <v>500</v>
      </c>
      <c r="I175" s="119" t="s">
        <v>90</v>
      </c>
      <c r="J175" s="48" t="s">
        <v>31</v>
      </c>
      <c r="K175" s="48" t="s">
        <v>32</v>
      </c>
      <c r="M175" s="2">
        <v>100</v>
      </c>
      <c r="N175" s="2"/>
    </row>
    <row r="176" spans="1:17" ht="15.75" customHeight="1">
      <c r="A176" s="62">
        <v>14</v>
      </c>
      <c r="B176" s="48" t="s">
        <v>1164</v>
      </c>
      <c r="C176" s="48" t="s">
        <v>27</v>
      </c>
      <c r="D176" s="48" t="s">
        <v>1165</v>
      </c>
      <c r="E176" s="48" t="s">
        <v>73</v>
      </c>
      <c r="F176" s="48"/>
      <c r="G176" s="48" t="s">
        <v>30</v>
      </c>
      <c r="H176" s="51">
        <v>5000</v>
      </c>
      <c r="I176" s="119">
        <v>1000</v>
      </c>
      <c r="J176" s="48" t="s">
        <v>31</v>
      </c>
      <c r="K176" s="48" t="s">
        <v>32</v>
      </c>
      <c r="M176" s="2">
        <v>1000</v>
      </c>
      <c r="N176" s="2"/>
    </row>
    <row r="177" spans="1:18" ht="15.75" customHeight="1">
      <c r="A177" s="62">
        <v>14</v>
      </c>
      <c r="B177" s="48" t="s">
        <v>1166</v>
      </c>
      <c r="C177" s="48" t="s">
        <v>27</v>
      </c>
      <c r="D177" s="48" t="s">
        <v>65</v>
      </c>
      <c r="E177" s="48" t="s">
        <v>36</v>
      </c>
      <c r="F177" s="48"/>
      <c r="G177" s="48" t="s">
        <v>30</v>
      </c>
      <c r="H177" s="51">
        <v>250</v>
      </c>
      <c r="I177" s="119">
        <v>50</v>
      </c>
      <c r="J177" s="48" t="s">
        <v>31</v>
      </c>
      <c r="K177" s="48" t="s">
        <v>32</v>
      </c>
      <c r="M177" s="2">
        <v>50</v>
      </c>
      <c r="N177" s="2"/>
    </row>
    <row r="178" spans="1:18" ht="15.75" customHeight="1">
      <c r="A178" s="62">
        <v>14</v>
      </c>
      <c r="B178" s="48" t="s">
        <v>1167</v>
      </c>
      <c r="C178" s="215" t="s">
        <v>39</v>
      </c>
      <c r="D178" s="48" t="s">
        <v>106</v>
      </c>
      <c r="E178" s="48" t="s">
        <v>86</v>
      </c>
      <c r="F178" s="48"/>
      <c r="G178" s="48" t="s">
        <v>30</v>
      </c>
      <c r="H178" s="51">
        <v>1500</v>
      </c>
      <c r="I178" s="119">
        <v>300</v>
      </c>
      <c r="J178" s="48" t="s">
        <v>31</v>
      </c>
      <c r="K178" s="48" t="s">
        <v>32</v>
      </c>
      <c r="M178" s="2">
        <v>300</v>
      </c>
      <c r="N178" s="2"/>
    </row>
    <row r="179" spans="1:18" ht="15.75" customHeight="1">
      <c r="A179" s="62">
        <v>14</v>
      </c>
      <c r="B179" s="48" t="s">
        <v>1168</v>
      </c>
      <c r="C179" s="48" t="s">
        <v>27</v>
      </c>
      <c r="D179" s="48" t="s">
        <v>98</v>
      </c>
      <c r="E179" s="48" t="s">
        <v>36</v>
      </c>
      <c r="F179" s="48"/>
      <c r="G179" s="48" t="s">
        <v>30</v>
      </c>
      <c r="H179" s="51">
        <v>500</v>
      </c>
      <c r="I179" s="119" t="s">
        <v>90</v>
      </c>
      <c r="J179" s="48" t="s">
        <v>31</v>
      </c>
      <c r="K179" s="48" t="s">
        <v>32</v>
      </c>
      <c r="M179" s="2">
        <v>1200</v>
      </c>
      <c r="N179" s="2"/>
    </row>
    <row r="180" spans="1:18" ht="15.75" customHeight="1">
      <c r="A180" s="62">
        <v>14</v>
      </c>
      <c r="B180" s="48" t="s">
        <v>1168</v>
      </c>
      <c r="C180" s="48" t="s">
        <v>27</v>
      </c>
      <c r="D180" s="48" t="s">
        <v>98</v>
      </c>
      <c r="E180" s="48" t="s">
        <v>36</v>
      </c>
      <c r="F180" s="48"/>
      <c r="G180" s="48" t="s">
        <v>30</v>
      </c>
      <c r="H180" s="51">
        <v>3500</v>
      </c>
      <c r="I180" s="119">
        <v>700</v>
      </c>
      <c r="J180" s="48" t="s">
        <v>31</v>
      </c>
      <c r="K180" s="48" t="s">
        <v>32</v>
      </c>
      <c r="M180" s="2">
        <v>600</v>
      </c>
      <c r="N180" s="2"/>
    </row>
    <row r="181" spans="1:18" ht="15.75" customHeight="1">
      <c r="A181" s="62">
        <v>14</v>
      </c>
      <c r="B181" s="48" t="s">
        <v>1169</v>
      </c>
      <c r="C181" s="48" t="s">
        <v>27</v>
      </c>
      <c r="D181" s="48" t="s">
        <v>1170</v>
      </c>
      <c r="E181" s="48" t="s">
        <v>310</v>
      </c>
      <c r="F181" s="48"/>
      <c r="G181" s="48" t="s">
        <v>30</v>
      </c>
      <c r="H181" s="51">
        <v>2500</v>
      </c>
      <c r="I181" s="119">
        <v>500</v>
      </c>
      <c r="J181" s="48" t="s">
        <v>31</v>
      </c>
      <c r="K181" s="48" t="s">
        <v>32</v>
      </c>
      <c r="M181" s="2">
        <v>500</v>
      </c>
      <c r="N181" s="2"/>
    </row>
    <row r="182" spans="1:18" ht="15.75" customHeight="1">
      <c r="A182" s="62">
        <v>14</v>
      </c>
      <c r="B182" s="48" t="s">
        <v>1171</v>
      </c>
      <c r="C182" s="48" t="s">
        <v>27</v>
      </c>
      <c r="D182" s="48" t="s">
        <v>100</v>
      </c>
      <c r="E182" s="48" t="s">
        <v>89</v>
      </c>
      <c r="F182" s="48"/>
      <c r="G182" s="48" t="s">
        <v>30</v>
      </c>
      <c r="H182" s="51">
        <v>500</v>
      </c>
      <c r="I182" s="119" t="s">
        <v>90</v>
      </c>
      <c r="J182" s="48" t="s">
        <v>31</v>
      </c>
      <c r="K182" s="48" t="s">
        <v>32</v>
      </c>
      <c r="M182" s="2">
        <v>10</v>
      </c>
      <c r="N182" s="2"/>
    </row>
    <row r="183" spans="1:18" ht="15.75" customHeight="1">
      <c r="A183" s="62">
        <v>14</v>
      </c>
      <c r="B183" s="48" t="s">
        <v>1172</v>
      </c>
      <c r="C183" s="48" t="s">
        <v>27</v>
      </c>
      <c r="D183" s="48" t="s">
        <v>100</v>
      </c>
      <c r="E183" s="48" t="s">
        <v>89</v>
      </c>
      <c r="F183" s="48"/>
      <c r="G183" s="48" t="s">
        <v>30</v>
      </c>
      <c r="H183" s="51">
        <v>500</v>
      </c>
      <c r="I183" s="119" t="s">
        <v>90</v>
      </c>
      <c r="J183" s="48" t="s">
        <v>31</v>
      </c>
      <c r="K183" s="48" t="s">
        <v>32</v>
      </c>
      <c r="M183" s="2">
        <v>10</v>
      </c>
      <c r="N183" s="2"/>
    </row>
    <row r="184" spans="1:18" ht="15.75" customHeight="1">
      <c r="A184" s="62">
        <v>14</v>
      </c>
      <c r="B184" s="58" t="s">
        <v>1173</v>
      </c>
      <c r="C184" s="58" t="s">
        <v>27</v>
      </c>
      <c r="D184" s="58" t="s">
        <v>100</v>
      </c>
      <c r="E184" s="58" t="s">
        <v>89</v>
      </c>
      <c r="F184" s="58"/>
      <c r="G184" s="58" t="s">
        <v>30</v>
      </c>
      <c r="H184" s="59">
        <v>500</v>
      </c>
      <c r="I184" s="160" t="s">
        <v>90</v>
      </c>
      <c r="J184" s="48" t="s">
        <v>31</v>
      </c>
      <c r="K184" s="48" t="s">
        <v>32</v>
      </c>
      <c r="M184" s="2">
        <v>10</v>
      </c>
      <c r="N184" s="2"/>
    </row>
    <row r="185" spans="1:18" ht="15.75" customHeight="1">
      <c r="A185" s="62">
        <v>15</v>
      </c>
      <c r="B185" s="62" t="s">
        <v>1174</v>
      </c>
      <c r="C185" s="62" t="s">
        <v>27</v>
      </c>
      <c r="D185" s="62" t="s">
        <v>56</v>
      </c>
      <c r="E185" s="62" t="s">
        <v>84</v>
      </c>
      <c r="F185" s="62"/>
      <c r="G185" s="62" t="s">
        <v>30</v>
      </c>
      <c r="H185" s="63">
        <v>1000</v>
      </c>
      <c r="I185" s="159">
        <v>200</v>
      </c>
      <c r="J185" s="48" t="s">
        <v>31</v>
      </c>
      <c r="K185" s="48" t="s">
        <v>32</v>
      </c>
      <c r="M185" s="2">
        <v>300</v>
      </c>
      <c r="N185" s="2"/>
    </row>
    <row r="186" spans="1:18" ht="15.75" customHeight="1">
      <c r="A186" s="62">
        <v>15</v>
      </c>
      <c r="B186" s="48" t="s">
        <v>1175</v>
      </c>
      <c r="C186" s="48" t="s">
        <v>27</v>
      </c>
      <c r="D186" s="48" t="s">
        <v>666</v>
      </c>
      <c r="E186" s="48" t="s">
        <v>36</v>
      </c>
      <c r="F186" s="48"/>
      <c r="G186" s="48" t="s">
        <v>30</v>
      </c>
      <c r="H186" s="51">
        <v>500</v>
      </c>
      <c r="I186" s="119">
        <v>100</v>
      </c>
      <c r="J186" s="48" t="s">
        <v>31</v>
      </c>
      <c r="K186" s="48" t="s">
        <v>32</v>
      </c>
      <c r="M186" s="2">
        <v>150</v>
      </c>
      <c r="N186" s="2"/>
    </row>
    <row r="187" spans="1:18" ht="15.75" customHeight="1">
      <c r="A187" s="62">
        <v>15</v>
      </c>
      <c r="B187" s="48" t="s">
        <v>1176</v>
      </c>
      <c r="C187" s="48" t="s">
        <v>27</v>
      </c>
      <c r="D187" s="48" t="s">
        <v>191</v>
      </c>
      <c r="E187" s="48" t="s">
        <v>36</v>
      </c>
      <c r="F187" s="48"/>
      <c r="G187" s="48" t="s">
        <v>30</v>
      </c>
      <c r="H187" s="51">
        <v>2000</v>
      </c>
      <c r="I187" s="119">
        <v>400</v>
      </c>
      <c r="J187" s="48" t="s">
        <v>31</v>
      </c>
      <c r="K187" s="48" t="s">
        <v>32</v>
      </c>
      <c r="M187" s="2">
        <v>600</v>
      </c>
      <c r="N187" s="2"/>
    </row>
    <row r="188" spans="1:18" ht="15.75" customHeight="1">
      <c r="A188" s="62">
        <v>15</v>
      </c>
      <c r="B188" s="48" t="s">
        <v>1177</v>
      </c>
      <c r="C188" s="48" t="s">
        <v>27</v>
      </c>
      <c r="D188" s="48" t="s">
        <v>100</v>
      </c>
      <c r="E188" s="48" t="s">
        <v>79</v>
      </c>
      <c r="F188" s="48"/>
      <c r="G188" s="48" t="s">
        <v>30</v>
      </c>
      <c r="H188" s="51">
        <v>1500</v>
      </c>
      <c r="I188" s="119">
        <v>300</v>
      </c>
      <c r="J188" s="48" t="s">
        <v>31</v>
      </c>
      <c r="K188" s="48" t="s">
        <v>32</v>
      </c>
      <c r="M188" s="2">
        <v>300</v>
      </c>
      <c r="N188" s="2"/>
    </row>
    <row r="189" spans="1:18" ht="15.75" customHeight="1">
      <c r="A189" s="62">
        <v>15</v>
      </c>
      <c r="B189" s="58" t="s">
        <v>1178</v>
      </c>
      <c r="C189" s="58" t="s">
        <v>27</v>
      </c>
      <c r="D189" s="58" t="s">
        <v>1179</v>
      </c>
      <c r="E189" s="58" t="s">
        <v>86</v>
      </c>
      <c r="F189" s="58"/>
      <c r="G189" s="58" t="s">
        <v>30</v>
      </c>
      <c r="H189" s="59">
        <v>1000</v>
      </c>
      <c r="I189" s="160">
        <v>200</v>
      </c>
      <c r="J189" s="48" t="s">
        <v>31</v>
      </c>
      <c r="K189" s="48" t="s">
        <v>32</v>
      </c>
      <c r="M189" s="2">
        <v>300</v>
      </c>
      <c r="N189" s="2"/>
      <c r="O189" s="759" t="s">
        <v>1180</v>
      </c>
      <c r="P189" s="719"/>
    </row>
    <row r="190" spans="1:18" ht="15.75" customHeight="1">
      <c r="A190" s="62">
        <v>16</v>
      </c>
      <c r="B190" s="62" t="s">
        <v>1181</v>
      </c>
      <c r="C190" s="217" t="s">
        <v>39</v>
      </c>
      <c r="D190" s="62" t="s">
        <v>104</v>
      </c>
      <c r="E190" s="62" t="s">
        <v>36</v>
      </c>
      <c r="F190" s="62"/>
      <c r="G190" s="62" t="s">
        <v>30</v>
      </c>
      <c r="H190" s="63">
        <v>500</v>
      </c>
      <c r="I190" s="159" t="s">
        <v>90</v>
      </c>
      <c r="J190" s="48" t="s">
        <v>31</v>
      </c>
      <c r="K190" s="48" t="s">
        <v>32</v>
      </c>
      <c r="M190" s="2">
        <v>400</v>
      </c>
      <c r="N190" s="2"/>
      <c r="O190" s="759" t="s">
        <v>25</v>
      </c>
      <c r="P190" s="719"/>
    </row>
    <row r="191" spans="1:18" ht="15.75" customHeight="1">
      <c r="A191" s="62">
        <v>16</v>
      </c>
      <c r="B191" s="48" t="s">
        <v>1182</v>
      </c>
      <c r="C191" s="215" t="s">
        <v>39</v>
      </c>
      <c r="D191" s="48" t="s">
        <v>108</v>
      </c>
      <c r="E191" s="48" t="s">
        <v>84</v>
      </c>
      <c r="F191" s="48"/>
      <c r="G191" s="48" t="s">
        <v>30</v>
      </c>
      <c r="H191" s="51">
        <v>3000</v>
      </c>
      <c r="I191" s="119">
        <v>600</v>
      </c>
      <c r="J191" s="48" t="s">
        <v>31</v>
      </c>
      <c r="K191" s="48" t="s">
        <v>32</v>
      </c>
      <c r="M191" s="2">
        <v>600</v>
      </c>
      <c r="N191" s="2"/>
      <c r="O191" s="226" t="s">
        <v>33</v>
      </c>
      <c r="P191" s="227">
        <v>36850</v>
      </c>
      <c r="Q191" s="55">
        <f>SUM(H170,H172,H174,H176:H178,H180:H181,H185:H189,H191:H193)</f>
        <v>36850</v>
      </c>
      <c r="R191" s="55"/>
    </row>
    <row r="192" spans="1:18" ht="15.75" customHeight="1">
      <c r="A192" s="62">
        <v>16</v>
      </c>
      <c r="B192" s="48" t="s">
        <v>1183</v>
      </c>
      <c r="C192" s="215" t="s">
        <v>39</v>
      </c>
      <c r="D192" s="48" t="s">
        <v>407</v>
      </c>
      <c r="E192" s="48" t="s">
        <v>44</v>
      </c>
      <c r="F192" s="48"/>
      <c r="G192" s="48" t="s">
        <v>30</v>
      </c>
      <c r="H192" s="51">
        <v>100</v>
      </c>
      <c r="I192" s="119">
        <v>20</v>
      </c>
      <c r="J192" s="48" t="s">
        <v>31</v>
      </c>
      <c r="K192" s="48" t="s">
        <v>32</v>
      </c>
      <c r="M192" s="2">
        <v>20</v>
      </c>
      <c r="N192" s="2"/>
      <c r="O192" s="226" t="s">
        <v>1152</v>
      </c>
      <c r="P192" s="227">
        <v>10500</v>
      </c>
      <c r="Q192" s="55">
        <f>H169+H171+H173+H175+H179+H182+H183+H184+H190</f>
        <v>4500</v>
      </c>
      <c r="R192" s="55">
        <f>Q192+6000</f>
        <v>10500</v>
      </c>
    </row>
    <row r="193" spans="1:17" ht="15.75" customHeight="1">
      <c r="A193" s="62">
        <v>16</v>
      </c>
      <c r="B193" s="58" t="s">
        <v>1184</v>
      </c>
      <c r="C193" s="58" t="s">
        <v>27</v>
      </c>
      <c r="D193" s="58" t="s">
        <v>855</v>
      </c>
      <c r="E193" s="58" t="s">
        <v>358</v>
      </c>
      <c r="F193" s="58"/>
      <c r="G193" s="58" t="s">
        <v>30</v>
      </c>
      <c r="H193" s="59">
        <v>7000</v>
      </c>
      <c r="I193" s="160">
        <v>1400</v>
      </c>
      <c r="J193" s="48" t="s">
        <v>31</v>
      </c>
      <c r="K193" s="48" t="s">
        <v>32</v>
      </c>
      <c r="M193" s="2">
        <v>1000</v>
      </c>
      <c r="N193" s="2"/>
      <c r="O193" s="228" t="s">
        <v>282</v>
      </c>
      <c r="P193" s="229">
        <v>47350</v>
      </c>
      <c r="Q193" s="55">
        <f>Q191+R192</f>
        <v>47350</v>
      </c>
    </row>
    <row r="194" spans="1:17" ht="15.75" customHeight="1">
      <c r="A194" s="62">
        <v>18</v>
      </c>
      <c r="B194" s="62" t="s">
        <v>1185</v>
      </c>
      <c r="C194" s="62" t="s">
        <v>27</v>
      </c>
      <c r="D194" s="62" t="s">
        <v>604</v>
      </c>
      <c r="E194" s="62" t="s">
        <v>51</v>
      </c>
      <c r="F194" s="62"/>
      <c r="G194" s="62" t="s">
        <v>30</v>
      </c>
      <c r="H194" s="63">
        <v>2000</v>
      </c>
      <c r="I194" s="159">
        <v>400</v>
      </c>
      <c r="J194" s="48" t="s">
        <v>31</v>
      </c>
      <c r="K194" s="48" t="s">
        <v>32</v>
      </c>
      <c r="M194" s="2">
        <v>300</v>
      </c>
      <c r="N194" s="2"/>
    </row>
    <row r="195" spans="1:17" ht="15.75" customHeight="1">
      <c r="A195" s="62">
        <v>18</v>
      </c>
      <c r="B195" s="48" t="s">
        <v>1186</v>
      </c>
      <c r="C195" s="48" t="s">
        <v>27</v>
      </c>
      <c r="D195" s="48" t="s">
        <v>289</v>
      </c>
      <c r="E195" s="48" t="s">
        <v>36</v>
      </c>
      <c r="F195" s="48"/>
      <c r="G195" s="48" t="s">
        <v>30</v>
      </c>
      <c r="H195" s="51">
        <v>1000</v>
      </c>
      <c r="I195" s="119">
        <v>200</v>
      </c>
      <c r="J195" s="48" t="s">
        <v>31</v>
      </c>
      <c r="K195" s="48" t="s">
        <v>32</v>
      </c>
      <c r="M195" s="2"/>
      <c r="N195" s="2"/>
    </row>
    <row r="196" spans="1:17" ht="15.75" customHeight="1">
      <c r="A196" s="62">
        <v>18</v>
      </c>
      <c r="B196" s="48" t="s">
        <v>1187</v>
      </c>
      <c r="C196" s="48" t="s">
        <v>27</v>
      </c>
      <c r="D196" s="48" t="s">
        <v>1165</v>
      </c>
      <c r="E196" s="48" t="s">
        <v>191</v>
      </c>
      <c r="F196" s="48"/>
      <c r="G196" s="48" t="s">
        <v>30</v>
      </c>
      <c r="H196" s="51">
        <v>2000</v>
      </c>
      <c r="I196" s="119">
        <v>400</v>
      </c>
      <c r="J196" s="48" t="s">
        <v>31</v>
      </c>
      <c r="K196" s="48" t="s">
        <v>32</v>
      </c>
      <c r="M196" s="2"/>
      <c r="N196" s="2"/>
    </row>
    <row r="197" spans="1:17" ht="15.75" customHeight="1">
      <c r="A197" s="62">
        <v>18</v>
      </c>
      <c r="B197" s="48" t="s">
        <v>321</v>
      </c>
      <c r="C197" s="48" t="s">
        <v>27</v>
      </c>
      <c r="D197" s="48" t="s">
        <v>322</v>
      </c>
      <c r="E197" s="48" t="s">
        <v>89</v>
      </c>
      <c r="F197" s="48"/>
      <c r="G197" s="48" t="s">
        <v>30</v>
      </c>
      <c r="H197" s="51">
        <v>700</v>
      </c>
      <c r="I197" s="119">
        <v>140</v>
      </c>
      <c r="J197" s="48" t="s">
        <v>31</v>
      </c>
      <c r="K197" s="48" t="s">
        <v>32</v>
      </c>
      <c r="M197" s="2"/>
      <c r="N197" s="2"/>
    </row>
    <row r="198" spans="1:17" ht="15.75" customHeight="1">
      <c r="A198" s="62">
        <v>18</v>
      </c>
      <c r="B198" s="48" t="s">
        <v>1188</v>
      </c>
      <c r="C198" s="48" t="s">
        <v>27</v>
      </c>
      <c r="D198" s="48" t="s">
        <v>65</v>
      </c>
      <c r="E198" s="48" t="s">
        <v>36</v>
      </c>
      <c r="F198" s="48"/>
      <c r="G198" s="48" t="s">
        <v>30</v>
      </c>
      <c r="H198" s="51">
        <v>2000</v>
      </c>
      <c r="I198" s="119">
        <v>400</v>
      </c>
      <c r="J198" s="48" t="s">
        <v>31</v>
      </c>
      <c r="K198" s="48" t="s">
        <v>32</v>
      </c>
      <c r="M198" s="2">
        <v>400</v>
      </c>
      <c r="N198" s="2"/>
    </row>
    <row r="199" spans="1:17" ht="15.75" customHeight="1">
      <c r="A199" s="62">
        <v>18</v>
      </c>
      <c r="B199" s="48" t="s">
        <v>1189</v>
      </c>
      <c r="C199" s="48" t="s">
        <v>27</v>
      </c>
      <c r="D199" s="48" t="s">
        <v>371</v>
      </c>
      <c r="E199" s="48" t="s">
        <v>29</v>
      </c>
      <c r="F199" s="48"/>
      <c r="G199" s="48" t="s">
        <v>30</v>
      </c>
      <c r="H199" s="51">
        <v>4500</v>
      </c>
      <c r="I199" s="119">
        <v>900</v>
      </c>
      <c r="J199" s="48" t="s">
        <v>31</v>
      </c>
      <c r="K199" s="48" t="s">
        <v>32</v>
      </c>
      <c r="M199" s="2">
        <v>600</v>
      </c>
      <c r="N199" s="2"/>
    </row>
    <row r="200" spans="1:17" ht="15.75" customHeight="1">
      <c r="A200" s="62">
        <v>18</v>
      </c>
      <c r="B200" s="48" t="s">
        <v>1190</v>
      </c>
      <c r="C200" s="48" t="s">
        <v>27</v>
      </c>
      <c r="D200" s="48" t="s">
        <v>1191</v>
      </c>
      <c r="E200" s="48" t="s">
        <v>41</v>
      </c>
      <c r="F200" s="48"/>
      <c r="G200" s="48" t="s">
        <v>30</v>
      </c>
      <c r="H200" s="51">
        <v>40000</v>
      </c>
      <c r="I200" s="119">
        <v>8000</v>
      </c>
      <c r="J200" s="48" t="s">
        <v>31</v>
      </c>
      <c r="K200" s="48" t="s">
        <v>32</v>
      </c>
      <c r="M200" s="2">
        <v>10000</v>
      </c>
      <c r="N200" s="2"/>
    </row>
    <row r="201" spans="1:17" ht="15.75" customHeight="1">
      <c r="A201" s="62">
        <v>18</v>
      </c>
      <c r="B201" s="48" t="s">
        <v>1192</v>
      </c>
      <c r="C201" s="48" t="s">
        <v>27</v>
      </c>
      <c r="D201" s="48" t="s">
        <v>100</v>
      </c>
      <c r="E201" s="48" t="s">
        <v>68</v>
      </c>
      <c r="F201" s="48"/>
      <c r="G201" s="48" t="s">
        <v>30</v>
      </c>
      <c r="H201" s="51">
        <v>12000</v>
      </c>
      <c r="I201" s="119">
        <v>2400</v>
      </c>
      <c r="J201" s="48" t="s">
        <v>31</v>
      </c>
      <c r="K201" s="48" t="s">
        <v>32</v>
      </c>
      <c r="M201" s="2">
        <v>1200</v>
      </c>
      <c r="N201" s="2"/>
    </row>
    <row r="202" spans="1:17" ht="15.75" customHeight="1">
      <c r="A202" s="62">
        <v>18</v>
      </c>
      <c r="B202" s="48" t="s">
        <v>1193</v>
      </c>
      <c r="C202" s="48" t="s">
        <v>27</v>
      </c>
      <c r="D202" s="48" t="s">
        <v>483</v>
      </c>
      <c r="E202" s="48" t="s">
        <v>484</v>
      </c>
      <c r="F202" s="48"/>
      <c r="G202" s="48" t="s">
        <v>30</v>
      </c>
      <c r="H202" s="51">
        <v>2000</v>
      </c>
      <c r="I202" s="119" t="s">
        <v>90</v>
      </c>
      <c r="J202" s="48" t="s">
        <v>31</v>
      </c>
      <c r="K202" s="48" t="s">
        <v>32</v>
      </c>
      <c r="M202" s="2"/>
      <c r="N202" s="2"/>
    </row>
    <row r="203" spans="1:17" ht="15.75" customHeight="1">
      <c r="A203" s="62">
        <v>18</v>
      </c>
      <c r="B203" s="48" t="s">
        <v>1193</v>
      </c>
      <c r="C203" s="48" t="s">
        <v>27</v>
      </c>
      <c r="D203" s="48" t="s">
        <v>483</v>
      </c>
      <c r="E203" s="48" t="s">
        <v>484</v>
      </c>
      <c r="F203" s="48"/>
      <c r="G203" s="48" t="s">
        <v>30</v>
      </c>
      <c r="H203" s="51">
        <v>3000</v>
      </c>
      <c r="I203" s="119">
        <v>600</v>
      </c>
      <c r="J203" s="48" t="s">
        <v>31</v>
      </c>
      <c r="K203" s="48" t="s">
        <v>32</v>
      </c>
      <c r="M203" s="2"/>
      <c r="N203" s="2"/>
    </row>
    <row r="204" spans="1:17" ht="15.75" customHeight="1">
      <c r="A204" s="62">
        <v>18</v>
      </c>
      <c r="B204" s="48" t="s">
        <v>1194</v>
      </c>
      <c r="C204" s="48" t="s">
        <v>27</v>
      </c>
      <c r="D204" s="48" t="s">
        <v>483</v>
      </c>
      <c r="E204" s="48" t="s">
        <v>484</v>
      </c>
      <c r="F204" s="48"/>
      <c r="G204" s="48" t="s">
        <v>30</v>
      </c>
      <c r="H204" s="51">
        <v>2000</v>
      </c>
      <c r="I204" s="119" t="s">
        <v>90</v>
      </c>
      <c r="J204" s="48" t="s">
        <v>31</v>
      </c>
      <c r="K204" s="48" t="s">
        <v>32</v>
      </c>
      <c r="M204" s="2"/>
      <c r="N204" s="2"/>
    </row>
    <row r="205" spans="1:17" ht="15.75" customHeight="1">
      <c r="A205" s="62">
        <v>18</v>
      </c>
      <c r="B205" s="62" t="s">
        <v>1195</v>
      </c>
      <c r="C205" s="62" t="s">
        <v>27</v>
      </c>
      <c r="D205" s="62" t="s">
        <v>1196</v>
      </c>
      <c r="E205" s="62" t="s">
        <v>73</v>
      </c>
      <c r="F205" s="62"/>
      <c r="G205" s="62" t="s">
        <v>30</v>
      </c>
      <c r="H205" s="63">
        <v>100</v>
      </c>
      <c r="I205" s="159">
        <v>20</v>
      </c>
      <c r="J205" s="48" t="s">
        <v>31</v>
      </c>
      <c r="K205" s="48" t="s">
        <v>32</v>
      </c>
      <c r="M205" s="2">
        <v>50</v>
      </c>
      <c r="N205" s="2"/>
    </row>
    <row r="206" spans="1:17" ht="15.75" customHeight="1">
      <c r="A206" s="62">
        <v>18</v>
      </c>
      <c r="B206" s="58" t="s">
        <v>1197</v>
      </c>
      <c r="C206" s="58" t="s">
        <v>27</v>
      </c>
      <c r="D206" s="58" t="s">
        <v>35</v>
      </c>
      <c r="E206" s="58" t="s">
        <v>54</v>
      </c>
      <c r="F206" s="58"/>
      <c r="G206" s="58" t="s">
        <v>30</v>
      </c>
      <c r="H206" s="59">
        <v>6000</v>
      </c>
      <c r="I206" s="160">
        <v>1200</v>
      </c>
      <c r="J206" s="48" t="s">
        <v>31</v>
      </c>
      <c r="K206" s="48" t="s">
        <v>32</v>
      </c>
      <c r="M206" s="2">
        <v>1400</v>
      </c>
      <c r="N206" s="2"/>
    </row>
    <row r="207" spans="1:17" ht="15.75" customHeight="1">
      <c r="A207" s="62">
        <v>19</v>
      </c>
      <c r="B207" s="62" t="s">
        <v>1198</v>
      </c>
      <c r="C207" s="62" t="s">
        <v>27</v>
      </c>
      <c r="D207" s="62" t="s">
        <v>108</v>
      </c>
      <c r="E207" s="62" t="s">
        <v>36</v>
      </c>
      <c r="F207" s="62"/>
      <c r="G207" s="62" t="s">
        <v>30</v>
      </c>
      <c r="H207" s="63">
        <v>500</v>
      </c>
      <c r="I207" s="159" t="s">
        <v>90</v>
      </c>
      <c r="J207" s="48" t="s">
        <v>31</v>
      </c>
      <c r="K207" s="48" t="s">
        <v>32</v>
      </c>
      <c r="M207" s="2"/>
      <c r="N207" s="2"/>
    </row>
    <row r="208" spans="1:17" ht="15.75" customHeight="1">
      <c r="A208" s="62">
        <v>19</v>
      </c>
      <c r="B208" s="62" t="s">
        <v>1198</v>
      </c>
      <c r="C208" s="62" t="s">
        <v>27</v>
      </c>
      <c r="D208" s="62" t="s">
        <v>108</v>
      </c>
      <c r="E208" s="62" t="s">
        <v>36</v>
      </c>
      <c r="F208" s="48"/>
      <c r="G208" s="48" t="s">
        <v>30</v>
      </c>
      <c r="H208" s="51">
        <v>2500</v>
      </c>
      <c r="I208" s="119">
        <v>500</v>
      </c>
      <c r="J208" s="48" t="s">
        <v>31</v>
      </c>
      <c r="K208" s="48" t="s">
        <v>32</v>
      </c>
      <c r="M208" s="2"/>
      <c r="N208" s="2"/>
    </row>
    <row r="209" spans="1:17" ht="15.75" customHeight="1">
      <c r="A209" s="62">
        <v>19</v>
      </c>
      <c r="B209" s="48" t="s">
        <v>1199</v>
      </c>
      <c r="C209" s="48" t="s">
        <v>27</v>
      </c>
      <c r="D209" s="48" t="s">
        <v>110</v>
      </c>
      <c r="E209" s="48" t="s">
        <v>36</v>
      </c>
      <c r="F209" s="48"/>
      <c r="G209" s="48" t="s">
        <v>30</v>
      </c>
      <c r="H209" s="51">
        <v>500</v>
      </c>
      <c r="I209" s="119">
        <v>100</v>
      </c>
      <c r="J209" s="48" t="s">
        <v>31</v>
      </c>
      <c r="K209" s="48" t="s">
        <v>32</v>
      </c>
      <c r="M209" s="2">
        <v>150</v>
      </c>
      <c r="N209" s="2"/>
    </row>
    <row r="210" spans="1:17" ht="15.75" customHeight="1">
      <c r="A210" s="62">
        <v>19</v>
      </c>
      <c r="B210" s="48" t="s">
        <v>1200</v>
      </c>
      <c r="C210" s="48" t="s">
        <v>27</v>
      </c>
      <c r="D210" s="48" t="s">
        <v>434</v>
      </c>
      <c r="E210" s="48" t="s">
        <v>36</v>
      </c>
      <c r="F210" s="48"/>
      <c r="G210" s="48" t="s">
        <v>30</v>
      </c>
      <c r="H210" s="51">
        <v>500</v>
      </c>
      <c r="I210" s="119">
        <v>100</v>
      </c>
      <c r="J210" s="48" t="s">
        <v>31</v>
      </c>
      <c r="K210" s="48" t="s">
        <v>32</v>
      </c>
      <c r="M210" s="2">
        <v>50</v>
      </c>
      <c r="N210" s="2"/>
      <c r="O210" s="759" t="s">
        <v>1201</v>
      </c>
      <c r="P210" s="719"/>
    </row>
    <row r="211" spans="1:17" ht="15.75" customHeight="1">
      <c r="A211" s="62">
        <v>19</v>
      </c>
      <c r="B211" s="48" t="s">
        <v>1202</v>
      </c>
      <c r="C211" s="48" t="s">
        <v>27</v>
      </c>
      <c r="D211" s="48" t="s">
        <v>1203</v>
      </c>
      <c r="E211" s="48" t="s">
        <v>245</v>
      </c>
      <c r="F211" s="48"/>
      <c r="G211" s="48" t="s">
        <v>30</v>
      </c>
      <c r="H211" s="51">
        <v>500</v>
      </c>
      <c r="I211" s="119">
        <v>100</v>
      </c>
      <c r="J211" s="48" t="s">
        <v>31</v>
      </c>
      <c r="K211" s="48" t="s">
        <v>32</v>
      </c>
      <c r="M211" s="2">
        <v>20</v>
      </c>
      <c r="N211" s="2"/>
      <c r="O211" s="759" t="s">
        <v>25</v>
      </c>
      <c r="P211" s="719"/>
    </row>
    <row r="212" spans="1:17" ht="15.75" customHeight="1">
      <c r="A212" s="62">
        <v>19</v>
      </c>
      <c r="B212" s="48" t="s">
        <v>1204</v>
      </c>
      <c r="C212" s="48" t="s">
        <v>27</v>
      </c>
      <c r="D212" s="48" t="s">
        <v>916</v>
      </c>
      <c r="E212" s="48" t="s">
        <v>36</v>
      </c>
      <c r="F212" s="48"/>
      <c r="G212" s="48" t="s">
        <v>30</v>
      </c>
      <c r="H212" s="51">
        <v>1500</v>
      </c>
      <c r="I212" s="119">
        <v>300</v>
      </c>
      <c r="J212" s="48" t="s">
        <v>31</v>
      </c>
      <c r="K212" s="48" t="s">
        <v>32</v>
      </c>
      <c r="M212" s="2">
        <v>300</v>
      </c>
      <c r="N212" s="2"/>
      <c r="O212" s="226" t="s">
        <v>33</v>
      </c>
      <c r="P212" s="227">
        <v>92250</v>
      </c>
    </row>
    <row r="213" spans="1:17" ht="15.75" customHeight="1">
      <c r="A213" s="62">
        <v>19</v>
      </c>
      <c r="B213" s="48" t="s">
        <v>502</v>
      </c>
      <c r="C213" s="48" t="s">
        <v>27</v>
      </c>
      <c r="D213" s="48" t="s">
        <v>68</v>
      </c>
      <c r="E213" s="48" t="s">
        <v>79</v>
      </c>
      <c r="F213" s="48"/>
      <c r="G213" s="48" t="s">
        <v>30</v>
      </c>
      <c r="H213" s="51">
        <v>3000</v>
      </c>
      <c r="I213" s="119">
        <v>600</v>
      </c>
      <c r="J213" s="48" t="s">
        <v>31</v>
      </c>
      <c r="K213" s="48" t="s">
        <v>32</v>
      </c>
      <c r="M213" s="2">
        <v>300</v>
      </c>
      <c r="N213" s="2"/>
      <c r="O213" s="226" t="s">
        <v>1152</v>
      </c>
      <c r="P213" s="227">
        <v>4500</v>
      </c>
    </row>
    <row r="214" spans="1:17" ht="15.75" customHeight="1">
      <c r="A214" s="62">
        <v>19</v>
      </c>
      <c r="B214" s="48" t="s">
        <v>1205</v>
      </c>
      <c r="C214" s="215" t="s">
        <v>39</v>
      </c>
      <c r="D214" s="48" t="s">
        <v>357</v>
      </c>
      <c r="E214" s="48" t="s">
        <v>73</v>
      </c>
      <c r="F214" s="48"/>
      <c r="G214" s="48" t="s">
        <v>30</v>
      </c>
      <c r="H214" s="51">
        <v>250</v>
      </c>
      <c r="I214" s="119">
        <v>50</v>
      </c>
      <c r="J214" s="48" t="s">
        <v>31</v>
      </c>
      <c r="K214" s="48" t="s">
        <v>32</v>
      </c>
      <c r="M214" s="2"/>
      <c r="N214" s="2"/>
      <c r="O214" s="228" t="s">
        <v>282</v>
      </c>
      <c r="P214" s="229">
        <f>SUM(P212:P213)</f>
        <v>96750</v>
      </c>
    </row>
    <row r="215" spans="1:17" ht="15.75" customHeight="1">
      <c r="A215" s="62">
        <v>19</v>
      </c>
      <c r="B215" s="58" t="s">
        <v>1206</v>
      </c>
      <c r="C215" s="58" t="s">
        <v>27</v>
      </c>
      <c r="D215" s="58" t="s">
        <v>35</v>
      </c>
      <c r="E215" s="58" t="s">
        <v>36</v>
      </c>
      <c r="F215" s="58"/>
      <c r="G215" s="58" t="s">
        <v>30</v>
      </c>
      <c r="H215" s="59">
        <v>10000</v>
      </c>
      <c r="I215" s="160">
        <v>2000</v>
      </c>
      <c r="J215" s="48" t="s">
        <v>31</v>
      </c>
      <c r="K215" s="48" t="s">
        <v>32</v>
      </c>
      <c r="M215" s="2"/>
      <c r="N215" s="2"/>
      <c r="O215" s="762" t="s">
        <v>286</v>
      </c>
      <c r="P215" s="763"/>
    </row>
    <row r="216" spans="1:17" ht="15.75" customHeight="1">
      <c r="A216" s="62">
        <v>20</v>
      </c>
      <c r="B216" s="62" t="s">
        <v>1207</v>
      </c>
      <c r="C216" s="62" t="s">
        <v>27</v>
      </c>
      <c r="D216" s="62" t="s">
        <v>637</v>
      </c>
      <c r="E216" s="62" t="s">
        <v>54</v>
      </c>
      <c r="F216" s="62"/>
      <c r="G216" s="62" t="s">
        <v>30</v>
      </c>
      <c r="H216" s="63">
        <v>200</v>
      </c>
      <c r="I216" s="159">
        <v>40</v>
      </c>
      <c r="J216" s="48" t="s">
        <v>31</v>
      </c>
      <c r="K216" s="48" t="s">
        <v>32</v>
      </c>
      <c r="M216" s="2"/>
      <c r="N216" s="2"/>
      <c r="O216" s="226" t="s">
        <v>589</v>
      </c>
      <c r="P216" s="228">
        <v>115</v>
      </c>
      <c r="Q216" s="55"/>
    </row>
    <row r="217" spans="1:17" ht="15.75" customHeight="1">
      <c r="A217" s="62">
        <v>20</v>
      </c>
      <c r="B217" s="62" t="s">
        <v>1207</v>
      </c>
      <c r="C217" s="62" t="s">
        <v>27</v>
      </c>
      <c r="D217" s="62" t="s">
        <v>637</v>
      </c>
      <c r="E217" s="62" t="s">
        <v>54</v>
      </c>
      <c r="F217" s="48"/>
      <c r="G217" s="48" t="s">
        <v>589</v>
      </c>
      <c r="H217" s="51">
        <v>115</v>
      </c>
      <c r="I217" s="119">
        <v>345</v>
      </c>
      <c r="J217" s="48" t="s">
        <v>31</v>
      </c>
      <c r="K217" s="48" t="s">
        <v>32</v>
      </c>
      <c r="M217" s="2"/>
      <c r="N217" s="2"/>
      <c r="Q217" s="55"/>
    </row>
    <row r="218" spans="1:17" ht="15.75" customHeight="1">
      <c r="A218" s="62">
        <v>20</v>
      </c>
      <c r="B218" s="233" t="s">
        <v>1208</v>
      </c>
      <c r="C218" s="233" t="s">
        <v>39</v>
      </c>
      <c r="D218" s="233" t="s">
        <v>688</v>
      </c>
      <c r="E218" s="233" t="s">
        <v>223</v>
      </c>
      <c r="F218" s="233"/>
      <c r="G218" s="233" t="s">
        <v>589</v>
      </c>
      <c r="H218" s="234">
        <v>25</v>
      </c>
      <c r="I218" s="235">
        <v>75</v>
      </c>
      <c r="J218" s="48" t="s">
        <v>31</v>
      </c>
      <c r="K218" s="48" t="s">
        <v>32</v>
      </c>
      <c r="M218" s="2"/>
      <c r="N218" s="2"/>
    </row>
    <row r="219" spans="1:17" ht="15.75" customHeight="1">
      <c r="A219" s="62">
        <v>21</v>
      </c>
      <c r="B219" s="236" t="s">
        <v>1209</v>
      </c>
      <c r="C219" s="236" t="s">
        <v>39</v>
      </c>
      <c r="D219" s="236" t="s">
        <v>1054</v>
      </c>
      <c r="E219" s="236" t="s">
        <v>51</v>
      </c>
      <c r="F219" s="236"/>
      <c r="G219" s="237" t="s">
        <v>30</v>
      </c>
      <c r="H219" s="238">
        <v>6000</v>
      </c>
      <c r="I219" s="239">
        <v>1200</v>
      </c>
      <c r="J219" s="48" t="s">
        <v>31</v>
      </c>
      <c r="K219" s="48" t="s">
        <v>32</v>
      </c>
      <c r="M219" s="2">
        <v>1400</v>
      </c>
      <c r="N219" s="2"/>
    </row>
    <row r="220" spans="1:17" ht="15.75" customHeight="1">
      <c r="A220" s="62">
        <v>21</v>
      </c>
      <c r="B220" s="240" t="s">
        <v>1210</v>
      </c>
      <c r="C220" s="240" t="s">
        <v>27</v>
      </c>
      <c r="D220" s="240" t="s">
        <v>1211</v>
      </c>
      <c r="E220" s="240" t="s">
        <v>102</v>
      </c>
      <c r="F220" s="240"/>
      <c r="G220" s="241" t="s">
        <v>30</v>
      </c>
      <c r="H220" s="242">
        <v>1500</v>
      </c>
      <c r="I220" s="243">
        <v>300</v>
      </c>
      <c r="J220" s="48" t="s">
        <v>31</v>
      </c>
      <c r="K220" s="48" t="s">
        <v>32</v>
      </c>
      <c r="M220" s="2">
        <v>300</v>
      </c>
      <c r="N220" s="2"/>
    </row>
    <row r="221" spans="1:17" ht="15.75" customHeight="1">
      <c r="A221" s="62">
        <v>21</v>
      </c>
      <c r="B221" s="240" t="s">
        <v>1212</v>
      </c>
      <c r="C221" s="240" t="s">
        <v>27</v>
      </c>
      <c r="D221" s="240" t="s">
        <v>1213</v>
      </c>
      <c r="E221" s="240" t="s">
        <v>73</v>
      </c>
      <c r="F221" s="240"/>
      <c r="G221" s="241" t="s">
        <v>30</v>
      </c>
      <c r="H221" s="242">
        <v>900</v>
      </c>
      <c r="I221" s="243">
        <v>180</v>
      </c>
      <c r="J221" s="48" t="s">
        <v>31</v>
      </c>
      <c r="K221" s="48" t="s">
        <v>32</v>
      </c>
      <c r="M221" s="2">
        <v>400</v>
      </c>
      <c r="N221" s="2"/>
    </row>
    <row r="222" spans="1:17" ht="15.75" customHeight="1">
      <c r="A222" s="62">
        <v>21</v>
      </c>
      <c r="B222" s="240" t="s">
        <v>922</v>
      </c>
      <c r="C222" s="240" t="s">
        <v>27</v>
      </c>
      <c r="D222" s="240" t="s">
        <v>712</v>
      </c>
      <c r="E222" s="240" t="s">
        <v>145</v>
      </c>
      <c r="F222" s="240"/>
      <c r="G222" s="241" t="s">
        <v>30</v>
      </c>
      <c r="H222" s="242">
        <v>6000</v>
      </c>
      <c r="I222" s="243">
        <v>1200</v>
      </c>
      <c r="J222" s="48" t="s">
        <v>31</v>
      </c>
      <c r="K222" s="48" t="s">
        <v>32</v>
      </c>
      <c r="M222" s="2">
        <v>400</v>
      </c>
      <c r="N222" s="2"/>
    </row>
    <row r="223" spans="1:17" ht="15.75" customHeight="1">
      <c r="A223" s="62">
        <v>21</v>
      </c>
      <c r="B223" s="240" t="s">
        <v>1214</v>
      </c>
      <c r="C223" s="240" t="s">
        <v>39</v>
      </c>
      <c r="D223" s="240" t="s">
        <v>43</v>
      </c>
      <c r="E223" s="240" t="s">
        <v>44</v>
      </c>
      <c r="F223" s="240"/>
      <c r="G223" s="240" t="s">
        <v>30</v>
      </c>
      <c r="H223" s="244">
        <v>500</v>
      </c>
      <c r="I223" s="243" t="s">
        <v>90</v>
      </c>
      <c r="J223" s="48" t="s">
        <v>31</v>
      </c>
      <c r="K223" s="48" t="s">
        <v>32</v>
      </c>
      <c r="M223" s="2">
        <v>300</v>
      </c>
      <c r="N223" s="2"/>
    </row>
    <row r="224" spans="1:17" ht="15.75" customHeight="1">
      <c r="A224" s="62">
        <v>21</v>
      </c>
      <c r="B224" s="240" t="s">
        <v>1214</v>
      </c>
      <c r="C224" s="240" t="s">
        <v>39</v>
      </c>
      <c r="D224" s="240" t="s">
        <v>43</v>
      </c>
      <c r="E224" s="240" t="s">
        <v>44</v>
      </c>
      <c r="F224" s="240"/>
      <c r="G224" s="241" t="s">
        <v>30</v>
      </c>
      <c r="H224" s="242">
        <v>1500</v>
      </c>
      <c r="I224" s="243">
        <v>300</v>
      </c>
      <c r="J224" s="48" t="s">
        <v>31</v>
      </c>
      <c r="K224" s="48" t="s">
        <v>32</v>
      </c>
      <c r="M224" s="2"/>
      <c r="N224" s="2"/>
    </row>
    <row r="225" spans="1:17" ht="15.75" customHeight="1">
      <c r="A225" s="62">
        <v>21</v>
      </c>
      <c r="B225" s="240" t="s">
        <v>1215</v>
      </c>
      <c r="C225" s="240" t="s">
        <v>27</v>
      </c>
      <c r="D225" s="240" t="s">
        <v>108</v>
      </c>
      <c r="E225" s="240" t="s">
        <v>36</v>
      </c>
      <c r="F225" s="240"/>
      <c r="G225" s="240" t="s">
        <v>30</v>
      </c>
      <c r="H225" s="244">
        <v>500</v>
      </c>
      <c r="I225" s="243" t="s">
        <v>90</v>
      </c>
      <c r="J225" s="48" t="s">
        <v>31</v>
      </c>
      <c r="K225" s="48" t="s">
        <v>32</v>
      </c>
      <c r="M225" s="2">
        <v>200</v>
      </c>
      <c r="N225" s="2"/>
    </row>
    <row r="226" spans="1:17" ht="15.75" customHeight="1">
      <c r="A226" s="62">
        <v>21</v>
      </c>
      <c r="B226" s="240" t="s">
        <v>1215</v>
      </c>
      <c r="C226" s="240" t="s">
        <v>27</v>
      </c>
      <c r="D226" s="240" t="s">
        <v>108</v>
      </c>
      <c r="E226" s="240" t="s">
        <v>36</v>
      </c>
      <c r="F226" s="233"/>
      <c r="G226" s="245" t="s">
        <v>30</v>
      </c>
      <c r="H226" s="246">
        <v>1500</v>
      </c>
      <c r="I226" s="235">
        <v>300</v>
      </c>
      <c r="J226" s="48" t="s">
        <v>31</v>
      </c>
      <c r="K226" s="48" t="s">
        <v>32</v>
      </c>
      <c r="M226" s="2"/>
      <c r="N226" s="2"/>
    </row>
    <row r="227" spans="1:17" ht="15.75" customHeight="1">
      <c r="A227" s="62">
        <v>22</v>
      </c>
      <c r="B227" s="236" t="s">
        <v>1216</v>
      </c>
      <c r="C227" s="236" t="s">
        <v>27</v>
      </c>
      <c r="D227" s="236" t="s">
        <v>266</v>
      </c>
      <c r="E227" s="236" t="s">
        <v>84</v>
      </c>
      <c r="F227" s="236"/>
      <c r="G227" s="237" t="s">
        <v>30</v>
      </c>
      <c r="H227" s="238">
        <v>100</v>
      </c>
      <c r="I227" s="239">
        <v>20</v>
      </c>
      <c r="J227" s="48" t="s">
        <v>31</v>
      </c>
      <c r="K227" s="48" t="s">
        <v>32</v>
      </c>
      <c r="M227" s="2">
        <v>20</v>
      </c>
      <c r="N227" s="2"/>
    </row>
    <row r="228" spans="1:17" ht="15.75" customHeight="1">
      <c r="A228" s="62">
        <v>22</v>
      </c>
      <c r="B228" s="233" t="s">
        <v>1217</v>
      </c>
      <c r="C228" s="233" t="s">
        <v>27</v>
      </c>
      <c r="D228" s="233" t="s">
        <v>631</v>
      </c>
      <c r="E228" s="233" t="s">
        <v>84</v>
      </c>
      <c r="F228" s="233"/>
      <c r="G228" s="245" t="s">
        <v>30</v>
      </c>
      <c r="H228" s="246">
        <v>500</v>
      </c>
      <c r="I228" s="235">
        <v>100</v>
      </c>
      <c r="J228" s="48" t="s">
        <v>31</v>
      </c>
      <c r="K228" s="48" t="s">
        <v>32</v>
      </c>
      <c r="M228" s="2">
        <v>1500</v>
      </c>
      <c r="N228" s="2"/>
    </row>
    <row r="229" spans="1:17" ht="15.75" customHeight="1">
      <c r="A229" s="62">
        <v>23</v>
      </c>
      <c r="B229" s="236" t="s">
        <v>1218</v>
      </c>
      <c r="C229" s="236" t="s">
        <v>27</v>
      </c>
      <c r="D229" s="236" t="s">
        <v>1219</v>
      </c>
      <c r="E229" s="236" t="s">
        <v>44</v>
      </c>
      <c r="F229" s="236"/>
      <c r="G229" s="237" t="s">
        <v>30</v>
      </c>
      <c r="H229" s="238">
        <v>1000</v>
      </c>
      <c r="I229" s="239">
        <v>200</v>
      </c>
      <c r="J229" s="48" t="s">
        <v>31</v>
      </c>
      <c r="K229" s="48" t="s">
        <v>32</v>
      </c>
      <c r="M229" s="2"/>
      <c r="N229" s="2"/>
    </row>
    <row r="230" spans="1:17" ht="15.75" customHeight="1">
      <c r="A230" s="62">
        <v>23</v>
      </c>
      <c r="B230" s="240" t="s">
        <v>1220</v>
      </c>
      <c r="C230" s="240" t="s">
        <v>27</v>
      </c>
      <c r="D230" s="240" t="s">
        <v>931</v>
      </c>
      <c r="E230" s="240" t="s">
        <v>145</v>
      </c>
      <c r="F230" s="240"/>
      <c r="G230" s="240" t="s">
        <v>30</v>
      </c>
      <c r="H230" s="244">
        <v>500</v>
      </c>
      <c r="I230" s="243" t="s">
        <v>90</v>
      </c>
      <c r="J230" s="48" t="s">
        <v>31</v>
      </c>
      <c r="K230" s="48" t="s">
        <v>32</v>
      </c>
      <c r="M230" s="2">
        <v>300</v>
      </c>
      <c r="N230" s="2"/>
    </row>
    <row r="231" spans="1:17" ht="15.75" customHeight="1">
      <c r="A231" s="62">
        <v>23</v>
      </c>
      <c r="B231" s="240" t="s">
        <v>1220</v>
      </c>
      <c r="C231" s="240" t="s">
        <v>27</v>
      </c>
      <c r="D231" s="240" t="s">
        <v>931</v>
      </c>
      <c r="E231" s="240" t="s">
        <v>145</v>
      </c>
      <c r="F231" s="240"/>
      <c r="G231" s="241" t="s">
        <v>30</v>
      </c>
      <c r="H231" s="242">
        <v>1000</v>
      </c>
      <c r="I231" s="243">
        <v>200</v>
      </c>
      <c r="J231" s="48" t="s">
        <v>31</v>
      </c>
      <c r="K231" s="48" t="s">
        <v>32</v>
      </c>
      <c r="M231" s="2"/>
      <c r="N231" s="2"/>
    </row>
    <row r="232" spans="1:17" ht="15.75" customHeight="1">
      <c r="A232" s="62">
        <v>23</v>
      </c>
      <c r="B232" s="240" t="s">
        <v>1221</v>
      </c>
      <c r="C232" s="240" t="s">
        <v>27</v>
      </c>
      <c r="D232" s="240" t="s">
        <v>211</v>
      </c>
      <c r="E232" s="240" t="s">
        <v>245</v>
      </c>
      <c r="F232" s="240"/>
      <c r="G232" s="241" t="s">
        <v>30</v>
      </c>
      <c r="H232" s="242">
        <v>1500</v>
      </c>
      <c r="I232" s="243">
        <v>300</v>
      </c>
      <c r="J232" s="48" t="s">
        <v>31</v>
      </c>
      <c r="K232" s="48" t="s">
        <v>32</v>
      </c>
      <c r="M232" s="2">
        <v>300</v>
      </c>
      <c r="N232" s="2"/>
    </row>
    <row r="233" spans="1:17" ht="15.75" customHeight="1">
      <c r="A233" s="62">
        <v>23</v>
      </c>
      <c r="B233" s="240" t="s">
        <v>1222</v>
      </c>
      <c r="C233" s="240" t="s">
        <v>27</v>
      </c>
      <c r="D233" s="240" t="s">
        <v>193</v>
      </c>
      <c r="E233" s="240" t="s">
        <v>36</v>
      </c>
      <c r="F233" s="240"/>
      <c r="G233" s="241" t="s">
        <v>30</v>
      </c>
      <c r="H233" s="242">
        <v>6000</v>
      </c>
      <c r="I233" s="243">
        <v>1200</v>
      </c>
      <c r="J233" s="48" t="s">
        <v>31</v>
      </c>
      <c r="K233" s="48" t="s">
        <v>32</v>
      </c>
      <c r="M233" s="2">
        <v>600</v>
      </c>
      <c r="N233" s="2"/>
    </row>
    <row r="234" spans="1:17" ht="15.75" customHeight="1">
      <c r="A234" s="62">
        <v>23</v>
      </c>
      <c r="B234" s="233" t="s">
        <v>1223</v>
      </c>
      <c r="C234" s="233" t="s">
        <v>27</v>
      </c>
      <c r="D234" s="233" t="s">
        <v>1224</v>
      </c>
      <c r="E234" s="233" t="s">
        <v>73</v>
      </c>
      <c r="F234" s="233"/>
      <c r="G234" s="245" t="s">
        <v>30</v>
      </c>
      <c r="H234" s="246">
        <v>200</v>
      </c>
      <c r="I234" s="235">
        <v>60</v>
      </c>
      <c r="J234" s="48" t="s">
        <v>31</v>
      </c>
      <c r="K234" s="48" t="s">
        <v>32</v>
      </c>
      <c r="M234" s="2"/>
      <c r="N234" s="2"/>
    </row>
    <row r="235" spans="1:17" ht="15.75" customHeight="1">
      <c r="A235" s="62">
        <v>24</v>
      </c>
      <c r="B235" s="236" t="s">
        <v>1160</v>
      </c>
      <c r="C235" s="236" t="s">
        <v>27</v>
      </c>
      <c r="D235" s="236" t="s">
        <v>760</v>
      </c>
      <c r="E235" s="236" t="s">
        <v>209</v>
      </c>
      <c r="F235" s="236"/>
      <c r="G235" s="237" t="s">
        <v>30</v>
      </c>
      <c r="H235" s="238">
        <v>7000</v>
      </c>
      <c r="I235" s="239">
        <v>1400</v>
      </c>
      <c r="J235" s="48" t="s">
        <v>31</v>
      </c>
      <c r="K235" s="62" t="s">
        <v>32</v>
      </c>
      <c r="M235" s="2">
        <v>1400</v>
      </c>
      <c r="N235" s="2"/>
    </row>
    <row r="236" spans="1:17" ht="15.75" customHeight="1">
      <c r="A236" s="62">
        <v>24</v>
      </c>
      <c r="B236" s="240" t="s">
        <v>1225</v>
      </c>
      <c r="C236" s="240" t="s">
        <v>27</v>
      </c>
      <c r="D236" s="240" t="s">
        <v>910</v>
      </c>
      <c r="E236" s="240" t="s">
        <v>36</v>
      </c>
      <c r="F236" s="240"/>
      <c r="G236" s="241" t="s">
        <v>30</v>
      </c>
      <c r="H236" s="242">
        <v>4000</v>
      </c>
      <c r="I236" s="243">
        <v>800</v>
      </c>
      <c r="J236" s="48" t="s">
        <v>31</v>
      </c>
      <c r="K236" s="48" t="s">
        <v>32</v>
      </c>
      <c r="M236" s="2">
        <v>800</v>
      </c>
      <c r="N236" s="2"/>
    </row>
    <row r="237" spans="1:17" ht="15.75" customHeight="1">
      <c r="A237" s="62">
        <v>24</v>
      </c>
      <c r="B237" s="240" t="s">
        <v>1226</v>
      </c>
      <c r="C237" s="240" t="s">
        <v>27</v>
      </c>
      <c r="D237" s="240" t="s">
        <v>211</v>
      </c>
      <c r="E237" s="240" t="s">
        <v>245</v>
      </c>
      <c r="F237" s="240"/>
      <c r="G237" s="241" t="s">
        <v>30</v>
      </c>
      <c r="H237" s="242">
        <v>1000</v>
      </c>
      <c r="I237" s="243">
        <v>200</v>
      </c>
      <c r="J237" s="48" t="s">
        <v>31</v>
      </c>
      <c r="K237" s="48" t="s">
        <v>32</v>
      </c>
      <c r="M237" s="2">
        <v>150</v>
      </c>
      <c r="N237" s="2"/>
    </row>
    <row r="238" spans="1:17" ht="15.75" customHeight="1">
      <c r="A238" s="62">
        <v>24</v>
      </c>
      <c r="B238" s="240" t="s">
        <v>1227</v>
      </c>
      <c r="C238" s="240" t="s">
        <v>27</v>
      </c>
      <c r="D238" s="240" t="s">
        <v>407</v>
      </c>
      <c r="E238" s="240" t="s">
        <v>44</v>
      </c>
      <c r="F238" s="240"/>
      <c r="G238" s="241" t="s">
        <v>30</v>
      </c>
      <c r="H238" s="242">
        <v>1000</v>
      </c>
      <c r="I238" s="243">
        <v>200</v>
      </c>
      <c r="J238" s="48" t="s">
        <v>31</v>
      </c>
      <c r="K238" s="48" t="s">
        <v>32</v>
      </c>
      <c r="M238" s="2">
        <v>200</v>
      </c>
      <c r="N238" s="2"/>
      <c r="O238" s="760" t="s">
        <v>1228</v>
      </c>
      <c r="P238" s="719"/>
    </row>
    <row r="239" spans="1:17" ht="15.75" customHeight="1">
      <c r="A239" s="62">
        <v>24</v>
      </c>
      <c r="B239" s="233" t="s">
        <v>468</v>
      </c>
      <c r="C239" s="233" t="s">
        <v>27</v>
      </c>
      <c r="D239" s="233" t="s">
        <v>100</v>
      </c>
      <c r="E239" s="233" t="s">
        <v>84</v>
      </c>
      <c r="F239" s="233"/>
      <c r="G239" s="245" t="s">
        <v>30</v>
      </c>
      <c r="H239" s="246">
        <v>2000</v>
      </c>
      <c r="I239" s="235">
        <v>400</v>
      </c>
      <c r="J239" s="48" t="s">
        <v>31</v>
      </c>
      <c r="K239" s="58" t="s">
        <v>32</v>
      </c>
      <c r="M239" s="2">
        <v>400</v>
      </c>
      <c r="N239" s="2"/>
      <c r="O239" s="761" t="s">
        <v>25</v>
      </c>
      <c r="P239" s="719"/>
    </row>
    <row r="240" spans="1:17" ht="15.75" customHeight="1">
      <c r="A240" s="62">
        <v>25</v>
      </c>
      <c r="B240" s="236" t="s">
        <v>1229</v>
      </c>
      <c r="C240" s="236" t="s">
        <v>27</v>
      </c>
      <c r="D240" s="236" t="s">
        <v>1230</v>
      </c>
      <c r="E240" s="236" t="s">
        <v>44</v>
      </c>
      <c r="F240" s="236"/>
      <c r="G240" s="236" t="s">
        <v>608</v>
      </c>
      <c r="H240" s="247">
        <v>60</v>
      </c>
      <c r="I240" s="239">
        <v>600</v>
      </c>
      <c r="J240" s="48" t="s">
        <v>31</v>
      </c>
      <c r="K240" s="58" t="s">
        <v>32</v>
      </c>
      <c r="M240" s="2"/>
      <c r="N240" s="2"/>
      <c r="O240" s="240" t="s">
        <v>33</v>
      </c>
      <c r="P240" s="244">
        <v>45700</v>
      </c>
      <c r="Q240" s="55"/>
    </row>
    <row r="241" spans="1:17" ht="15.75" customHeight="1">
      <c r="A241" s="62">
        <v>25</v>
      </c>
      <c r="B241" s="240" t="s">
        <v>1231</v>
      </c>
      <c r="C241" s="240" t="s">
        <v>27</v>
      </c>
      <c r="D241" s="240" t="s">
        <v>618</v>
      </c>
      <c r="E241" s="240" t="s">
        <v>73</v>
      </c>
      <c r="F241" s="240"/>
      <c r="G241" s="240" t="s">
        <v>608</v>
      </c>
      <c r="H241" s="244">
        <v>5</v>
      </c>
      <c r="I241" s="243">
        <v>50</v>
      </c>
      <c r="J241" s="48" t="s">
        <v>31</v>
      </c>
      <c r="K241" s="58" t="s">
        <v>32</v>
      </c>
      <c r="M241" s="2"/>
      <c r="N241" s="2"/>
      <c r="O241" s="240" t="s">
        <v>37</v>
      </c>
      <c r="P241" s="244">
        <v>5500</v>
      </c>
      <c r="Q241" s="55"/>
    </row>
    <row r="242" spans="1:17" ht="15.75" customHeight="1">
      <c r="A242" s="62">
        <v>25</v>
      </c>
      <c r="B242" s="240" t="s">
        <v>1232</v>
      </c>
      <c r="C242" s="240" t="s">
        <v>27</v>
      </c>
      <c r="D242" s="240" t="s">
        <v>422</v>
      </c>
      <c r="E242" s="240" t="s">
        <v>245</v>
      </c>
      <c r="F242" s="240"/>
      <c r="G242" s="240" t="s">
        <v>608</v>
      </c>
      <c r="H242" s="244">
        <v>30</v>
      </c>
      <c r="I242" s="243">
        <v>300</v>
      </c>
      <c r="J242" s="48" t="s">
        <v>31</v>
      </c>
      <c r="K242" s="58" t="s">
        <v>32</v>
      </c>
      <c r="M242" s="2"/>
      <c r="N242" s="2"/>
      <c r="O242" s="248" t="s">
        <v>282</v>
      </c>
      <c r="P242" s="249">
        <v>51200</v>
      </c>
      <c r="Q242" s="55"/>
    </row>
    <row r="243" spans="1:17" ht="15.75" customHeight="1">
      <c r="A243" s="62">
        <v>25</v>
      </c>
      <c r="B243" s="240" t="s">
        <v>1233</v>
      </c>
      <c r="C243" s="240" t="s">
        <v>27</v>
      </c>
      <c r="D243" s="240" t="s">
        <v>108</v>
      </c>
      <c r="E243" s="240" t="s">
        <v>84</v>
      </c>
      <c r="F243" s="240"/>
      <c r="G243" s="240" t="s">
        <v>589</v>
      </c>
      <c r="H243" s="244">
        <v>15</v>
      </c>
      <c r="I243" s="243">
        <v>45</v>
      </c>
      <c r="J243" s="48" t="s">
        <v>31</v>
      </c>
      <c r="K243" s="58" t="s">
        <v>32</v>
      </c>
      <c r="M243" s="2"/>
      <c r="N243" s="2"/>
      <c r="O243" s="761" t="s">
        <v>286</v>
      </c>
      <c r="P243" s="719"/>
    </row>
    <row r="244" spans="1:17" ht="15.75" customHeight="1">
      <c r="A244" s="62">
        <v>25</v>
      </c>
      <c r="B244" s="250" t="s">
        <v>1234</v>
      </c>
      <c r="C244" s="250" t="s">
        <v>27</v>
      </c>
      <c r="D244" s="250" t="s">
        <v>659</v>
      </c>
      <c r="E244" s="250" t="s">
        <v>86</v>
      </c>
      <c r="F244" s="250"/>
      <c r="G244" s="250" t="s">
        <v>608</v>
      </c>
      <c r="H244" s="251">
        <v>20</v>
      </c>
      <c r="I244" s="252">
        <v>200</v>
      </c>
      <c r="J244" s="48" t="s">
        <v>31</v>
      </c>
      <c r="K244" s="58" t="s">
        <v>32</v>
      </c>
      <c r="M244" s="2"/>
      <c r="N244" s="2"/>
      <c r="O244" s="240" t="s">
        <v>580</v>
      </c>
      <c r="P244" s="240">
        <v>115</v>
      </c>
    </row>
    <row r="245" spans="1:17" ht="15.75" customHeight="1">
      <c r="A245" s="58">
        <v>26</v>
      </c>
      <c r="B245" s="233" t="s">
        <v>599</v>
      </c>
      <c r="C245" s="233" t="s">
        <v>27</v>
      </c>
      <c r="D245" s="233" t="s">
        <v>600</v>
      </c>
      <c r="E245" s="233" t="s">
        <v>209</v>
      </c>
      <c r="F245" s="233"/>
      <c r="G245" s="245" t="s">
        <v>30</v>
      </c>
      <c r="H245" s="246">
        <v>3000</v>
      </c>
      <c r="I245" s="235">
        <v>600</v>
      </c>
      <c r="J245" s="48" t="s">
        <v>31</v>
      </c>
      <c r="K245" s="58" t="s">
        <v>32</v>
      </c>
      <c r="M245" s="2"/>
      <c r="N245" s="2"/>
      <c r="O245" s="240" t="s">
        <v>589</v>
      </c>
      <c r="P245" s="240">
        <v>35</v>
      </c>
    </row>
    <row r="246" spans="1:17" ht="15.75" customHeight="1">
      <c r="A246" s="62">
        <v>30</v>
      </c>
      <c r="B246" s="62" t="s">
        <v>1235</v>
      </c>
      <c r="C246" s="62" t="s">
        <v>27</v>
      </c>
      <c r="D246" s="62" t="s">
        <v>1069</v>
      </c>
      <c r="E246" s="62" t="s">
        <v>223</v>
      </c>
      <c r="F246" s="62"/>
      <c r="G246" s="62" t="s">
        <v>30</v>
      </c>
      <c r="H246" s="63">
        <v>1500</v>
      </c>
      <c r="I246" s="159" t="s">
        <v>90</v>
      </c>
      <c r="J246" s="48" t="s">
        <v>31</v>
      </c>
      <c r="K246" s="58" t="s">
        <v>32</v>
      </c>
      <c r="M246" s="2"/>
      <c r="N246" s="2"/>
      <c r="O246" s="248" t="s">
        <v>282</v>
      </c>
      <c r="P246" s="248">
        <v>150</v>
      </c>
    </row>
    <row r="247" spans="1:17" ht="15.75" customHeight="1">
      <c r="A247" s="62">
        <v>30</v>
      </c>
      <c r="B247" s="48" t="s">
        <v>1236</v>
      </c>
      <c r="C247" s="48" t="s">
        <v>27</v>
      </c>
      <c r="D247" s="48" t="s">
        <v>934</v>
      </c>
      <c r="E247" s="48" t="s">
        <v>44</v>
      </c>
      <c r="F247" s="48"/>
      <c r="G247" s="48" t="s">
        <v>30</v>
      </c>
      <c r="H247" s="51">
        <v>200</v>
      </c>
      <c r="I247" s="119" t="s">
        <v>90</v>
      </c>
      <c r="J247" s="48" t="s">
        <v>31</v>
      </c>
      <c r="K247" s="58" t="s">
        <v>32</v>
      </c>
      <c r="M247" s="2"/>
      <c r="N247" s="2"/>
    </row>
    <row r="248" spans="1:17" ht="15.75" customHeight="1">
      <c r="A248" s="48"/>
      <c r="B248" s="48"/>
      <c r="C248" s="48"/>
      <c r="D248" s="48"/>
      <c r="E248" s="48"/>
      <c r="F248" s="48"/>
      <c r="G248" s="48"/>
      <c r="H248" s="51"/>
      <c r="I248" s="119"/>
      <c r="J248" s="48"/>
      <c r="K248" s="48"/>
      <c r="M248" s="2"/>
      <c r="N248" s="2"/>
      <c r="O248" s="760" t="s">
        <v>1237</v>
      </c>
      <c r="P248" s="719"/>
    </row>
    <row r="249" spans="1:17" ht="15.75" customHeight="1">
      <c r="A249" s="48"/>
      <c r="B249" s="48"/>
      <c r="C249" s="48"/>
      <c r="D249" s="48"/>
      <c r="E249" s="48"/>
      <c r="F249" s="48"/>
      <c r="G249" s="48"/>
      <c r="H249" s="51"/>
      <c r="I249" s="119"/>
      <c r="J249" s="48"/>
      <c r="K249" s="48"/>
      <c r="M249" s="2"/>
      <c r="N249" s="2"/>
      <c r="O249" s="761" t="s">
        <v>25</v>
      </c>
      <c r="P249" s="719"/>
    </row>
    <row r="250" spans="1:17" ht="15.75" customHeight="1">
      <c r="A250" s="48"/>
      <c r="B250" s="48"/>
      <c r="C250" s="48"/>
      <c r="D250" s="48"/>
      <c r="E250" s="48"/>
      <c r="F250" s="48"/>
      <c r="G250" s="48"/>
      <c r="H250" s="51"/>
      <c r="I250" s="119"/>
      <c r="J250" s="48"/>
      <c r="K250" s="48"/>
      <c r="M250" s="2"/>
      <c r="N250" s="2"/>
      <c r="O250" s="240" t="s">
        <v>33</v>
      </c>
      <c r="P250" s="244">
        <v>0</v>
      </c>
    </row>
    <row r="251" spans="1:17" ht="15.75" customHeight="1">
      <c r="A251" s="48"/>
      <c r="B251" s="48"/>
      <c r="C251" s="48"/>
      <c r="D251" s="48"/>
      <c r="E251" s="48"/>
      <c r="F251" s="48"/>
      <c r="G251" s="48"/>
      <c r="H251" s="51"/>
      <c r="I251" s="119"/>
      <c r="J251" s="48"/>
      <c r="K251" s="48"/>
      <c r="M251" s="2"/>
      <c r="N251" s="2"/>
      <c r="O251" s="240" t="s">
        <v>37</v>
      </c>
      <c r="P251" s="244">
        <v>230700</v>
      </c>
    </row>
    <row r="252" spans="1:17" ht="15.75" customHeight="1">
      <c r="A252" s="58"/>
      <c r="B252" s="58"/>
      <c r="C252" s="58"/>
      <c r="D252" s="58"/>
      <c r="E252" s="58"/>
      <c r="F252" s="58"/>
      <c r="G252" s="58"/>
      <c r="H252" s="59"/>
      <c r="I252" s="160"/>
      <c r="J252" s="58"/>
      <c r="K252" s="58"/>
      <c r="M252" s="2"/>
      <c r="N252" s="2"/>
      <c r="O252" s="248" t="s">
        <v>282</v>
      </c>
      <c r="P252" s="249">
        <v>230700</v>
      </c>
    </row>
    <row r="253" spans="1:17" ht="15.75" customHeight="1">
      <c r="A253" s="62"/>
      <c r="B253" s="62"/>
      <c r="C253" s="62"/>
      <c r="D253" s="62"/>
      <c r="E253" s="62"/>
      <c r="F253" s="62"/>
      <c r="G253" s="62"/>
      <c r="H253" s="63"/>
      <c r="I253" s="159"/>
      <c r="J253" s="62"/>
      <c r="K253" s="62"/>
      <c r="M253" s="2"/>
      <c r="N253" s="2"/>
    </row>
    <row r="254" spans="1:17" ht="15.75" customHeight="1">
      <c r="A254" s="58"/>
      <c r="B254" s="58"/>
      <c r="C254" s="58"/>
      <c r="D254" s="58"/>
      <c r="E254" s="58"/>
      <c r="F254" s="58"/>
      <c r="G254" s="58"/>
      <c r="H254" s="59"/>
      <c r="I254" s="160"/>
      <c r="J254" s="58"/>
      <c r="K254" s="58"/>
      <c r="M254" s="2"/>
      <c r="N254" s="2"/>
    </row>
    <row r="255" spans="1:17" ht="15.75" customHeight="1">
      <c r="G255" s="2"/>
      <c r="H255" s="2"/>
      <c r="I255" s="2"/>
    </row>
    <row r="256" spans="1:17" ht="15.75" customHeight="1">
      <c r="G256" s="2"/>
      <c r="H256" s="2"/>
      <c r="I256" s="137" t="s">
        <v>508</v>
      </c>
      <c r="J256" s="83"/>
    </row>
    <row r="257" spans="2:10" ht="15.75" customHeight="1">
      <c r="B257" s="126" t="s">
        <v>509</v>
      </c>
      <c r="E257" s="126" t="s">
        <v>510</v>
      </c>
      <c r="G257" s="2"/>
      <c r="H257" s="2"/>
      <c r="I257" s="83" t="s">
        <v>942</v>
      </c>
      <c r="J257" s="83"/>
    </row>
    <row r="258" spans="2:10" ht="15.75" customHeight="1">
      <c r="G258" s="2"/>
      <c r="H258" s="2"/>
      <c r="I258" s="83" t="s">
        <v>944</v>
      </c>
      <c r="J258" s="83"/>
    </row>
    <row r="259" spans="2:10" ht="15.75" customHeight="1">
      <c r="G259" s="2"/>
      <c r="H259" s="2"/>
      <c r="I259" s="83" t="s">
        <v>946</v>
      </c>
      <c r="J259" s="83"/>
    </row>
    <row r="260" spans="2:10" ht="15.75" customHeight="1">
      <c r="B260" s="86" t="s">
        <v>516</v>
      </c>
      <c r="E260" s="731" t="s">
        <v>517</v>
      </c>
      <c r="F260" s="711"/>
      <c r="G260" s="711"/>
      <c r="H260" s="2"/>
      <c r="I260" s="83" t="s">
        <v>947</v>
      </c>
      <c r="J260" s="83"/>
    </row>
    <row r="261" spans="2:10" ht="15.75" customHeight="1">
      <c r="B261" s="4" t="s">
        <v>949</v>
      </c>
      <c r="E261" s="732" t="s">
        <v>1238</v>
      </c>
      <c r="F261" s="711"/>
      <c r="G261" s="711"/>
      <c r="H261" s="2"/>
      <c r="I261" s="83" t="s">
        <v>950</v>
      </c>
      <c r="J261" s="83"/>
    </row>
    <row r="262" spans="2:10" ht="15.75" customHeight="1">
      <c r="G262" s="2"/>
      <c r="H262" s="2"/>
      <c r="I262" s="83" t="s">
        <v>564</v>
      </c>
      <c r="J262" s="83"/>
    </row>
    <row r="263" spans="2:10" ht="15.75" customHeight="1">
      <c r="G263" s="2"/>
      <c r="H263" s="2"/>
      <c r="I263" s="83" t="s">
        <v>525</v>
      </c>
      <c r="J263" s="83"/>
    </row>
    <row r="264" spans="2:10" ht="15.75" customHeight="1">
      <c r="G264" s="2"/>
      <c r="H264" s="2"/>
      <c r="I264" s="10" t="s">
        <v>565</v>
      </c>
      <c r="J264" s="90"/>
    </row>
    <row r="265" spans="2:10" ht="15.75" customHeight="1">
      <c r="G265" s="2"/>
      <c r="H265" s="2"/>
      <c r="I265" s="10" t="s">
        <v>953</v>
      </c>
      <c r="J265" s="90"/>
    </row>
    <row r="266" spans="2:10" ht="15.75" customHeight="1">
      <c r="G266" s="2"/>
      <c r="H266" s="2"/>
      <c r="I266" s="2"/>
    </row>
    <row r="267" spans="2:10" ht="15.75" customHeight="1">
      <c r="G267" s="2"/>
      <c r="H267" s="2"/>
      <c r="I267" s="2"/>
    </row>
    <row r="268" spans="2:10" ht="15.75" customHeight="1">
      <c r="G268" s="2"/>
      <c r="H268" s="2"/>
      <c r="I268" s="2"/>
    </row>
    <row r="269" spans="2:10" ht="15.75" customHeight="1">
      <c r="G269" s="2"/>
      <c r="H269" s="2"/>
      <c r="I269" s="2"/>
    </row>
    <row r="270" spans="2:10" ht="15.75" customHeight="1">
      <c r="G270" s="2"/>
      <c r="H270" s="2"/>
      <c r="I270" s="2"/>
    </row>
    <row r="271" spans="2:10" ht="15.75" customHeight="1">
      <c r="G271" s="2"/>
      <c r="H271" s="2"/>
      <c r="I271" s="2"/>
    </row>
    <row r="272" spans="2:10" ht="15.75" customHeight="1">
      <c r="G272" s="2"/>
      <c r="H272" s="2"/>
      <c r="I272" s="2"/>
    </row>
    <row r="273" spans="7:9" ht="15.75" customHeight="1">
      <c r="G273" s="2"/>
      <c r="H273" s="2"/>
      <c r="I273" s="2"/>
    </row>
    <row r="274" spans="7:9" ht="15.75" customHeight="1">
      <c r="G274" s="2"/>
      <c r="H274" s="2"/>
      <c r="I274" s="2"/>
    </row>
    <row r="275" spans="7:9" ht="15.75" customHeight="1">
      <c r="G275" s="2"/>
      <c r="H275" s="2"/>
      <c r="I275" s="2"/>
    </row>
    <row r="276" spans="7:9" ht="15.75" customHeight="1">
      <c r="G276" s="2"/>
      <c r="H276" s="2"/>
      <c r="I276" s="2"/>
    </row>
    <row r="277" spans="7:9" ht="15.75" customHeight="1">
      <c r="G277" s="2"/>
      <c r="H277" s="2"/>
      <c r="I277" s="2"/>
    </row>
    <row r="278" spans="7:9" ht="15.75" customHeight="1">
      <c r="G278" s="2"/>
      <c r="H278" s="2"/>
      <c r="I278" s="2"/>
    </row>
    <row r="279" spans="7:9" ht="15.75" customHeight="1">
      <c r="G279" s="2"/>
      <c r="H279" s="2"/>
      <c r="I279" s="2"/>
    </row>
    <row r="280" spans="7:9" ht="15.75" customHeight="1">
      <c r="G280" s="2"/>
      <c r="H280" s="2"/>
      <c r="I280" s="2"/>
    </row>
    <row r="281" spans="7:9" ht="15.75" customHeight="1">
      <c r="G281" s="2"/>
      <c r="H281" s="2"/>
      <c r="I281" s="2"/>
    </row>
    <row r="282" spans="7:9" ht="15.75" customHeight="1">
      <c r="G282" s="2"/>
      <c r="H282" s="2"/>
      <c r="I282" s="2"/>
    </row>
    <row r="283" spans="7:9" ht="15.75" customHeight="1">
      <c r="G283" s="2"/>
      <c r="H283" s="2"/>
      <c r="I283" s="2"/>
    </row>
    <row r="284" spans="7:9" ht="15.75" customHeight="1">
      <c r="G284" s="2"/>
      <c r="H284" s="2"/>
      <c r="I284" s="2"/>
    </row>
    <row r="285" spans="7:9" ht="15.75" customHeight="1">
      <c r="G285" s="2"/>
      <c r="H285" s="2"/>
      <c r="I285" s="2"/>
    </row>
    <row r="286" spans="7:9" ht="15.75" customHeight="1">
      <c r="G286" s="2"/>
      <c r="H286" s="2"/>
      <c r="I286" s="2"/>
    </row>
    <row r="287" spans="7:9" ht="15.75" customHeight="1">
      <c r="G287" s="2"/>
      <c r="H287" s="2"/>
      <c r="I287" s="2"/>
    </row>
    <row r="288" spans="7:9" ht="15.75" customHeight="1">
      <c r="G288" s="2"/>
      <c r="H288" s="2"/>
      <c r="I288" s="2"/>
    </row>
    <row r="289" spans="7:9" ht="15.75" customHeight="1">
      <c r="G289" s="2"/>
      <c r="H289" s="2"/>
      <c r="I289" s="2"/>
    </row>
    <row r="290" spans="7:9" ht="15.75" customHeight="1">
      <c r="G290" s="2"/>
      <c r="H290" s="2"/>
      <c r="I290" s="2"/>
    </row>
    <row r="291" spans="7:9" ht="15.75" customHeight="1">
      <c r="G291" s="2"/>
      <c r="H291" s="2"/>
      <c r="I291" s="2"/>
    </row>
    <row r="292" spans="7:9" ht="15.75" customHeight="1">
      <c r="G292" s="2"/>
      <c r="H292" s="2"/>
      <c r="I292" s="2"/>
    </row>
    <row r="293" spans="7:9" ht="15.75" customHeight="1">
      <c r="G293" s="2"/>
      <c r="H293" s="2"/>
      <c r="I293" s="2"/>
    </row>
    <row r="294" spans="7:9" ht="15.75" customHeight="1">
      <c r="G294" s="2"/>
      <c r="H294" s="2"/>
      <c r="I294" s="2"/>
    </row>
    <row r="295" spans="7:9" ht="15.75" customHeight="1">
      <c r="G295" s="2"/>
      <c r="H295" s="2"/>
      <c r="I295" s="2"/>
    </row>
    <row r="296" spans="7:9" ht="15.75" customHeight="1">
      <c r="G296" s="2"/>
      <c r="H296" s="2"/>
      <c r="I296" s="2"/>
    </row>
    <row r="297" spans="7:9" ht="15.75" customHeight="1">
      <c r="G297" s="2"/>
      <c r="H297" s="2"/>
      <c r="I297" s="2"/>
    </row>
    <row r="298" spans="7:9" ht="15.75" customHeight="1">
      <c r="G298" s="2"/>
      <c r="H298" s="2"/>
      <c r="I298" s="2"/>
    </row>
    <row r="299" spans="7:9" ht="15.75" customHeight="1">
      <c r="G299" s="2"/>
      <c r="H299" s="2"/>
      <c r="I299" s="2"/>
    </row>
    <row r="300" spans="7:9" ht="15.75" customHeight="1">
      <c r="G300" s="2"/>
      <c r="H300" s="2"/>
      <c r="I300" s="2"/>
    </row>
    <row r="301" spans="7:9" ht="15.75" customHeight="1">
      <c r="G301" s="2"/>
      <c r="H301" s="2"/>
      <c r="I301" s="2"/>
    </row>
    <row r="302" spans="7:9" ht="15.75" customHeight="1">
      <c r="G302" s="2"/>
      <c r="H302" s="2"/>
      <c r="I302" s="2"/>
    </row>
    <row r="303" spans="7:9" ht="15.75" customHeight="1">
      <c r="G303" s="2"/>
      <c r="H303" s="2"/>
      <c r="I303" s="2"/>
    </row>
    <row r="304" spans="7:9" ht="15.75" customHeight="1">
      <c r="G304" s="2"/>
      <c r="H304" s="2"/>
      <c r="I304" s="2"/>
    </row>
    <row r="305" spans="7:9" ht="15.75" customHeight="1">
      <c r="G305" s="2"/>
      <c r="H305" s="2"/>
      <c r="I305" s="2"/>
    </row>
    <row r="306" spans="7:9" ht="15.75" customHeight="1">
      <c r="G306" s="2"/>
      <c r="H306" s="2"/>
      <c r="I306" s="2"/>
    </row>
    <row r="307" spans="7:9" ht="15.75" customHeight="1">
      <c r="G307" s="2"/>
      <c r="H307" s="2"/>
      <c r="I307" s="2"/>
    </row>
    <row r="308" spans="7:9" ht="15.75" customHeight="1">
      <c r="G308" s="2"/>
      <c r="H308" s="2"/>
      <c r="I308" s="2"/>
    </row>
    <row r="309" spans="7:9" ht="15.75" customHeight="1">
      <c r="G309" s="2"/>
      <c r="H309" s="2"/>
      <c r="I309" s="2"/>
    </row>
    <row r="310" spans="7:9" ht="15.75" customHeight="1">
      <c r="G310" s="2"/>
      <c r="H310" s="2"/>
      <c r="I310" s="2"/>
    </row>
    <row r="311" spans="7:9" ht="15.75" customHeight="1">
      <c r="G311" s="2"/>
      <c r="H311" s="2"/>
      <c r="I311" s="2"/>
    </row>
    <row r="312" spans="7:9" ht="15.75" customHeight="1">
      <c r="G312" s="2"/>
      <c r="H312" s="2"/>
      <c r="I312" s="2"/>
    </row>
    <row r="313" spans="7:9" ht="15.75" customHeight="1">
      <c r="G313" s="2"/>
      <c r="H313" s="2"/>
      <c r="I313" s="2"/>
    </row>
    <row r="314" spans="7:9" ht="15.75" customHeight="1">
      <c r="G314" s="2"/>
      <c r="H314" s="2"/>
      <c r="I314" s="2"/>
    </row>
    <row r="315" spans="7:9" ht="15.75" customHeight="1">
      <c r="G315" s="2"/>
      <c r="H315" s="2"/>
      <c r="I315" s="2"/>
    </row>
    <row r="316" spans="7:9" ht="15.75" customHeight="1">
      <c r="G316" s="2"/>
      <c r="H316" s="2"/>
      <c r="I316" s="2"/>
    </row>
    <row r="317" spans="7:9" ht="15.75" customHeight="1">
      <c r="G317" s="2"/>
      <c r="H317" s="2"/>
      <c r="I317" s="2"/>
    </row>
    <row r="318" spans="7:9" ht="15.75" customHeight="1">
      <c r="G318" s="2"/>
      <c r="H318" s="2"/>
      <c r="I318" s="2"/>
    </row>
    <row r="319" spans="7:9" ht="15.75" customHeight="1">
      <c r="G319" s="2"/>
      <c r="H319" s="2"/>
      <c r="I319" s="2"/>
    </row>
    <row r="320" spans="7:9" ht="15.75" customHeight="1">
      <c r="G320" s="2"/>
      <c r="H320" s="2"/>
      <c r="I320" s="2"/>
    </row>
    <row r="321" spans="7:9" ht="15.75" customHeight="1">
      <c r="G321" s="2"/>
      <c r="H321" s="2"/>
      <c r="I321" s="2"/>
    </row>
    <row r="322" spans="7:9" ht="15.75" customHeight="1">
      <c r="G322" s="2"/>
      <c r="H322" s="2"/>
      <c r="I322" s="2"/>
    </row>
    <row r="323" spans="7:9" ht="15.75" customHeight="1">
      <c r="G323" s="2"/>
      <c r="H323" s="2"/>
      <c r="I323" s="2"/>
    </row>
    <row r="324" spans="7:9" ht="15.75" customHeight="1">
      <c r="G324" s="2"/>
      <c r="H324" s="2"/>
      <c r="I324" s="2"/>
    </row>
    <row r="325" spans="7:9" ht="15.75" customHeight="1">
      <c r="G325" s="2"/>
      <c r="H325" s="2"/>
      <c r="I325" s="2"/>
    </row>
    <row r="326" spans="7:9" ht="15.75" customHeight="1">
      <c r="G326" s="2"/>
      <c r="H326" s="2"/>
      <c r="I326" s="2"/>
    </row>
    <row r="327" spans="7:9" ht="15.75" customHeight="1">
      <c r="G327" s="2"/>
      <c r="H327" s="2"/>
      <c r="I327" s="2"/>
    </row>
    <row r="328" spans="7:9" ht="15.75" customHeight="1">
      <c r="G328" s="2"/>
      <c r="H328" s="2"/>
      <c r="I328" s="2"/>
    </row>
    <row r="329" spans="7:9" ht="15.75" customHeight="1">
      <c r="G329" s="2"/>
      <c r="H329" s="2"/>
      <c r="I329" s="2"/>
    </row>
    <row r="330" spans="7:9" ht="15.75" customHeight="1">
      <c r="G330" s="2"/>
      <c r="H330" s="2"/>
      <c r="I330" s="2"/>
    </row>
    <row r="331" spans="7:9" ht="15.75" customHeight="1">
      <c r="G331" s="2"/>
      <c r="H331" s="2"/>
      <c r="I331" s="2"/>
    </row>
    <row r="332" spans="7:9" ht="15.75" customHeight="1">
      <c r="G332" s="2"/>
      <c r="H332" s="2"/>
      <c r="I332" s="2"/>
    </row>
    <row r="333" spans="7:9" ht="15.75" customHeight="1">
      <c r="G333" s="2"/>
      <c r="H333" s="2"/>
      <c r="I333" s="2"/>
    </row>
    <row r="334" spans="7:9" ht="15.75" customHeight="1">
      <c r="G334" s="2"/>
      <c r="H334" s="2"/>
      <c r="I334" s="2"/>
    </row>
    <row r="335" spans="7:9" ht="15.75" customHeight="1">
      <c r="G335" s="2"/>
      <c r="H335" s="2"/>
      <c r="I335" s="2"/>
    </row>
    <row r="336" spans="7:9" ht="15.75" customHeight="1">
      <c r="G336" s="2"/>
      <c r="H336" s="2"/>
      <c r="I336" s="2"/>
    </row>
    <row r="337" spans="7:9" ht="15.75" customHeight="1">
      <c r="G337" s="2"/>
      <c r="H337" s="2"/>
      <c r="I337" s="2"/>
    </row>
    <row r="338" spans="7:9" ht="15.75" customHeight="1">
      <c r="G338" s="2"/>
      <c r="H338" s="2"/>
      <c r="I338" s="2"/>
    </row>
    <row r="339" spans="7:9" ht="15.75" customHeight="1">
      <c r="G339" s="2"/>
      <c r="H339" s="2"/>
      <c r="I339" s="2"/>
    </row>
    <row r="340" spans="7:9" ht="15.75" customHeight="1">
      <c r="G340" s="2"/>
      <c r="H340" s="2"/>
      <c r="I340" s="2"/>
    </row>
    <row r="341" spans="7:9" ht="15.75" customHeight="1">
      <c r="G341" s="2"/>
      <c r="H341" s="2"/>
      <c r="I341" s="2"/>
    </row>
    <row r="342" spans="7:9" ht="15.75" customHeight="1">
      <c r="G342" s="2"/>
      <c r="H342" s="2"/>
      <c r="I342" s="2"/>
    </row>
    <row r="343" spans="7:9" ht="15.75" customHeight="1">
      <c r="G343" s="2"/>
      <c r="H343" s="2"/>
      <c r="I343" s="2"/>
    </row>
    <row r="344" spans="7:9" ht="15.75" customHeight="1">
      <c r="G344" s="2"/>
      <c r="H344" s="2"/>
      <c r="I344" s="2"/>
    </row>
    <row r="345" spans="7:9" ht="15.75" customHeight="1">
      <c r="G345" s="2"/>
      <c r="H345" s="2"/>
      <c r="I345" s="2"/>
    </row>
    <row r="346" spans="7:9" ht="15.75" customHeight="1">
      <c r="G346" s="2"/>
      <c r="H346" s="2"/>
      <c r="I346" s="2"/>
    </row>
    <row r="347" spans="7:9" ht="15.75" customHeight="1">
      <c r="G347" s="2"/>
      <c r="H347" s="2"/>
      <c r="I347" s="2"/>
    </row>
    <row r="348" spans="7:9" ht="15.75" customHeight="1">
      <c r="G348" s="2"/>
      <c r="H348" s="2"/>
      <c r="I348" s="2"/>
    </row>
    <row r="349" spans="7:9" ht="15.75" customHeight="1">
      <c r="G349" s="2"/>
      <c r="H349" s="2"/>
      <c r="I349" s="2"/>
    </row>
    <row r="350" spans="7:9" ht="15.75" customHeight="1">
      <c r="G350" s="2"/>
      <c r="H350" s="2"/>
      <c r="I350" s="2"/>
    </row>
    <row r="351" spans="7:9" ht="15.75" customHeight="1">
      <c r="G351" s="2"/>
      <c r="H351" s="2"/>
      <c r="I351" s="2"/>
    </row>
    <row r="352" spans="7:9" ht="15.75" customHeight="1">
      <c r="G352" s="2"/>
      <c r="H352" s="2"/>
      <c r="I352" s="2"/>
    </row>
    <row r="353" spans="7:9" ht="15.75" customHeight="1">
      <c r="G353" s="2"/>
      <c r="H353" s="2"/>
      <c r="I353" s="2"/>
    </row>
    <row r="354" spans="7:9" ht="15.75" customHeight="1">
      <c r="G354" s="2"/>
      <c r="H354" s="2"/>
      <c r="I354" s="2"/>
    </row>
    <row r="355" spans="7:9" ht="15.75" customHeight="1">
      <c r="G355" s="2"/>
      <c r="H355" s="2"/>
      <c r="I355" s="2"/>
    </row>
    <row r="356" spans="7:9" ht="15.75" customHeight="1">
      <c r="G356" s="2"/>
      <c r="H356" s="2"/>
      <c r="I356" s="2"/>
    </row>
    <row r="357" spans="7:9" ht="15.75" customHeight="1">
      <c r="G357" s="2"/>
      <c r="H357" s="2"/>
      <c r="I357" s="2"/>
    </row>
    <row r="358" spans="7:9" ht="15.75" customHeight="1">
      <c r="G358" s="2"/>
      <c r="H358" s="2"/>
      <c r="I358" s="2"/>
    </row>
    <row r="359" spans="7:9" ht="15.75" customHeight="1">
      <c r="G359" s="2"/>
      <c r="H359" s="2"/>
      <c r="I359" s="2"/>
    </row>
    <row r="360" spans="7:9" ht="15.75" customHeight="1">
      <c r="G360" s="2"/>
      <c r="H360" s="2"/>
      <c r="I360" s="2"/>
    </row>
    <row r="361" spans="7:9" ht="15.75" customHeight="1">
      <c r="G361" s="2"/>
      <c r="H361" s="2"/>
      <c r="I361" s="2"/>
    </row>
    <row r="362" spans="7:9" ht="15.75" customHeight="1">
      <c r="G362" s="2"/>
      <c r="H362" s="2"/>
      <c r="I362" s="2"/>
    </row>
    <row r="363" spans="7:9" ht="15.75" customHeight="1">
      <c r="G363" s="2"/>
      <c r="H363" s="2"/>
      <c r="I363" s="2"/>
    </row>
    <row r="364" spans="7:9" ht="15.75" customHeight="1">
      <c r="G364" s="2"/>
      <c r="H364" s="2"/>
      <c r="I364" s="2"/>
    </row>
    <row r="365" spans="7:9" ht="15.75" customHeight="1">
      <c r="G365" s="2"/>
      <c r="H365" s="2"/>
      <c r="I365" s="2"/>
    </row>
    <row r="366" spans="7:9" ht="15.75" customHeight="1">
      <c r="G366" s="2"/>
      <c r="H366" s="2"/>
      <c r="I366" s="2"/>
    </row>
    <row r="367" spans="7:9" ht="15.75" customHeight="1">
      <c r="G367" s="2"/>
      <c r="H367" s="2"/>
      <c r="I367" s="2"/>
    </row>
    <row r="368" spans="7:9" ht="15.75" customHeight="1">
      <c r="G368" s="2"/>
      <c r="H368" s="2"/>
      <c r="I368" s="2"/>
    </row>
    <row r="369" spans="7:9" ht="15.75" customHeight="1">
      <c r="G369" s="2"/>
      <c r="H369" s="2"/>
      <c r="I369" s="2"/>
    </row>
    <row r="370" spans="7:9" ht="15.75" customHeight="1">
      <c r="G370" s="2"/>
      <c r="H370" s="2"/>
      <c r="I370" s="2"/>
    </row>
    <row r="371" spans="7:9" ht="15.75" customHeight="1">
      <c r="G371" s="2"/>
      <c r="H371" s="2"/>
      <c r="I371" s="2"/>
    </row>
    <row r="372" spans="7:9" ht="15.75" customHeight="1">
      <c r="G372" s="2"/>
      <c r="H372" s="2"/>
      <c r="I372" s="2"/>
    </row>
    <row r="373" spans="7:9" ht="15.75" customHeight="1">
      <c r="G373" s="2"/>
      <c r="H373" s="2"/>
      <c r="I373" s="2"/>
    </row>
    <row r="374" spans="7:9" ht="15.75" customHeight="1">
      <c r="G374" s="2"/>
      <c r="H374" s="2"/>
      <c r="I374" s="2"/>
    </row>
    <row r="375" spans="7:9" ht="15.75" customHeight="1">
      <c r="G375" s="2"/>
      <c r="H375" s="2"/>
      <c r="I375" s="2"/>
    </row>
    <row r="376" spans="7:9" ht="15.75" customHeight="1">
      <c r="G376" s="2"/>
      <c r="H376" s="2"/>
      <c r="I376" s="2"/>
    </row>
    <row r="377" spans="7:9" ht="15.75" customHeight="1">
      <c r="G377" s="2"/>
      <c r="H377" s="2"/>
      <c r="I377" s="2"/>
    </row>
    <row r="378" spans="7:9" ht="15.75" customHeight="1">
      <c r="G378" s="2"/>
      <c r="H378" s="2"/>
      <c r="I378" s="2"/>
    </row>
    <row r="379" spans="7:9" ht="15.75" customHeight="1">
      <c r="G379" s="2"/>
      <c r="H379" s="2"/>
      <c r="I379" s="2"/>
    </row>
    <row r="380" spans="7:9" ht="15.75" customHeight="1">
      <c r="G380" s="2"/>
      <c r="H380" s="2"/>
      <c r="I380" s="2"/>
    </row>
    <row r="381" spans="7:9" ht="15.75" customHeight="1">
      <c r="G381" s="2"/>
      <c r="H381" s="2"/>
      <c r="I381" s="2"/>
    </row>
    <row r="382" spans="7:9" ht="15.75" customHeight="1">
      <c r="G382" s="2"/>
      <c r="H382" s="2"/>
      <c r="I382" s="2"/>
    </row>
    <row r="383" spans="7:9" ht="15.75" customHeight="1">
      <c r="G383" s="2"/>
      <c r="H383" s="2"/>
      <c r="I383" s="2"/>
    </row>
    <row r="384" spans="7:9" ht="15.75" customHeight="1">
      <c r="G384" s="2"/>
      <c r="H384" s="2"/>
      <c r="I384" s="2"/>
    </row>
    <row r="385" spans="7:9" ht="15.75" customHeight="1">
      <c r="G385" s="2"/>
      <c r="H385" s="2"/>
      <c r="I385" s="2"/>
    </row>
    <row r="386" spans="7:9" ht="15.75" customHeight="1">
      <c r="G386" s="2"/>
      <c r="H386" s="2"/>
      <c r="I386" s="2"/>
    </row>
    <row r="387" spans="7:9" ht="15.75" customHeight="1">
      <c r="G387" s="2"/>
      <c r="H387" s="2"/>
      <c r="I387" s="2"/>
    </row>
    <row r="388" spans="7:9" ht="15.75" customHeight="1">
      <c r="G388" s="2"/>
      <c r="H388" s="2"/>
      <c r="I388" s="2"/>
    </row>
    <row r="389" spans="7:9" ht="15.75" customHeight="1">
      <c r="G389" s="2"/>
      <c r="H389" s="2"/>
      <c r="I389" s="2"/>
    </row>
    <row r="390" spans="7:9" ht="15.75" customHeight="1">
      <c r="G390" s="2"/>
      <c r="H390" s="2"/>
      <c r="I390" s="2"/>
    </row>
    <row r="391" spans="7:9" ht="15.75" customHeight="1">
      <c r="G391" s="2"/>
      <c r="H391" s="2"/>
      <c r="I391" s="2"/>
    </row>
    <row r="392" spans="7:9" ht="15.75" customHeight="1">
      <c r="G392" s="2"/>
      <c r="H392" s="2"/>
      <c r="I392" s="2"/>
    </row>
    <row r="393" spans="7:9" ht="15.75" customHeight="1">
      <c r="G393" s="2"/>
      <c r="H393" s="2"/>
      <c r="I393" s="2"/>
    </row>
    <row r="394" spans="7:9" ht="15.75" customHeight="1">
      <c r="G394" s="2"/>
      <c r="H394" s="2"/>
      <c r="I394" s="2"/>
    </row>
    <row r="395" spans="7:9" ht="15.75" customHeight="1">
      <c r="G395" s="2"/>
      <c r="H395" s="2"/>
      <c r="I395" s="2"/>
    </row>
    <row r="396" spans="7:9" ht="15.75" customHeight="1">
      <c r="G396" s="2"/>
      <c r="H396" s="2"/>
      <c r="I396" s="2"/>
    </row>
    <row r="397" spans="7:9" ht="15.75" customHeight="1">
      <c r="G397" s="2"/>
      <c r="H397" s="2"/>
      <c r="I397" s="2"/>
    </row>
    <row r="398" spans="7:9" ht="15.75" customHeight="1">
      <c r="G398" s="2"/>
      <c r="H398" s="2"/>
      <c r="I398" s="2"/>
    </row>
    <row r="399" spans="7:9" ht="15.75" customHeight="1">
      <c r="G399" s="2"/>
      <c r="H399" s="2"/>
      <c r="I399" s="2"/>
    </row>
    <row r="400" spans="7:9" ht="15.75" customHeight="1">
      <c r="G400" s="2"/>
      <c r="H400" s="2"/>
      <c r="I400" s="2"/>
    </row>
    <row r="401" spans="7:9" ht="15.75" customHeight="1">
      <c r="G401" s="2"/>
      <c r="H401" s="2"/>
      <c r="I401" s="2"/>
    </row>
    <row r="402" spans="7:9" ht="15.75" customHeight="1">
      <c r="G402" s="2"/>
      <c r="H402" s="2"/>
      <c r="I402" s="2"/>
    </row>
    <row r="403" spans="7:9" ht="15.75" customHeight="1">
      <c r="G403" s="2"/>
      <c r="H403" s="2"/>
      <c r="I403" s="2"/>
    </row>
    <row r="404" spans="7:9" ht="15.75" customHeight="1">
      <c r="G404" s="2"/>
      <c r="H404" s="2"/>
      <c r="I404" s="2"/>
    </row>
    <row r="405" spans="7:9" ht="15.75" customHeight="1">
      <c r="G405" s="2"/>
      <c r="H405" s="2"/>
      <c r="I405" s="2"/>
    </row>
    <row r="406" spans="7:9" ht="15.75" customHeight="1">
      <c r="G406" s="2"/>
      <c r="H406" s="2"/>
      <c r="I406" s="2"/>
    </row>
    <row r="407" spans="7:9" ht="15.75" customHeight="1">
      <c r="G407" s="2"/>
      <c r="H407" s="2"/>
      <c r="I407" s="2"/>
    </row>
    <row r="408" spans="7:9" ht="15.75" customHeight="1">
      <c r="G408" s="2"/>
      <c r="H408" s="2"/>
      <c r="I408" s="2"/>
    </row>
    <row r="409" spans="7:9" ht="15.75" customHeight="1">
      <c r="G409" s="2"/>
      <c r="H409" s="2"/>
      <c r="I409" s="2"/>
    </row>
    <row r="410" spans="7:9" ht="15.75" customHeight="1">
      <c r="G410" s="2"/>
      <c r="H410" s="2"/>
      <c r="I410" s="2"/>
    </row>
    <row r="411" spans="7:9" ht="15.75" customHeight="1">
      <c r="G411" s="2"/>
      <c r="H411" s="2"/>
      <c r="I411" s="2"/>
    </row>
    <row r="412" spans="7:9" ht="15.75" customHeight="1">
      <c r="G412" s="2"/>
      <c r="H412" s="2"/>
      <c r="I412" s="2"/>
    </row>
    <row r="413" spans="7:9" ht="15.75" customHeight="1">
      <c r="G413" s="2"/>
      <c r="H413" s="2"/>
      <c r="I413" s="2"/>
    </row>
    <row r="414" spans="7:9" ht="15.75" customHeight="1">
      <c r="G414" s="2"/>
      <c r="H414" s="2"/>
      <c r="I414" s="2"/>
    </row>
    <row r="415" spans="7:9" ht="15.75" customHeight="1">
      <c r="G415" s="2"/>
      <c r="H415" s="2"/>
      <c r="I415" s="2"/>
    </row>
    <row r="416" spans="7:9" ht="15.75" customHeight="1">
      <c r="G416" s="2"/>
      <c r="H416" s="2"/>
      <c r="I416" s="2"/>
    </row>
    <row r="417" spans="7:9" ht="15.75" customHeight="1">
      <c r="G417" s="2"/>
      <c r="H417" s="2"/>
      <c r="I417" s="2"/>
    </row>
    <row r="418" spans="7:9" ht="15.75" customHeight="1">
      <c r="G418" s="2"/>
      <c r="H418" s="2"/>
      <c r="I418" s="2"/>
    </row>
    <row r="419" spans="7:9" ht="15.75" customHeight="1">
      <c r="G419" s="2"/>
      <c r="H419" s="2"/>
      <c r="I419" s="2"/>
    </row>
    <row r="420" spans="7:9" ht="15.75" customHeight="1">
      <c r="G420" s="2"/>
      <c r="H420" s="2"/>
      <c r="I420" s="2"/>
    </row>
    <row r="421" spans="7:9" ht="15.75" customHeight="1">
      <c r="G421" s="2"/>
      <c r="H421" s="2"/>
      <c r="I421" s="2"/>
    </row>
    <row r="422" spans="7:9" ht="15.75" customHeight="1">
      <c r="G422" s="2"/>
      <c r="H422" s="2"/>
      <c r="I422" s="2"/>
    </row>
    <row r="423" spans="7:9" ht="15.75" customHeight="1">
      <c r="G423" s="2"/>
      <c r="H423" s="2"/>
      <c r="I423" s="2"/>
    </row>
    <row r="424" spans="7:9" ht="15.75" customHeight="1">
      <c r="G424" s="2"/>
      <c r="H424" s="2"/>
      <c r="I424" s="2"/>
    </row>
    <row r="425" spans="7:9" ht="15.75" customHeight="1">
      <c r="G425" s="2"/>
      <c r="H425" s="2"/>
      <c r="I425" s="2"/>
    </row>
    <row r="426" spans="7:9" ht="15.75" customHeight="1">
      <c r="G426" s="2"/>
      <c r="H426" s="2"/>
      <c r="I426" s="2"/>
    </row>
    <row r="427" spans="7:9" ht="15.75" customHeight="1">
      <c r="G427" s="2"/>
      <c r="H427" s="2"/>
      <c r="I427" s="2"/>
    </row>
    <row r="428" spans="7:9" ht="15.75" customHeight="1">
      <c r="G428" s="2"/>
      <c r="H428" s="2"/>
      <c r="I428" s="2"/>
    </row>
    <row r="429" spans="7:9" ht="15.75" customHeight="1">
      <c r="G429" s="2"/>
      <c r="H429" s="2"/>
      <c r="I429" s="2"/>
    </row>
    <row r="430" spans="7:9" ht="15.75" customHeight="1">
      <c r="G430" s="2"/>
      <c r="H430" s="2"/>
      <c r="I430" s="2"/>
    </row>
    <row r="431" spans="7:9" ht="15.75" customHeight="1">
      <c r="G431" s="2"/>
      <c r="H431" s="2"/>
      <c r="I431" s="2"/>
    </row>
    <row r="432" spans="7:9" ht="15.75" customHeight="1">
      <c r="G432" s="2"/>
      <c r="H432" s="2"/>
      <c r="I432" s="2"/>
    </row>
    <row r="433" spans="7:9" ht="15.75" customHeight="1">
      <c r="G433" s="2"/>
      <c r="H433" s="2"/>
      <c r="I433" s="2"/>
    </row>
    <row r="434" spans="7:9" ht="15.75" customHeight="1">
      <c r="G434" s="2"/>
      <c r="H434" s="2"/>
      <c r="I434" s="2"/>
    </row>
    <row r="435" spans="7:9" ht="15.75" customHeight="1">
      <c r="G435" s="2"/>
      <c r="H435" s="2"/>
      <c r="I435" s="2"/>
    </row>
    <row r="436" spans="7:9" ht="15.75" customHeight="1">
      <c r="G436" s="2"/>
      <c r="H436" s="2"/>
      <c r="I436" s="2"/>
    </row>
    <row r="437" spans="7:9" ht="15.75" customHeight="1">
      <c r="G437" s="2"/>
      <c r="H437" s="2"/>
      <c r="I437" s="2"/>
    </row>
    <row r="438" spans="7:9" ht="15.75" customHeight="1">
      <c r="G438" s="2"/>
      <c r="H438" s="2"/>
      <c r="I438" s="2"/>
    </row>
    <row r="439" spans="7:9" ht="15.75" customHeight="1">
      <c r="G439" s="2"/>
      <c r="H439" s="2"/>
      <c r="I439" s="2"/>
    </row>
    <row r="440" spans="7:9" ht="15.75" customHeight="1">
      <c r="G440" s="2"/>
      <c r="H440" s="2"/>
      <c r="I440" s="2"/>
    </row>
    <row r="441" spans="7:9" ht="15.75" customHeight="1">
      <c r="G441" s="2"/>
      <c r="H441" s="2"/>
      <c r="I441" s="2"/>
    </row>
    <row r="442" spans="7:9" ht="15.75" customHeight="1">
      <c r="G442" s="2"/>
      <c r="H442" s="2"/>
      <c r="I442" s="2"/>
    </row>
    <row r="443" spans="7:9" ht="15.75" customHeight="1">
      <c r="G443" s="2"/>
      <c r="H443" s="2"/>
      <c r="I443" s="2"/>
    </row>
    <row r="444" spans="7:9" ht="15.75" customHeight="1">
      <c r="G444" s="2"/>
      <c r="H444" s="2"/>
      <c r="I444" s="2"/>
    </row>
    <row r="445" spans="7:9" ht="15.75" customHeight="1">
      <c r="G445" s="2"/>
      <c r="H445" s="2"/>
      <c r="I445" s="2"/>
    </row>
    <row r="446" spans="7:9" ht="15.75" customHeight="1">
      <c r="G446" s="2"/>
      <c r="H446" s="2"/>
      <c r="I446" s="2"/>
    </row>
    <row r="447" spans="7:9" ht="15.75" customHeight="1">
      <c r="G447" s="2"/>
      <c r="H447" s="2"/>
      <c r="I447" s="2"/>
    </row>
    <row r="448" spans="7:9" ht="15.75" customHeight="1">
      <c r="G448" s="2"/>
      <c r="H448" s="2"/>
      <c r="I448" s="2"/>
    </row>
    <row r="449" spans="7:9" ht="15.75" customHeight="1">
      <c r="G449" s="2"/>
      <c r="H449" s="2"/>
      <c r="I449" s="2"/>
    </row>
    <row r="450" spans="7:9" ht="15.75" customHeight="1">
      <c r="G450" s="2"/>
      <c r="H450" s="2"/>
      <c r="I450" s="2"/>
    </row>
    <row r="451" spans="7:9" ht="15.75" customHeight="1">
      <c r="G451" s="2"/>
      <c r="H451" s="2"/>
      <c r="I451" s="2"/>
    </row>
    <row r="452" spans="7:9" ht="15.75" customHeight="1">
      <c r="G452" s="2"/>
      <c r="H452" s="2"/>
      <c r="I452" s="2"/>
    </row>
    <row r="453" spans="7:9" ht="15.75" customHeight="1">
      <c r="G453" s="2"/>
      <c r="H453" s="2"/>
      <c r="I453" s="2"/>
    </row>
    <row r="454" spans="7:9" ht="15.75" customHeight="1">
      <c r="G454" s="2"/>
      <c r="H454" s="2"/>
      <c r="I454" s="2"/>
    </row>
    <row r="455" spans="7:9" ht="15.75" customHeight="1">
      <c r="G455" s="2"/>
      <c r="H455" s="2"/>
      <c r="I455" s="2"/>
    </row>
    <row r="456" spans="7:9" ht="15.75" customHeight="1">
      <c r="G456" s="2"/>
      <c r="H456" s="2"/>
      <c r="I456" s="2"/>
    </row>
    <row r="457" spans="7:9" ht="15.75" customHeight="1">
      <c r="G457" s="2"/>
      <c r="H457" s="2"/>
      <c r="I457" s="2"/>
    </row>
    <row r="458" spans="7:9" ht="15.75" customHeight="1">
      <c r="G458" s="2"/>
      <c r="H458" s="2"/>
      <c r="I458" s="2"/>
    </row>
    <row r="459" spans="7:9" ht="15.75" customHeight="1">
      <c r="G459" s="2"/>
      <c r="H459" s="2"/>
      <c r="I459" s="2"/>
    </row>
    <row r="460" spans="7:9" ht="15.75" customHeight="1">
      <c r="G460" s="2"/>
      <c r="H460" s="2"/>
      <c r="I460" s="2"/>
    </row>
    <row r="461" spans="7:9" ht="15.75" customHeight="1">
      <c r="G461" s="2"/>
      <c r="H461" s="2"/>
      <c r="I461" s="2"/>
    </row>
    <row r="462" spans="7:9" ht="15.75" customHeight="1">
      <c r="G462" s="2"/>
      <c r="H462" s="2"/>
      <c r="I462" s="2"/>
    </row>
    <row r="463" spans="7:9" ht="15.75" customHeight="1">
      <c r="G463" s="2"/>
      <c r="H463" s="2"/>
      <c r="I463" s="2"/>
    </row>
    <row r="464" spans="7:9" ht="15.75" customHeight="1">
      <c r="G464" s="2"/>
      <c r="H464" s="2"/>
      <c r="I464" s="2"/>
    </row>
    <row r="465" spans="7:9" ht="15.75" customHeight="1">
      <c r="G465" s="2"/>
      <c r="H465" s="2"/>
      <c r="I465" s="2"/>
    </row>
    <row r="466" spans="7:9" ht="15.75" customHeight="1">
      <c r="G466" s="2"/>
      <c r="H466" s="2"/>
      <c r="I466" s="2"/>
    </row>
    <row r="467" spans="7:9" ht="15.75" customHeight="1">
      <c r="G467" s="2"/>
      <c r="H467" s="2"/>
      <c r="I467" s="2"/>
    </row>
    <row r="468" spans="7:9" ht="15.75" customHeight="1">
      <c r="G468" s="2"/>
      <c r="H468" s="2"/>
      <c r="I468" s="2"/>
    </row>
    <row r="469" spans="7:9" ht="15.75" customHeight="1">
      <c r="G469" s="2"/>
      <c r="H469" s="2"/>
      <c r="I469" s="2"/>
    </row>
    <row r="470" spans="7:9" ht="15.75" customHeight="1">
      <c r="G470" s="2"/>
      <c r="H470" s="2"/>
      <c r="I470" s="2"/>
    </row>
    <row r="471" spans="7:9" ht="15.75" customHeight="1">
      <c r="G471" s="2"/>
      <c r="H471" s="2"/>
      <c r="I471" s="2"/>
    </row>
    <row r="472" spans="7:9" ht="15.75" customHeight="1">
      <c r="G472" s="2"/>
      <c r="H472" s="2"/>
      <c r="I472" s="2"/>
    </row>
    <row r="473" spans="7:9" ht="15.75" customHeight="1">
      <c r="G473" s="2"/>
      <c r="H473" s="2"/>
      <c r="I473" s="2"/>
    </row>
    <row r="474" spans="7:9" ht="15.75" customHeight="1">
      <c r="G474" s="2"/>
      <c r="H474" s="2"/>
      <c r="I474" s="2"/>
    </row>
    <row r="475" spans="7:9" ht="15.75" customHeight="1">
      <c r="G475" s="2"/>
      <c r="H475" s="2"/>
      <c r="I475" s="2"/>
    </row>
    <row r="476" spans="7:9" ht="15.75" customHeight="1">
      <c r="G476" s="2"/>
      <c r="H476" s="2"/>
      <c r="I476" s="2"/>
    </row>
    <row r="477" spans="7:9" ht="15.75" customHeight="1">
      <c r="G477" s="2"/>
      <c r="H477" s="2"/>
      <c r="I477" s="2"/>
    </row>
    <row r="478" spans="7:9" ht="15.75" customHeight="1">
      <c r="G478" s="2"/>
      <c r="H478" s="2"/>
      <c r="I478" s="2"/>
    </row>
    <row r="479" spans="7:9" ht="15.75" customHeight="1">
      <c r="G479" s="2"/>
      <c r="H479" s="2"/>
      <c r="I479" s="2"/>
    </row>
    <row r="480" spans="7:9" ht="15.75" customHeight="1">
      <c r="G480" s="2"/>
      <c r="H480" s="2"/>
      <c r="I480" s="2"/>
    </row>
    <row r="481" spans="7:9" ht="15.75" customHeight="1">
      <c r="G481" s="2"/>
      <c r="H481" s="2"/>
      <c r="I481" s="2"/>
    </row>
    <row r="482" spans="7:9" ht="15.75" customHeight="1">
      <c r="G482" s="2"/>
      <c r="H482" s="2"/>
      <c r="I482" s="2"/>
    </row>
    <row r="483" spans="7:9" ht="15.75" customHeight="1">
      <c r="G483" s="2"/>
      <c r="H483" s="2"/>
      <c r="I483" s="2"/>
    </row>
    <row r="484" spans="7:9" ht="15.75" customHeight="1">
      <c r="G484" s="2"/>
      <c r="H484" s="2"/>
      <c r="I484" s="2"/>
    </row>
    <row r="485" spans="7:9" ht="15.75" customHeight="1">
      <c r="G485" s="2"/>
      <c r="H485" s="2"/>
      <c r="I485" s="2"/>
    </row>
    <row r="486" spans="7:9" ht="15.75" customHeight="1">
      <c r="G486" s="2"/>
      <c r="H486" s="2"/>
      <c r="I486" s="2"/>
    </row>
    <row r="487" spans="7:9" ht="15.75" customHeight="1">
      <c r="G487" s="2"/>
      <c r="H487" s="2"/>
      <c r="I487" s="2"/>
    </row>
    <row r="488" spans="7:9" ht="15.75" customHeight="1">
      <c r="G488" s="2"/>
      <c r="H488" s="2"/>
      <c r="I488" s="2"/>
    </row>
    <row r="489" spans="7:9" ht="15.75" customHeight="1">
      <c r="G489" s="2"/>
      <c r="H489" s="2"/>
      <c r="I489" s="2"/>
    </row>
    <row r="490" spans="7:9" ht="15.75" customHeight="1">
      <c r="G490" s="2"/>
      <c r="H490" s="2"/>
      <c r="I490" s="2"/>
    </row>
    <row r="491" spans="7:9" ht="15.75" customHeight="1">
      <c r="G491" s="2"/>
      <c r="H491" s="2"/>
      <c r="I491" s="2"/>
    </row>
    <row r="492" spans="7:9" ht="15.75" customHeight="1">
      <c r="G492" s="2"/>
      <c r="H492" s="2"/>
      <c r="I492" s="2"/>
    </row>
    <row r="493" spans="7:9" ht="15.75" customHeight="1">
      <c r="G493" s="2"/>
      <c r="H493" s="2"/>
      <c r="I493" s="2"/>
    </row>
    <row r="494" spans="7:9" ht="15.75" customHeight="1">
      <c r="G494" s="2"/>
      <c r="H494" s="2"/>
      <c r="I494" s="2"/>
    </row>
    <row r="495" spans="7:9" ht="15.75" customHeight="1">
      <c r="G495" s="2"/>
      <c r="H495" s="2"/>
      <c r="I495" s="2"/>
    </row>
    <row r="496" spans="7:9" ht="15.75" customHeight="1">
      <c r="G496" s="2"/>
      <c r="H496" s="2"/>
      <c r="I496" s="2"/>
    </row>
    <row r="497" spans="7:9" ht="15.75" customHeight="1">
      <c r="G497" s="2"/>
      <c r="H497" s="2"/>
      <c r="I497" s="2"/>
    </row>
    <row r="498" spans="7:9" ht="15.75" customHeight="1">
      <c r="G498" s="2"/>
      <c r="H498" s="2"/>
      <c r="I498" s="2"/>
    </row>
    <row r="499" spans="7:9" ht="15.75" customHeight="1">
      <c r="G499" s="2"/>
      <c r="H499" s="2"/>
      <c r="I499" s="2"/>
    </row>
    <row r="500" spans="7:9" ht="15.75" customHeight="1">
      <c r="G500" s="2"/>
      <c r="H500" s="2"/>
      <c r="I500" s="2"/>
    </row>
    <row r="501" spans="7:9" ht="15.75" customHeight="1">
      <c r="G501" s="2"/>
      <c r="H501" s="2"/>
      <c r="I501" s="2"/>
    </row>
    <row r="502" spans="7:9" ht="15.75" customHeight="1">
      <c r="G502" s="2"/>
      <c r="H502" s="2"/>
      <c r="I502" s="2"/>
    </row>
    <row r="503" spans="7:9" ht="15.75" customHeight="1">
      <c r="G503" s="2"/>
      <c r="H503" s="2"/>
      <c r="I503" s="2"/>
    </row>
    <row r="504" spans="7:9" ht="15.75" customHeight="1">
      <c r="G504" s="2"/>
      <c r="H504" s="2"/>
      <c r="I504" s="2"/>
    </row>
    <row r="505" spans="7:9" ht="15.75" customHeight="1">
      <c r="G505" s="2"/>
      <c r="H505" s="2"/>
      <c r="I505" s="2"/>
    </row>
    <row r="506" spans="7:9" ht="15.75" customHeight="1">
      <c r="G506" s="2"/>
      <c r="H506" s="2"/>
      <c r="I506" s="2"/>
    </row>
    <row r="507" spans="7:9" ht="15.75" customHeight="1">
      <c r="G507" s="2"/>
      <c r="H507" s="2"/>
      <c r="I507" s="2"/>
    </row>
    <row r="508" spans="7:9" ht="15.75" customHeight="1">
      <c r="G508" s="2"/>
      <c r="H508" s="2"/>
      <c r="I508" s="2"/>
    </row>
    <row r="509" spans="7:9" ht="15.75" customHeight="1">
      <c r="G509" s="2"/>
      <c r="H509" s="2"/>
      <c r="I509" s="2"/>
    </row>
    <row r="510" spans="7:9" ht="15.75" customHeight="1">
      <c r="G510" s="2"/>
      <c r="H510" s="2"/>
      <c r="I510" s="2"/>
    </row>
    <row r="511" spans="7:9" ht="15.75" customHeight="1">
      <c r="G511" s="2"/>
      <c r="H511" s="2"/>
      <c r="I511" s="2"/>
    </row>
    <row r="512" spans="7:9" ht="15.75" customHeight="1">
      <c r="G512" s="2"/>
      <c r="H512" s="2"/>
      <c r="I512" s="2"/>
    </row>
    <row r="513" spans="7:9" ht="15.75" customHeight="1">
      <c r="G513" s="2"/>
      <c r="H513" s="2"/>
      <c r="I513" s="2"/>
    </row>
    <row r="514" spans="7:9" ht="15.75" customHeight="1">
      <c r="G514" s="2"/>
      <c r="H514" s="2"/>
      <c r="I514" s="2"/>
    </row>
    <row r="515" spans="7:9" ht="15.75" customHeight="1">
      <c r="G515" s="2"/>
      <c r="H515" s="2"/>
      <c r="I515" s="2"/>
    </row>
    <row r="516" spans="7:9" ht="15.75" customHeight="1">
      <c r="G516" s="2"/>
      <c r="H516" s="2"/>
      <c r="I516" s="2"/>
    </row>
    <row r="517" spans="7:9" ht="15.75" customHeight="1">
      <c r="G517" s="2"/>
      <c r="H517" s="2"/>
      <c r="I517" s="2"/>
    </row>
    <row r="518" spans="7:9" ht="15.75" customHeight="1">
      <c r="G518" s="2"/>
      <c r="H518" s="2"/>
      <c r="I518" s="2"/>
    </row>
    <row r="519" spans="7:9" ht="15.75" customHeight="1">
      <c r="G519" s="2"/>
      <c r="H519" s="2"/>
      <c r="I519" s="2"/>
    </row>
    <row r="520" spans="7:9" ht="15.75" customHeight="1">
      <c r="G520" s="2"/>
      <c r="H520" s="2"/>
      <c r="I520" s="2"/>
    </row>
    <row r="521" spans="7:9" ht="15.75" customHeight="1">
      <c r="G521" s="2"/>
      <c r="H521" s="2"/>
      <c r="I521" s="2"/>
    </row>
    <row r="522" spans="7:9" ht="15.75" customHeight="1">
      <c r="G522" s="2"/>
      <c r="H522" s="2"/>
      <c r="I522" s="2"/>
    </row>
    <row r="523" spans="7:9" ht="15.75" customHeight="1">
      <c r="G523" s="2"/>
      <c r="H523" s="2"/>
      <c r="I523" s="2"/>
    </row>
    <row r="524" spans="7:9" ht="15.75" customHeight="1">
      <c r="G524" s="2"/>
      <c r="H524" s="2"/>
      <c r="I524" s="2"/>
    </row>
    <row r="525" spans="7:9" ht="15.75" customHeight="1">
      <c r="G525" s="2"/>
      <c r="H525" s="2"/>
      <c r="I525" s="2"/>
    </row>
    <row r="526" spans="7:9" ht="15.75" customHeight="1">
      <c r="G526" s="2"/>
      <c r="H526" s="2"/>
      <c r="I526" s="2"/>
    </row>
    <row r="527" spans="7:9" ht="15.75" customHeight="1">
      <c r="G527" s="2"/>
      <c r="H527" s="2"/>
      <c r="I527" s="2"/>
    </row>
    <row r="528" spans="7:9" ht="15.75" customHeight="1">
      <c r="G528" s="2"/>
      <c r="H528" s="2"/>
      <c r="I528" s="2"/>
    </row>
    <row r="529" spans="7:9" ht="15.75" customHeight="1">
      <c r="G529" s="2"/>
      <c r="H529" s="2"/>
      <c r="I529" s="2"/>
    </row>
    <row r="530" spans="7:9" ht="15.75" customHeight="1">
      <c r="G530" s="2"/>
      <c r="H530" s="2"/>
      <c r="I530" s="2"/>
    </row>
    <row r="531" spans="7:9" ht="15.75" customHeight="1">
      <c r="G531" s="2"/>
      <c r="H531" s="2"/>
      <c r="I531" s="2"/>
    </row>
    <row r="532" spans="7:9" ht="15.75" customHeight="1">
      <c r="G532" s="2"/>
      <c r="H532" s="2"/>
      <c r="I532" s="2"/>
    </row>
    <row r="533" spans="7:9" ht="15.75" customHeight="1">
      <c r="G533" s="2"/>
      <c r="H533" s="2"/>
      <c r="I533" s="2"/>
    </row>
    <row r="534" spans="7:9" ht="15.75" customHeight="1">
      <c r="G534" s="2"/>
      <c r="H534" s="2"/>
      <c r="I534" s="2"/>
    </row>
    <row r="535" spans="7:9" ht="15.75" customHeight="1">
      <c r="G535" s="2"/>
      <c r="H535" s="2"/>
      <c r="I535" s="2"/>
    </row>
    <row r="536" spans="7:9" ht="15.75" customHeight="1">
      <c r="G536" s="2"/>
      <c r="H536" s="2"/>
      <c r="I536" s="2"/>
    </row>
    <row r="537" spans="7:9" ht="15.75" customHeight="1">
      <c r="G537" s="2"/>
      <c r="H537" s="2"/>
      <c r="I537" s="2"/>
    </row>
    <row r="538" spans="7:9" ht="15.75" customHeight="1">
      <c r="G538" s="2"/>
      <c r="H538" s="2"/>
      <c r="I538" s="2"/>
    </row>
    <row r="539" spans="7:9" ht="15.75" customHeight="1">
      <c r="G539" s="2"/>
      <c r="H539" s="2"/>
      <c r="I539" s="2"/>
    </row>
    <row r="540" spans="7:9" ht="15.75" customHeight="1">
      <c r="G540" s="2"/>
      <c r="H540" s="2"/>
      <c r="I540" s="2"/>
    </row>
    <row r="541" spans="7:9" ht="15.75" customHeight="1">
      <c r="G541" s="2"/>
      <c r="H541" s="2"/>
      <c r="I541" s="2"/>
    </row>
    <row r="542" spans="7:9" ht="15.75" customHeight="1">
      <c r="G542" s="2"/>
      <c r="H542" s="2"/>
      <c r="I542" s="2"/>
    </row>
    <row r="543" spans="7:9" ht="15.75" customHeight="1">
      <c r="G543" s="2"/>
      <c r="H543" s="2"/>
      <c r="I543" s="2"/>
    </row>
    <row r="544" spans="7:9" ht="15.75" customHeight="1">
      <c r="G544" s="2"/>
      <c r="H544" s="2"/>
      <c r="I544" s="2"/>
    </row>
    <row r="545" spans="7:9" ht="15.75" customHeight="1">
      <c r="G545" s="2"/>
      <c r="H545" s="2"/>
      <c r="I545" s="2"/>
    </row>
    <row r="546" spans="7:9" ht="15.75" customHeight="1">
      <c r="G546" s="2"/>
      <c r="H546" s="2"/>
      <c r="I546" s="2"/>
    </row>
    <row r="547" spans="7:9" ht="15.75" customHeight="1">
      <c r="G547" s="2"/>
      <c r="H547" s="2"/>
      <c r="I547" s="2"/>
    </row>
    <row r="548" spans="7:9" ht="15.75" customHeight="1">
      <c r="G548" s="2"/>
      <c r="H548" s="2"/>
      <c r="I548" s="2"/>
    </row>
    <row r="549" spans="7:9" ht="15.75" customHeight="1">
      <c r="G549" s="2"/>
      <c r="H549" s="2"/>
      <c r="I549" s="2"/>
    </row>
    <row r="550" spans="7:9" ht="15.75" customHeight="1">
      <c r="G550" s="2"/>
      <c r="H550" s="2"/>
      <c r="I550" s="2"/>
    </row>
    <row r="551" spans="7:9" ht="15.75" customHeight="1">
      <c r="G551" s="2"/>
      <c r="H551" s="2"/>
      <c r="I551" s="2"/>
    </row>
    <row r="552" spans="7:9" ht="15.75" customHeight="1">
      <c r="G552" s="2"/>
      <c r="H552" s="2"/>
      <c r="I552" s="2"/>
    </row>
    <row r="553" spans="7:9" ht="15.75" customHeight="1">
      <c r="G553" s="2"/>
      <c r="H553" s="2"/>
      <c r="I553" s="2"/>
    </row>
    <row r="554" spans="7:9" ht="15.75" customHeight="1">
      <c r="G554" s="2"/>
      <c r="H554" s="2"/>
      <c r="I554" s="2"/>
    </row>
    <row r="555" spans="7:9" ht="15.75" customHeight="1">
      <c r="G555" s="2"/>
      <c r="H555" s="2"/>
      <c r="I555" s="2"/>
    </row>
    <row r="556" spans="7:9" ht="15.75" customHeight="1">
      <c r="G556" s="2"/>
      <c r="H556" s="2"/>
      <c r="I556" s="2"/>
    </row>
    <row r="557" spans="7:9" ht="15.75" customHeight="1">
      <c r="G557" s="2"/>
      <c r="H557" s="2"/>
      <c r="I557" s="2"/>
    </row>
    <row r="558" spans="7:9" ht="15.75" customHeight="1">
      <c r="G558" s="2"/>
      <c r="H558" s="2"/>
      <c r="I558" s="2"/>
    </row>
    <row r="559" spans="7:9" ht="15.75" customHeight="1">
      <c r="G559" s="2"/>
      <c r="H559" s="2"/>
      <c r="I559" s="2"/>
    </row>
    <row r="560" spans="7:9" ht="15.75" customHeight="1">
      <c r="G560" s="2"/>
      <c r="H560" s="2"/>
      <c r="I560" s="2"/>
    </row>
    <row r="561" spans="7:9" ht="15.75" customHeight="1">
      <c r="G561" s="2"/>
      <c r="H561" s="2"/>
      <c r="I561" s="2"/>
    </row>
    <row r="562" spans="7:9" ht="15.75" customHeight="1">
      <c r="G562" s="2"/>
      <c r="H562" s="2"/>
      <c r="I562" s="2"/>
    </row>
    <row r="563" spans="7:9" ht="15.75" customHeight="1">
      <c r="G563" s="2"/>
      <c r="H563" s="2"/>
      <c r="I563" s="2"/>
    </row>
    <row r="564" spans="7:9" ht="15.75" customHeight="1">
      <c r="G564" s="2"/>
      <c r="H564" s="2"/>
      <c r="I564" s="2"/>
    </row>
    <row r="565" spans="7:9" ht="15.75" customHeight="1">
      <c r="G565" s="2"/>
      <c r="H565" s="2"/>
      <c r="I565" s="2"/>
    </row>
    <row r="566" spans="7:9" ht="15.75" customHeight="1">
      <c r="G566" s="2"/>
      <c r="H566" s="2"/>
      <c r="I566" s="2"/>
    </row>
    <row r="567" spans="7:9" ht="15.75" customHeight="1">
      <c r="G567" s="2"/>
      <c r="H567" s="2"/>
      <c r="I567" s="2"/>
    </row>
    <row r="568" spans="7:9" ht="15.75" customHeight="1">
      <c r="G568" s="2"/>
      <c r="H568" s="2"/>
      <c r="I568" s="2"/>
    </row>
    <row r="569" spans="7:9" ht="15.75" customHeight="1">
      <c r="G569" s="2"/>
      <c r="H569" s="2"/>
      <c r="I569" s="2"/>
    </row>
    <row r="570" spans="7:9" ht="15.75" customHeight="1">
      <c r="G570" s="2"/>
      <c r="H570" s="2"/>
      <c r="I570" s="2"/>
    </row>
    <row r="571" spans="7:9" ht="15.75" customHeight="1">
      <c r="G571" s="2"/>
      <c r="H571" s="2"/>
      <c r="I571" s="2"/>
    </row>
    <row r="572" spans="7:9" ht="15.75" customHeight="1">
      <c r="G572" s="2"/>
      <c r="H572" s="2"/>
      <c r="I572" s="2"/>
    </row>
    <row r="573" spans="7:9" ht="15.75" customHeight="1">
      <c r="G573" s="2"/>
      <c r="H573" s="2"/>
      <c r="I573" s="2"/>
    </row>
    <row r="574" spans="7:9" ht="15.75" customHeight="1">
      <c r="G574" s="2"/>
      <c r="H574" s="2"/>
      <c r="I574" s="2"/>
    </row>
    <row r="575" spans="7:9" ht="15.75" customHeight="1">
      <c r="G575" s="2"/>
      <c r="H575" s="2"/>
      <c r="I575" s="2"/>
    </row>
    <row r="576" spans="7:9" ht="15.75" customHeight="1">
      <c r="G576" s="2"/>
      <c r="H576" s="2"/>
      <c r="I576" s="2"/>
    </row>
    <row r="577" spans="7:9" ht="15.75" customHeight="1">
      <c r="G577" s="2"/>
      <c r="H577" s="2"/>
      <c r="I577" s="2"/>
    </row>
    <row r="578" spans="7:9" ht="15.75" customHeight="1">
      <c r="G578" s="2"/>
      <c r="H578" s="2"/>
      <c r="I578" s="2"/>
    </row>
    <row r="579" spans="7:9" ht="15.75" customHeight="1">
      <c r="G579" s="2"/>
      <c r="H579" s="2"/>
      <c r="I579" s="2"/>
    </row>
    <row r="580" spans="7:9" ht="15.75" customHeight="1">
      <c r="G580" s="2"/>
      <c r="H580" s="2"/>
      <c r="I580" s="2"/>
    </row>
    <row r="581" spans="7:9" ht="15.75" customHeight="1">
      <c r="G581" s="2"/>
      <c r="H581" s="2"/>
      <c r="I581" s="2"/>
    </row>
    <row r="582" spans="7:9" ht="15.75" customHeight="1">
      <c r="G582" s="2"/>
      <c r="H582" s="2"/>
      <c r="I582" s="2"/>
    </row>
    <row r="583" spans="7:9" ht="15.75" customHeight="1">
      <c r="G583" s="2"/>
      <c r="H583" s="2"/>
      <c r="I583" s="2"/>
    </row>
    <row r="584" spans="7:9" ht="15.75" customHeight="1">
      <c r="G584" s="2"/>
      <c r="H584" s="2"/>
      <c r="I584" s="2"/>
    </row>
    <row r="585" spans="7:9" ht="15.75" customHeight="1">
      <c r="G585" s="2"/>
      <c r="H585" s="2"/>
      <c r="I585" s="2"/>
    </row>
    <row r="586" spans="7:9" ht="15.75" customHeight="1">
      <c r="G586" s="2"/>
      <c r="H586" s="2"/>
      <c r="I586" s="2"/>
    </row>
    <row r="587" spans="7:9" ht="15.75" customHeight="1">
      <c r="G587" s="2"/>
      <c r="H587" s="2"/>
      <c r="I587" s="2"/>
    </row>
    <row r="588" spans="7:9" ht="15.75" customHeight="1">
      <c r="G588" s="2"/>
      <c r="H588" s="2"/>
      <c r="I588" s="2"/>
    </row>
    <row r="589" spans="7:9" ht="15.75" customHeight="1">
      <c r="G589" s="2"/>
      <c r="H589" s="2"/>
      <c r="I589" s="2"/>
    </row>
    <row r="590" spans="7:9" ht="15.75" customHeight="1">
      <c r="G590" s="2"/>
      <c r="H590" s="2"/>
      <c r="I590" s="2"/>
    </row>
    <row r="591" spans="7:9" ht="15.75" customHeight="1">
      <c r="G591" s="2"/>
      <c r="H591" s="2"/>
      <c r="I591" s="2"/>
    </row>
    <row r="592" spans="7:9" ht="15.75" customHeight="1">
      <c r="G592" s="2"/>
      <c r="H592" s="2"/>
      <c r="I592" s="2"/>
    </row>
    <row r="593" spans="7:9" ht="15.75" customHeight="1">
      <c r="G593" s="2"/>
      <c r="H593" s="2"/>
      <c r="I593" s="2"/>
    </row>
    <row r="594" spans="7:9" ht="15.75" customHeight="1">
      <c r="G594" s="2"/>
      <c r="H594" s="2"/>
      <c r="I594" s="2"/>
    </row>
    <row r="595" spans="7:9" ht="15.75" customHeight="1">
      <c r="G595" s="2"/>
      <c r="H595" s="2"/>
      <c r="I595" s="2"/>
    </row>
    <row r="596" spans="7:9" ht="15.75" customHeight="1">
      <c r="G596" s="2"/>
      <c r="H596" s="2"/>
      <c r="I596" s="2"/>
    </row>
    <row r="597" spans="7:9" ht="15.75" customHeight="1">
      <c r="G597" s="2"/>
      <c r="H597" s="2"/>
      <c r="I597" s="2"/>
    </row>
    <row r="598" spans="7:9" ht="15.75" customHeight="1">
      <c r="G598" s="2"/>
      <c r="H598" s="2"/>
      <c r="I598" s="2"/>
    </row>
    <row r="599" spans="7:9" ht="15.75" customHeight="1">
      <c r="G599" s="2"/>
      <c r="H599" s="2"/>
      <c r="I599" s="2"/>
    </row>
    <row r="600" spans="7:9" ht="15.75" customHeight="1">
      <c r="G600" s="2"/>
      <c r="H600" s="2"/>
      <c r="I600" s="2"/>
    </row>
    <row r="601" spans="7:9" ht="15.75" customHeight="1">
      <c r="G601" s="2"/>
      <c r="H601" s="2"/>
      <c r="I601" s="2"/>
    </row>
    <row r="602" spans="7:9" ht="15.75" customHeight="1">
      <c r="G602" s="2"/>
      <c r="H602" s="2"/>
      <c r="I602" s="2"/>
    </row>
    <row r="603" spans="7:9" ht="15.75" customHeight="1">
      <c r="G603" s="2"/>
      <c r="H603" s="2"/>
      <c r="I603" s="2"/>
    </row>
    <row r="604" spans="7:9" ht="15.75" customHeight="1">
      <c r="G604" s="2"/>
      <c r="H604" s="2"/>
      <c r="I604" s="2"/>
    </row>
    <row r="605" spans="7:9" ht="15.75" customHeight="1">
      <c r="G605" s="2"/>
      <c r="H605" s="2"/>
      <c r="I605" s="2"/>
    </row>
    <row r="606" spans="7:9" ht="15.75" customHeight="1">
      <c r="G606" s="2"/>
      <c r="H606" s="2"/>
      <c r="I606" s="2"/>
    </row>
    <row r="607" spans="7:9" ht="15.75" customHeight="1">
      <c r="G607" s="2"/>
      <c r="H607" s="2"/>
      <c r="I607" s="2"/>
    </row>
    <row r="608" spans="7:9" ht="15.75" customHeight="1">
      <c r="G608" s="2"/>
      <c r="H608" s="2"/>
      <c r="I608" s="2"/>
    </row>
    <row r="609" spans="7:9" ht="15.75" customHeight="1">
      <c r="G609" s="2"/>
      <c r="H609" s="2"/>
      <c r="I609" s="2"/>
    </row>
    <row r="610" spans="7:9" ht="15.75" customHeight="1">
      <c r="G610" s="2"/>
      <c r="H610" s="2"/>
      <c r="I610" s="2"/>
    </row>
    <row r="611" spans="7:9" ht="15.75" customHeight="1">
      <c r="G611" s="2"/>
      <c r="H611" s="2"/>
      <c r="I611" s="2"/>
    </row>
    <row r="612" spans="7:9" ht="15.75" customHeight="1">
      <c r="G612" s="2"/>
      <c r="H612" s="2"/>
      <c r="I612" s="2"/>
    </row>
    <row r="613" spans="7:9" ht="15.75" customHeight="1">
      <c r="G613" s="2"/>
      <c r="H613" s="2"/>
      <c r="I613" s="2"/>
    </row>
    <row r="614" spans="7:9" ht="15.75" customHeight="1">
      <c r="G614" s="2"/>
      <c r="H614" s="2"/>
      <c r="I614" s="2"/>
    </row>
    <row r="615" spans="7:9" ht="15.75" customHeight="1">
      <c r="G615" s="2"/>
      <c r="H615" s="2"/>
      <c r="I615" s="2"/>
    </row>
    <row r="616" spans="7:9" ht="15.75" customHeight="1">
      <c r="G616" s="2"/>
      <c r="H616" s="2"/>
      <c r="I616" s="2"/>
    </row>
    <row r="617" spans="7:9" ht="15.75" customHeight="1">
      <c r="G617" s="2"/>
      <c r="H617" s="2"/>
      <c r="I617" s="2"/>
    </row>
    <row r="618" spans="7:9" ht="15.75" customHeight="1">
      <c r="G618" s="2"/>
      <c r="H618" s="2"/>
      <c r="I618" s="2"/>
    </row>
    <row r="619" spans="7:9" ht="15.75" customHeight="1">
      <c r="G619" s="2"/>
      <c r="H619" s="2"/>
      <c r="I619" s="2"/>
    </row>
    <row r="620" spans="7:9" ht="15.75" customHeight="1">
      <c r="G620" s="2"/>
      <c r="H620" s="2"/>
      <c r="I620" s="2"/>
    </row>
    <row r="621" spans="7:9" ht="15.75" customHeight="1">
      <c r="G621" s="2"/>
      <c r="H621" s="2"/>
      <c r="I621" s="2"/>
    </row>
    <row r="622" spans="7:9" ht="15.75" customHeight="1">
      <c r="G622" s="2"/>
      <c r="H622" s="2"/>
      <c r="I622" s="2"/>
    </row>
    <row r="623" spans="7:9" ht="15.75" customHeight="1">
      <c r="G623" s="2"/>
      <c r="H623" s="2"/>
      <c r="I623" s="2"/>
    </row>
    <row r="624" spans="7:9" ht="15.75" customHeight="1">
      <c r="G624" s="2"/>
      <c r="H624" s="2"/>
      <c r="I624" s="2"/>
    </row>
    <row r="625" spans="7:9" ht="15.75" customHeight="1">
      <c r="G625" s="2"/>
      <c r="H625" s="2"/>
      <c r="I625" s="2"/>
    </row>
    <row r="626" spans="7:9" ht="15.75" customHeight="1">
      <c r="G626" s="2"/>
      <c r="H626" s="2"/>
      <c r="I626" s="2"/>
    </row>
    <row r="627" spans="7:9" ht="15.75" customHeight="1">
      <c r="G627" s="2"/>
      <c r="H627" s="2"/>
      <c r="I627" s="2"/>
    </row>
    <row r="628" spans="7:9" ht="15.75" customHeight="1">
      <c r="G628" s="2"/>
      <c r="H628" s="2"/>
      <c r="I628" s="2"/>
    </row>
    <row r="629" spans="7:9" ht="15.75" customHeight="1">
      <c r="G629" s="2"/>
      <c r="H629" s="2"/>
      <c r="I629" s="2"/>
    </row>
    <row r="630" spans="7:9" ht="15.75" customHeight="1">
      <c r="G630" s="2"/>
      <c r="H630" s="2"/>
      <c r="I630" s="2"/>
    </row>
    <row r="631" spans="7:9" ht="15.75" customHeight="1">
      <c r="G631" s="2"/>
      <c r="H631" s="2"/>
      <c r="I631" s="2"/>
    </row>
    <row r="632" spans="7:9" ht="15.75" customHeight="1">
      <c r="G632" s="2"/>
      <c r="H632" s="2"/>
      <c r="I632" s="2"/>
    </row>
    <row r="633" spans="7:9" ht="15.75" customHeight="1">
      <c r="G633" s="2"/>
      <c r="H633" s="2"/>
      <c r="I633" s="2"/>
    </row>
    <row r="634" spans="7:9" ht="15.75" customHeight="1">
      <c r="G634" s="2"/>
      <c r="H634" s="2"/>
      <c r="I634" s="2"/>
    </row>
    <row r="635" spans="7:9" ht="15.75" customHeight="1">
      <c r="G635" s="2"/>
      <c r="H635" s="2"/>
      <c r="I635" s="2"/>
    </row>
    <row r="636" spans="7:9" ht="15.75" customHeight="1">
      <c r="G636" s="2"/>
      <c r="H636" s="2"/>
      <c r="I636" s="2"/>
    </row>
    <row r="637" spans="7:9" ht="15.75" customHeight="1">
      <c r="G637" s="2"/>
      <c r="H637" s="2"/>
      <c r="I637" s="2"/>
    </row>
    <row r="638" spans="7:9" ht="15.75" customHeight="1">
      <c r="G638" s="2"/>
      <c r="H638" s="2"/>
      <c r="I638" s="2"/>
    </row>
    <row r="639" spans="7:9" ht="15.75" customHeight="1">
      <c r="G639" s="2"/>
      <c r="H639" s="2"/>
      <c r="I639" s="2"/>
    </row>
    <row r="640" spans="7:9" ht="15.75" customHeight="1">
      <c r="G640" s="2"/>
      <c r="H640" s="2"/>
      <c r="I640" s="2"/>
    </row>
    <row r="641" spans="7:9" ht="15.75" customHeight="1">
      <c r="G641" s="2"/>
      <c r="H641" s="2"/>
      <c r="I641" s="2"/>
    </row>
    <row r="642" spans="7:9" ht="15.75" customHeight="1">
      <c r="G642" s="2"/>
      <c r="H642" s="2"/>
      <c r="I642" s="2"/>
    </row>
    <row r="643" spans="7:9" ht="15.75" customHeight="1">
      <c r="G643" s="2"/>
      <c r="H643" s="2"/>
      <c r="I643" s="2"/>
    </row>
    <row r="644" spans="7:9" ht="15.75" customHeight="1">
      <c r="G644" s="2"/>
      <c r="H644" s="2"/>
      <c r="I644" s="2"/>
    </row>
    <row r="645" spans="7:9" ht="15.75" customHeight="1">
      <c r="G645" s="2"/>
      <c r="H645" s="2"/>
      <c r="I645" s="2"/>
    </row>
    <row r="646" spans="7:9" ht="15.75" customHeight="1">
      <c r="G646" s="2"/>
      <c r="H646" s="2"/>
      <c r="I646" s="2"/>
    </row>
    <row r="647" spans="7:9" ht="15.75" customHeight="1">
      <c r="G647" s="2"/>
      <c r="H647" s="2"/>
      <c r="I647" s="2"/>
    </row>
    <row r="648" spans="7:9" ht="15.75" customHeight="1">
      <c r="G648" s="2"/>
      <c r="H648" s="2"/>
      <c r="I648" s="2"/>
    </row>
    <row r="649" spans="7:9" ht="15.75" customHeight="1">
      <c r="G649" s="2"/>
      <c r="H649" s="2"/>
      <c r="I649" s="2"/>
    </row>
    <row r="650" spans="7:9" ht="15.75" customHeight="1">
      <c r="G650" s="2"/>
      <c r="H650" s="2"/>
      <c r="I650" s="2"/>
    </row>
    <row r="651" spans="7:9" ht="15.75" customHeight="1">
      <c r="G651" s="2"/>
      <c r="H651" s="2"/>
      <c r="I651" s="2"/>
    </row>
    <row r="652" spans="7:9" ht="15.75" customHeight="1">
      <c r="G652" s="2"/>
      <c r="H652" s="2"/>
      <c r="I652" s="2"/>
    </row>
    <row r="653" spans="7:9" ht="15.75" customHeight="1">
      <c r="G653" s="2"/>
      <c r="H653" s="2"/>
      <c r="I653" s="2"/>
    </row>
    <row r="654" spans="7:9" ht="15.75" customHeight="1">
      <c r="G654" s="2"/>
      <c r="H654" s="2"/>
      <c r="I654" s="2"/>
    </row>
    <row r="655" spans="7:9" ht="15.75" customHeight="1">
      <c r="G655" s="2"/>
      <c r="H655" s="2"/>
      <c r="I655" s="2"/>
    </row>
    <row r="656" spans="7:9" ht="15.75" customHeight="1">
      <c r="G656" s="2"/>
      <c r="H656" s="2"/>
      <c r="I656" s="2"/>
    </row>
    <row r="657" spans="7:9" ht="15.75" customHeight="1">
      <c r="G657" s="2"/>
      <c r="H657" s="2"/>
      <c r="I657" s="2"/>
    </row>
    <row r="658" spans="7:9" ht="15.75" customHeight="1">
      <c r="G658" s="2"/>
      <c r="H658" s="2"/>
      <c r="I658" s="2"/>
    </row>
    <row r="659" spans="7:9" ht="15.75" customHeight="1">
      <c r="G659" s="2"/>
      <c r="H659" s="2"/>
      <c r="I659" s="2"/>
    </row>
    <row r="660" spans="7:9" ht="15.75" customHeight="1">
      <c r="G660" s="2"/>
      <c r="H660" s="2"/>
      <c r="I660" s="2"/>
    </row>
    <row r="661" spans="7:9" ht="15.75" customHeight="1">
      <c r="G661" s="2"/>
      <c r="H661" s="2"/>
      <c r="I661" s="2"/>
    </row>
    <row r="662" spans="7:9" ht="15.75" customHeight="1">
      <c r="G662" s="2"/>
      <c r="H662" s="2"/>
      <c r="I662" s="2"/>
    </row>
    <row r="663" spans="7:9" ht="15.75" customHeight="1">
      <c r="G663" s="2"/>
      <c r="H663" s="2"/>
      <c r="I663" s="2"/>
    </row>
    <row r="664" spans="7:9" ht="15.75" customHeight="1">
      <c r="G664" s="2"/>
      <c r="H664" s="2"/>
      <c r="I664" s="2"/>
    </row>
    <row r="665" spans="7:9" ht="15.75" customHeight="1">
      <c r="G665" s="2"/>
      <c r="H665" s="2"/>
      <c r="I665" s="2"/>
    </row>
    <row r="666" spans="7:9" ht="15.75" customHeight="1">
      <c r="G666" s="2"/>
      <c r="H666" s="2"/>
      <c r="I666" s="2"/>
    </row>
    <row r="667" spans="7:9" ht="15.75" customHeight="1">
      <c r="G667" s="2"/>
      <c r="H667" s="2"/>
      <c r="I667" s="2"/>
    </row>
    <row r="668" spans="7:9" ht="15.75" customHeight="1">
      <c r="G668" s="2"/>
      <c r="H668" s="2"/>
      <c r="I668" s="2"/>
    </row>
    <row r="669" spans="7:9" ht="15.75" customHeight="1">
      <c r="G669" s="2"/>
      <c r="H669" s="2"/>
      <c r="I669" s="2"/>
    </row>
    <row r="670" spans="7:9" ht="15.75" customHeight="1">
      <c r="G670" s="2"/>
      <c r="H670" s="2"/>
      <c r="I670" s="2"/>
    </row>
    <row r="671" spans="7:9" ht="15.75" customHeight="1">
      <c r="G671" s="2"/>
      <c r="H671" s="2"/>
      <c r="I671" s="2"/>
    </row>
    <row r="672" spans="7:9" ht="15.75" customHeight="1">
      <c r="G672" s="2"/>
      <c r="H672" s="2"/>
      <c r="I672" s="2"/>
    </row>
    <row r="673" spans="7:9" ht="15.75" customHeight="1">
      <c r="G673" s="2"/>
      <c r="H673" s="2"/>
      <c r="I673" s="2"/>
    </row>
    <row r="674" spans="7:9" ht="15.75" customHeight="1">
      <c r="G674" s="2"/>
      <c r="H674" s="2"/>
      <c r="I674" s="2"/>
    </row>
    <row r="675" spans="7:9" ht="15.75" customHeight="1">
      <c r="G675" s="2"/>
      <c r="H675" s="2"/>
      <c r="I675" s="2"/>
    </row>
    <row r="676" spans="7:9" ht="15.75" customHeight="1">
      <c r="G676" s="2"/>
      <c r="H676" s="2"/>
      <c r="I676" s="2"/>
    </row>
    <row r="677" spans="7:9" ht="15.75" customHeight="1">
      <c r="G677" s="2"/>
      <c r="H677" s="2"/>
      <c r="I677" s="2"/>
    </row>
    <row r="678" spans="7:9" ht="15.75" customHeight="1">
      <c r="G678" s="2"/>
      <c r="H678" s="2"/>
      <c r="I678" s="2"/>
    </row>
    <row r="679" spans="7:9" ht="15.75" customHeight="1">
      <c r="G679" s="2"/>
      <c r="H679" s="2"/>
      <c r="I679" s="2"/>
    </row>
    <row r="680" spans="7:9" ht="15.75" customHeight="1">
      <c r="G680" s="2"/>
      <c r="H680" s="2"/>
      <c r="I680" s="2"/>
    </row>
    <row r="681" spans="7:9" ht="15.75" customHeight="1">
      <c r="G681" s="2"/>
      <c r="H681" s="2"/>
      <c r="I681" s="2"/>
    </row>
    <row r="682" spans="7:9" ht="15.75" customHeight="1">
      <c r="G682" s="2"/>
      <c r="H682" s="2"/>
      <c r="I682" s="2"/>
    </row>
    <row r="683" spans="7:9" ht="15.75" customHeight="1">
      <c r="G683" s="2"/>
      <c r="H683" s="2"/>
      <c r="I683" s="2"/>
    </row>
    <row r="684" spans="7:9" ht="15.75" customHeight="1">
      <c r="G684" s="2"/>
      <c r="H684" s="2"/>
      <c r="I684" s="2"/>
    </row>
    <row r="685" spans="7:9" ht="15.75" customHeight="1">
      <c r="G685" s="2"/>
      <c r="H685" s="2"/>
      <c r="I685" s="2"/>
    </row>
    <row r="686" spans="7:9" ht="15.75" customHeight="1">
      <c r="G686" s="2"/>
      <c r="H686" s="2"/>
      <c r="I686" s="2"/>
    </row>
    <row r="687" spans="7:9" ht="15.75" customHeight="1">
      <c r="G687" s="2"/>
      <c r="H687" s="2"/>
      <c r="I687" s="2"/>
    </row>
    <row r="688" spans="7:9" ht="15.75" customHeight="1">
      <c r="G688" s="2"/>
      <c r="H688" s="2"/>
      <c r="I688" s="2"/>
    </row>
    <row r="689" spans="7:9" ht="15.75" customHeight="1">
      <c r="G689" s="2"/>
      <c r="H689" s="2"/>
      <c r="I689" s="2"/>
    </row>
    <row r="690" spans="7:9" ht="15.75" customHeight="1">
      <c r="G690" s="2"/>
      <c r="H690" s="2"/>
      <c r="I690" s="2"/>
    </row>
    <row r="691" spans="7:9" ht="15.75" customHeight="1">
      <c r="G691" s="2"/>
      <c r="H691" s="2"/>
      <c r="I691" s="2"/>
    </row>
    <row r="692" spans="7:9" ht="15.75" customHeight="1">
      <c r="G692" s="2"/>
      <c r="H692" s="2"/>
      <c r="I692" s="2"/>
    </row>
    <row r="693" spans="7:9" ht="15.75" customHeight="1">
      <c r="G693" s="2"/>
      <c r="H693" s="2"/>
      <c r="I693" s="2"/>
    </row>
    <row r="694" spans="7:9" ht="15.75" customHeight="1">
      <c r="G694" s="2"/>
      <c r="H694" s="2"/>
      <c r="I694" s="2"/>
    </row>
    <row r="695" spans="7:9" ht="15.75" customHeight="1">
      <c r="G695" s="2"/>
      <c r="H695" s="2"/>
      <c r="I695" s="2"/>
    </row>
    <row r="696" spans="7:9" ht="15.75" customHeight="1">
      <c r="G696" s="2"/>
      <c r="H696" s="2"/>
      <c r="I696" s="2"/>
    </row>
    <row r="697" spans="7:9" ht="15.75" customHeight="1">
      <c r="G697" s="2"/>
      <c r="H697" s="2"/>
      <c r="I697" s="2"/>
    </row>
    <row r="698" spans="7:9" ht="15.75" customHeight="1">
      <c r="G698" s="2"/>
      <c r="H698" s="2"/>
      <c r="I698" s="2"/>
    </row>
    <row r="699" spans="7:9" ht="15.75" customHeight="1">
      <c r="G699" s="2"/>
      <c r="H699" s="2"/>
      <c r="I699" s="2"/>
    </row>
    <row r="700" spans="7:9" ht="15.75" customHeight="1">
      <c r="G700" s="2"/>
      <c r="H700" s="2"/>
      <c r="I700" s="2"/>
    </row>
    <row r="701" spans="7:9" ht="15.75" customHeight="1">
      <c r="G701" s="2"/>
      <c r="H701" s="2"/>
      <c r="I701" s="2"/>
    </row>
    <row r="702" spans="7:9" ht="15.75" customHeight="1">
      <c r="G702" s="2"/>
      <c r="H702" s="2"/>
      <c r="I702" s="2"/>
    </row>
    <row r="703" spans="7:9" ht="15.75" customHeight="1">
      <c r="G703" s="2"/>
      <c r="H703" s="2"/>
      <c r="I703" s="2"/>
    </row>
    <row r="704" spans="7:9" ht="15.75" customHeight="1">
      <c r="G704" s="2"/>
      <c r="H704" s="2"/>
      <c r="I704" s="2"/>
    </row>
    <row r="705" spans="7:9" ht="15.75" customHeight="1">
      <c r="G705" s="2"/>
      <c r="H705" s="2"/>
      <c r="I705" s="2"/>
    </row>
    <row r="706" spans="7:9" ht="15.75" customHeight="1">
      <c r="G706" s="2"/>
      <c r="H706" s="2"/>
      <c r="I706" s="2"/>
    </row>
    <row r="707" spans="7:9" ht="15.75" customHeight="1">
      <c r="G707" s="2"/>
      <c r="H707" s="2"/>
      <c r="I707" s="2"/>
    </row>
    <row r="708" spans="7:9" ht="15.75" customHeight="1">
      <c r="G708" s="2"/>
      <c r="H708" s="2"/>
      <c r="I708" s="2"/>
    </row>
    <row r="709" spans="7:9" ht="15.75" customHeight="1">
      <c r="G709" s="2"/>
      <c r="H709" s="2"/>
      <c r="I709" s="2"/>
    </row>
    <row r="710" spans="7:9" ht="15.75" customHeight="1">
      <c r="G710" s="2"/>
      <c r="H710" s="2"/>
      <c r="I710" s="2"/>
    </row>
    <row r="711" spans="7:9" ht="15.75" customHeight="1">
      <c r="G711" s="2"/>
      <c r="H711" s="2"/>
      <c r="I711" s="2"/>
    </row>
    <row r="712" spans="7:9" ht="15.75" customHeight="1">
      <c r="G712" s="2"/>
      <c r="H712" s="2"/>
      <c r="I712" s="2"/>
    </row>
    <row r="713" spans="7:9" ht="15.75" customHeight="1">
      <c r="G713" s="2"/>
      <c r="H713" s="2"/>
      <c r="I713" s="2"/>
    </row>
    <row r="714" spans="7:9" ht="15.75" customHeight="1">
      <c r="G714" s="2"/>
      <c r="H714" s="2"/>
      <c r="I714" s="2"/>
    </row>
    <row r="715" spans="7:9" ht="15.75" customHeight="1">
      <c r="G715" s="2"/>
      <c r="H715" s="2"/>
      <c r="I715" s="2"/>
    </row>
    <row r="716" spans="7:9" ht="15.75" customHeight="1">
      <c r="G716" s="2"/>
      <c r="H716" s="2"/>
      <c r="I716" s="2"/>
    </row>
    <row r="717" spans="7:9" ht="15.75" customHeight="1">
      <c r="G717" s="2"/>
      <c r="H717" s="2"/>
      <c r="I717" s="2"/>
    </row>
    <row r="718" spans="7:9" ht="15.75" customHeight="1">
      <c r="G718" s="2"/>
      <c r="H718" s="2"/>
      <c r="I718" s="2"/>
    </row>
    <row r="719" spans="7:9" ht="15.75" customHeight="1">
      <c r="G719" s="2"/>
      <c r="H719" s="2"/>
      <c r="I719" s="2"/>
    </row>
    <row r="720" spans="7:9" ht="15.75" customHeight="1">
      <c r="G720" s="2"/>
      <c r="H720" s="2"/>
      <c r="I720" s="2"/>
    </row>
    <row r="721" spans="7:9" ht="15.75" customHeight="1">
      <c r="G721" s="2"/>
      <c r="H721" s="2"/>
      <c r="I721" s="2"/>
    </row>
    <row r="722" spans="7:9" ht="15.75" customHeight="1">
      <c r="G722" s="2"/>
      <c r="H722" s="2"/>
      <c r="I722" s="2"/>
    </row>
    <row r="723" spans="7:9" ht="15.75" customHeight="1">
      <c r="G723" s="2"/>
      <c r="H723" s="2"/>
      <c r="I723" s="2"/>
    </row>
    <row r="724" spans="7:9" ht="15.75" customHeight="1">
      <c r="G724" s="2"/>
      <c r="H724" s="2"/>
      <c r="I724" s="2"/>
    </row>
    <row r="725" spans="7:9" ht="15.75" customHeight="1">
      <c r="G725" s="2"/>
      <c r="H725" s="2"/>
      <c r="I725" s="2"/>
    </row>
    <row r="726" spans="7:9" ht="15.75" customHeight="1">
      <c r="G726" s="2"/>
      <c r="H726" s="2"/>
      <c r="I726" s="2"/>
    </row>
    <row r="727" spans="7:9" ht="15.75" customHeight="1">
      <c r="G727" s="2"/>
      <c r="H727" s="2"/>
      <c r="I727" s="2"/>
    </row>
    <row r="728" spans="7:9" ht="15.75" customHeight="1">
      <c r="G728" s="2"/>
      <c r="H728" s="2"/>
      <c r="I728" s="2"/>
    </row>
    <row r="729" spans="7:9" ht="15.75" customHeight="1">
      <c r="G729" s="2"/>
      <c r="H729" s="2"/>
      <c r="I729" s="2"/>
    </row>
    <row r="730" spans="7:9" ht="15.75" customHeight="1">
      <c r="G730" s="2"/>
      <c r="H730" s="2"/>
      <c r="I730" s="2"/>
    </row>
    <row r="731" spans="7:9" ht="15.75" customHeight="1">
      <c r="G731" s="2"/>
      <c r="H731" s="2"/>
      <c r="I731" s="2"/>
    </row>
    <row r="732" spans="7:9" ht="15.75" customHeight="1">
      <c r="G732" s="2"/>
      <c r="H732" s="2"/>
      <c r="I732" s="2"/>
    </row>
    <row r="733" spans="7:9" ht="15.75" customHeight="1">
      <c r="G733" s="2"/>
      <c r="H733" s="2"/>
      <c r="I733" s="2"/>
    </row>
    <row r="734" spans="7:9" ht="15.75" customHeight="1">
      <c r="G734" s="2"/>
      <c r="H734" s="2"/>
      <c r="I734" s="2"/>
    </row>
    <row r="735" spans="7:9" ht="15.75" customHeight="1">
      <c r="G735" s="2"/>
      <c r="H735" s="2"/>
      <c r="I735" s="2"/>
    </row>
    <row r="736" spans="7:9" ht="15.75" customHeight="1">
      <c r="G736" s="2"/>
      <c r="H736" s="2"/>
      <c r="I736" s="2"/>
    </row>
    <row r="737" spans="7:9" ht="15.75" customHeight="1">
      <c r="G737" s="2"/>
      <c r="H737" s="2"/>
      <c r="I737" s="2"/>
    </row>
    <row r="738" spans="7:9" ht="15.75" customHeight="1">
      <c r="G738" s="2"/>
      <c r="H738" s="2"/>
      <c r="I738" s="2"/>
    </row>
    <row r="739" spans="7:9" ht="15.75" customHeight="1">
      <c r="G739" s="2"/>
      <c r="H739" s="2"/>
      <c r="I739" s="2"/>
    </row>
    <row r="740" spans="7:9" ht="15.75" customHeight="1">
      <c r="G740" s="2"/>
      <c r="H740" s="2"/>
      <c r="I740" s="2"/>
    </row>
    <row r="741" spans="7:9" ht="15.75" customHeight="1">
      <c r="G741" s="2"/>
      <c r="H741" s="2"/>
      <c r="I741" s="2"/>
    </row>
    <row r="742" spans="7:9" ht="15.75" customHeight="1">
      <c r="G742" s="2"/>
      <c r="H742" s="2"/>
      <c r="I742" s="2"/>
    </row>
    <row r="743" spans="7:9" ht="15.75" customHeight="1">
      <c r="G743" s="2"/>
      <c r="H743" s="2"/>
      <c r="I743" s="2"/>
    </row>
    <row r="744" spans="7:9" ht="15.75" customHeight="1">
      <c r="G744" s="2"/>
      <c r="H744" s="2"/>
      <c r="I744" s="2"/>
    </row>
    <row r="745" spans="7:9" ht="15.75" customHeight="1">
      <c r="G745" s="2"/>
      <c r="H745" s="2"/>
      <c r="I745" s="2"/>
    </row>
    <row r="746" spans="7:9" ht="15.75" customHeight="1">
      <c r="G746" s="2"/>
      <c r="H746" s="2"/>
      <c r="I746" s="2"/>
    </row>
    <row r="747" spans="7:9" ht="15.75" customHeight="1">
      <c r="G747" s="2"/>
      <c r="H747" s="2"/>
      <c r="I747" s="2"/>
    </row>
    <row r="748" spans="7:9" ht="15.75" customHeight="1">
      <c r="G748" s="2"/>
      <c r="H748" s="2"/>
      <c r="I748" s="2"/>
    </row>
    <row r="749" spans="7:9" ht="15.75" customHeight="1">
      <c r="G749" s="2"/>
      <c r="H749" s="2"/>
      <c r="I749" s="2"/>
    </row>
    <row r="750" spans="7:9" ht="15.75" customHeight="1">
      <c r="G750" s="2"/>
      <c r="H750" s="2"/>
      <c r="I750" s="2"/>
    </row>
    <row r="751" spans="7:9" ht="15.75" customHeight="1">
      <c r="G751" s="2"/>
      <c r="H751" s="2"/>
      <c r="I751" s="2"/>
    </row>
    <row r="752" spans="7:9" ht="15.75" customHeight="1">
      <c r="G752" s="2"/>
      <c r="H752" s="2"/>
      <c r="I752" s="2"/>
    </row>
    <row r="753" spans="7:9" ht="15.75" customHeight="1">
      <c r="G753" s="2"/>
      <c r="H753" s="2"/>
      <c r="I753" s="2"/>
    </row>
    <row r="754" spans="7:9" ht="15.75" customHeight="1">
      <c r="G754" s="2"/>
      <c r="H754" s="2"/>
      <c r="I754" s="2"/>
    </row>
    <row r="755" spans="7:9" ht="15.75" customHeight="1">
      <c r="G755" s="2"/>
      <c r="H755" s="2"/>
      <c r="I755" s="2"/>
    </row>
    <row r="756" spans="7:9" ht="15.75" customHeight="1">
      <c r="G756" s="2"/>
      <c r="H756" s="2"/>
      <c r="I756" s="2"/>
    </row>
    <row r="757" spans="7:9" ht="15.75" customHeight="1">
      <c r="G757" s="2"/>
      <c r="H757" s="2"/>
      <c r="I757" s="2"/>
    </row>
    <row r="758" spans="7:9" ht="15.75" customHeight="1">
      <c r="G758" s="2"/>
      <c r="H758" s="2"/>
      <c r="I758" s="2"/>
    </row>
    <row r="759" spans="7:9" ht="15.75" customHeight="1">
      <c r="G759" s="2"/>
      <c r="H759" s="2"/>
      <c r="I759" s="2"/>
    </row>
    <row r="760" spans="7:9" ht="15.75" customHeight="1">
      <c r="G760" s="2"/>
      <c r="H760" s="2"/>
      <c r="I760" s="2"/>
    </row>
    <row r="761" spans="7:9" ht="15.75" customHeight="1">
      <c r="G761" s="2"/>
      <c r="H761" s="2"/>
      <c r="I761" s="2"/>
    </row>
    <row r="762" spans="7:9" ht="15.75" customHeight="1">
      <c r="G762" s="2"/>
      <c r="H762" s="2"/>
      <c r="I762" s="2"/>
    </row>
    <row r="763" spans="7:9" ht="15.75" customHeight="1">
      <c r="G763" s="2"/>
      <c r="H763" s="2"/>
      <c r="I763" s="2"/>
    </row>
    <row r="764" spans="7:9" ht="15.75" customHeight="1">
      <c r="G764" s="2"/>
      <c r="H764" s="2"/>
      <c r="I764" s="2"/>
    </row>
    <row r="765" spans="7:9" ht="15.75" customHeight="1">
      <c r="G765" s="2"/>
      <c r="H765" s="2"/>
      <c r="I765" s="2"/>
    </row>
    <row r="766" spans="7:9" ht="15.75" customHeight="1">
      <c r="G766" s="2"/>
      <c r="H766" s="2"/>
      <c r="I766" s="2"/>
    </row>
    <row r="767" spans="7:9" ht="15.75" customHeight="1">
      <c r="G767" s="2"/>
      <c r="H767" s="2"/>
      <c r="I767" s="2"/>
    </row>
    <row r="768" spans="7:9" ht="15.75" customHeight="1">
      <c r="G768" s="2"/>
      <c r="H768" s="2"/>
      <c r="I768" s="2"/>
    </row>
    <row r="769" spans="7:9" ht="15.75" customHeight="1">
      <c r="G769" s="2"/>
      <c r="H769" s="2"/>
      <c r="I769" s="2"/>
    </row>
    <row r="770" spans="7:9" ht="15.75" customHeight="1">
      <c r="G770" s="2"/>
      <c r="H770" s="2"/>
      <c r="I770" s="2"/>
    </row>
    <row r="771" spans="7:9" ht="15.75" customHeight="1">
      <c r="G771" s="2"/>
      <c r="H771" s="2"/>
      <c r="I771" s="2"/>
    </row>
    <row r="772" spans="7:9" ht="15.75" customHeight="1">
      <c r="G772" s="2"/>
      <c r="H772" s="2"/>
      <c r="I772" s="2"/>
    </row>
    <row r="773" spans="7:9" ht="15.75" customHeight="1">
      <c r="G773" s="2"/>
      <c r="H773" s="2"/>
      <c r="I773" s="2"/>
    </row>
    <row r="774" spans="7:9" ht="15.75" customHeight="1">
      <c r="G774" s="2"/>
      <c r="H774" s="2"/>
      <c r="I774" s="2"/>
    </row>
    <row r="775" spans="7:9" ht="15.75" customHeight="1">
      <c r="G775" s="2"/>
      <c r="H775" s="2"/>
      <c r="I775" s="2"/>
    </row>
    <row r="776" spans="7:9" ht="15.75" customHeight="1">
      <c r="G776" s="2"/>
      <c r="H776" s="2"/>
      <c r="I776" s="2"/>
    </row>
    <row r="777" spans="7:9" ht="15.75" customHeight="1">
      <c r="G777" s="2"/>
      <c r="H777" s="2"/>
      <c r="I777" s="2"/>
    </row>
    <row r="778" spans="7:9" ht="15.75" customHeight="1">
      <c r="G778" s="2"/>
      <c r="H778" s="2"/>
      <c r="I778" s="2"/>
    </row>
    <row r="779" spans="7:9" ht="15.75" customHeight="1">
      <c r="G779" s="2"/>
      <c r="H779" s="2"/>
      <c r="I779" s="2"/>
    </row>
    <row r="780" spans="7:9" ht="15.75" customHeight="1">
      <c r="G780" s="2"/>
      <c r="H780" s="2"/>
      <c r="I780" s="2"/>
    </row>
    <row r="781" spans="7:9" ht="15.75" customHeight="1">
      <c r="G781" s="2"/>
      <c r="H781" s="2"/>
      <c r="I781" s="2"/>
    </row>
    <row r="782" spans="7:9" ht="15.75" customHeight="1">
      <c r="G782" s="2"/>
      <c r="H782" s="2"/>
      <c r="I782" s="2"/>
    </row>
    <row r="783" spans="7:9" ht="15.75" customHeight="1">
      <c r="G783" s="2"/>
      <c r="H783" s="2"/>
      <c r="I783" s="2"/>
    </row>
    <row r="784" spans="7:9" ht="15.75" customHeight="1">
      <c r="G784" s="2"/>
      <c r="H784" s="2"/>
      <c r="I784" s="2"/>
    </row>
    <row r="785" spans="7:9" ht="15.75" customHeight="1">
      <c r="G785" s="2"/>
      <c r="H785" s="2"/>
      <c r="I785" s="2"/>
    </row>
    <row r="786" spans="7:9" ht="15.75" customHeight="1">
      <c r="G786" s="2"/>
      <c r="H786" s="2"/>
      <c r="I786" s="2"/>
    </row>
    <row r="787" spans="7:9" ht="15.75" customHeight="1">
      <c r="G787" s="2"/>
      <c r="H787" s="2"/>
      <c r="I787" s="2"/>
    </row>
    <row r="788" spans="7:9" ht="15.75" customHeight="1">
      <c r="G788" s="2"/>
      <c r="H788" s="2"/>
      <c r="I788" s="2"/>
    </row>
    <row r="789" spans="7:9" ht="15.75" customHeight="1">
      <c r="G789" s="2"/>
      <c r="H789" s="2"/>
      <c r="I789" s="2"/>
    </row>
    <row r="790" spans="7:9" ht="15.75" customHeight="1">
      <c r="G790" s="2"/>
      <c r="H790" s="2"/>
      <c r="I790" s="2"/>
    </row>
    <row r="791" spans="7:9" ht="15.75" customHeight="1">
      <c r="G791" s="2"/>
      <c r="H791" s="2"/>
      <c r="I791" s="2"/>
    </row>
    <row r="792" spans="7:9" ht="15.75" customHeight="1">
      <c r="G792" s="2"/>
      <c r="H792" s="2"/>
      <c r="I792" s="2"/>
    </row>
    <row r="793" spans="7:9" ht="15.75" customHeight="1">
      <c r="G793" s="2"/>
      <c r="H793" s="2"/>
      <c r="I793" s="2"/>
    </row>
    <row r="794" spans="7:9" ht="15.75" customHeight="1">
      <c r="G794" s="2"/>
      <c r="H794" s="2"/>
      <c r="I794" s="2"/>
    </row>
    <row r="795" spans="7:9" ht="15.75" customHeight="1">
      <c r="G795" s="2"/>
      <c r="H795" s="2"/>
      <c r="I795" s="2"/>
    </row>
    <row r="796" spans="7:9" ht="15.75" customHeight="1">
      <c r="G796" s="2"/>
      <c r="H796" s="2"/>
      <c r="I796" s="2"/>
    </row>
    <row r="797" spans="7:9" ht="15.75" customHeight="1">
      <c r="G797" s="2"/>
      <c r="H797" s="2"/>
      <c r="I797" s="2"/>
    </row>
    <row r="798" spans="7:9" ht="15.75" customHeight="1">
      <c r="G798" s="2"/>
      <c r="H798" s="2"/>
      <c r="I798" s="2"/>
    </row>
    <row r="799" spans="7:9" ht="15.75" customHeight="1">
      <c r="G799" s="2"/>
      <c r="H799" s="2"/>
      <c r="I799" s="2"/>
    </row>
    <row r="800" spans="7:9" ht="15.75" customHeight="1">
      <c r="G800" s="2"/>
      <c r="H800" s="2"/>
      <c r="I800" s="2"/>
    </row>
    <row r="801" spans="7:9" ht="15.75" customHeight="1">
      <c r="G801" s="2"/>
      <c r="H801" s="2"/>
      <c r="I801" s="2"/>
    </row>
    <row r="802" spans="7:9" ht="15.75" customHeight="1">
      <c r="G802" s="2"/>
      <c r="H802" s="2"/>
      <c r="I802" s="2"/>
    </row>
    <row r="803" spans="7:9" ht="15.75" customHeight="1">
      <c r="G803" s="2"/>
      <c r="H803" s="2"/>
      <c r="I803" s="2"/>
    </row>
    <row r="804" spans="7:9" ht="15.75" customHeight="1">
      <c r="G804" s="2"/>
      <c r="H804" s="2"/>
      <c r="I804" s="2"/>
    </row>
    <row r="805" spans="7:9" ht="15.75" customHeight="1">
      <c r="G805" s="2"/>
      <c r="H805" s="2"/>
      <c r="I805" s="2"/>
    </row>
    <row r="806" spans="7:9" ht="15.75" customHeight="1">
      <c r="G806" s="2"/>
      <c r="H806" s="2"/>
      <c r="I806" s="2"/>
    </row>
    <row r="807" spans="7:9" ht="15.75" customHeight="1">
      <c r="G807" s="2"/>
      <c r="H807" s="2"/>
      <c r="I807" s="2"/>
    </row>
    <row r="808" spans="7:9" ht="15.75" customHeight="1">
      <c r="G808" s="2"/>
      <c r="H808" s="2"/>
      <c r="I808" s="2"/>
    </row>
    <row r="809" spans="7:9" ht="15.75" customHeight="1">
      <c r="G809" s="2"/>
      <c r="H809" s="2"/>
      <c r="I809" s="2"/>
    </row>
    <row r="810" spans="7:9" ht="15.75" customHeight="1">
      <c r="G810" s="2"/>
      <c r="H810" s="2"/>
      <c r="I810" s="2"/>
    </row>
    <row r="811" spans="7:9" ht="15.75" customHeight="1">
      <c r="G811" s="2"/>
      <c r="H811" s="2"/>
      <c r="I811" s="2"/>
    </row>
    <row r="812" spans="7:9" ht="15.75" customHeight="1">
      <c r="G812" s="2"/>
      <c r="H812" s="2"/>
      <c r="I812" s="2"/>
    </row>
    <row r="813" spans="7:9" ht="15.75" customHeight="1">
      <c r="G813" s="2"/>
      <c r="H813" s="2"/>
      <c r="I813" s="2"/>
    </row>
    <row r="814" spans="7:9" ht="15.75" customHeight="1">
      <c r="G814" s="2"/>
      <c r="H814" s="2"/>
      <c r="I814" s="2"/>
    </row>
    <row r="815" spans="7:9" ht="15.75" customHeight="1">
      <c r="G815" s="2"/>
      <c r="H815" s="2"/>
      <c r="I815" s="2"/>
    </row>
    <row r="816" spans="7:9" ht="15.75" customHeight="1">
      <c r="G816" s="2"/>
      <c r="H816" s="2"/>
      <c r="I816" s="2"/>
    </row>
    <row r="817" spans="7:9" ht="15.75" customHeight="1">
      <c r="G817" s="2"/>
      <c r="H817" s="2"/>
      <c r="I817" s="2"/>
    </row>
    <row r="818" spans="7:9" ht="15.75" customHeight="1">
      <c r="G818" s="2"/>
      <c r="H818" s="2"/>
      <c r="I818" s="2"/>
    </row>
    <row r="819" spans="7:9" ht="15.75" customHeight="1">
      <c r="G819" s="2"/>
      <c r="H819" s="2"/>
      <c r="I819" s="2"/>
    </row>
    <row r="820" spans="7:9" ht="15.75" customHeight="1">
      <c r="G820" s="2"/>
      <c r="H820" s="2"/>
      <c r="I820" s="2"/>
    </row>
    <row r="821" spans="7:9" ht="15.75" customHeight="1">
      <c r="G821" s="2"/>
      <c r="H821" s="2"/>
      <c r="I821" s="2"/>
    </row>
    <row r="822" spans="7:9" ht="15.75" customHeight="1">
      <c r="G822" s="2"/>
      <c r="H822" s="2"/>
      <c r="I822" s="2"/>
    </row>
    <row r="823" spans="7:9" ht="15.75" customHeight="1">
      <c r="G823" s="2"/>
      <c r="H823" s="2"/>
      <c r="I823" s="2"/>
    </row>
    <row r="824" spans="7:9" ht="15.75" customHeight="1">
      <c r="G824" s="2"/>
      <c r="H824" s="2"/>
      <c r="I824" s="2"/>
    </row>
    <row r="825" spans="7:9" ht="15.75" customHeight="1">
      <c r="G825" s="2"/>
      <c r="H825" s="2"/>
      <c r="I825" s="2"/>
    </row>
    <row r="826" spans="7:9" ht="15.75" customHeight="1">
      <c r="G826" s="2"/>
      <c r="H826" s="2"/>
      <c r="I826" s="2"/>
    </row>
    <row r="827" spans="7:9" ht="15.75" customHeight="1">
      <c r="G827" s="2"/>
      <c r="H827" s="2"/>
      <c r="I827" s="2"/>
    </row>
    <row r="828" spans="7:9" ht="15.75" customHeight="1">
      <c r="G828" s="2"/>
      <c r="H828" s="2"/>
      <c r="I828" s="2"/>
    </row>
    <row r="829" spans="7:9" ht="15.75" customHeight="1">
      <c r="G829" s="2"/>
      <c r="H829" s="2"/>
      <c r="I829" s="2"/>
    </row>
    <row r="830" spans="7:9" ht="15.75" customHeight="1">
      <c r="G830" s="2"/>
      <c r="H830" s="2"/>
      <c r="I830" s="2"/>
    </row>
    <row r="831" spans="7:9" ht="15.75" customHeight="1">
      <c r="G831" s="2"/>
      <c r="H831" s="2"/>
      <c r="I831" s="2"/>
    </row>
    <row r="832" spans="7:9" ht="15.75" customHeight="1">
      <c r="G832" s="2"/>
      <c r="H832" s="2"/>
      <c r="I832" s="2"/>
    </row>
    <row r="833" spans="7:9" ht="15.75" customHeight="1">
      <c r="G833" s="2"/>
      <c r="H833" s="2"/>
      <c r="I833" s="2"/>
    </row>
    <row r="834" spans="7:9" ht="15.75" customHeight="1">
      <c r="G834" s="2"/>
      <c r="H834" s="2"/>
      <c r="I834" s="2"/>
    </row>
    <row r="835" spans="7:9" ht="15.75" customHeight="1">
      <c r="G835" s="2"/>
      <c r="H835" s="2"/>
      <c r="I835" s="2"/>
    </row>
    <row r="836" spans="7:9" ht="15.75" customHeight="1">
      <c r="G836" s="2"/>
      <c r="H836" s="2"/>
      <c r="I836" s="2"/>
    </row>
    <row r="837" spans="7:9" ht="15.75" customHeight="1">
      <c r="G837" s="2"/>
      <c r="H837" s="2"/>
      <c r="I837" s="2"/>
    </row>
    <row r="838" spans="7:9" ht="15.75" customHeight="1">
      <c r="G838" s="2"/>
      <c r="H838" s="2"/>
      <c r="I838" s="2"/>
    </row>
    <row r="839" spans="7:9" ht="15.75" customHeight="1">
      <c r="G839" s="2"/>
      <c r="H839" s="2"/>
      <c r="I839" s="2"/>
    </row>
    <row r="840" spans="7:9" ht="15.75" customHeight="1">
      <c r="G840" s="2"/>
      <c r="H840" s="2"/>
      <c r="I840" s="2"/>
    </row>
    <row r="841" spans="7:9" ht="15.75" customHeight="1">
      <c r="G841" s="2"/>
      <c r="H841" s="2"/>
      <c r="I841" s="2"/>
    </row>
    <row r="842" spans="7:9" ht="15.75" customHeight="1">
      <c r="G842" s="2"/>
      <c r="H842" s="2"/>
      <c r="I842" s="2"/>
    </row>
    <row r="843" spans="7:9" ht="15.75" customHeight="1">
      <c r="G843" s="2"/>
      <c r="H843" s="2"/>
      <c r="I843" s="2"/>
    </row>
    <row r="844" spans="7:9" ht="15.75" customHeight="1">
      <c r="G844" s="2"/>
      <c r="H844" s="2"/>
      <c r="I844" s="2"/>
    </row>
    <row r="845" spans="7:9" ht="15.75" customHeight="1">
      <c r="G845" s="2"/>
      <c r="H845" s="2"/>
      <c r="I845" s="2"/>
    </row>
    <row r="846" spans="7:9" ht="15.75" customHeight="1">
      <c r="G846" s="2"/>
      <c r="H846" s="2"/>
      <c r="I846" s="2"/>
    </row>
    <row r="847" spans="7:9" ht="15.75" customHeight="1">
      <c r="G847" s="2"/>
      <c r="H847" s="2"/>
      <c r="I847" s="2"/>
    </row>
    <row r="848" spans="7:9" ht="15.75" customHeight="1">
      <c r="G848" s="2"/>
      <c r="H848" s="2"/>
      <c r="I848" s="2"/>
    </row>
    <row r="849" spans="7:9" ht="15.75" customHeight="1">
      <c r="G849" s="2"/>
      <c r="H849" s="2"/>
      <c r="I849" s="2"/>
    </row>
    <row r="850" spans="7:9" ht="15.75" customHeight="1">
      <c r="G850" s="2"/>
      <c r="H850" s="2"/>
      <c r="I850" s="2"/>
    </row>
    <row r="851" spans="7:9" ht="15.75" customHeight="1">
      <c r="G851" s="2"/>
      <c r="H851" s="2"/>
      <c r="I851" s="2"/>
    </row>
    <row r="852" spans="7:9" ht="15.75" customHeight="1">
      <c r="G852" s="2"/>
      <c r="H852" s="2"/>
      <c r="I852" s="2"/>
    </row>
    <row r="853" spans="7:9" ht="15.75" customHeight="1">
      <c r="G853" s="2"/>
      <c r="H853" s="2"/>
      <c r="I853" s="2"/>
    </row>
    <row r="854" spans="7:9" ht="15.75" customHeight="1">
      <c r="G854" s="2"/>
      <c r="H854" s="2"/>
      <c r="I854" s="2"/>
    </row>
    <row r="855" spans="7:9" ht="15.75" customHeight="1">
      <c r="G855" s="2"/>
      <c r="H855" s="2"/>
      <c r="I855" s="2"/>
    </row>
    <row r="856" spans="7:9" ht="15.75" customHeight="1">
      <c r="G856" s="2"/>
      <c r="H856" s="2"/>
      <c r="I856" s="2"/>
    </row>
    <row r="857" spans="7:9" ht="15.75" customHeight="1">
      <c r="G857" s="2"/>
      <c r="H857" s="2"/>
      <c r="I857" s="2"/>
    </row>
    <row r="858" spans="7:9" ht="15.75" customHeight="1">
      <c r="G858" s="2"/>
      <c r="H858" s="2"/>
      <c r="I858" s="2"/>
    </row>
    <row r="859" spans="7:9" ht="15.75" customHeight="1">
      <c r="G859" s="2"/>
      <c r="H859" s="2"/>
      <c r="I859" s="2"/>
    </row>
    <row r="860" spans="7:9" ht="15.75" customHeight="1">
      <c r="G860" s="2"/>
      <c r="H860" s="2"/>
      <c r="I860" s="2"/>
    </row>
    <row r="861" spans="7:9" ht="15.75" customHeight="1">
      <c r="G861" s="2"/>
      <c r="H861" s="2"/>
      <c r="I861" s="2"/>
    </row>
    <row r="862" spans="7:9" ht="15.75" customHeight="1">
      <c r="G862" s="2"/>
      <c r="H862" s="2"/>
      <c r="I862" s="2"/>
    </row>
    <row r="863" spans="7:9" ht="15.75" customHeight="1">
      <c r="G863" s="2"/>
      <c r="H863" s="2"/>
      <c r="I863" s="2"/>
    </row>
    <row r="864" spans="7:9" ht="15.75" customHeight="1">
      <c r="G864" s="2"/>
      <c r="H864" s="2"/>
      <c r="I864" s="2"/>
    </row>
    <row r="865" spans="7:9" ht="15.75" customHeight="1">
      <c r="G865" s="2"/>
      <c r="H865" s="2"/>
      <c r="I865" s="2"/>
    </row>
    <row r="866" spans="7:9" ht="15.75" customHeight="1">
      <c r="G866" s="2"/>
      <c r="H866" s="2"/>
      <c r="I866" s="2"/>
    </row>
    <row r="867" spans="7:9" ht="15.75" customHeight="1">
      <c r="G867" s="2"/>
      <c r="H867" s="2"/>
      <c r="I867" s="2"/>
    </row>
    <row r="868" spans="7:9" ht="15.75" customHeight="1">
      <c r="G868" s="2"/>
      <c r="H868" s="2"/>
      <c r="I868" s="2"/>
    </row>
    <row r="869" spans="7:9" ht="15.75" customHeight="1">
      <c r="G869" s="2"/>
      <c r="H869" s="2"/>
      <c r="I869" s="2"/>
    </row>
    <row r="870" spans="7:9" ht="15.75" customHeight="1">
      <c r="G870" s="2"/>
      <c r="H870" s="2"/>
      <c r="I870" s="2"/>
    </row>
    <row r="871" spans="7:9" ht="15.75" customHeight="1">
      <c r="G871" s="2"/>
      <c r="H871" s="2"/>
      <c r="I871" s="2"/>
    </row>
    <row r="872" spans="7:9" ht="15.75" customHeight="1">
      <c r="G872" s="2"/>
      <c r="H872" s="2"/>
      <c r="I872" s="2"/>
    </row>
    <row r="873" spans="7:9" ht="15.75" customHeight="1">
      <c r="G873" s="2"/>
      <c r="H873" s="2"/>
      <c r="I873" s="2"/>
    </row>
    <row r="874" spans="7:9" ht="15.75" customHeight="1">
      <c r="G874" s="2"/>
      <c r="H874" s="2"/>
      <c r="I874" s="2"/>
    </row>
    <row r="875" spans="7:9" ht="15.75" customHeight="1">
      <c r="G875" s="2"/>
      <c r="H875" s="2"/>
      <c r="I875" s="2"/>
    </row>
    <row r="876" spans="7:9" ht="15.75" customHeight="1">
      <c r="G876" s="2"/>
      <c r="H876" s="2"/>
      <c r="I876" s="2"/>
    </row>
    <row r="877" spans="7:9" ht="15.75" customHeight="1">
      <c r="G877" s="2"/>
      <c r="H877" s="2"/>
      <c r="I877" s="2"/>
    </row>
    <row r="878" spans="7:9" ht="15.75" customHeight="1">
      <c r="G878" s="2"/>
      <c r="H878" s="2"/>
      <c r="I878" s="2"/>
    </row>
    <row r="879" spans="7:9" ht="15.75" customHeight="1">
      <c r="G879" s="2"/>
      <c r="H879" s="2"/>
      <c r="I879" s="2"/>
    </row>
    <row r="880" spans="7:9" ht="15.75" customHeight="1">
      <c r="G880" s="2"/>
      <c r="H880" s="2"/>
      <c r="I880" s="2"/>
    </row>
    <row r="881" spans="7:9" ht="15.75" customHeight="1">
      <c r="G881" s="2"/>
      <c r="H881" s="2"/>
      <c r="I881" s="2"/>
    </row>
    <row r="882" spans="7:9" ht="15.75" customHeight="1">
      <c r="G882" s="2"/>
      <c r="H882" s="2"/>
      <c r="I882" s="2"/>
    </row>
    <row r="883" spans="7:9" ht="15.75" customHeight="1">
      <c r="G883" s="2"/>
      <c r="H883" s="2"/>
      <c r="I883" s="2"/>
    </row>
    <row r="884" spans="7:9" ht="15.75" customHeight="1">
      <c r="G884" s="2"/>
      <c r="H884" s="2"/>
      <c r="I884" s="2"/>
    </row>
    <row r="885" spans="7:9" ht="15.75" customHeight="1">
      <c r="G885" s="2"/>
      <c r="H885" s="2"/>
      <c r="I885" s="2"/>
    </row>
    <row r="886" spans="7:9" ht="15.75" customHeight="1">
      <c r="G886" s="2"/>
      <c r="H886" s="2"/>
      <c r="I886" s="2"/>
    </row>
    <row r="887" spans="7:9" ht="15.75" customHeight="1">
      <c r="G887" s="2"/>
      <c r="H887" s="2"/>
      <c r="I887" s="2"/>
    </row>
    <row r="888" spans="7:9" ht="15.75" customHeight="1">
      <c r="G888" s="2"/>
      <c r="H888" s="2"/>
      <c r="I888" s="2"/>
    </row>
    <row r="889" spans="7:9" ht="15.75" customHeight="1">
      <c r="G889" s="2"/>
      <c r="H889" s="2"/>
      <c r="I889" s="2"/>
    </row>
    <row r="890" spans="7:9" ht="15.75" customHeight="1">
      <c r="G890" s="2"/>
      <c r="H890" s="2"/>
      <c r="I890" s="2"/>
    </row>
    <row r="891" spans="7:9" ht="15.75" customHeight="1">
      <c r="G891" s="2"/>
      <c r="H891" s="2"/>
      <c r="I891" s="2"/>
    </row>
    <row r="892" spans="7:9" ht="15.75" customHeight="1">
      <c r="G892" s="2"/>
      <c r="H892" s="2"/>
      <c r="I892" s="2"/>
    </row>
    <row r="893" spans="7:9" ht="15.75" customHeight="1">
      <c r="G893" s="2"/>
      <c r="H893" s="2"/>
      <c r="I893" s="2"/>
    </row>
    <row r="894" spans="7:9" ht="15.75" customHeight="1">
      <c r="G894" s="2"/>
      <c r="H894" s="2"/>
      <c r="I894" s="2"/>
    </row>
    <row r="895" spans="7:9" ht="15.75" customHeight="1">
      <c r="G895" s="2"/>
      <c r="H895" s="2"/>
      <c r="I895" s="2"/>
    </row>
    <row r="896" spans="7:9" ht="15.75" customHeight="1">
      <c r="G896" s="2"/>
      <c r="H896" s="2"/>
      <c r="I896" s="2"/>
    </row>
    <row r="897" spans="7:9" ht="15.75" customHeight="1">
      <c r="G897" s="2"/>
      <c r="H897" s="2"/>
      <c r="I897" s="2"/>
    </row>
    <row r="898" spans="7:9" ht="15.75" customHeight="1">
      <c r="G898" s="2"/>
      <c r="H898" s="2"/>
      <c r="I898" s="2"/>
    </row>
    <row r="899" spans="7:9" ht="15.75" customHeight="1">
      <c r="G899" s="2"/>
      <c r="H899" s="2"/>
      <c r="I899" s="2"/>
    </row>
    <row r="900" spans="7:9" ht="15.75" customHeight="1">
      <c r="G900" s="2"/>
      <c r="H900" s="2"/>
      <c r="I900" s="2"/>
    </row>
    <row r="901" spans="7:9" ht="15.75" customHeight="1">
      <c r="G901" s="2"/>
      <c r="H901" s="2"/>
      <c r="I901" s="2"/>
    </row>
    <row r="902" spans="7:9" ht="15.75" customHeight="1">
      <c r="G902" s="2"/>
      <c r="H902" s="2"/>
      <c r="I902" s="2"/>
    </row>
    <row r="903" spans="7:9" ht="15.75" customHeight="1">
      <c r="G903" s="2"/>
      <c r="H903" s="2"/>
      <c r="I903" s="2"/>
    </row>
    <row r="904" spans="7:9" ht="15.75" customHeight="1">
      <c r="G904" s="2"/>
      <c r="H904" s="2"/>
      <c r="I904" s="2"/>
    </row>
    <row r="905" spans="7:9" ht="15.75" customHeight="1">
      <c r="G905" s="2"/>
      <c r="H905" s="2"/>
      <c r="I905" s="2"/>
    </row>
    <row r="906" spans="7:9" ht="15.75" customHeight="1">
      <c r="G906" s="2"/>
      <c r="H906" s="2"/>
      <c r="I906" s="2"/>
    </row>
    <row r="907" spans="7:9" ht="15.75" customHeight="1">
      <c r="G907" s="2"/>
      <c r="H907" s="2"/>
      <c r="I907" s="2"/>
    </row>
    <row r="908" spans="7:9" ht="15.75" customHeight="1">
      <c r="G908" s="2"/>
      <c r="H908" s="2"/>
      <c r="I908" s="2"/>
    </row>
    <row r="909" spans="7:9" ht="15.75" customHeight="1">
      <c r="G909" s="2"/>
      <c r="H909" s="2"/>
      <c r="I909" s="2"/>
    </row>
    <row r="910" spans="7:9" ht="15.75" customHeight="1">
      <c r="G910" s="2"/>
      <c r="H910" s="2"/>
      <c r="I910" s="2"/>
    </row>
    <row r="911" spans="7:9" ht="15.75" customHeight="1">
      <c r="G911" s="2"/>
      <c r="H911" s="2"/>
      <c r="I911" s="2"/>
    </row>
    <row r="912" spans="7:9" ht="15.75" customHeight="1">
      <c r="G912" s="2"/>
      <c r="H912" s="2"/>
      <c r="I912" s="2"/>
    </row>
    <row r="913" spans="7:9" ht="15.75" customHeight="1">
      <c r="G913" s="2"/>
      <c r="H913" s="2"/>
      <c r="I913" s="2"/>
    </row>
    <row r="914" spans="7:9" ht="15.75" customHeight="1">
      <c r="G914" s="2"/>
      <c r="H914" s="2"/>
      <c r="I914" s="2"/>
    </row>
    <row r="915" spans="7:9" ht="15.75" customHeight="1">
      <c r="G915" s="2"/>
      <c r="H915" s="2"/>
      <c r="I915" s="2"/>
    </row>
    <row r="916" spans="7:9" ht="15.75" customHeight="1">
      <c r="G916" s="2"/>
      <c r="H916" s="2"/>
      <c r="I916" s="2"/>
    </row>
    <row r="917" spans="7:9" ht="15.75" customHeight="1">
      <c r="G917" s="2"/>
      <c r="H917" s="2"/>
      <c r="I917" s="2"/>
    </row>
    <row r="918" spans="7:9" ht="15.75" customHeight="1">
      <c r="G918" s="2"/>
      <c r="H918" s="2"/>
      <c r="I918" s="2"/>
    </row>
    <row r="919" spans="7:9" ht="15.75" customHeight="1">
      <c r="G919" s="2"/>
      <c r="H919" s="2"/>
      <c r="I919" s="2"/>
    </row>
    <row r="920" spans="7:9" ht="15.75" customHeight="1">
      <c r="G920" s="2"/>
      <c r="H920" s="2"/>
      <c r="I920" s="2"/>
    </row>
    <row r="921" spans="7:9" ht="15.75" customHeight="1">
      <c r="G921" s="2"/>
      <c r="H921" s="2"/>
      <c r="I921" s="2"/>
    </row>
    <row r="922" spans="7:9" ht="15.75" customHeight="1">
      <c r="G922" s="2"/>
      <c r="H922" s="2"/>
      <c r="I922" s="2"/>
    </row>
    <row r="923" spans="7:9" ht="15.75" customHeight="1">
      <c r="G923" s="2"/>
      <c r="H923" s="2"/>
      <c r="I923" s="2"/>
    </row>
    <row r="924" spans="7:9" ht="15.75" customHeight="1">
      <c r="G924" s="2"/>
      <c r="H924" s="2"/>
      <c r="I924" s="2"/>
    </row>
    <row r="925" spans="7:9" ht="15.75" customHeight="1">
      <c r="G925" s="2"/>
      <c r="H925" s="2"/>
      <c r="I925" s="2"/>
    </row>
    <row r="926" spans="7:9" ht="15.75" customHeight="1">
      <c r="G926" s="2"/>
      <c r="H926" s="2"/>
      <c r="I926" s="2"/>
    </row>
    <row r="927" spans="7:9" ht="15.75" customHeight="1">
      <c r="G927" s="2"/>
      <c r="H927" s="2"/>
      <c r="I927" s="2"/>
    </row>
    <row r="928" spans="7:9" ht="15.75" customHeight="1">
      <c r="G928" s="2"/>
      <c r="H928" s="2"/>
      <c r="I928" s="2"/>
    </row>
    <row r="929" spans="7:9" ht="15.75" customHeight="1">
      <c r="G929" s="2"/>
      <c r="H929" s="2"/>
      <c r="I929" s="2"/>
    </row>
    <row r="930" spans="7:9" ht="15.75" customHeight="1">
      <c r="G930" s="2"/>
      <c r="H930" s="2"/>
      <c r="I930" s="2"/>
    </row>
    <row r="931" spans="7:9" ht="15.75" customHeight="1">
      <c r="G931" s="2"/>
      <c r="H931" s="2"/>
      <c r="I931" s="2"/>
    </row>
    <row r="932" spans="7:9" ht="15.75" customHeight="1">
      <c r="G932" s="2"/>
      <c r="H932" s="2"/>
      <c r="I932" s="2"/>
    </row>
    <row r="933" spans="7:9" ht="15.75" customHeight="1">
      <c r="G933" s="2"/>
      <c r="H933" s="2"/>
      <c r="I933" s="2"/>
    </row>
    <row r="934" spans="7:9" ht="15.75" customHeight="1">
      <c r="G934" s="2"/>
      <c r="H934" s="2"/>
      <c r="I934" s="2"/>
    </row>
    <row r="935" spans="7:9" ht="15.75" customHeight="1">
      <c r="G935" s="2"/>
      <c r="H935" s="2"/>
      <c r="I935" s="2"/>
    </row>
    <row r="936" spans="7:9" ht="15.75" customHeight="1">
      <c r="G936" s="2"/>
      <c r="H936" s="2"/>
      <c r="I936" s="2"/>
    </row>
    <row r="937" spans="7:9" ht="15.75" customHeight="1">
      <c r="G937" s="2"/>
      <c r="H937" s="2"/>
      <c r="I937" s="2"/>
    </row>
    <row r="938" spans="7:9" ht="15.75" customHeight="1">
      <c r="G938" s="2"/>
      <c r="H938" s="2"/>
      <c r="I938" s="2"/>
    </row>
    <row r="939" spans="7:9" ht="15.75" customHeight="1">
      <c r="G939" s="2"/>
      <c r="H939" s="2"/>
      <c r="I939" s="2"/>
    </row>
    <row r="940" spans="7:9" ht="15.75" customHeight="1">
      <c r="G940" s="2"/>
      <c r="H940" s="2"/>
      <c r="I940" s="2"/>
    </row>
    <row r="941" spans="7:9" ht="15.75" customHeight="1">
      <c r="G941" s="2"/>
      <c r="H941" s="2"/>
      <c r="I941" s="2"/>
    </row>
    <row r="942" spans="7:9" ht="15.75" customHeight="1">
      <c r="G942" s="2"/>
      <c r="H942" s="2"/>
      <c r="I942" s="2"/>
    </row>
    <row r="943" spans="7:9" ht="15.75" customHeight="1">
      <c r="G943" s="2"/>
      <c r="H943" s="2"/>
      <c r="I943" s="2"/>
    </row>
    <row r="944" spans="7:9" ht="15.75" customHeight="1">
      <c r="G944" s="2"/>
      <c r="H944" s="2"/>
      <c r="I944" s="2"/>
    </row>
    <row r="945" spans="7:9" ht="15.75" customHeight="1">
      <c r="G945" s="2"/>
      <c r="H945" s="2"/>
      <c r="I945" s="2"/>
    </row>
    <row r="946" spans="7:9" ht="15.75" customHeight="1">
      <c r="G946" s="2"/>
      <c r="H946" s="2"/>
      <c r="I946" s="2"/>
    </row>
    <row r="947" spans="7:9" ht="15.75" customHeight="1">
      <c r="G947" s="2"/>
      <c r="H947" s="2"/>
      <c r="I947" s="2"/>
    </row>
    <row r="948" spans="7:9" ht="15.75" customHeight="1">
      <c r="G948" s="2"/>
      <c r="H948" s="2"/>
      <c r="I948" s="2"/>
    </row>
    <row r="949" spans="7:9" ht="15.75" customHeight="1">
      <c r="G949" s="2"/>
      <c r="H949" s="2"/>
      <c r="I949" s="2"/>
    </row>
    <row r="950" spans="7:9" ht="15.75" customHeight="1">
      <c r="G950" s="2"/>
      <c r="H950" s="2"/>
      <c r="I950" s="2"/>
    </row>
    <row r="951" spans="7:9" ht="15.75" customHeight="1">
      <c r="G951" s="2"/>
      <c r="H951" s="2"/>
      <c r="I951" s="2"/>
    </row>
    <row r="952" spans="7:9" ht="15.75" customHeight="1">
      <c r="G952" s="2"/>
      <c r="H952" s="2"/>
      <c r="I952" s="2"/>
    </row>
    <row r="953" spans="7:9" ht="15.75" customHeight="1">
      <c r="G953" s="2"/>
      <c r="H953" s="2"/>
      <c r="I953" s="2"/>
    </row>
    <row r="954" spans="7:9" ht="15.75" customHeight="1">
      <c r="G954" s="2"/>
      <c r="H954" s="2"/>
      <c r="I954" s="2"/>
    </row>
    <row r="955" spans="7:9" ht="15.75" customHeight="1">
      <c r="G955" s="2"/>
      <c r="H955" s="2"/>
      <c r="I955" s="2"/>
    </row>
    <row r="956" spans="7:9" ht="15.75" customHeight="1">
      <c r="G956" s="2"/>
      <c r="H956" s="2"/>
      <c r="I956" s="2"/>
    </row>
    <row r="957" spans="7:9" ht="15.75" customHeight="1">
      <c r="G957" s="2"/>
      <c r="H957" s="2"/>
      <c r="I957" s="2"/>
    </row>
    <row r="958" spans="7:9" ht="15.75" customHeight="1">
      <c r="G958" s="2"/>
      <c r="H958" s="2"/>
      <c r="I958" s="2"/>
    </row>
    <row r="959" spans="7:9" ht="15.75" customHeight="1">
      <c r="G959" s="2"/>
      <c r="H959" s="2"/>
      <c r="I959" s="2"/>
    </row>
    <row r="960" spans="7:9" ht="15.75" customHeight="1">
      <c r="G960" s="2"/>
      <c r="H960" s="2"/>
      <c r="I960" s="2"/>
    </row>
    <row r="961" spans="7:9" ht="15.75" customHeight="1">
      <c r="G961" s="2"/>
      <c r="H961" s="2"/>
      <c r="I961" s="2"/>
    </row>
    <row r="962" spans="7:9" ht="15.75" customHeight="1">
      <c r="G962" s="2"/>
      <c r="H962" s="2"/>
      <c r="I962" s="2"/>
    </row>
    <row r="963" spans="7:9" ht="15.75" customHeight="1">
      <c r="G963" s="2"/>
      <c r="H963" s="2"/>
      <c r="I963" s="2"/>
    </row>
    <row r="964" spans="7:9" ht="15.75" customHeight="1">
      <c r="G964" s="2"/>
      <c r="H964" s="2"/>
      <c r="I964" s="2"/>
    </row>
    <row r="965" spans="7:9" ht="15.75" customHeight="1">
      <c r="G965" s="2"/>
      <c r="H965" s="2"/>
      <c r="I965" s="2"/>
    </row>
    <row r="966" spans="7:9" ht="15.75" customHeight="1">
      <c r="G966" s="2"/>
      <c r="H966" s="2"/>
      <c r="I966" s="2"/>
    </row>
    <row r="967" spans="7:9" ht="15.75" customHeight="1">
      <c r="G967" s="2"/>
      <c r="H967" s="2"/>
      <c r="I967" s="2"/>
    </row>
    <row r="968" spans="7:9" ht="15.75" customHeight="1">
      <c r="G968" s="2"/>
      <c r="H968" s="2"/>
      <c r="I968" s="2"/>
    </row>
    <row r="969" spans="7:9" ht="15.75" customHeight="1">
      <c r="G969" s="2"/>
      <c r="H969" s="2"/>
      <c r="I969" s="2"/>
    </row>
    <row r="970" spans="7:9" ht="15.75" customHeight="1">
      <c r="G970" s="2"/>
      <c r="H970" s="2"/>
      <c r="I970" s="2"/>
    </row>
    <row r="971" spans="7:9" ht="15.75" customHeight="1">
      <c r="G971" s="2"/>
      <c r="H971" s="2"/>
      <c r="I971" s="2"/>
    </row>
    <row r="972" spans="7:9" ht="15.75" customHeight="1">
      <c r="G972" s="2"/>
      <c r="H972" s="2"/>
      <c r="I972" s="2"/>
    </row>
    <row r="973" spans="7:9" ht="15.75" customHeight="1">
      <c r="G973" s="2"/>
      <c r="H973" s="2"/>
      <c r="I973" s="2"/>
    </row>
    <row r="974" spans="7:9" ht="15.75" customHeight="1">
      <c r="G974" s="2"/>
      <c r="H974" s="2"/>
      <c r="I974" s="2"/>
    </row>
    <row r="975" spans="7:9" ht="15.75" customHeight="1">
      <c r="G975" s="2"/>
      <c r="H975" s="2"/>
      <c r="I975" s="2"/>
    </row>
    <row r="976" spans="7:9" ht="15.75" customHeight="1">
      <c r="G976" s="2"/>
      <c r="H976" s="2"/>
      <c r="I976" s="2"/>
    </row>
    <row r="977" spans="7:9" ht="15.75" customHeight="1">
      <c r="G977" s="2"/>
      <c r="H977" s="2"/>
      <c r="I977" s="2"/>
    </row>
    <row r="978" spans="7:9" ht="15.75" customHeight="1">
      <c r="G978" s="2"/>
      <c r="H978" s="2"/>
      <c r="I978" s="2"/>
    </row>
    <row r="979" spans="7:9" ht="15.75" customHeight="1">
      <c r="G979" s="2"/>
      <c r="H979" s="2"/>
      <c r="I979" s="2"/>
    </row>
    <row r="980" spans="7:9" ht="15.75" customHeight="1">
      <c r="G980" s="2"/>
      <c r="H980" s="2"/>
      <c r="I980" s="2"/>
    </row>
    <row r="981" spans="7:9" ht="15.75" customHeight="1">
      <c r="G981" s="2"/>
      <c r="H981" s="2"/>
      <c r="I981" s="2"/>
    </row>
    <row r="982" spans="7:9" ht="15.75" customHeight="1">
      <c r="G982" s="2"/>
      <c r="H982" s="2"/>
      <c r="I982" s="2"/>
    </row>
    <row r="983" spans="7:9" ht="15.75" customHeight="1">
      <c r="G983" s="2"/>
      <c r="H983" s="2"/>
      <c r="I983" s="2"/>
    </row>
    <row r="984" spans="7:9" ht="15.75" customHeight="1">
      <c r="G984" s="2"/>
      <c r="H984" s="2"/>
      <c r="I984" s="2"/>
    </row>
    <row r="985" spans="7:9" ht="15.75" customHeight="1">
      <c r="G985" s="2"/>
      <c r="H985" s="2"/>
      <c r="I985" s="2"/>
    </row>
    <row r="986" spans="7:9" ht="15.75" customHeight="1">
      <c r="G986" s="2"/>
      <c r="H986" s="2"/>
      <c r="I986" s="2"/>
    </row>
    <row r="987" spans="7:9" ht="15.75" customHeight="1">
      <c r="G987" s="2"/>
      <c r="H987" s="2"/>
      <c r="I987" s="2"/>
    </row>
    <row r="988" spans="7:9" ht="15.75" customHeight="1">
      <c r="G988" s="2"/>
      <c r="H988" s="2"/>
      <c r="I988" s="2"/>
    </row>
    <row r="989" spans="7:9" ht="15.75" customHeight="1">
      <c r="G989" s="2"/>
      <c r="H989" s="2"/>
      <c r="I989" s="2"/>
    </row>
    <row r="990" spans="7:9" ht="15.75" customHeight="1">
      <c r="G990" s="2"/>
      <c r="H990" s="2"/>
      <c r="I990" s="2"/>
    </row>
    <row r="991" spans="7:9" ht="15.75" customHeight="1">
      <c r="G991" s="2"/>
      <c r="H991" s="2"/>
      <c r="I991" s="2"/>
    </row>
    <row r="992" spans="7:9" ht="15.75" customHeight="1">
      <c r="G992" s="2"/>
      <c r="H992" s="2"/>
      <c r="I992" s="2"/>
    </row>
    <row r="993" spans="7:9" ht="15.75" customHeight="1">
      <c r="G993" s="2"/>
      <c r="H993" s="2"/>
      <c r="I993" s="2"/>
    </row>
    <row r="994" spans="7:9" ht="15.75" customHeight="1">
      <c r="G994" s="2"/>
      <c r="H994" s="2"/>
      <c r="I994" s="2"/>
    </row>
    <row r="995" spans="7:9" ht="15.75" customHeight="1">
      <c r="G995" s="2"/>
      <c r="H995" s="2"/>
      <c r="I995" s="2"/>
    </row>
    <row r="996" spans="7:9" ht="15.75" customHeight="1">
      <c r="G996" s="2"/>
      <c r="H996" s="2"/>
      <c r="I996" s="2"/>
    </row>
    <row r="997" spans="7:9" ht="15.75" customHeight="1">
      <c r="G997" s="2"/>
      <c r="H997" s="2"/>
      <c r="I997" s="2"/>
    </row>
    <row r="998" spans="7:9" ht="15.75" customHeight="1">
      <c r="G998" s="2"/>
      <c r="H998" s="2"/>
      <c r="I998" s="2"/>
    </row>
    <row r="999" spans="7:9" ht="15.75" customHeight="1">
      <c r="G999" s="2"/>
      <c r="H999" s="2"/>
      <c r="I999" s="2"/>
    </row>
    <row r="1000" spans="7:9" ht="15.75" customHeight="1">
      <c r="G1000" s="2"/>
      <c r="H1000" s="2"/>
      <c r="I1000" s="2"/>
    </row>
  </sheetData>
  <mergeCells count="32">
    <mergeCell ref="O189:P189"/>
    <mergeCell ref="O248:P248"/>
    <mergeCell ref="O249:P249"/>
    <mergeCell ref="E260:G260"/>
    <mergeCell ref="E261:G261"/>
    <mergeCell ref="O190:P190"/>
    <mergeCell ref="O210:P210"/>
    <mergeCell ref="O211:P211"/>
    <mergeCell ref="O215:P215"/>
    <mergeCell ref="O238:P238"/>
    <mergeCell ref="O239:P239"/>
    <mergeCell ref="O243:P243"/>
    <mergeCell ref="O82:P82"/>
    <mergeCell ref="O83:P83"/>
    <mergeCell ref="O158:P158"/>
    <mergeCell ref="O159:P159"/>
    <mergeCell ref="O163:P163"/>
    <mergeCell ref="O77:P77"/>
    <mergeCell ref="O78:Q78"/>
    <mergeCell ref="O79:P79"/>
    <mergeCell ref="O80:Q80"/>
    <mergeCell ref="O81:P81"/>
    <mergeCell ref="A8:B8"/>
    <mergeCell ref="O73:Q73"/>
    <mergeCell ref="O74:Q74"/>
    <mergeCell ref="O75:P75"/>
    <mergeCell ref="O76:P76"/>
    <mergeCell ref="A1:I1"/>
    <mergeCell ref="C2:G2"/>
    <mergeCell ref="J3:K3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1000"/>
  <sheetViews>
    <sheetView topLeftCell="A3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3.5703125" customWidth="1"/>
    <col min="9" max="9" width="16.28515625" customWidth="1"/>
    <col min="10" max="10" width="11.85546875" customWidth="1"/>
    <col min="11" max="11" width="9.42578125" customWidth="1"/>
    <col min="12" max="12" width="18.57031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1239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1240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1241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1242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1243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105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2</v>
      </c>
      <c r="B12" s="48" t="s">
        <v>1244</v>
      </c>
      <c r="C12" s="48"/>
      <c r="D12" s="48" t="s">
        <v>1029</v>
      </c>
      <c r="E12" s="48" t="s">
        <v>310</v>
      </c>
      <c r="F12" s="48"/>
      <c r="G12" s="117" t="s">
        <v>1028</v>
      </c>
      <c r="H12" s="118" t="s">
        <v>30</v>
      </c>
      <c r="I12" s="74">
        <v>5000</v>
      </c>
      <c r="J12" s="119" t="s">
        <v>90</v>
      </c>
      <c r="K12" s="120" t="s">
        <v>31</v>
      </c>
      <c r="L12" s="48" t="s">
        <v>32</v>
      </c>
      <c r="N12" s="3">
        <f>I12+I14+I15</f>
        <v>19000</v>
      </c>
      <c r="O12" s="3"/>
    </row>
    <row r="13" spans="1:15">
      <c r="A13" s="48">
        <v>3</v>
      </c>
      <c r="B13" s="120" t="s">
        <v>1245</v>
      </c>
      <c r="C13" s="48"/>
      <c r="D13" s="120" t="s">
        <v>1246</v>
      </c>
      <c r="E13" s="120" t="s">
        <v>1247</v>
      </c>
      <c r="F13" s="48"/>
      <c r="G13" s="120" t="s">
        <v>1248</v>
      </c>
      <c r="H13" s="118" t="s">
        <v>1249</v>
      </c>
      <c r="I13" s="254">
        <v>61</v>
      </c>
      <c r="J13" s="48" t="s">
        <v>90</v>
      </c>
      <c r="K13" s="120"/>
      <c r="L13" s="48"/>
    </row>
    <row r="14" spans="1:15">
      <c r="A14" s="48">
        <v>4</v>
      </c>
      <c r="B14" s="255" t="s">
        <v>1250</v>
      </c>
      <c r="C14" s="120"/>
      <c r="D14" s="120"/>
      <c r="E14" s="120" t="s">
        <v>151</v>
      </c>
      <c r="F14" s="48"/>
      <c r="G14" s="120" t="s">
        <v>1251</v>
      </c>
      <c r="H14" s="118" t="s">
        <v>30</v>
      </c>
      <c r="I14" s="51">
        <v>4000</v>
      </c>
      <c r="J14" s="118" t="s">
        <v>90</v>
      </c>
      <c r="K14" s="120"/>
      <c r="L14" s="120"/>
    </row>
    <row r="15" spans="1:15">
      <c r="A15" s="48">
        <v>4</v>
      </c>
      <c r="B15" s="120" t="s">
        <v>1252</v>
      </c>
      <c r="C15" s="48"/>
      <c r="D15" s="120"/>
      <c r="E15" s="120" t="s">
        <v>76</v>
      </c>
      <c r="F15" s="48"/>
      <c r="G15" s="120" t="s">
        <v>1253</v>
      </c>
      <c r="H15" s="120" t="s">
        <v>30</v>
      </c>
      <c r="I15" s="51">
        <v>10000</v>
      </c>
      <c r="J15" s="48" t="s">
        <v>90</v>
      </c>
      <c r="K15" s="120"/>
      <c r="L15" s="120"/>
    </row>
    <row r="16" spans="1:15">
      <c r="A16" s="256">
        <v>13</v>
      </c>
      <c r="B16" s="255" t="s">
        <v>547</v>
      </c>
      <c r="C16" s="120"/>
      <c r="D16" s="257"/>
      <c r="E16" s="258" t="s">
        <v>245</v>
      </c>
      <c r="F16" s="257"/>
      <c r="G16" s="258" t="s">
        <v>548</v>
      </c>
      <c r="H16" s="259" t="s">
        <v>30</v>
      </c>
      <c r="I16" s="260">
        <v>6000</v>
      </c>
      <c r="J16" s="258" t="s">
        <v>90</v>
      </c>
      <c r="K16" s="258"/>
      <c r="L16" s="258"/>
    </row>
    <row r="17" spans="1:15">
      <c r="A17" s="48">
        <v>24</v>
      </c>
      <c r="B17" s="120" t="s">
        <v>1254</v>
      </c>
      <c r="C17" s="48"/>
      <c r="D17" s="120"/>
      <c r="E17" s="120" t="s">
        <v>56</v>
      </c>
      <c r="F17" s="48"/>
      <c r="G17" s="120" t="s">
        <v>974</v>
      </c>
      <c r="H17" s="120" t="s">
        <v>30</v>
      </c>
      <c r="I17" s="51">
        <v>4000</v>
      </c>
      <c r="J17" s="48" t="s">
        <v>90</v>
      </c>
      <c r="K17" s="120"/>
      <c r="L17" s="120"/>
      <c r="O17" s="3"/>
    </row>
    <row r="18" spans="1:15">
      <c r="A18" s="256">
        <v>31</v>
      </c>
      <c r="B18" s="261" t="s">
        <v>1255</v>
      </c>
      <c r="C18" s="48"/>
      <c r="D18" s="262" t="s">
        <v>1256</v>
      </c>
      <c r="E18" s="261" t="s">
        <v>51</v>
      </c>
      <c r="F18" s="256"/>
      <c r="G18" s="262" t="s">
        <v>1257</v>
      </c>
      <c r="H18" s="262" t="s">
        <v>30</v>
      </c>
      <c r="I18" s="263">
        <v>229000</v>
      </c>
      <c r="J18" s="256" t="s">
        <v>90</v>
      </c>
      <c r="K18" s="264"/>
      <c r="L18" s="262"/>
    </row>
    <row r="19" spans="1:15">
      <c r="A19" s="48"/>
      <c r="B19" s="48"/>
      <c r="C19" s="48"/>
      <c r="D19" s="48"/>
      <c r="E19" s="48"/>
      <c r="F19" s="48"/>
      <c r="G19" s="48"/>
      <c r="H19" s="48"/>
      <c r="I19" s="51"/>
      <c r="J19" s="48"/>
      <c r="K19" s="114"/>
      <c r="L19" s="48"/>
    </row>
    <row r="20" spans="1:15">
      <c r="A20" s="265"/>
      <c r="B20" s="265"/>
      <c r="C20" s="265"/>
      <c r="D20" s="265"/>
      <c r="E20" s="265"/>
      <c r="F20" s="265"/>
      <c r="G20" s="265"/>
      <c r="H20" s="265"/>
      <c r="I20" s="266"/>
      <c r="J20" s="267"/>
      <c r="K20" s="268"/>
      <c r="L20" s="265"/>
    </row>
    <row r="21" spans="1:15" ht="15.75" customHeight="1">
      <c r="I21" s="83"/>
      <c r="J21" s="83"/>
    </row>
    <row r="22" spans="1:15" ht="15.75" customHeight="1">
      <c r="J22" s="137" t="s">
        <v>508</v>
      </c>
    </row>
    <row r="23" spans="1:15" ht="15.75" customHeight="1">
      <c r="J23" s="83" t="s">
        <v>511</v>
      </c>
    </row>
    <row r="24" spans="1:15" ht="15.75" customHeight="1">
      <c r="B24" s="126" t="s">
        <v>509</v>
      </c>
      <c r="E24" s="126" t="s">
        <v>510</v>
      </c>
      <c r="J24" s="83" t="s">
        <v>513</v>
      </c>
    </row>
    <row r="25" spans="1:15" ht="15.75" customHeight="1">
      <c r="J25" s="83" t="s">
        <v>946</v>
      </c>
    </row>
    <row r="26" spans="1:15" ht="15.75" customHeight="1">
      <c r="J26" s="83" t="s">
        <v>947</v>
      </c>
    </row>
    <row r="27" spans="1:15" ht="15.75" customHeight="1">
      <c r="B27" s="139" t="s">
        <v>516</v>
      </c>
      <c r="E27" s="737" t="s">
        <v>517</v>
      </c>
      <c r="F27" s="711"/>
      <c r="G27" s="711"/>
      <c r="H27" s="711"/>
      <c r="J27" s="83" t="s">
        <v>950</v>
      </c>
    </row>
    <row r="28" spans="1:15" ht="15.75" customHeight="1">
      <c r="B28" s="4" t="s">
        <v>980</v>
      </c>
      <c r="E28" s="732" t="s">
        <v>1258</v>
      </c>
      <c r="F28" s="711"/>
      <c r="G28" s="711"/>
      <c r="H28" s="711"/>
      <c r="J28" s="83" t="s">
        <v>564</v>
      </c>
    </row>
    <row r="29" spans="1:15" ht="15.75" customHeight="1">
      <c r="J29" s="83" t="s">
        <v>525</v>
      </c>
    </row>
    <row r="30" spans="1:15" ht="15.75" customHeight="1">
      <c r="J30" s="10" t="s">
        <v>565</v>
      </c>
    </row>
    <row r="31" spans="1:15" ht="15.75" customHeight="1">
      <c r="J31" s="10" t="s">
        <v>953</v>
      </c>
    </row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27:H27"/>
    <mergeCell ref="E28:H28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R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3" width="9.140625" customWidth="1"/>
    <col min="14" max="14" width="11" customWidth="1"/>
    <col min="15" max="15" width="10.7109375" customWidth="1"/>
    <col min="16" max="16" width="12.85546875" customWidth="1"/>
    <col min="17" max="17" width="11" customWidth="1"/>
    <col min="18" max="26" width="8.7109375" customWidth="1"/>
  </cols>
  <sheetData>
    <row r="1" spans="1:17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L1" s="2"/>
      <c r="M1" s="2"/>
      <c r="N1" s="2"/>
      <c r="O1" s="2"/>
      <c r="P1" s="2"/>
      <c r="Q1" s="2"/>
    </row>
    <row r="2" spans="1:17" ht="18">
      <c r="A2" s="4"/>
      <c r="B2" s="5"/>
      <c r="C2" s="712" t="s">
        <v>1259</v>
      </c>
      <c r="D2" s="711"/>
      <c r="E2" s="711"/>
      <c r="F2" s="711"/>
      <c r="G2" s="711"/>
      <c r="H2" s="6"/>
      <c r="I2" s="140"/>
      <c r="J2" s="8"/>
      <c r="K2" s="9"/>
      <c r="L2" s="2"/>
      <c r="M2" s="2"/>
      <c r="N2" s="2"/>
      <c r="O2" s="2"/>
      <c r="P2" s="2"/>
      <c r="Q2" s="2"/>
    </row>
    <row r="3" spans="1:17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  <c r="L3" s="2"/>
      <c r="M3" s="2"/>
      <c r="N3" s="2"/>
      <c r="O3" s="2"/>
      <c r="P3" s="2"/>
      <c r="Q3" s="2"/>
    </row>
    <row r="4" spans="1:17">
      <c r="A4" s="4"/>
      <c r="B4" s="5"/>
      <c r="C4" s="10"/>
      <c r="D4" s="5"/>
      <c r="E4" s="5"/>
      <c r="G4" s="10"/>
      <c r="H4" s="6"/>
      <c r="I4" s="141"/>
      <c r="J4" s="1" t="s">
        <v>569</v>
      </c>
      <c r="K4" s="1"/>
      <c r="L4" s="2"/>
      <c r="M4" s="2"/>
      <c r="N4" s="2"/>
      <c r="O4" s="2"/>
      <c r="P4" s="2"/>
      <c r="Q4" s="2"/>
    </row>
    <row r="5" spans="1:17">
      <c r="A5" s="4"/>
      <c r="B5" s="5"/>
      <c r="C5" s="10"/>
      <c r="D5" s="5"/>
      <c r="E5" s="5"/>
      <c r="G5" s="10"/>
      <c r="H5" s="6"/>
      <c r="I5" s="141"/>
      <c r="J5" s="1" t="s">
        <v>4</v>
      </c>
      <c r="K5" s="1"/>
      <c r="L5" s="2"/>
      <c r="M5" s="2"/>
      <c r="N5" s="2"/>
      <c r="O5" s="2"/>
      <c r="P5" s="2"/>
      <c r="Q5" s="2"/>
    </row>
    <row r="6" spans="1:17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8"/>
      <c r="L6" s="2"/>
      <c r="M6" s="2"/>
      <c r="N6" s="2"/>
      <c r="O6" s="2"/>
      <c r="P6" s="2"/>
      <c r="Q6" s="2"/>
    </row>
    <row r="7" spans="1:17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  <c r="L7" s="2"/>
      <c r="M7" s="2"/>
      <c r="N7" s="2"/>
      <c r="O7" s="2"/>
      <c r="P7" s="2"/>
      <c r="Q7" s="2"/>
    </row>
    <row r="8" spans="1:17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269"/>
      <c r="L8" s="2"/>
      <c r="M8" s="2"/>
      <c r="N8" s="2"/>
      <c r="O8" s="2"/>
      <c r="P8" s="2"/>
      <c r="Q8" s="2"/>
    </row>
    <row r="9" spans="1:17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3" t="s">
        <v>20</v>
      </c>
      <c r="L9" s="2"/>
      <c r="M9" s="2"/>
      <c r="N9" s="2"/>
      <c r="O9" s="2"/>
      <c r="P9" s="2"/>
      <c r="Q9" s="2"/>
    </row>
    <row r="10" spans="1:17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270" t="s">
        <v>22</v>
      </c>
      <c r="L10" s="2"/>
      <c r="M10" s="2"/>
      <c r="N10" s="2"/>
      <c r="O10" s="2"/>
      <c r="P10" s="2"/>
      <c r="Q10" s="2"/>
    </row>
    <row r="11" spans="1:17">
      <c r="A11" s="47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271"/>
      <c r="L11" s="2"/>
      <c r="M11" s="2"/>
      <c r="N11" s="2"/>
      <c r="O11" s="2"/>
      <c r="P11" s="2"/>
      <c r="Q11" s="2"/>
    </row>
    <row r="12" spans="1:17">
      <c r="A12" s="48">
        <v>1</v>
      </c>
      <c r="B12" s="48" t="s">
        <v>974</v>
      </c>
      <c r="C12" s="48" t="s">
        <v>27</v>
      </c>
      <c r="D12" s="48" t="s">
        <v>1260</v>
      </c>
      <c r="E12" s="48" t="s">
        <v>56</v>
      </c>
      <c r="F12" s="48"/>
      <c r="G12" s="48" t="s">
        <v>30</v>
      </c>
      <c r="H12" s="51">
        <v>2500</v>
      </c>
      <c r="I12" s="119">
        <v>500</v>
      </c>
      <c r="J12" s="48" t="s">
        <v>31</v>
      </c>
      <c r="K12" s="271" t="s">
        <v>32</v>
      </c>
      <c r="L12" s="2"/>
      <c r="M12" s="2">
        <v>500</v>
      </c>
      <c r="N12" s="2"/>
      <c r="O12" s="2"/>
      <c r="P12" s="2"/>
      <c r="Q12" s="2"/>
    </row>
    <row r="13" spans="1:17">
      <c r="A13" s="48">
        <v>1</v>
      </c>
      <c r="B13" s="48" t="s">
        <v>1261</v>
      </c>
      <c r="C13" s="48" t="s">
        <v>27</v>
      </c>
      <c r="D13" s="48" t="s">
        <v>59</v>
      </c>
      <c r="E13" s="48" t="s">
        <v>84</v>
      </c>
      <c r="F13" s="48"/>
      <c r="G13" s="48" t="s">
        <v>30</v>
      </c>
      <c r="H13" s="51">
        <v>3500</v>
      </c>
      <c r="I13" s="119">
        <v>700</v>
      </c>
      <c r="J13" s="48" t="s">
        <v>31</v>
      </c>
      <c r="K13" s="271" t="s">
        <v>32</v>
      </c>
      <c r="L13" s="2"/>
      <c r="M13" s="2">
        <v>400</v>
      </c>
      <c r="N13" s="2"/>
      <c r="O13" s="2"/>
      <c r="P13" s="2"/>
      <c r="Q13" s="2"/>
    </row>
    <row r="14" spans="1:17">
      <c r="A14" s="48">
        <v>2</v>
      </c>
      <c r="B14" s="48" t="s">
        <v>1262</v>
      </c>
      <c r="C14" s="48" t="s">
        <v>27</v>
      </c>
      <c r="D14" s="48" t="s">
        <v>495</v>
      </c>
      <c r="E14" s="48" t="s">
        <v>245</v>
      </c>
      <c r="F14" s="48"/>
      <c r="G14" s="48" t="s">
        <v>30</v>
      </c>
      <c r="H14" s="51">
        <v>200</v>
      </c>
      <c r="I14" s="119">
        <v>60</v>
      </c>
      <c r="J14" s="48" t="s">
        <v>31</v>
      </c>
      <c r="K14" s="271" t="s">
        <v>32</v>
      </c>
      <c r="L14" s="2"/>
      <c r="M14" s="2"/>
      <c r="N14" s="3"/>
      <c r="O14" s="55"/>
      <c r="P14" s="2"/>
      <c r="Q14" s="2"/>
    </row>
    <row r="15" spans="1:17">
      <c r="A15" s="48">
        <v>2</v>
      </c>
      <c r="B15" s="48" t="s">
        <v>1263</v>
      </c>
      <c r="C15" s="48" t="s">
        <v>27</v>
      </c>
      <c r="D15" s="48" t="s">
        <v>434</v>
      </c>
      <c r="E15" s="48" t="s">
        <v>36</v>
      </c>
      <c r="F15" s="48"/>
      <c r="G15" s="48" t="s">
        <v>30</v>
      </c>
      <c r="H15" s="51">
        <v>500</v>
      </c>
      <c r="I15" s="119" t="s">
        <v>90</v>
      </c>
      <c r="J15" s="48" t="s">
        <v>31</v>
      </c>
      <c r="K15" s="271" t="s">
        <v>32</v>
      </c>
      <c r="L15" s="2"/>
      <c r="M15" s="2">
        <v>900</v>
      </c>
      <c r="N15" s="2"/>
      <c r="O15" s="2"/>
      <c r="P15" s="2"/>
      <c r="Q15" s="2"/>
    </row>
    <row r="16" spans="1:17">
      <c r="A16" s="48">
        <v>2</v>
      </c>
      <c r="B16" s="48" t="s">
        <v>1263</v>
      </c>
      <c r="C16" s="48" t="s">
        <v>27</v>
      </c>
      <c r="D16" s="48" t="s">
        <v>434</v>
      </c>
      <c r="E16" s="48" t="s">
        <v>36</v>
      </c>
      <c r="F16" s="48"/>
      <c r="G16" s="48" t="s">
        <v>30</v>
      </c>
      <c r="H16" s="51">
        <v>1500</v>
      </c>
      <c r="I16" s="49">
        <v>300</v>
      </c>
      <c r="J16" s="48" t="s">
        <v>31</v>
      </c>
      <c r="K16" s="271" t="s">
        <v>32</v>
      </c>
      <c r="L16" s="2"/>
      <c r="M16" s="2"/>
      <c r="N16" s="2"/>
      <c r="O16" s="2"/>
      <c r="P16" s="2"/>
      <c r="Q16" s="2"/>
    </row>
    <row r="17" spans="1:17">
      <c r="A17" s="48">
        <v>3</v>
      </c>
      <c r="B17" s="48" t="s">
        <v>1264</v>
      </c>
      <c r="C17" s="48" t="s">
        <v>27</v>
      </c>
      <c r="D17" s="48" t="s">
        <v>35</v>
      </c>
      <c r="E17" s="48" t="s">
        <v>44</v>
      </c>
      <c r="F17" s="48"/>
      <c r="G17" s="48" t="s">
        <v>30</v>
      </c>
      <c r="H17" s="51">
        <v>500</v>
      </c>
      <c r="I17" s="119" t="s">
        <v>90</v>
      </c>
      <c r="J17" s="48" t="s">
        <v>31</v>
      </c>
      <c r="K17" s="271" t="s">
        <v>32</v>
      </c>
      <c r="L17" s="2"/>
      <c r="M17" s="2">
        <v>150</v>
      </c>
      <c r="N17" s="2"/>
      <c r="O17" s="2"/>
      <c r="P17" s="2"/>
      <c r="Q17" s="2"/>
    </row>
    <row r="18" spans="1:17">
      <c r="A18" s="48">
        <v>3</v>
      </c>
      <c r="B18" s="48" t="s">
        <v>1264</v>
      </c>
      <c r="C18" s="48" t="s">
        <v>27</v>
      </c>
      <c r="D18" s="48" t="s">
        <v>35</v>
      </c>
      <c r="E18" s="48" t="s">
        <v>44</v>
      </c>
      <c r="F18" s="48"/>
      <c r="G18" s="48" t="s">
        <v>30</v>
      </c>
      <c r="H18" s="51">
        <v>2000</v>
      </c>
      <c r="I18" s="119">
        <v>400</v>
      </c>
      <c r="J18" s="48" t="s">
        <v>31</v>
      </c>
      <c r="K18" s="271" t="s">
        <v>32</v>
      </c>
      <c r="L18" s="2"/>
      <c r="M18" s="2"/>
      <c r="N18" s="2"/>
      <c r="O18" s="2"/>
      <c r="P18" s="2"/>
      <c r="Q18" s="2"/>
    </row>
    <row r="19" spans="1:17">
      <c r="A19" s="48">
        <v>3</v>
      </c>
      <c r="B19" s="48" t="s">
        <v>1265</v>
      </c>
      <c r="C19" s="48" t="s">
        <v>27</v>
      </c>
      <c r="D19" s="48" t="s">
        <v>623</v>
      </c>
      <c r="E19" s="48" t="s">
        <v>44</v>
      </c>
      <c r="F19" s="48"/>
      <c r="G19" s="48" t="s">
        <v>30</v>
      </c>
      <c r="H19" s="51">
        <v>500</v>
      </c>
      <c r="I19" s="119">
        <v>100</v>
      </c>
      <c r="J19" s="48" t="s">
        <v>31</v>
      </c>
      <c r="K19" s="271" t="s">
        <v>32</v>
      </c>
      <c r="L19" s="2"/>
      <c r="M19" s="2"/>
      <c r="N19" s="2"/>
      <c r="O19" s="2"/>
      <c r="P19" s="2"/>
      <c r="Q19" s="2"/>
    </row>
    <row r="20" spans="1:17">
      <c r="A20" s="48">
        <v>3</v>
      </c>
      <c r="B20" s="48" t="s">
        <v>1266</v>
      </c>
      <c r="C20" s="48" t="s">
        <v>27</v>
      </c>
      <c r="D20" s="48" t="s">
        <v>65</v>
      </c>
      <c r="E20" s="48" t="s">
        <v>36</v>
      </c>
      <c r="F20" s="48"/>
      <c r="G20" s="48" t="s">
        <v>30</v>
      </c>
      <c r="H20" s="51">
        <v>4000</v>
      </c>
      <c r="I20" s="119">
        <v>1200</v>
      </c>
      <c r="J20" s="48" t="s">
        <v>31</v>
      </c>
      <c r="K20" s="271" t="s">
        <v>32</v>
      </c>
      <c r="L20" s="2"/>
      <c r="M20" s="2">
        <v>5400</v>
      </c>
      <c r="N20" s="2"/>
      <c r="O20" s="2"/>
      <c r="P20" s="2"/>
      <c r="Q20" s="2"/>
    </row>
    <row r="21" spans="1:17" ht="15.75" customHeight="1">
      <c r="A21" s="48">
        <v>4</v>
      </c>
      <c r="B21" s="48" t="s">
        <v>1160</v>
      </c>
      <c r="C21" s="48" t="s">
        <v>27</v>
      </c>
      <c r="D21" s="48" t="s">
        <v>760</v>
      </c>
      <c r="E21" s="48" t="s">
        <v>209</v>
      </c>
      <c r="F21" s="48"/>
      <c r="G21" s="48" t="s">
        <v>30</v>
      </c>
      <c r="H21" s="51">
        <v>2000</v>
      </c>
      <c r="I21" s="119">
        <v>400</v>
      </c>
      <c r="J21" s="48" t="s">
        <v>31</v>
      </c>
      <c r="K21" s="271" t="s">
        <v>32</v>
      </c>
      <c r="L21" s="2"/>
      <c r="M21" s="2"/>
      <c r="N21" s="2"/>
      <c r="O21" s="2"/>
      <c r="P21" s="2"/>
      <c r="Q21" s="2"/>
    </row>
    <row r="22" spans="1:17" ht="15.75" customHeight="1">
      <c r="A22" s="48">
        <v>4</v>
      </c>
      <c r="B22" s="48" t="s">
        <v>1267</v>
      </c>
      <c r="C22" s="48" t="s">
        <v>27</v>
      </c>
      <c r="D22" s="48" t="s">
        <v>65</v>
      </c>
      <c r="E22" s="48" t="s">
        <v>36</v>
      </c>
      <c r="F22" s="48"/>
      <c r="G22" s="48" t="s">
        <v>30</v>
      </c>
      <c r="H22" s="51">
        <v>23000</v>
      </c>
      <c r="I22" s="119">
        <v>9200</v>
      </c>
      <c r="J22" s="48" t="s">
        <v>31</v>
      </c>
      <c r="K22" s="271" t="s">
        <v>32</v>
      </c>
      <c r="L22" s="2"/>
      <c r="M22" s="2"/>
      <c r="N22" s="2"/>
      <c r="O22" s="2"/>
      <c r="P22" s="2"/>
      <c r="Q22" s="2"/>
    </row>
    <row r="23" spans="1:17" ht="15.75" customHeight="1">
      <c r="A23" s="48">
        <v>4</v>
      </c>
      <c r="B23" s="48" t="s">
        <v>1268</v>
      </c>
      <c r="C23" s="48" t="s">
        <v>27</v>
      </c>
      <c r="D23" s="48" t="s">
        <v>604</v>
      </c>
      <c r="E23" s="48" t="s">
        <v>51</v>
      </c>
      <c r="F23" s="48"/>
      <c r="G23" s="48" t="s">
        <v>30</v>
      </c>
      <c r="H23" s="51">
        <v>2000</v>
      </c>
      <c r="I23" s="119">
        <v>600</v>
      </c>
      <c r="J23" s="48" t="s">
        <v>31</v>
      </c>
      <c r="K23" s="271" t="s">
        <v>32</v>
      </c>
      <c r="L23" s="2"/>
      <c r="M23" s="2">
        <v>72</v>
      </c>
      <c r="N23" s="2"/>
      <c r="O23" s="2"/>
      <c r="P23" s="2"/>
      <c r="Q23" s="2"/>
    </row>
    <row r="24" spans="1:17" ht="15.75" customHeight="1">
      <c r="A24" s="48">
        <v>5</v>
      </c>
      <c r="B24" s="48" t="s">
        <v>1269</v>
      </c>
      <c r="C24" s="48" t="s">
        <v>27</v>
      </c>
      <c r="D24" s="48" t="s">
        <v>1123</v>
      </c>
      <c r="E24" s="48" t="s">
        <v>73</v>
      </c>
      <c r="F24" s="48"/>
      <c r="G24" s="48" t="s">
        <v>30</v>
      </c>
      <c r="H24" s="51">
        <v>300</v>
      </c>
      <c r="I24" s="119">
        <v>90</v>
      </c>
      <c r="J24" s="48" t="s">
        <v>31</v>
      </c>
      <c r="K24" s="271" t="s">
        <v>32</v>
      </c>
      <c r="L24" s="2"/>
      <c r="M24" s="2"/>
      <c r="N24" s="2"/>
      <c r="O24" s="2"/>
      <c r="P24" s="2"/>
      <c r="Q24" s="2"/>
    </row>
    <row r="25" spans="1:17" ht="15.75" customHeight="1">
      <c r="A25" s="48">
        <v>5</v>
      </c>
      <c r="B25" s="48" t="s">
        <v>1270</v>
      </c>
      <c r="C25" s="48" t="s">
        <v>27</v>
      </c>
      <c r="D25" s="48" t="s">
        <v>110</v>
      </c>
      <c r="E25" s="48" t="s">
        <v>36</v>
      </c>
      <c r="F25" s="48"/>
      <c r="G25" s="48" t="s">
        <v>30</v>
      </c>
      <c r="H25" s="51">
        <v>1000</v>
      </c>
      <c r="I25" s="119">
        <v>200</v>
      </c>
      <c r="J25" s="48" t="s">
        <v>31</v>
      </c>
      <c r="K25" s="271" t="s">
        <v>32</v>
      </c>
      <c r="L25" s="2"/>
      <c r="M25" s="2">
        <v>200</v>
      </c>
      <c r="N25" s="2"/>
      <c r="O25" s="2"/>
      <c r="P25" s="2"/>
      <c r="Q25" s="2"/>
    </row>
    <row r="26" spans="1:17" ht="15.75" customHeight="1">
      <c r="A26" s="48">
        <v>5</v>
      </c>
      <c r="B26" s="48" t="s">
        <v>1271</v>
      </c>
      <c r="C26" s="48" t="s">
        <v>27</v>
      </c>
      <c r="D26" s="48" t="s">
        <v>96</v>
      </c>
      <c r="E26" s="48" t="s">
        <v>44</v>
      </c>
      <c r="F26" s="48"/>
      <c r="G26" s="48" t="s">
        <v>30</v>
      </c>
      <c r="H26" s="51">
        <v>500</v>
      </c>
      <c r="I26" s="119">
        <v>100</v>
      </c>
      <c r="J26" s="48" t="s">
        <v>31</v>
      </c>
      <c r="K26" s="271" t="s">
        <v>32</v>
      </c>
      <c r="L26" s="2"/>
      <c r="M26" s="2">
        <v>100</v>
      </c>
      <c r="N26" s="2"/>
      <c r="O26" s="2"/>
      <c r="P26" s="2"/>
      <c r="Q26" s="2"/>
    </row>
    <row r="27" spans="1:17" ht="15.75" customHeight="1">
      <c r="A27" s="48">
        <v>5</v>
      </c>
      <c r="B27" s="48" t="s">
        <v>1272</v>
      </c>
      <c r="C27" s="48" t="s">
        <v>27</v>
      </c>
      <c r="D27" s="48" t="s">
        <v>132</v>
      </c>
      <c r="E27" s="48" t="s">
        <v>86</v>
      </c>
      <c r="F27" s="48"/>
      <c r="G27" s="48" t="s">
        <v>30</v>
      </c>
      <c r="H27" s="51">
        <v>300</v>
      </c>
      <c r="I27" s="119">
        <v>60</v>
      </c>
      <c r="J27" s="48" t="s">
        <v>31</v>
      </c>
      <c r="K27" s="271" t="s">
        <v>32</v>
      </c>
      <c r="L27" s="2"/>
      <c r="M27" s="2">
        <v>50</v>
      </c>
      <c r="N27" s="2"/>
      <c r="O27" s="2"/>
      <c r="P27" s="2"/>
      <c r="Q27" s="2"/>
    </row>
    <row r="28" spans="1:17" ht="15.75" customHeight="1">
      <c r="A28" s="48">
        <v>6</v>
      </c>
      <c r="B28" s="48" t="s">
        <v>42</v>
      </c>
      <c r="C28" s="48" t="s">
        <v>27</v>
      </c>
      <c r="D28" s="48" t="s">
        <v>43</v>
      </c>
      <c r="E28" s="48" t="s">
        <v>44</v>
      </c>
      <c r="F28" s="48"/>
      <c r="G28" s="48" t="s">
        <v>30</v>
      </c>
      <c r="H28" s="51">
        <v>500</v>
      </c>
      <c r="I28" s="119" t="s">
        <v>90</v>
      </c>
      <c r="J28" s="48" t="s">
        <v>31</v>
      </c>
      <c r="K28" s="271" t="s">
        <v>32</v>
      </c>
      <c r="L28" s="2"/>
      <c r="M28" s="2"/>
      <c r="N28" s="2"/>
      <c r="O28" s="2"/>
      <c r="P28" s="2"/>
      <c r="Q28" s="2"/>
    </row>
    <row r="29" spans="1:17" ht="15.75" customHeight="1">
      <c r="A29" s="48">
        <v>6</v>
      </c>
      <c r="B29" s="48" t="s">
        <v>42</v>
      </c>
      <c r="C29" s="48" t="s">
        <v>27</v>
      </c>
      <c r="D29" s="48" t="s">
        <v>43</v>
      </c>
      <c r="E29" s="48" t="s">
        <v>44</v>
      </c>
      <c r="F29" s="48"/>
      <c r="G29" s="48" t="s">
        <v>30</v>
      </c>
      <c r="H29" s="51">
        <v>2000</v>
      </c>
      <c r="I29" s="119">
        <v>400</v>
      </c>
      <c r="J29" s="48" t="s">
        <v>31</v>
      </c>
      <c r="K29" s="271" t="s">
        <v>32</v>
      </c>
      <c r="L29" s="2"/>
      <c r="M29" s="2"/>
      <c r="N29" s="2"/>
      <c r="O29" s="2"/>
      <c r="P29" s="2"/>
      <c r="Q29" s="2"/>
    </row>
    <row r="30" spans="1:17" ht="15.75" customHeight="1">
      <c r="A30" s="48">
        <v>6</v>
      </c>
      <c r="B30" s="48" t="s">
        <v>1273</v>
      </c>
      <c r="C30" s="48" t="s">
        <v>27</v>
      </c>
      <c r="D30" s="48" t="s">
        <v>244</v>
      </c>
      <c r="E30" s="48" t="s">
        <v>245</v>
      </c>
      <c r="F30" s="48"/>
      <c r="G30" s="48" t="s">
        <v>30</v>
      </c>
      <c r="H30" s="51">
        <v>500</v>
      </c>
      <c r="I30" s="119" t="s">
        <v>90</v>
      </c>
      <c r="J30" s="48" t="s">
        <v>31</v>
      </c>
      <c r="K30" s="271" t="s">
        <v>32</v>
      </c>
      <c r="L30" s="2"/>
      <c r="M30" s="2"/>
      <c r="N30" s="2"/>
      <c r="O30" s="2"/>
      <c r="P30" s="2"/>
      <c r="Q30" s="2"/>
    </row>
    <row r="31" spans="1:17" ht="15.75" customHeight="1">
      <c r="A31" s="48">
        <v>6</v>
      </c>
      <c r="B31" s="48" t="s">
        <v>1273</v>
      </c>
      <c r="C31" s="48" t="s">
        <v>27</v>
      </c>
      <c r="D31" s="48" t="s">
        <v>244</v>
      </c>
      <c r="E31" s="48" t="s">
        <v>245</v>
      </c>
      <c r="F31" s="48"/>
      <c r="G31" s="48" t="s">
        <v>30</v>
      </c>
      <c r="H31" s="51">
        <v>2000</v>
      </c>
      <c r="I31" s="119">
        <v>400</v>
      </c>
      <c r="J31" s="48" t="s">
        <v>31</v>
      </c>
      <c r="K31" s="271" t="s">
        <v>32</v>
      </c>
      <c r="L31" s="2"/>
      <c r="M31" s="2"/>
      <c r="N31" s="2"/>
      <c r="O31" s="2"/>
      <c r="P31" s="2"/>
      <c r="Q31" s="2"/>
    </row>
    <row r="32" spans="1:17" ht="15.75" customHeight="1">
      <c r="A32" s="48">
        <v>6</v>
      </c>
      <c r="B32" s="48" t="s">
        <v>1274</v>
      </c>
      <c r="C32" s="48" t="s">
        <v>27</v>
      </c>
      <c r="D32" s="48" t="s">
        <v>68</v>
      </c>
      <c r="E32" s="48" t="s">
        <v>79</v>
      </c>
      <c r="F32" s="48"/>
      <c r="G32" s="48" t="s">
        <v>30</v>
      </c>
      <c r="H32" s="51">
        <v>500</v>
      </c>
      <c r="I32" s="119" t="s">
        <v>90</v>
      </c>
      <c r="J32" s="48" t="s">
        <v>31</v>
      </c>
      <c r="K32" s="271" t="s">
        <v>32</v>
      </c>
      <c r="L32" s="2"/>
      <c r="M32" s="2"/>
      <c r="N32" s="2"/>
      <c r="O32" s="764" t="s">
        <v>1275</v>
      </c>
      <c r="P32" s="719"/>
      <c r="Q32" s="2"/>
    </row>
    <row r="33" spans="1:17" ht="15.75" customHeight="1">
      <c r="A33" s="48">
        <v>6</v>
      </c>
      <c r="B33" s="48" t="s">
        <v>1274</v>
      </c>
      <c r="C33" s="48" t="s">
        <v>27</v>
      </c>
      <c r="D33" s="48" t="s">
        <v>68</v>
      </c>
      <c r="E33" s="48" t="s">
        <v>79</v>
      </c>
      <c r="F33" s="48"/>
      <c r="G33" s="48" t="s">
        <v>30</v>
      </c>
      <c r="H33" s="51">
        <v>3000</v>
      </c>
      <c r="I33" s="119">
        <v>600</v>
      </c>
      <c r="J33" s="48" t="s">
        <v>31</v>
      </c>
      <c r="K33" s="271" t="s">
        <v>32</v>
      </c>
      <c r="L33" s="2"/>
      <c r="M33" s="2"/>
      <c r="N33" s="2"/>
      <c r="O33" s="723" t="s">
        <v>25</v>
      </c>
      <c r="P33" s="719"/>
      <c r="Q33" s="2"/>
    </row>
    <row r="34" spans="1:17" ht="15.75" customHeight="1">
      <c r="A34" s="48">
        <v>6</v>
      </c>
      <c r="B34" s="48" t="s">
        <v>1276</v>
      </c>
      <c r="C34" s="48" t="s">
        <v>27</v>
      </c>
      <c r="D34" s="48" t="s">
        <v>68</v>
      </c>
      <c r="E34" s="48" t="s">
        <v>79</v>
      </c>
      <c r="F34" s="48"/>
      <c r="G34" s="48" t="s">
        <v>30</v>
      </c>
      <c r="H34" s="51">
        <v>500</v>
      </c>
      <c r="I34" s="119" t="s">
        <v>90</v>
      </c>
      <c r="J34" s="48" t="s">
        <v>31</v>
      </c>
      <c r="K34" s="271" t="s">
        <v>32</v>
      </c>
      <c r="L34" s="2"/>
      <c r="M34" s="2"/>
      <c r="N34" s="2"/>
      <c r="O34" s="48" t="s">
        <v>33</v>
      </c>
      <c r="P34" s="51">
        <v>56600</v>
      </c>
      <c r="Q34" s="2"/>
    </row>
    <row r="35" spans="1:17" ht="15.75" customHeight="1">
      <c r="A35" s="48">
        <v>6</v>
      </c>
      <c r="B35" s="48" t="s">
        <v>1276</v>
      </c>
      <c r="C35" s="48" t="s">
        <v>27</v>
      </c>
      <c r="D35" s="48" t="s">
        <v>68</v>
      </c>
      <c r="E35" s="48" t="s">
        <v>79</v>
      </c>
      <c r="F35" s="48"/>
      <c r="G35" s="48" t="s">
        <v>30</v>
      </c>
      <c r="H35" s="51">
        <v>3500</v>
      </c>
      <c r="I35" s="119">
        <v>700</v>
      </c>
      <c r="J35" s="48" t="s">
        <v>31</v>
      </c>
      <c r="K35" s="271" t="s">
        <v>32</v>
      </c>
      <c r="L35" s="2"/>
      <c r="M35" s="2"/>
      <c r="N35" s="2"/>
      <c r="O35" s="48" t="s">
        <v>37</v>
      </c>
      <c r="P35" s="51">
        <v>3000</v>
      </c>
      <c r="Q35" s="2"/>
    </row>
    <row r="36" spans="1:17" ht="15.75" customHeight="1">
      <c r="A36" s="48">
        <v>7</v>
      </c>
      <c r="B36" s="48" t="s">
        <v>1277</v>
      </c>
      <c r="C36" s="48" t="s">
        <v>27</v>
      </c>
      <c r="D36" s="48" t="s">
        <v>407</v>
      </c>
      <c r="E36" s="48" t="s">
        <v>44</v>
      </c>
      <c r="F36" s="48"/>
      <c r="G36" s="48" t="s">
        <v>30</v>
      </c>
      <c r="H36" s="51">
        <v>100</v>
      </c>
      <c r="I36" s="119">
        <v>20</v>
      </c>
      <c r="J36" s="48" t="s">
        <v>31</v>
      </c>
      <c r="K36" s="271" t="s">
        <v>32</v>
      </c>
      <c r="L36" s="2"/>
      <c r="M36" s="2"/>
      <c r="N36" s="2"/>
      <c r="O36" s="48" t="s">
        <v>576</v>
      </c>
      <c r="P36" s="51">
        <v>59600</v>
      </c>
      <c r="Q36" s="2"/>
    </row>
    <row r="37" spans="1:17" ht="15.75" customHeight="1">
      <c r="A37" s="48">
        <v>7</v>
      </c>
      <c r="B37" s="48" t="s">
        <v>1278</v>
      </c>
      <c r="C37" s="48" t="s">
        <v>39</v>
      </c>
      <c r="D37" s="48" t="s">
        <v>96</v>
      </c>
      <c r="E37" s="48" t="s">
        <v>44</v>
      </c>
      <c r="F37" s="48"/>
      <c r="G37" s="48" t="s">
        <v>30</v>
      </c>
      <c r="H37" s="51">
        <v>200</v>
      </c>
      <c r="I37" s="119">
        <v>40</v>
      </c>
      <c r="J37" s="48" t="s">
        <v>31</v>
      </c>
      <c r="K37" s="271" t="s">
        <v>32</v>
      </c>
      <c r="L37" s="2"/>
      <c r="M37" s="2">
        <v>25</v>
      </c>
      <c r="N37" s="2"/>
      <c r="O37" s="2"/>
      <c r="P37" s="2"/>
      <c r="Q37" s="2"/>
    </row>
    <row r="38" spans="1:17" ht="15.75" customHeight="1">
      <c r="A38" s="48">
        <v>8</v>
      </c>
      <c r="B38" s="48" t="s">
        <v>1279</v>
      </c>
      <c r="C38" s="48" t="s">
        <v>27</v>
      </c>
      <c r="D38" s="48" t="s">
        <v>114</v>
      </c>
      <c r="E38" s="48" t="s">
        <v>44</v>
      </c>
      <c r="F38" s="48"/>
      <c r="G38" s="48" t="s">
        <v>30</v>
      </c>
      <c r="H38" s="51">
        <v>2500</v>
      </c>
      <c r="I38" s="119">
        <v>1000</v>
      </c>
      <c r="J38" s="48" t="s">
        <v>31</v>
      </c>
      <c r="K38" s="271" t="s">
        <v>32</v>
      </c>
      <c r="L38" s="2"/>
      <c r="M38" s="2">
        <v>1000</v>
      </c>
      <c r="N38" s="2"/>
      <c r="O38" s="2"/>
      <c r="P38" s="2"/>
      <c r="Q38" s="2"/>
    </row>
    <row r="39" spans="1:17" ht="15.75" customHeight="1">
      <c r="A39" s="48">
        <v>8</v>
      </c>
      <c r="B39" s="240" t="s">
        <v>1280</v>
      </c>
      <c r="C39" s="240" t="s">
        <v>27</v>
      </c>
      <c r="D39" s="240" t="s">
        <v>439</v>
      </c>
      <c r="E39" s="240" t="s">
        <v>145</v>
      </c>
      <c r="F39" s="240"/>
      <c r="G39" s="240" t="s">
        <v>30</v>
      </c>
      <c r="H39" s="244">
        <v>5000</v>
      </c>
      <c r="I39" s="243">
        <v>1500</v>
      </c>
      <c r="J39" s="240" t="s">
        <v>31</v>
      </c>
      <c r="K39" s="272" t="s">
        <v>32</v>
      </c>
      <c r="L39" s="2"/>
      <c r="M39" s="2"/>
      <c r="N39" s="2"/>
      <c r="O39" s="2"/>
      <c r="P39" s="2"/>
      <c r="Q39" s="2"/>
    </row>
    <row r="40" spans="1:17" ht="15.75" customHeight="1">
      <c r="A40" s="48">
        <v>8</v>
      </c>
      <c r="B40" s="240" t="s">
        <v>1281</v>
      </c>
      <c r="C40" s="240" t="s">
        <v>39</v>
      </c>
      <c r="D40" s="240" t="s">
        <v>631</v>
      </c>
      <c r="E40" s="240" t="s">
        <v>84</v>
      </c>
      <c r="F40" s="240"/>
      <c r="G40" s="240" t="s">
        <v>30</v>
      </c>
      <c r="H40" s="244">
        <v>500</v>
      </c>
      <c r="I40" s="243" t="s">
        <v>90</v>
      </c>
      <c r="J40" s="240" t="s">
        <v>31</v>
      </c>
      <c r="K40" s="272" t="s">
        <v>32</v>
      </c>
      <c r="L40" s="2"/>
      <c r="M40" s="2">
        <v>800</v>
      </c>
      <c r="N40" s="2"/>
      <c r="O40" s="2"/>
      <c r="P40" s="2"/>
      <c r="Q40" s="2"/>
    </row>
    <row r="41" spans="1:17" ht="15.75" customHeight="1">
      <c r="A41" s="48">
        <v>8</v>
      </c>
      <c r="B41" s="240" t="s">
        <v>801</v>
      </c>
      <c r="C41" s="240" t="s">
        <v>27</v>
      </c>
      <c r="D41" s="240" t="s">
        <v>100</v>
      </c>
      <c r="E41" s="240" t="s">
        <v>89</v>
      </c>
      <c r="F41" s="240"/>
      <c r="G41" s="240" t="s">
        <v>30</v>
      </c>
      <c r="H41" s="244">
        <v>500</v>
      </c>
      <c r="I41" s="243">
        <v>150</v>
      </c>
      <c r="J41" s="240" t="s">
        <v>31</v>
      </c>
      <c r="K41" s="272" t="s">
        <v>32</v>
      </c>
      <c r="L41" s="2"/>
      <c r="M41" s="2"/>
      <c r="N41" s="2"/>
      <c r="O41" s="2"/>
      <c r="P41" s="2"/>
      <c r="Q41" s="2"/>
    </row>
    <row r="42" spans="1:17" ht="15.75" customHeight="1">
      <c r="A42" s="48">
        <v>8</v>
      </c>
      <c r="B42" s="240" t="s">
        <v>1282</v>
      </c>
      <c r="C42" s="240" t="s">
        <v>27</v>
      </c>
      <c r="D42" s="240" t="s">
        <v>108</v>
      </c>
      <c r="E42" s="240" t="s">
        <v>44</v>
      </c>
      <c r="F42" s="240"/>
      <c r="G42" s="240" t="s">
        <v>30</v>
      </c>
      <c r="H42" s="244">
        <v>600</v>
      </c>
      <c r="I42" s="243">
        <v>120</v>
      </c>
      <c r="J42" s="240" t="s">
        <v>31</v>
      </c>
      <c r="K42" s="272" t="s">
        <v>32</v>
      </c>
      <c r="L42" s="2"/>
      <c r="M42" s="2"/>
      <c r="N42" s="2"/>
      <c r="O42" s="2"/>
      <c r="P42" s="2"/>
      <c r="Q42" s="2"/>
    </row>
    <row r="43" spans="1:17" ht="15.75" customHeight="1">
      <c r="A43" s="240">
        <v>11</v>
      </c>
      <c r="B43" s="240" t="s">
        <v>1283</v>
      </c>
      <c r="C43" s="240" t="s">
        <v>27</v>
      </c>
      <c r="D43" s="240"/>
      <c r="E43" s="240" t="s">
        <v>54</v>
      </c>
      <c r="F43" s="240"/>
      <c r="G43" s="240" t="s">
        <v>30</v>
      </c>
      <c r="H43" s="244">
        <v>1000</v>
      </c>
      <c r="I43" s="243">
        <v>200</v>
      </c>
      <c r="J43" s="240" t="s">
        <v>31</v>
      </c>
      <c r="K43" s="272" t="s">
        <v>32</v>
      </c>
      <c r="L43" s="2"/>
      <c r="M43" s="2"/>
      <c r="N43" s="2"/>
      <c r="O43" s="2"/>
      <c r="P43" s="2"/>
      <c r="Q43" s="2"/>
    </row>
    <row r="44" spans="1:17" ht="15.75" customHeight="1">
      <c r="A44" s="240">
        <v>12</v>
      </c>
      <c r="B44" s="240" t="s">
        <v>332</v>
      </c>
      <c r="C44" s="240" t="s">
        <v>27</v>
      </c>
      <c r="D44" s="240" t="s">
        <v>1284</v>
      </c>
      <c r="E44" s="240" t="s">
        <v>334</v>
      </c>
      <c r="F44" s="240"/>
      <c r="G44" s="240" t="s">
        <v>30</v>
      </c>
      <c r="H44" s="244">
        <v>4000</v>
      </c>
      <c r="I44" s="243">
        <v>1200</v>
      </c>
      <c r="J44" s="240" t="s">
        <v>31</v>
      </c>
      <c r="K44" s="272" t="s">
        <v>32</v>
      </c>
      <c r="L44" s="2"/>
      <c r="M44" s="2">
        <v>800</v>
      </c>
      <c r="N44" s="2"/>
      <c r="O44" s="2"/>
      <c r="P44" s="2"/>
      <c r="Q44" s="2"/>
    </row>
    <row r="45" spans="1:17" ht="15.75" customHeight="1">
      <c r="A45" s="240">
        <v>13</v>
      </c>
      <c r="B45" s="240" t="s">
        <v>1285</v>
      </c>
      <c r="C45" s="240" t="s">
        <v>27</v>
      </c>
      <c r="D45" s="240" t="s">
        <v>43</v>
      </c>
      <c r="E45" s="240" t="s">
        <v>44</v>
      </c>
      <c r="F45" s="240"/>
      <c r="G45" s="240" t="s">
        <v>30</v>
      </c>
      <c r="H45" s="244">
        <v>500</v>
      </c>
      <c r="I45" s="243" t="s">
        <v>90</v>
      </c>
      <c r="J45" s="240" t="s">
        <v>31</v>
      </c>
      <c r="K45" s="272" t="s">
        <v>32</v>
      </c>
      <c r="L45" s="2"/>
      <c r="M45" s="2">
        <v>300</v>
      </c>
      <c r="N45" s="2"/>
      <c r="O45" s="2"/>
      <c r="P45" s="2"/>
      <c r="Q45" s="2"/>
    </row>
    <row r="46" spans="1:17" ht="15.75" customHeight="1">
      <c r="A46" s="240">
        <v>13</v>
      </c>
      <c r="B46" s="240" t="s">
        <v>1285</v>
      </c>
      <c r="C46" s="240" t="s">
        <v>27</v>
      </c>
      <c r="D46" s="240" t="s">
        <v>43</v>
      </c>
      <c r="E46" s="240" t="s">
        <v>44</v>
      </c>
      <c r="F46" s="240"/>
      <c r="G46" s="240" t="s">
        <v>30</v>
      </c>
      <c r="H46" s="244">
        <v>1500</v>
      </c>
      <c r="I46" s="243">
        <v>300</v>
      </c>
      <c r="J46" s="240" t="s">
        <v>31</v>
      </c>
      <c r="K46" s="272" t="s">
        <v>32</v>
      </c>
      <c r="L46" s="2"/>
      <c r="M46" s="2"/>
      <c r="N46" s="2"/>
      <c r="O46" s="2"/>
      <c r="P46" s="2"/>
      <c r="Q46" s="2"/>
    </row>
    <row r="47" spans="1:17" ht="15.75" customHeight="1">
      <c r="A47" s="240">
        <v>13</v>
      </c>
      <c r="B47" s="240" t="s">
        <v>754</v>
      </c>
      <c r="C47" s="240" t="s">
        <v>27</v>
      </c>
      <c r="D47" s="240" t="s">
        <v>43</v>
      </c>
      <c r="E47" s="240" t="s">
        <v>44</v>
      </c>
      <c r="F47" s="240"/>
      <c r="G47" s="240" t="s">
        <v>30</v>
      </c>
      <c r="H47" s="244">
        <v>12000</v>
      </c>
      <c r="I47" s="243">
        <v>2400</v>
      </c>
      <c r="J47" s="240" t="s">
        <v>31</v>
      </c>
      <c r="K47" s="272" t="s">
        <v>32</v>
      </c>
      <c r="L47" s="2"/>
      <c r="M47" s="2">
        <v>2400</v>
      </c>
      <c r="N47" s="2"/>
      <c r="O47" s="765" t="s">
        <v>1286</v>
      </c>
      <c r="P47" s="719"/>
      <c r="Q47" s="2"/>
    </row>
    <row r="48" spans="1:17" ht="15.75" customHeight="1">
      <c r="A48" s="240">
        <v>13</v>
      </c>
      <c r="B48" s="240" t="s">
        <v>1287</v>
      </c>
      <c r="C48" s="240" t="s">
        <v>27</v>
      </c>
      <c r="D48" s="240" t="s">
        <v>1288</v>
      </c>
      <c r="E48" s="240" t="s">
        <v>89</v>
      </c>
      <c r="F48" s="240"/>
      <c r="G48" s="240" t="s">
        <v>30</v>
      </c>
      <c r="H48" s="244">
        <v>150</v>
      </c>
      <c r="I48" s="243">
        <v>30</v>
      </c>
      <c r="J48" s="240" t="s">
        <v>31</v>
      </c>
      <c r="K48" s="272" t="s">
        <v>32</v>
      </c>
      <c r="L48" s="2"/>
      <c r="M48" s="2">
        <v>50</v>
      </c>
      <c r="N48" s="2"/>
      <c r="O48" s="723" t="s">
        <v>25</v>
      </c>
      <c r="P48" s="719"/>
      <c r="Q48" s="2"/>
    </row>
    <row r="49" spans="1:17" ht="15.75" customHeight="1">
      <c r="A49" s="240">
        <v>13</v>
      </c>
      <c r="B49" s="240" t="s">
        <v>1289</v>
      </c>
      <c r="C49" s="240" t="s">
        <v>27</v>
      </c>
      <c r="D49" s="240" t="s">
        <v>1290</v>
      </c>
      <c r="E49" s="240" t="s">
        <v>1291</v>
      </c>
      <c r="F49" s="240"/>
      <c r="G49" s="240" t="s">
        <v>30</v>
      </c>
      <c r="H49" s="244">
        <v>500</v>
      </c>
      <c r="I49" s="243">
        <v>100</v>
      </c>
      <c r="J49" s="240" t="s">
        <v>31</v>
      </c>
      <c r="K49" s="272" t="s">
        <v>32</v>
      </c>
      <c r="L49" s="2"/>
      <c r="M49" s="2"/>
      <c r="N49" s="2"/>
      <c r="O49" s="48" t="s">
        <v>33</v>
      </c>
      <c r="P49" s="51">
        <v>37750</v>
      </c>
      <c r="Q49" s="2"/>
    </row>
    <row r="50" spans="1:17" ht="15.75" customHeight="1">
      <c r="A50" s="240">
        <v>14</v>
      </c>
      <c r="B50" s="240" t="s">
        <v>1292</v>
      </c>
      <c r="C50" s="240" t="s">
        <v>39</v>
      </c>
      <c r="D50" s="240" t="s">
        <v>108</v>
      </c>
      <c r="E50" s="240" t="s">
        <v>36</v>
      </c>
      <c r="F50" s="240"/>
      <c r="G50" s="240" t="s">
        <v>30</v>
      </c>
      <c r="H50" s="244">
        <v>500</v>
      </c>
      <c r="I50" s="243" t="s">
        <v>90</v>
      </c>
      <c r="J50" s="240" t="s">
        <v>31</v>
      </c>
      <c r="K50" s="272" t="s">
        <v>32</v>
      </c>
      <c r="L50" s="2"/>
      <c r="M50" s="2">
        <v>500</v>
      </c>
      <c r="N50" s="2"/>
      <c r="O50" s="48" t="s">
        <v>37</v>
      </c>
      <c r="P50" s="51">
        <v>2000</v>
      </c>
      <c r="Q50" s="2"/>
    </row>
    <row r="51" spans="1:17" ht="15.75" customHeight="1">
      <c r="A51" s="240">
        <v>14</v>
      </c>
      <c r="B51" s="240" t="s">
        <v>1292</v>
      </c>
      <c r="C51" s="240" t="s">
        <v>39</v>
      </c>
      <c r="D51" s="240" t="s">
        <v>108</v>
      </c>
      <c r="E51" s="240" t="s">
        <v>36</v>
      </c>
      <c r="F51" s="240"/>
      <c r="G51" s="240" t="s">
        <v>30</v>
      </c>
      <c r="H51" s="244">
        <v>6500</v>
      </c>
      <c r="I51" s="243">
        <v>1300</v>
      </c>
      <c r="J51" s="240" t="s">
        <v>31</v>
      </c>
      <c r="K51" s="272" t="s">
        <v>32</v>
      </c>
      <c r="L51" s="2"/>
      <c r="M51" s="2"/>
      <c r="N51" s="2"/>
      <c r="O51" s="48" t="s">
        <v>576</v>
      </c>
      <c r="P51" s="51">
        <f>SUM(P49:P50)</f>
        <v>39750</v>
      </c>
      <c r="Q51" s="2"/>
    </row>
    <row r="52" spans="1:17" ht="15.75" customHeight="1">
      <c r="A52" s="240">
        <v>14</v>
      </c>
      <c r="B52" s="233" t="s">
        <v>1293</v>
      </c>
      <c r="C52" s="233" t="s">
        <v>27</v>
      </c>
      <c r="D52" s="233" t="s">
        <v>35</v>
      </c>
      <c r="E52" s="233" t="s">
        <v>44</v>
      </c>
      <c r="F52" s="233"/>
      <c r="G52" s="233" t="s">
        <v>30</v>
      </c>
      <c r="H52" s="234">
        <v>1500</v>
      </c>
      <c r="I52" s="235">
        <v>450</v>
      </c>
      <c r="J52" s="240" t="s">
        <v>31</v>
      </c>
      <c r="K52" s="272" t="s">
        <v>32</v>
      </c>
      <c r="L52" s="2"/>
      <c r="M52" s="2">
        <v>250</v>
      </c>
      <c r="N52" s="2"/>
      <c r="O52" s="2"/>
      <c r="P52" s="2"/>
      <c r="Q52" s="2"/>
    </row>
    <row r="53" spans="1:17" ht="15.75" customHeight="1">
      <c r="A53" s="240">
        <v>14</v>
      </c>
      <c r="B53" s="236" t="s">
        <v>1294</v>
      </c>
      <c r="C53" s="236" t="s">
        <v>27</v>
      </c>
      <c r="D53" s="236" t="s">
        <v>1295</v>
      </c>
      <c r="E53" s="236" t="s">
        <v>44</v>
      </c>
      <c r="F53" s="236"/>
      <c r="G53" s="236" t="s">
        <v>30</v>
      </c>
      <c r="H53" s="247">
        <v>500</v>
      </c>
      <c r="I53" s="239" t="s">
        <v>90</v>
      </c>
      <c r="J53" s="240" t="s">
        <v>31</v>
      </c>
      <c r="K53" s="272" t="s">
        <v>32</v>
      </c>
      <c r="L53" s="2"/>
      <c r="M53" s="2">
        <v>600</v>
      </c>
      <c r="N53" s="2"/>
      <c r="O53" s="2"/>
      <c r="P53" s="2"/>
      <c r="Q53" s="2"/>
    </row>
    <row r="54" spans="1:17" ht="15.75" customHeight="1">
      <c r="A54" s="240">
        <v>14</v>
      </c>
      <c r="B54" s="236" t="s">
        <v>1294</v>
      </c>
      <c r="C54" s="236" t="s">
        <v>27</v>
      </c>
      <c r="D54" s="236" t="s">
        <v>1295</v>
      </c>
      <c r="E54" s="236" t="s">
        <v>44</v>
      </c>
      <c r="F54" s="240"/>
      <c r="G54" s="240" t="s">
        <v>30</v>
      </c>
      <c r="H54" s="244">
        <v>2500</v>
      </c>
      <c r="I54" s="243">
        <v>500</v>
      </c>
      <c r="J54" s="240" t="s">
        <v>31</v>
      </c>
      <c r="K54" s="272" t="s">
        <v>32</v>
      </c>
      <c r="L54" s="2"/>
      <c r="M54" s="2"/>
      <c r="N54" s="2"/>
      <c r="O54" s="2"/>
      <c r="P54" s="2"/>
      <c r="Q54" s="2"/>
    </row>
    <row r="55" spans="1:17" ht="15.75" customHeight="1">
      <c r="A55" s="48">
        <v>15</v>
      </c>
      <c r="B55" s="48" t="s">
        <v>1296</v>
      </c>
      <c r="C55" s="48" t="s">
        <v>27</v>
      </c>
      <c r="D55" s="48" t="s">
        <v>591</v>
      </c>
      <c r="E55" s="48" t="s">
        <v>54</v>
      </c>
      <c r="F55" s="48"/>
      <c r="G55" s="48" t="s">
        <v>30</v>
      </c>
      <c r="H55" s="51">
        <v>2000</v>
      </c>
      <c r="I55" s="119">
        <v>600</v>
      </c>
      <c r="J55" s="48" t="s">
        <v>31</v>
      </c>
      <c r="K55" s="271" t="s">
        <v>32</v>
      </c>
      <c r="L55" s="2"/>
      <c r="M55" s="2">
        <v>400</v>
      </c>
      <c r="N55" s="2"/>
      <c r="O55" s="2"/>
      <c r="P55" s="2"/>
      <c r="Q55" s="2"/>
    </row>
    <row r="56" spans="1:17" ht="15.75" customHeight="1">
      <c r="A56" s="48">
        <v>15</v>
      </c>
      <c r="B56" s="48" t="s">
        <v>1297</v>
      </c>
      <c r="C56" s="48" t="s">
        <v>27</v>
      </c>
      <c r="D56" s="48" t="s">
        <v>68</v>
      </c>
      <c r="E56" s="48" t="s">
        <v>79</v>
      </c>
      <c r="F56" s="48"/>
      <c r="G56" s="48" t="s">
        <v>30</v>
      </c>
      <c r="H56" s="51">
        <v>3000</v>
      </c>
      <c r="I56" s="119">
        <v>600</v>
      </c>
      <c r="J56" s="48" t="s">
        <v>31</v>
      </c>
      <c r="K56" s="271" t="s">
        <v>32</v>
      </c>
      <c r="L56" s="2"/>
      <c r="M56" s="2">
        <v>1600</v>
      </c>
      <c r="N56" s="2"/>
      <c r="O56" s="2"/>
      <c r="P56" s="2"/>
      <c r="Q56" s="2"/>
    </row>
    <row r="57" spans="1:17" ht="15.75" customHeight="1">
      <c r="A57" s="48">
        <v>15</v>
      </c>
      <c r="B57" s="48" t="s">
        <v>1298</v>
      </c>
      <c r="C57" s="48" t="s">
        <v>27</v>
      </c>
      <c r="D57" s="48" t="s">
        <v>1299</v>
      </c>
      <c r="E57" s="48" t="s">
        <v>44</v>
      </c>
      <c r="F57" s="48"/>
      <c r="G57" s="48" t="s">
        <v>30</v>
      </c>
      <c r="H57" s="51">
        <v>100</v>
      </c>
      <c r="I57" s="119">
        <v>40</v>
      </c>
      <c r="J57" s="48" t="s">
        <v>31</v>
      </c>
      <c r="K57" s="271" t="s">
        <v>32</v>
      </c>
      <c r="L57" s="2"/>
      <c r="M57" s="2"/>
      <c r="N57" s="2"/>
      <c r="O57" s="2"/>
      <c r="P57" s="2"/>
      <c r="Q57" s="2"/>
    </row>
    <row r="58" spans="1:17" ht="15.75" customHeight="1">
      <c r="A58" s="48">
        <v>15</v>
      </c>
      <c r="B58" s="48" t="s">
        <v>1298</v>
      </c>
      <c r="C58" s="48" t="s">
        <v>27</v>
      </c>
      <c r="D58" s="48" t="s">
        <v>1299</v>
      </c>
      <c r="E58" s="48" t="s">
        <v>44</v>
      </c>
      <c r="F58" s="48"/>
      <c r="G58" s="48" t="s">
        <v>1300</v>
      </c>
      <c r="H58" s="51">
        <v>5</v>
      </c>
      <c r="I58" s="119">
        <v>100</v>
      </c>
      <c r="J58" s="48" t="s">
        <v>31</v>
      </c>
      <c r="K58" s="271" t="s">
        <v>32</v>
      </c>
      <c r="L58" s="2"/>
      <c r="M58" s="2"/>
      <c r="N58" s="2"/>
      <c r="O58" s="2"/>
      <c r="P58" s="2"/>
      <c r="Q58" s="2"/>
    </row>
    <row r="59" spans="1:17" ht="15.75" customHeight="1">
      <c r="A59" s="48">
        <v>15</v>
      </c>
      <c r="B59" s="48" t="s">
        <v>1301</v>
      </c>
      <c r="C59" s="48" t="s">
        <v>39</v>
      </c>
      <c r="D59" s="48" t="s">
        <v>1230</v>
      </c>
      <c r="E59" s="48" t="s">
        <v>44</v>
      </c>
      <c r="F59" s="48"/>
      <c r="G59" s="48" t="s">
        <v>1300</v>
      </c>
      <c r="H59" s="51">
        <v>10</v>
      </c>
      <c r="I59" s="119">
        <v>150</v>
      </c>
      <c r="J59" s="48" t="s">
        <v>31</v>
      </c>
      <c r="K59" s="271" t="s">
        <v>32</v>
      </c>
      <c r="L59" s="2"/>
      <c r="M59" s="2"/>
      <c r="N59" s="2"/>
      <c r="O59" s="766">
        <v>43936</v>
      </c>
      <c r="P59" s="719"/>
      <c r="Q59" s="2"/>
    </row>
    <row r="60" spans="1:17" ht="15.75" customHeight="1">
      <c r="A60" s="48">
        <v>15</v>
      </c>
      <c r="B60" s="48" t="s">
        <v>1302</v>
      </c>
      <c r="C60" s="48" t="s">
        <v>27</v>
      </c>
      <c r="D60" s="48" t="s">
        <v>1303</v>
      </c>
      <c r="E60" s="48" t="s">
        <v>44</v>
      </c>
      <c r="F60" s="48"/>
      <c r="G60" s="48" t="s">
        <v>30</v>
      </c>
      <c r="H60" s="51">
        <v>250</v>
      </c>
      <c r="I60" s="119">
        <v>50</v>
      </c>
      <c r="J60" s="48" t="s">
        <v>31</v>
      </c>
      <c r="K60" s="271" t="s">
        <v>32</v>
      </c>
      <c r="L60" s="2"/>
      <c r="M60" s="2"/>
      <c r="N60" s="2"/>
      <c r="O60" s="723" t="s">
        <v>25</v>
      </c>
      <c r="P60" s="719"/>
      <c r="Q60" s="2"/>
    </row>
    <row r="61" spans="1:17" ht="15.75" customHeight="1">
      <c r="A61" s="48">
        <v>15</v>
      </c>
      <c r="B61" s="48" t="s">
        <v>1304</v>
      </c>
      <c r="C61" s="48" t="s">
        <v>27</v>
      </c>
      <c r="D61" s="48" t="s">
        <v>407</v>
      </c>
      <c r="E61" s="48" t="s">
        <v>44</v>
      </c>
      <c r="F61" s="48"/>
      <c r="G61" s="48" t="s">
        <v>30</v>
      </c>
      <c r="H61" s="51">
        <v>300</v>
      </c>
      <c r="I61" s="119">
        <v>120</v>
      </c>
      <c r="J61" s="48" t="s">
        <v>31</v>
      </c>
      <c r="K61" s="271" t="s">
        <v>32</v>
      </c>
      <c r="L61" s="2"/>
      <c r="M61" s="2"/>
      <c r="N61" s="2"/>
      <c r="O61" s="48" t="s">
        <v>33</v>
      </c>
      <c r="P61" s="51">
        <f>H55+H56+H57+H60+H61+H63+H65+H66+H67+H68+H70</f>
        <v>21950</v>
      </c>
      <c r="Q61" s="2"/>
    </row>
    <row r="62" spans="1:17" ht="15.75" customHeight="1">
      <c r="A62" s="48">
        <v>15</v>
      </c>
      <c r="B62" s="48" t="s">
        <v>1305</v>
      </c>
      <c r="C62" s="48" t="s">
        <v>27</v>
      </c>
      <c r="D62" s="48" t="s">
        <v>297</v>
      </c>
      <c r="E62" s="48" t="s">
        <v>44</v>
      </c>
      <c r="F62" s="48"/>
      <c r="G62" s="48" t="s">
        <v>1300</v>
      </c>
      <c r="H62" s="51">
        <v>12</v>
      </c>
      <c r="I62" s="119">
        <v>60</v>
      </c>
      <c r="J62" s="48" t="s">
        <v>31</v>
      </c>
      <c r="K62" s="271" t="s">
        <v>32</v>
      </c>
      <c r="L62" s="2"/>
      <c r="M62" s="2"/>
      <c r="N62" s="2"/>
      <c r="O62" s="48" t="s">
        <v>37</v>
      </c>
      <c r="P62" s="51">
        <f>H64</f>
        <v>6000</v>
      </c>
      <c r="Q62" s="2"/>
    </row>
    <row r="63" spans="1:17" ht="15.75" customHeight="1">
      <c r="A63" s="48">
        <v>15</v>
      </c>
      <c r="B63" s="48" t="s">
        <v>1101</v>
      </c>
      <c r="C63" s="48" t="s">
        <v>27</v>
      </c>
      <c r="D63" s="48" t="s">
        <v>106</v>
      </c>
      <c r="E63" s="48" t="s">
        <v>29</v>
      </c>
      <c r="F63" s="48"/>
      <c r="G63" s="48" t="s">
        <v>30</v>
      </c>
      <c r="H63" s="51">
        <v>10000</v>
      </c>
      <c r="I63" s="119">
        <v>2000</v>
      </c>
      <c r="J63" s="48" t="s">
        <v>31</v>
      </c>
      <c r="K63" s="271" t="s">
        <v>32</v>
      </c>
      <c r="L63" s="2"/>
      <c r="M63" s="2"/>
      <c r="N63" s="2"/>
      <c r="O63" s="48" t="s">
        <v>576</v>
      </c>
      <c r="P63" s="51">
        <f>SUM(P61:P62)</f>
        <v>27950</v>
      </c>
      <c r="Q63" s="2"/>
    </row>
    <row r="64" spans="1:17" ht="15.75" customHeight="1">
      <c r="A64" s="48">
        <v>15</v>
      </c>
      <c r="B64" s="48" t="s">
        <v>1306</v>
      </c>
      <c r="C64" s="48" t="s">
        <v>27</v>
      </c>
      <c r="D64" s="48" t="s">
        <v>1307</v>
      </c>
      <c r="E64" s="48" t="s">
        <v>102</v>
      </c>
      <c r="F64" s="48"/>
      <c r="G64" s="48" t="s">
        <v>30</v>
      </c>
      <c r="H64" s="51">
        <v>6000</v>
      </c>
      <c r="I64" s="119" t="s">
        <v>90</v>
      </c>
      <c r="J64" s="48" t="s">
        <v>31</v>
      </c>
      <c r="K64" s="271" t="s">
        <v>32</v>
      </c>
      <c r="L64" s="2"/>
      <c r="M64" s="2"/>
      <c r="N64" s="2"/>
      <c r="O64" s="723" t="s">
        <v>286</v>
      </c>
      <c r="P64" s="719"/>
      <c r="Q64" s="2"/>
    </row>
    <row r="65" spans="1:18" ht="15.75" customHeight="1">
      <c r="A65" s="48">
        <v>15</v>
      </c>
      <c r="B65" s="48" t="s">
        <v>1306</v>
      </c>
      <c r="C65" s="48" t="s">
        <v>27</v>
      </c>
      <c r="D65" s="48" t="s">
        <v>1307</v>
      </c>
      <c r="E65" s="48" t="s">
        <v>102</v>
      </c>
      <c r="F65" s="58"/>
      <c r="G65" s="58" t="s">
        <v>30</v>
      </c>
      <c r="H65" s="59">
        <v>2000</v>
      </c>
      <c r="I65" s="160">
        <v>400</v>
      </c>
      <c r="J65" s="48" t="s">
        <v>31</v>
      </c>
      <c r="K65" s="271" t="s">
        <v>32</v>
      </c>
      <c r="L65" s="2"/>
      <c r="M65" s="2"/>
      <c r="N65" s="2"/>
      <c r="O65" s="48" t="s">
        <v>580</v>
      </c>
      <c r="P65" s="51">
        <f>H58+H59+H62+H69</f>
        <v>32</v>
      </c>
      <c r="Q65" s="2"/>
    </row>
    <row r="66" spans="1:18" ht="15.75" customHeight="1">
      <c r="A66" s="48">
        <v>15</v>
      </c>
      <c r="B66" s="48" t="s">
        <v>1306</v>
      </c>
      <c r="C66" s="48" t="s">
        <v>27</v>
      </c>
      <c r="D66" s="48" t="s">
        <v>1307</v>
      </c>
      <c r="E66" s="48" t="s">
        <v>102</v>
      </c>
      <c r="F66" s="62"/>
      <c r="G66" s="62" t="s">
        <v>30</v>
      </c>
      <c r="H66" s="63">
        <v>100</v>
      </c>
      <c r="I66" s="159">
        <v>30</v>
      </c>
      <c r="J66" s="48" t="s">
        <v>31</v>
      </c>
      <c r="K66" s="271" t="s">
        <v>32</v>
      </c>
      <c r="L66" s="2"/>
      <c r="M66" s="2"/>
      <c r="N66" s="2"/>
      <c r="O66" s="2"/>
      <c r="P66" s="2"/>
      <c r="Q66" s="2"/>
    </row>
    <row r="67" spans="1:18" ht="15.75" customHeight="1">
      <c r="A67" s="48">
        <v>15</v>
      </c>
      <c r="B67" s="48" t="s">
        <v>758</v>
      </c>
      <c r="C67" s="48" t="s">
        <v>27</v>
      </c>
      <c r="D67" s="48" t="s">
        <v>239</v>
      </c>
      <c r="E67" s="48" t="s">
        <v>44</v>
      </c>
      <c r="F67" s="48"/>
      <c r="G67" s="48" t="s">
        <v>30</v>
      </c>
      <c r="H67" s="51">
        <v>2500</v>
      </c>
      <c r="I67" s="119">
        <v>500</v>
      </c>
      <c r="J67" s="48" t="s">
        <v>31</v>
      </c>
      <c r="K67" s="271" t="s">
        <v>32</v>
      </c>
      <c r="L67" s="2"/>
      <c r="M67" s="2"/>
      <c r="N67" s="2"/>
      <c r="O67" s="2"/>
      <c r="P67" s="2"/>
      <c r="Q67" s="2"/>
    </row>
    <row r="68" spans="1:18" ht="15.75" customHeight="1">
      <c r="A68" s="48">
        <v>15</v>
      </c>
      <c r="B68" s="48" t="s">
        <v>1308</v>
      </c>
      <c r="C68" s="48" t="s">
        <v>27</v>
      </c>
      <c r="D68" s="48" t="s">
        <v>400</v>
      </c>
      <c r="E68" s="48" t="s">
        <v>36</v>
      </c>
      <c r="F68" s="48"/>
      <c r="G68" s="48" t="s">
        <v>30</v>
      </c>
      <c r="H68" s="51">
        <v>1500</v>
      </c>
      <c r="I68" s="119">
        <v>300</v>
      </c>
      <c r="J68" s="48" t="s">
        <v>31</v>
      </c>
      <c r="K68" s="271" t="s">
        <v>32</v>
      </c>
      <c r="L68" s="2"/>
      <c r="M68" s="2"/>
      <c r="N68" s="2"/>
      <c r="O68" s="2"/>
      <c r="P68" s="2"/>
      <c r="Q68" s="2"/>
    </row>
    <row r="69" spans="1:18" ht="15.75" customHeight="1">
      <c r="A69" s="48">
        <v>15</v>
      </c>
      <c r="B69" s="48" t="s">
        <v>1309</v>
      </c>
      <c r="C69" s="48" t="s">
        <v>27</v>
      </c>
      <c r="D69" s="48"/>
      <c r="E69" s="48" t="s">
        <v>148</v>
      </c>
      <c r="F69" s="48"/>
      <c r="G69" s="48" t="s">
        <v>1300</v>
      </c>
      <c r="H69" s="51">
        <v>5</v>
      </c>
      <c r="I69" s="119" t="s">
        <v>90</v>
      </c>
      <c r="J69" s="48" t="s">
        <v>31</v>
      </c>
      <c r="K69" s="271" t="s">
        <v>32</v>
      </c>
      <c r="L69" s="2"/>
      <c r="M69" s="2"/>
      <c r="N69" s="2"/>
      <c r="O69" s="2"/>
      <c r="P69" s="2"/>
      <c r="Q69" s="2"/>
    </row>
    <row r="70" spans="1:18" ht="15.75" customHeight="1">
      <c r="A70" s="48">
        <v>15</v>
      </c>
      <c r="B70" s="58" t="s">
        <v>908</v>
      </c>
      <c r="C70" s="58" t="s">
        <v>27</v>
      </c>
      <c r="D70" s="58" t="s">
        <v>666</v>
      </c>
      <c r="E70" s="58" t="s">
        <v>36</v>
      </c>
      <c r="F70" s="58"/>
      <c r="G70" s="58" t="s">
        <v>30</v>
      </c>
      <c r="H70" s="59">
        <v>200</v>
      </c>
      <c r="I70" s="160">
        <v>60</v>
      </c>
      <c r="J70" s="48" t="s">
        <v>31</v>
      </c>
      <c r="K70" s="271" t="s">
        <v>32</v>
      </c>
      <c r="L70" s="2"/>
      <c r="M70" s="2"/>
      <c r="N70" s="2"/>
      <c r="O70" s="2"/>
      <c r="P70" s="2"/>
      <c r="Q70" s="2"/>
    </row>
    <row r="71" spans="1:18" ht="15.75" customHeight="1">
      <c r="A71" s="62">
        <v>16</v>
      </c>
      <c r="B71" s="62" t="s">
        <v>1310</v>
      </c>
      <c r="C71" s="62" t="s">
        <v>27</v>
      </c>
      <c r="D71" s="62" t="s">
        <v>35</v>
      </c>
      <c r="E71" s="62" t="s">
        <v>36</v>
      </c>
      <c r="F71" s="62"/>
      <c r="G71" s="62" t="s">
        <v>30</v>
      </c>
      <c r="H71" s="63">
        <v>11000</v>
      </c>
      <c r="I71" s="159">
        <v>2200</v>
      </c>
      <c r="J71" s="48" t="s">
        <v>31</v>
      </c>
      <c r="K71" s="271" t="s">
        <v>32</v>
      </c>
      <c r="L71" s="2"/>
      <c r="M71" s="2"/>
      <c r="N71" s="2"/>
      <c r="O71" s="2"/>
      <c r="P71" s="2"/>
      <c r="Q71" s="2"/>
    </row>
    <row r="72" spans="1:18" ht="15.75" customHeight="1">
      <c r="A72" s="58">
        <v>16</v>
      </c>
      <c r="B72" s="58" t="s">
        <v>1311</v>
      </c>
      <c r="C72" s="58" t="s">
        <v>27</v>
      </c>
      <c r="D72" s="58" t="s">
        <v>1213</v>
      </c>
      <c r="E72" s="58" t="s">
        <v>73</v>
      </c>
      <c r="F72" s="58"/>
      <c r="G72" s="58" t="s">
        <v>30</v>
      </c>
      <c r="H72" s="59">
        <v>300</v>
      </c>
      <c r="I72" s="160">
        <v>90</v>
      </c>
      <c r="J72" s="48" t="s">
        <v>31</v>
      </c>
      <c r="K72" s="271" t="s">
        <v>32</v>
      </c>
      <c r="L72" s="2"/>
      <c r="M72" s="2"/>
      <c r="N72" s="2"/>
      <c r="O72" s="2"/>
      <c r="P72" s="2"/>
      <c r="Q72" s="2"/>
    </row>
    <row r="73" spans="1:18" ht="15.75" customHeight="1">
      <c r="A73" s="62">
        <v>20</v>
      </c>
      <c r="B73" s="273" t="s">
        <v>1312</v>
      </c>
      <c r="C73" s="62" t="s">
        <v>39</v>
      </c>
      <c r="D73" s="62" t="s">
        <v>407</v>
      </c>
      <c r="E73" s="62" t="s">
        <v>44</v>
      </c>
      <c r="F73" s="62"/>
      <c r="G73" s="62" t="s">
        <v>30</v>
      </c>
      <c r="H73" s="63">
        <v>1500</v>
      </c>
      <c r="I73" s="159">
        <v>450</v>
      </c>
      <c r="J73" s="48" t="s">
        <v>31</v>
      </c>
      <c r="K73" s="271" t="s">
        <v>32</v>
      </c>
      <c r="L73" s="2"/>
      <c r="M73" s="2"/>
      <c r="N73" s="2"/>
      <c r="O73" s="767"/>
      <c r="P73" s="711"/>
      <c r="Q73" s="711"/>
    </row>
    <row r="74" spans="1:18" ht="15.75" customHeight="1">
      <c r="A74" s="62">
        <v>20</v>
      </c>
      <c r="B74" s="48" t="s">
        <v>1313</v>
      </c>
      <c r="C74" s="48" t="s">
        <v>39</v>
      </c>
      <c r="D74" s="48" t="s">
        <v>934</v>
      </c>
      <c r="E74" s="48" t="s">
        <v>44</v>
      </c>
      <c r="F74" s="48"/>
      <c r="G74" s="48" t="s">
        <v>30</v>
      </c>
      <c r="H74" s="51">
        <v>100</v>
      </c>
      <c r="I74" s="119">
        <v>20</v>
      </c>
      <c r="J74" s="48" t="s">
        <v>31</v>
      </c>
      <c r="K74" s="271" t="s">
        <v>32</v>
      </c>
      <c r="L74" s="2"/>
      <c r="M74" s="2"/>
      <c r="N74" s="2"/>
      <c r="O74" s="767"/>
      <c r="P74" s="711"/>
      <c r="Q74" s="711"/>
    </row>
    <row r="75" spans="1:18" ht="15.75" customHeight="1">
      <c r="A75" s="62">
        <v>20</v>
      </c>
      <c r="B75" s="48" t="s">
        <v>1313</v>
      </c>
      <c r="C75" s="48" t="s">
        <v>39</v>
      </c>
      <c r="D75" s="48" t="s">
        <v>934</v>
      </c>
      <c r="E75" s="48" t="s">
        <v>44</v>
      </c>
      <c r="F75" s="48"/>
      <c r="G75" s="48" t="s">
        <v>30</v>
      </c>
      <c r="H75" s="51">
        <v>500</v>
      </c>
      <c r="I75" s="119">
        <v>150</v>
      </c>
      <c r="J75" s="48" t="s">
        <v>31</v>
      </c>
      <c r="K75" s="271" t="s">
        <v>32</v>
      </c>
      <c r="L75" s="2"/>
      <c r="M75" s="2"/>
      <c r="N75" s="2"/>
      <c r="O75" s="768"/>
      <c r="P75" s="711"/>
      <c r="Q75" s="224"/>
      <c r="R75" s="55"/>
    </row>
    <row r="76" spans="1:18" ht="15.75" customHeight="1">
      <c r="A76" s="62">
        <v>20</v>
      </c>
      <c r="B76" s="48" t="s">
        <v>1314</v>
      </c>
      <c r="C76" s="48" t="s">
        <v>27</v>
      </c>
      <c r="D76" s="48" t="s">
        <v>1315</v>
      </c>
      <c r="E76" s="48" t="s">
        <v>54</v>
      </c>
      <c r="F76" s="48"/>
      <c r="G76" s="48" t="s">
        <v>30</v>
      </c>
      <c r="H76" s="51">
        <v>3000</v>
      </c>
      <c r="I76" s="119">
        <v>600</v>
      </c>
      <c r="J76" s="48" t="s">
        <v>31</v>
      </c>
      <c r="K76" s="271" t="s">
        <v>32</v>
      </c>
      <c r="L76" s="2"/>
      <c r="M76" s="2"/>
      <c r="N76" s="2"/>
      <c r="O76" s="768"/>
      <c r="P76" s="711"/>
      <c r="Q76" s="224"/>
      <c r="R76" s="55"/>
    </row>
    <row r="77" spans="1:18" ht="15.75" customHeight="1">
      <c r="A77" s="62">
        <v>20</v>
      </c>
      <c r="B77" s="48" t="s">
        <v>1316</v>
      </c>
      <c r="C77" s="48" t="s">
        <v>27</v>
      </c>
      <c r="D77" s="48" t="s">
        <v>886</v>
      </c>
      <c r="E77" s="48" t="s">
        <v>86</v>
      </c>
      <c r="F77" s="48"/>
      <c r="G77" s="48" t="s">
        <v>30</v>
      </c>
      <c r="H77" s="51">
        <v>250</v>
      </c>
      <c r="I77" s="119">
        <v>50</v>
      </c>
      <c r="J77" s="48" t="s">
        <v>31</v>
      </c>
      <c r="K77" s="271" t="s">
        <v>32</v>
      </c>
      <c r="L77" s="2"/>
      <c r="M77" s="2"/>
      <c r="N77" s="2"/>
      <c r="O77" s="769"/>
      <c r="P77" s="711"/>
      <c r="Q77" s="274"/>
    </row>
    <row r="78" spans="1:18" ht="15.75" customHeight="1">
      <c r="A78" s="62">
        <v>20</v>
      </c>
      <c r="B78" s="48" t="s">
        <v>1317</v>
      </c>
      <c r="C78" s="48" t="s">
        <v>39</v>
      </c>
      <c r="D78" s="48" t="s">
        <v>607</v>
      </c>
      <c r="E78" s="48" t="s">
        <v>36</v>
      </c>
      <c r="F78" s="48"/>
      <c r="G78" s="48" t="s">
        <v>30</v>
      </c>
      <c r="H78" s="51">
        <v>500</v>
      </c>
      <c r="I78" s="119" t="s">
        <v>90</v>
      </c>
      <c r="J78" s="48" t="s">
        <v>31</v>
      </c>
      <c r="K78" s="271" t="s">
        <v>32</v>
      </c>
      <c r="L78" s="2"/>
      <c r="M78" s="2"/>
      <c r="N78" s="2"/>
      <c r="O78" s="767"/>
      <c r="P78" s="711"/>
      <c r="Q78" s="711"/>
      <c r="R78" s="55"/>
    </row>
    <row r="79" spans="1:18" ht="15.75" customHeight="1">
      <c r="A79" s="62">
        <v>20</v>
      </c>
      <c r="B79" s="48" t="s">
        <v>1317</v>
      </c>
      <c r="C79" s="48" t="s">
        <v>39</v>
      </c>
      <c r="D79" s="48" t="s">
        <v>607</v>
      </c>
      <c r="E79" s="48" t="s">
        <v>36</v>
      </c>
      <c r="F79" s="48"/>
      <c r="G79" s="48" t="s">
        <v>30</v>
      </c>
      <c r="H79" s="51">
        <v>1500</v>
      </c>
      <c r="I79" s="119">
        <v>300</v>
      </c>
      <c r="J79" s="48" t="s">
        <v>31</v>
      </c>
      <c r="K79" s="271" t="s">
        <v>32</v>
      </c>
      <c r="L79" s="2"/>
      <c r="M79" s="2"/>
      <c r="N79" s="2"/>
      <c r="O79" s="768"/>
      <c r="P79" s="711"/>
      <c r="Q79" s="275"/>
    </row>
    <row r="80" spans="1:18" ht="15.75" customHeight="1">
      <c r="A80" s="62">
        <v>20</v>
      </c>
      <c r="B80" s="48" t="s">
        <v>1318</v>
      </c>
      <c r="C80" s="48" t="s">
        <v>39</v>
      </c>
      <c r="D80" s="48" t="s">
        <v>114</v>
      </c>
      <c r="E80" s="48" t="s">
        <v>44</v>
      </c>
      <c r="F80" s="48"/>
      <c r="G80" s="48" t="s">
        <v>30</v>
      </c>
      <c r="H80" s="51">
        <v>5000</v>
      </c>
      <c r="I80" s="119">
        <v>1000</v>
      </c>
      <c r="J80" s="48" t="s">
        <v>31</v>
      </c>
      <c r="K80" s="271" t="s">
        <v>32</v>
      </c>
      <c r="L80" s="2"/>
      <c r="M80" s="2">
        <f>H80/5</f>
        <v>1000</v>
      </c>
      <c r="N80" s="2"/>
      <c r="O80" s="767"/>
      <c r="P80" s="711"/>
      <c r="Q80" s="711"/>
    </row>
    <row r="81" spans="1:18" ht="15.75" customHeight="1">
      <c r="A81" s="62">
        <v>20</v>
      </c>
      <c r="B81" s="48" t="s">
        <v>1319</v>
      </c>
      <c r="C81" s="48" t="s">
        <v>39</v>
      </c>
      <c r="D81" s="48" t="s">
        <v>1320</v>
      </c>
      <c r="E81" s="48" t="s">
        <v>44</v>
      </c>
      <c r="F81" s="48"/>
      <c r="G81" s="48" t="s">
        <v>30</v>
      </c>
      <c r="H81" s="51">
        <v>1000</v>
      </c>
      <c r="I81" s="119">
        <v>300</v>
      </c>
      <c r="J81" s="48" t="s">
        <v>31</v>
      </c>
      <c r="K81" s="271" t="s">
        <v>32</v>
      </c>
      <c r="L81" s="2"/>
      <c r="M81" s="2">
        <f>1000/5</f>
        <v>200</v>
      </c>
      <c r="N81" s="2"/>
      <c r="O81" s="768"/>
      <c r="P81" s="711"/>
      <c r="Q81" s="225"/>
      <c r="R81" s="55"/>
    </row>
    <row r="82" spans="1:18" ht="15.75" customHeight="1">
      <c r="A82" s="62">
        <v>20</v>
      </c>
      <c r="B82" s="62" t="s">
        <v>1321</v>
      </c>
      <c r="C82" s="62" t="s">
        <v>27</v>
      </c>
      <c r="D82" s="62" t="s">
        <v>792</v>
      </c>
      <c r="E82" s="62" t="s">
        <v>44</v>
      </c>
      <c r="F82" s="62"/>
      <c r="G82" s="62" t="s">
        <v>30</v>
      </c>
      <c r="H82" s="63">
        <v>600</v>
      </c>
      <c r="I82" s="159">
        <v>120</v>
      </c>
      <c r="J82" s="48" t="s">
        <v>31</v>
      </c>
      <c r="K82" s="271" t="s">
        <v>32</v>
      </c>
      <c r="L82" s="2"/>
      <c r="M82" s="2">
        <f>600/5</f>
        <v>120</v>
      </c>
      <c r="N82" s="2"/>
      <c r="O82" s="768"/>
      <c r="P82" s="711"/>
      <c r="Q82" s="225"/>
    </row>
    <row r="83" spans="1:18" ht="15.75" customHeight="1">
      <c r="A83" s="62">
        <v>20</v>
      </c>
      <c r="B83" s="48" t="s">
        <v>1322</v>
      </c>
      <c r="C83" s="48" t="s">
        <v>27</v>
      </c>
      <c r="D83" s="48" t="s">
        <v>108</v>
      </c>
      <c r="E83" s="48" t="s">
        <v>36</v>
      </c>
      <c r="F83" s="48"/>
      <c r="G83" s="48" t="s">
        <v>30</v>
      </c>
      <c r="H83" s="51">
        <v>2500</v>
      </c>
      <c r="I83" s="119">
        <v>500</v>
      </c>
      <c r="J83" s="48" t="s">
        <v>31</v>
      </c>
      <c r="K83" s="271" t="s">
        <v>32</v>
      </c>
      <c r="L83" s="2"/>
      <c r="M83" s="2">
        <f>2500/5</f>
        <v>500</v>
      </c>
      <c r="N83" s="2"/>
      <c r="O83" s="769"/>
      <c r="P83" s="711"/>
      <c r="Q83" s="275"/>
      <c r="R83" s="55"/>
    </row>
    <row r="84" spans="1:18" ht="15.75" customHeight="1">
      <c r="A84" s="62">
        <v>20</v>
      </c>
      <c r="B84" s="58" t="s">
        <v>1323</v>
      </c>
      <c r="C84" s="58" t="s">
        <v>27</v>
      </c>
      <c r="D84" s="58" t="s">
        <v>100</v>
      </c>
      <c r="E84" s="58" t="s">
        <v>145</v>
      </c>
      <c r="F84" s="58"/>
      <c r="G84" s="58" t="s">
        <v>30</v>
      </c>
      <c r="H84" s="59">
        <v>1200</v>
      </c>
      <c r="I84" s="160">
        <v>240</v>
      </c>
      <c r="J84" s="48" t="s">
        <v>31</v>
      </c>
      <c r="K84" s="271" t="s">
        <v>32</v>
      </c>
      <c r="L84" s="2"/>
      <c r="M84" s="2">
        <f>1200/5</f>
        <v>240</v>
      </c>
      <c r="N84" s="2"/>
      <c r="O84" s="2"/>
      <c r="P84" s="2"/>
      <c r="Q84" s="2"/>
    </row>
    <row r="85" spans="1:18" ht="15.75" customHeight="1">
      <c r="A85" s="236">
        <v>21</v>
      </c>
      <c r="B85" s="236" t="s">
        <v>1324</v>
      </c>
      <c r="C85" s="236" t="s">
        <v>27</v>
      </c>
      <c r="D85" s="236" t="s">
        <v>1325</v>
      </c>
      <c r="E85" s="236" t="s">
        <v>484</v>
      </c>
      <c r="F85" s="236"/>
      <c r="G85" s="236" t="s">
        <v>30</v>
      </c>
      <c r="H85" s="247">
        <v>500</v>
      </c>
      <c r="I85" s="239">
        <v>100</v>
      </c>
      <c r="J85" s="236" t="s">
        <v>31</v>
      </c>
      <c r="K85" s="276" t="s">
        <v>32</v>
      </c>
      <c r="L85" s="2"/>
      <c r="M85" s="2">
        <v>150</v>
      </c>
      <c r="N85" s="2"/>
      <c r="O85" s="2"/>
      <c r="P85" s="2"/>
      <c r="Q85" s="2"/>
    </row>
    <row r="86" spans="1:18" ht="15.75" customHeight="1">
      <c r="A86" s="236">
        <v>21</v>
      </c>
      <c r="B86" s="240" t="s">
        <v>1326</v>
      </c>
      <c r="C86" s="240" t="s">
        <v>27</v>
      </c>
      <c r="D86" s="240" t="s">
        <v>108</v>
      </c>
      <c r="E86" s="240" t="s">
        <v>44</v>
      </c>
      <c r="F86" s="240"/>
      <c r="G86" s="240" t="s">
        <v>30</v>
      </c>
      <c r="H86" s="244">
        <v>2000</v>
      </c>
      <c r="I86" s="243">
        <v>400</v>
      </c>
      <c r="J86" s="236" t="s">
        <v>31</v>
      </c>
      <c r="K86" s="276" t="s">
        <v>32</v>
      </c>
      <c r="L86" s="2"/>
      <c r="M86" s="2">
        <v>200</v>
      </c>
      <c r="N86" s="2"/>
      <c r="O86" s="2"/>
      <c r="P86" s="2"/>
      <c r="Q86" s="2"/>
    </row>
    <row r="87" spans="1:18" ht="15.75" customHeight="1">
      <c r="A87" s="236">
        <v>21</v>
      </c>
      <c r="B87" s="236" t="s">
        <v>1327</v>
      </c>
      <c r="C87" s="236" t="s">
        <v>27</v>
      </c>
      <c r="D87" s="236" t="s">
        <v>886</v>
      </c>
      <c r="E87" s="236" t="s">
        <v>86</v>
      </c>
      <c r="F87" s="236"/>
      <c r="G87" s="236" t="s">
        <v>30</v>
      </c>
      <c r="H87" s="247">
        <v>100</v>
      </c>
      <c r="I87" s="239">
        <v>40</v>
      </c>
      <c r="J87" s="236" t="s">
        <v>31</v>
      </c>
      <c r="K87" s="276" t="s">
        <v>32</v>
      </c>
      <c r="L87" s="2"/>
      <c r="M87" s="2">
        <f>100/5</f>
        <v>20</v>
      </c>
      <c r="N87" s="2"/>
      <c r="O87" s="2"/>
      <c r="P87" s="2"/>
      <c r="Q87" s="2"/>
    </row>
    <row r="88" spans="1:18" ht="15.75" customHeight="1">
      <c r="A88" s="236">
        <v>21</v>
      </c>
      <c r="B88" s="240" t="s">
        <v>1328</v>
      </c>
      <c r="C88" s="240" t="s">
        <v>27</v>
      </c>
      <c r="D88" s="240" t="s">
        <v>53</v>
      </c>
      <c r="E88" s="240" t="s">
        <v>54</v>
      </c>
      <c r="F88" s="240"/>
      <c r="G88" s="240" t="s">
        <v>30</v>
      </c>
      <c r="H88" s="244">
        <v>2000</v>
      </c>
      <c r="I88" s="243">
        <v>400</v>
      </c>
      <c r="J88" s="236" t="s">
        <v>31</v>
      </c>
      <c r="K88" s="276" t="s">
        <v>32</v>
      </c>
      <c r="L88" s="2"/>
      <c r="M88" s="2">
        <v>2000</v>
      </c>
      <c r="N88" s="221"/>
      <c r="O88" s="2"/>
      <c r="P88" s="2"/>
      <c r="Q88" s="2"/>
    </row>
    <row r="89" spans="1:18" ht="15.75" customHeight="1">
      <c r="A89" s="236">
        <v>21</v>
      </c>
      <c r="B89" s="240" t="s">
        <v>1329</v>
      </c>
      <c r="C89" s="240" t="s">
        <v>27</v>
      </c>
      <c r="D89" s="240" t="s">
        <v>363</v>
      </c>
      <c r="E89" s="240" t="s">
        <v>84</v>
      </c>
      <c r="F89" s="240"/>
      <c r="G89" s="240" t="s">
        <v>30</v>
      </c>
      <c r="H89" s="244">
        <v>500</v>
      </c>
      <c r="I89" s="243" t="s">
        <v>90</v>
      </c>
      <c r="J89" s="236" t="s">
        <v>31</v>
      </c>
      <c r="K89" s="276" t="s">
        <v>32</v>
      </c>
      <c r="L89" s="2"/>
      <c r="M89" s="2">
        <v>600</v>
      </c>
      <c r="N89" s="222"/>
      <c r="O89" s="2"/>
      <c r="P89" s="2"/>
      <c r="Q89" s="2"/>
    </row>
    <row r="90" spans="1:18" ht="15.75" customHeight="1">
      <c r="A90" s="236">
        <v>21</v>
      </c>
      <c r="B90" s="240" t="s">
        <v>1329</v>
      </c>
      <c r="C90" s="240" t="s">
        <v>27</v>
      </c>
      <c r="D90" s="240" t="s">
        <v>363</v>
      </c>
      <c r="E90" s="240" t="s">
        <v>84</v>
      </c>
      <c r="F90" s="240"/>
      <c r="G90" s="240" t="s">
        <v>30</v>
      </c>
      <c r="H90" s="244">
        <v>200</v>
      </c>
      <c r="I90" s="243">
        <v>80</v>
      </c>
      <c r="J90" s="236" t="s">
        <v>31</v>
      </c>
      <c r="K90" s="276" t="s">
        <v>32</v>
      </c>
      <c r="L90" s="2"/>
      <c r="M90" s="2"/>
      <c r="N90" s="221"/>
      <c r="O90" s="2"/>
      <c r="P90" s="2"/>
      <c r="Q90" s="2"/>
    </row>
    <row r="91" spans="1:18" ht="15.75" customHeight="1">
      <c r="A91" s="236">
        <v>21</v>
      </c>
      <c r="B91" s="240" t="s">
        <v>1329</v>
      </c>
      <c r="C91" s="240" t="s">
        <v>27</v>
      </c>
      <c r="D91" s="240" t="s">
        <v>363</v>
      </c>
      <c r="E91" s="240" t="s">
        <v>84</v>
      </c>
      <c r="F91" s="233"/>
      <c r="G91" s="277" t="s">
        <v>1300</v>
      </c>
      <c r="H91" s="234">
        <v>10</v>
      </c>
      <c r="I91" s="235">
        <v>100</v>
      </c>
      <c r="J91" s="236" t="s">
        <v>31</v>
      </c>
      <c r="K91" s="276" t="s">
        <v>32</v>
      </c>
      <c r="L91" s="2"/>
      <c r="M91" s="2"/>
      <c r="N91" s="223"/>
      <c r="O91" s="2"/>
      <c r="P91" s="55"/>
      <c r="Q91" s="2"/>
    </row>
    <row r="92" spans="1:18" ht="15.75" customHeight="1">
      <c r="A92" s="236">
        <v>22</v>
      </c>
      <c r="B92" s="236" t="s">
        <v>1330</v>
      </c>
      <c r="C92" s="236" t="s">
        <v>27</v>
      </c>
      <c r="D92" s="236" t="s">
        <v>128</v>
      </c>
      <c r="E92" s="236" t="s">
        <v>44</v>
      </c>
      <c r="F92" s="236"/>
      <c r="G92" s="236" t="s">
        <v>30</v>
      </c>
      <c r="H92" s="247">
        <v>400</v>
      </c>
      <c r="I92" s="239">
        <v>120</v>
      </c>
      <c r="J92" s="236" t="s">
        <v>31</v>
      </c>
      <c r="K92" s="276" t="s">
        <v>32</v>
      </c>
      <c r="L92" s="2"/>
      <c r="M92" s="2">
        <v>100</v>
      </c>
      <c r="N92" s="224"/>
      <c r="O92" s="2"/>
      <c r="P92" s="55"/>
      <c r="Q92" s="2"/>
    </row>
    <row r="93" spans="1:18" ht="15.75" customHeight="1">
      <c r="A93" s="236">
        <v>22</v>
      </c>
      <c r="B93" s="240" t="s">
        <v>1331</v>
      </c>
      <c r="C93" s="240" t="s">
        <v>27</v>
      </c>
      <c r="D93" s="240" t="s">
        <v>108</v>
      </c>
      <c r="E93" s="240" t="s">
        <v>44</v>
      </c>
      <c r="F93" s="240"/>
      <c r="G93" s="240" t="s">
        <v>30</v>
      </c>
      <c r="H93" s="244">
        <v>1000</v>
      </c>
      <c r="I93" s="243">
        <v>400</v>
      </c>
      <c r="J93" s="236" t="s">
        <v>31</v>
      </c>
      <c r="K93" s="276" t="s">
        <v>32</v>
      </c>
      <c r="L93" s="2"/>
      <c r="M93" s="2">
        <v>50</v>
      </c>
      <c r="N93" s="223"/>
      <c r="O93" s="2"/>
      <c r="P93" s="55"/>
      <c r="Q93" s="2"/>
    </row>
    <row r="94" spans="1:18" ht="15.75" customHeight="1">
      <c r="A94" s="236">
        <v>22</v>
      </c>
      <c r="B94" s="240" t="s">
        <v>1332</v>
      </c>
      <c r="C94" s="240" t="s">
        <v>27</v>
      </c>
      <c r="D94" s="240" t="s">
        <v>108</v>
      </c>
      <c r="E94" s="240" t="s">
        <v>36</v>
      </c>
      <c r="F94" s="240"/>
      <c r="G94" s="240" t="s">
        <v>30</v>
      </c>
      <c r="H94" s="244">
        <v>1000</v>
      </c>
      <c r="I94" s="243">
        <v>400</v>
      </c>
      <c r="J94" s="236" t="s">
        <v>31</v>
      </c>
      <c r="K94" s="276" t="s">
        <v>32</v>
      </c>
      <c r="L94" s="2"/>
      <c r="M94" s="2">
        <v>300</v>
      </c>
      <c r="N94" s="221"/>
      <c r="O94" s="2"/>
      <c r="P94" s="2"/>
      <c r="Q94" s="2"/>
    </row>
    <row r="95" spans="1:18" ht="15.75" customHeight="1">
      <c r="A95" s="236">
        <v>22</v>
      </c>
      <c r="B95" s="240" t="s">
        <v>1333</v>
      </c>
      <c r="C95" s="240" t="s">
        <v>27</v>
      </c>
      <c r="D95" s="240" t="s">
        <v>108</v>
      </c>
      <c r="E95" s="240" t="s">
        <v>36</v>
      </c>
      <c r="F95" s="240"/>
      <c r="G95" s="240" t="s">
        <v>30</v>
      </c>
      <c r="H95" s="244">
        <v>1000</v>
      </c>
      <c r="I95" s="243">
        <v>200</v>
      </c>
      <c r="J95" s="236" t="s">
        <v>31</v>
      </c>
      <c r="K95" s="276" t="s">
        <v>32</v>
      </c>
      <c r="L95" s="2"/>
      <c r="M95" s="2">
        <v>200</v>
      </c>
      <c r="N95" s="225"/>
      <c r="O95" s="2"/>
      <c r="P95" s="2"/>
      <c r="Q95" s="2"/>
    </row>
    <row r="96" spans="1:18" ht="15.75" customHeight="1">
      <c r="A96" s="236">
        <v>22</v>
      </c>
      <c r="B96" s="240" t="s">
        <v>1334</v>
      </c>
      <c r="C96" s="240" t="s">
        <v>27</v>
      </c>
      <c r="D96" s="240" t="s">
        <v>108</v>
      </c>
      <c r="E96" s="240" t="s">
        <v>36</v>
      </c>
      <c r="F96" s="240"/>
      <c r="G96" s="240" t="s">
        <v>30</v>
      </c>
      <c r="H96" s="244">
        <v>2000</v>
      </c>
      <c r="I96" s="243">
        <v>400</v>
      </c>
      <c r="J96" s="236" t="s">
        <v>31</v>
      </c>
      <c r="K96" s="276" t="s">
        <v>32</v>
      </c>
      <c r="L96" s="2"/>
      <c r="M96" s="2">
        <v>600</v>
      </c>
      <c r="N96" s="225"/>
      <c r="O96" s="2"/>
      <c r="P96" s="2"/>
      <c r="Q96" s="2"/>
    </row>
    <row r="97" spans="1:17" ht="15.75" customHeight="1">
      <c r="A97" s="236">
        <v>22</v>
      </c>
      <c r="B97" s="240" t="s">
        <v>753</v>
      </c>
      <c r="C97" s="240" t="s">
        <v>27</v>
      </c>
      <c r="D97" s="240" t="s">
        <v>108</v>
      </c>
      <c r="E97" s="240" t="s">
        <v>36</v>
      </c>
      <c r="F97" s="240"/>
      <c r="G97" s="240" t="s">
        <v>30</v>
      </c>
      <c r="H97" s="244">
        <v>5500</v>
      </c>
      <c r="I97" s="243">
        <v>1100</v>
      </c>
      <c r="J97" s="236" t="s">
        <v>31</v>
      </c>
      <c r="K97" s="276" t="s">
        <v>32</v>
      </c>
      <c r="L97" s="2"/>
      <c r="M97" s="2">
        <v>1000</v>
      </c>
      <c r="N97" s="225"/>
      <c r="O97" s="2"/>
      <c r="P97" s="2"/>
      <c r="Q97" s="2"/>
    </row>
    <row r="98" spans="1:17" ht="15.75" customHeight="1">
      <c r="A98" s="236">
        <v>22</v>
      </c>
      <c r="B98" s="240" t="s">
        <v>753</v>
      </c>
      <c r="C98" s="240" t="s">
        <v>27</v>
      </c>
      <c r="D98" s="240" t="s">
        <v>108</v>
      </c>
      <c r="E98" s="240" t="s">
        <v>36</v>
      </c>
      <c r="F98" s="240"/>
      <c r="G98" s="240" t="s">
        <v>30</v>
      </c>
      <c r="H98" s="244">
        <v>500</v>
      </c>
      <c r="I98" s="243" t="s">
        <v>90</v>
      </c>
      <c r="J98" s="236" t="s">
        <v>31</v>
      </c>
      <c r="K98" s="276" t="s">
        <v>32</v>
      </c>
      <c r="L98" s="2"/>
      <c r="M98" s="2"/>
      <c r="N98" s="221"/>
      <c r="O98" s="2"/>
      <c r="P98" s="2"/>
      <c r="Q98" s="2"/>
    </row>
    <row r="99" spans="1:17" ht="15.75" customHeight="1">
      <c r="A99" s="236">
        <v>22</v>
      </c>
      <c r="B99" s="240" t="s">
        <v>1335</v>
      </c>
      <c r="C99" s="240" t="s">
        <v>27</v>
      </c>
      <c r="D99" s="240" t="s">
        <v>98</v>
      </c>
      <c r="E99" s="240" t="s">
        <v>36</v>
      </c>
      <c r="F99" s="240"/>
      <c r="G99" s="240" t="s">
        <v>30</v>
      </c>
      <c r="H99" s="244">
        <v>1500</v>
      </c>
      <c r="I99" s="243">
        <v>300</v>
      </c>
      <c r="J99" s="236" t="s">
        <v>31</v>
      </c>
      <c r="K99" s="276" t="s">
        <v>32</v>
      </c>
      <c r="L99" s="2"/>
      <c r="M99" s="2">
        <f>1500/5</f>
        <v>300</v>
      </c>
      <c r="N99" s="224"/>
      <c r="O99" s="2"/>
      <c r="P99" s="2"/>
      <c r="Q99" s="2"/>
    </row>
    <row r="100" spans="1:17" ht="15.75" customHeight="1">
      <c r="A100" s="236">
        <v>22</v>
      </c>
      <c r="B100" s="240" t="s">
        <v>1336</v>
      </c>
      <c r="C100" s="240" t="s">
        <v>27</v>
      </c>
      <c r="D100" s="240" t="s">
        <v>1337</v>
      </c>
      <c r="E100" s="240" t="s">
        <v>36</v>
      </c>
      <c r="F100" s="240"/>
      <c r="G100" s="240" t="s">
        <v>30</v>
      </c>
      <c r="H100" s="244">
        <v>300</v>
      </c>
      <c r="I100" s="243">
        <v>120</v>
      </c>
      <c r="J100" s="236" t="s">
        <v>31</v>
      </c>
      <c r="K100" s="276" t="s">
        <v>32</v>
      </c>
      <c r="L100" s="2"/>
      <c r="M100" s="2">
        <v>100</v>
      </c>
      <c r="N100" s="224"/>
      <c r="O100" s="2"/>
      <c r="P100" s="2"/>
      <c r="Q100" s="2"/>
    </row>
    <row r="101" spans="1:17" ht="15.75" customHeight="1">
      <c r="A101" s="236">
        <v>22</v>
      </c>
      <c r="B101" s="240" t="s">
        <v>1338</v>
      </c>
      <c r="C101" s="240" t="s">
        <v>27</v>
      </c>
      <c r="D101" s="240" t="s">
        <v>659</v>
      </c>
      <c r="E101" s="240" t="s">
        <v>86</v>
      </c>
      <c r="F101" s="240"/>
      <c r="G101" s="240" t="s">
        <v>30</v>
      </c>
      <c r="H101" s="244">
        <v>200</v>
      </c>
      <c r="I101" s="243">
        <v>60</v>
      </c>
      <c r="J101" s="236" t="s">
        <v>31</v>
      </c>
      <c r="K101" s="276" t="s">
        <v>32</v>
      </c>
      <c r="L101" s="2"/>
      <c r="M101" s="2">
        <v>150</v>
      </c>
      <c r="N101" s="224"/>
      <c r="O101" s="760" t="s">
        <v>1339</v>
      </c>
      <c r="P101" s="719"/>
      <c r="Q101" s="2"/>
    </row>
    <row r="102" spans="1:17" ht="15.75" customHeight="1">
      <c r="A102" s="236">
        <v>22</v>
      </c>
      <c r="B102" s="233" t="s">
        <v>1268</v>
      </c>
      <c r="C102" s="233" t="s">
        <v>27</v>
      </c>
      <c r="D102" s="233" t="s">
        <v>604</v>
      </c>
      <c r="E102" s="233" t="s">
        <v>51</v>
      </c>
      <c r="F102" s="233"/>
      <c r="G102" s="233" t="s">
        <v>30</v>
      </c>
      <c r="H102" s="234">
        <v>1600</v>
      </c>
      <c r="I102" s="235">
        <v>480</v>
      </c>
      <c r="J102" s="236" t="s">
        <v>31</v>
      </c>
      <c r="K102" s="276" t="s">
        <v>32</v>
      </c>
      <c r="L102" s="2"/>
      <c r="M102" s="2">
        <v>300</v>
      </c>
      <c r="N102" s="2"/>
      <c r="O102" s="729" t="s">
        <v>25</v>
      </c>
      <c r="P102" s="719"/>
      <c r="Q102" s="2"/>
    </row>
    <row r="103" spans="1:17" ht="15.75" customHeight="1">
      <c r="A103" s="236">
        <v>23</v>
      </c>
      <c r="B103" s="236" t="s">
        <v>1340</v>
      </c>
      <c r="C103" s="236" t="s">
        <v>27</v>
      </c>
      <c r="D103" s="236" t="s">
        <v>65</v>
      </c>
      <c r="E103" s="236" t="s">
        <v>36</v>
      </c>
      <c r="F103" s="236"/>
      <c r="G103" s="236" t="s">
        <v>30</v>
      </c>
      <c r="H103" s="247">
        <v>4000</v>
      </c>
      <c r="I103" s="239">
        <v>800</v>
      </c>
      <c r="J103" s="236" t="s">
        <v>31</v>
      </c>
      <c r="K103" s="276" t="s">
        <v>32</v>
      </c>
      <c r="L103" s="2"/>
      <c r="M103" s="2">
        <v>1000</v>
      </c>
      <c r="N103" s="2"/>
      <c r="O103" s="68" t="s">
        <v>33</v>
      </c>
      <c r="P103" s="69">
        <v>30800</v>
      </c>
      <c r="Q103" s="55">
        <f>H85+H86+H87+H88+H90+H92+H93+H94+H95+H96+H97+H99+H100+H101+H102+H103+H104+H107+H108+H109+H110</f>
        <v>30800</v>
      </c>
    </row>
    <row r="104" spans="1:17" ht="15.75" customHeight="1">
      <c r="A104" s="236">
        <v>23</v>
      </c>
      <c r="B104" s="240" t="s">
        <v>1341</v>
      </c>
      <c r="C104" s="240" t="s">
        <v>39</v>
      </c>
      <c r="D104" s="240" t="s">
        <v>108</v>
      </c>
      <c r="E104" s="240" t="s">
        <v>36</v>
      </c>
      <c r="F104" s="240"/>
      <c r="G104" s="240" t="s">
        <v>30</v>
      </c>
      <c r="H104" s="244">
        <v>2000</v>
      </c>
      <c r="I104" s="243">
        <v>400</v>
      </c>
      <c r="J104" s="236" t="s">
        <v>31</v>
      </c>
      <c r="K104" s="276" t="s">
        <v>32</v>
      </c>
      <c r="L104" s="2"/>
      <c r="M104" s="2">
        <f>2500/5</f>
        <v>500</v>
      </c>
      <c r="N104" s="2"/>
      <c r="O104" s="68" t="s">
        <v>37</v>
      </c>
      <c r="P104" s="69">
        <v>93500</v>
      </c>
      <c r="Q104" s="55">
        <f>92000+H89+H98+H105</f>
        <v>93500</v>
      </c>
    </row>
    <row r="105" spans="1:17" ht="15.75" customHeight="1">
      <c r="A105" s="236">
        <v>23</v>
      </c>
      <c r="B105" s="240" t="s">
        <v>1341</v>
      </c>
      <c r="C105" s="240" t="s">
        <v>39</v>
      </c>
      <c r="D105" s="240" t="s">
        <v>108</v>
      </c>
      <c r="E105" s="240" t="s">
        <v>36</v>
      </c>
      <c r="F105" s="233"/>
      <c r="G105" s="233" t="s">
        <v>30</v>
      </c>
      <c r="H105" s="234">
        <v>500</v>
      </c>
      <c r="I105" s="235" t="s">
        <v>90</v>
      </c>
      <c r="J105" s="236" t="s">
        <v>31</v>
      </c>
      <c r="K105" s="276" t="s">
        <v>32</v>
      </c>
      <c r="L105" s="2"/>
      <c r="M105" s="2"/>
      <c r="N105" s="2"/>
      <c r="O105" s="68" t="s">
        <v>282</v>
      </c>
      <c r="P105" s="69">
        <v>124300</v>
      </c>
      <c r="Q105" s="55">
        <f>SUM(Q103:Q104)</f>
        <v>124300</v>
      </c>
    </row>
    <row r="106" spans="1:17" ht="15.75" customHeight="1">
      <c r="A106" s="236">
        <v>24</v>
      </c>
      <c r="B106" s="236" t="s">
        <v>1342</v>
      </c>
      <c r="C106" s="236" t="s">
        <v>27</v>
      </c>
      <c r="D106" s="236" t="s">
        <v>1343</v>
      </c>
      <c r="E106" s="236" t="s">
        <v>191</v>
      </c>
      <c r="F106" s="236"/>
      <c r="G106" s="278" t="s">
        <v>1300</v>
      </c>
      <c r="H106" s="247">
        <v>33</v>
      </c>
      <c r="I106" s="239">
        <v>330</v>
      </c>
      <c r="J106" s="236" t="s">
        <v>31</v>
      </c>
      <c r="K106" s="276" t="s">
        <v>32</v>
      </c>
      <c r="L106" s="2"/>
      <c r="M106" s="2"/>
      <c r="N106" s="2"/>
      <c r="O106" s="729" t="s">
        <v>286</v>
      </c>
      <c r="P106" s="719"/>
      <c r="Q106" s="2"/>
    </row>
    <row r="107" spans="1:17" ht="15.75" customHeight="1">
      <c r="A107" s="236">
        <v>24</v>
      </c>
      <c r="B107" s="240" t="s">
        <v>1344</v>
      </c>
      <c r="C107" s="240" t="s">
        <v>27</v>
      </c>
      <c r="D107" s="240" t="s">
        <v>1345</v>
      </c>
      <c r="E107" s="240" t="s">
        <v>223</v>
      </c>
      <c r="F107" s="240"/>
      <c r="G107" s="240" t="s">
        <v>30</v>
      </c>
      <c r="H107" s="244">
        <v>500</v>
      </c>
      <c r="I107" s="243">
        <v>100</v>
      </c>
      <c r="J107" s="240" t="s">
        <v>31</v>
      </c>
      <c r="K107" s="272" t="s">
        <v>32</v>
      </c>
      <c r="L107" s="2"/>
      <c r="M107" s="2">
        <v>100</v>
      </c>
      <c r="N107" s="2"/>
      <c r="O107" s="68" t="s">
        <v>1346</v>
      </c>
      <c r="P107" s="68">
        <v>43</v>
      </c>
      <c r="Q107" s="2"/>
    </row>
    <row r="108" spans="1:17" ht="15.75" customHeight="1">
      <c r="A108" s="236">
        <v>24</v>
      </c>
      <c r="B108" s="240" t="s">
        <v>1347</v>
      </c>
      <c r="C108" s="240" t="s">
        <v>27</v>
      </c>
      <c r="D108" s="240" t="s">
        <v>256</v>
      </c>
      <c r="E108" s="240" t="s">
        <v>245</v>
      </c>
      <c r="F108" s="240"/>
      <c r="G108" s="240" t="s">
        <v>30</v>
      </c>
      <c r="H108" s="244">
        <v>1500</v>
      </c>
      <c r="I108" s="243">
        <v>300</v>
      </c>
      <c r="J108" s="240" t="s">
        <v>31</v>
      </c>
      <c r="K108" s="272" t="s">
        <v>32</v>
      </c>
      <c r="L108" s="2"/>
      <c r="M108" s="2">
        <v>300</v>
      </c>
      <c r="N108" s="2"/>
      <c r="O108" s="2"/>
      <c r="P108" s="2"/>
      <c r="Q108" s="2"/>
    </row>
    <row r="109" spans="1:17" ht="15.75" customHeight="1">
      <c r="A109" s="236">
        <v>24</v>
      </c>
      <c r="B109" s="240" t="s">
        <v>1348</v>
      </c>
      <c r="C109" s="240" t="s">
        <v>27</v>
      </c>
      <c r="D109" s="240" t="s">
        <v>108</v>
      </c>
      <c r="E109" s="240" t="s">
        <v>36</v>
      </c>
      <c r="F109" s="240"/>
      <c r="G109" s="240" t="s">
        <v>30</v>
      </c>
      <c r="H109" s="244">
        <v>3000</v>
      </c>
      <c r="I109" s="243">
        <v>600</v>
      </c>
      <c r="J109" s="240" t="s">
        <v>31</v>
      </c>
      <c r="K109" s="272" t="s">
        <v>32</v>
      </c>
      <c r="L109" s="2"/>
      <c r="M109" s="2">
        <f>3000/5</f>
        <v>600</v>
      </c>
      <c r="N109" s="2"/>
      <c r="O109" s="2"/>
      <c r="P109" s="2"/>
      <c r="Q109" s="2"/>
    </row>
    <row r="110" spans="1:17" ht="15.75" customHeight="1">
      <c r="A110" s="236">
        <v>24</v>
      </c>
      <c r="B110" s="233" t="s">
        <v>1349</v>
      </c>
      <c r="C110" s="233" t="s">
        <v>27</v>
      </c>
      <c r="D110" s="233" t="s">
        <v>205</v>
      </c>
      <c r="E110" s="233" t="s">
        <v>191</v>
      </c>
      <c r="F110" s="233"/>
      <c r="G110" s="233" t="s">
        <v>30</v>
      </c>
      <c r="H110" s="234">
        <v>500</v>
      </c>
      <c r="I110" s="235">
        <v>200</v>
      </c>
      <c r="J110" s="233" t="s">
        <v>31</v>
      </c>
      <c r="K110" s="279" t="s">
        <v>32</v>
      </c>
      <c r="L110" s="2"/>
      <c r="M110" s="2">
        <f>500/5</f>
        <v>100</v>
      </c>
      <c r="N110" s="2"/>
      <c r="O110" s="2"/>
      <c r="P110" s="2"/>
      <c r="Q110" s="2"/>
    </row>
    <row r="111" spans="1:17" ht="15.75" customHeight="1">
      <c r="A111" s="62">
        <v>25</v>
      </c>
      <c r="B111" s="62" t="s">
        <v>1350</v>
      </c>
      <c r="C111" s="62" t="s">
        <v>27</v>
      </c>
      <c r="D111" s="62" t="s">
        <v>593</v>
      </c>
      <c r="E111" s="62" t="s">
        <v>169</v>
      </c>
      <c r="F111" s="62"/>
      <c r="G111" s="62" t="s">
        <v>30</v>
      </c>
      <c r="H111" s="63">
        <v>1500</v>
      </c>
      <c r="I111" s="159">
        <v>600</v>
      </c>
      <c r="J111" s="62" t="s">
        <v>31</v>
      </c>
      <c r="K111" s="280" t="s">
        <v>32</v>
      </c>
      <c r="L111" s="2"/>
      <c r="M111" s="2">
        <f>1500/5</f>
        <v>300</v>
      </c>
      <c r="N111" s="2"/>
      <c r="O111" s="2"/>
      <c r="P111" s="2"/>
      <c r="Q111" s="2"/>
    </row>
    <row r="112" spans="1:17" ht="15.75" customHeight="1">
      <c r="A112" s="62">
        <v>25</v>
      </c>
      <c r="B112" s="48" t="s">
        <v>1351</v>
      </c>
      <c r="C112" s="48" t="s">
        <v>27</v>
      </c>
      <c r="D112" s="48" t="s">
        <v>623</v>
      </c>
      <c r="E112" s="48" t="s">
        <v>44</v>
      </c>
      <c r="F112" s="48"/>
      <c r="G112" s="48" t="s">
        <v>30</v>
      </c>
      <c r="H112" s="51">
        <v>200</v>
      </c>
      <c r="I112" s="119">
        <v>80</v>
      </c>
      <c r="J112" s="62" t="s">
        <v>31</v>
      </c>
      <c r="K112" s="280" t="s">
        <v>32</v>
      </c>
      <c r="L112" s="2"/>
      <c r="M112" s="2">
        <f>200/4</f>
        <v>50</v>
      </c>
      <c r="N112" s="2"/>
      <c r="O112" s="2"/>
      <c r="P112" s="2"/>
      <c r="Q112" s="2"/>
    </row>
    <row r="113" spans="1:17" ht="15.75" customHeight="1">
      <c r="A113" s="62">
        <v>25</v>
      </c>
      <c r="B113" s="48" t="s">
        <v>1352</v>
      </c>
      <c r="C113" s="48" t="s">
        <v>27</v>
      </c>
      <c r="D113" s="48" t="s">
        <v>623</v>
      </c>
      <c r="E113" s="48" t="s">
        <v>44</v>
      </c>
      <c r="F113" s="48"/>
      <c r="G113" s="48" t="s">
        <v>30</v>
      </c>
      <c r="H113" s="51">
        <v>100</v>
      </c>
      <c r="I113" s="119">
        <v>40</v>
      </c>
      <c r="J113" s="62" t="s">
        <v>31</v>
      </c>
      <c r="K113" s="280" t="s">
        <v>32</v>
      </c>
      <c r="L113" s="2"/>
      <c r="M113" s="2">
        <v>40</v>
      </c>
      <c r="N113" s="2"/>
      <c r="O113" s="2"/>
      <c r="P113" s="2"/>
      <c r="Q113" s="2"/>
    </row>
    <row r="114" spans="1:17" ht="15.75" customHeight="1">
      <c r="A114" s="62">
        <v>25</v>
      </c>
      <c r="B114" s="48" t="s">
        <v>1352</v>
      </c>
      <c r="C114" s="48" t="s">
        <v>27</v>
      </c>
      <c r="D114" s="48" t="s">
        <v>623</v>
      </c>
      <c r="E114" s="48" t="s">
        <v>44</v>
      </c>
      <c r="F114" s="48"/>
      <c r="G114" s="48" t="s">
        <v>1300</v>
      </c>
      <c r="H114" s="51">
        <v>10</v>
      </c>
      <c r="I114" s="119">
        <v>100</v>
      </c>
      <c r="J114" s="62" t="s">
        <v>31</v>
      </c>
      <c r="K114" s="280" t="s">
        <v>32</v>
      </c>
      <c r="L114" s="2"/>
      <c r="M114" s="2"/>
      <c r="N114" s="2"/>
      <c r="O114" s="2"/>
      <c r="P114" s="2"/>
      <c r="Q114" s="2"/>
    </row>
    <row r="115" spans="1:17" ht="15.75" customHeight="1">
      <c r="A115" s="62">
        <v>25</v>
      </c>
      <c r="B115" s="48" t="s">
        <v>924</v>
      </c>
      <c r="C115" s="48" t="s">
        <v>39</v>
      </c>
      <c r="D115" s="48" t="s">
        <v>760</v>
      </c>
      <c r="E115" s="48" t="s">
        <v>209</v>
      </c>
      <c r="F115" s="48"/>
      <c r="G115" s="48" t="s">
        <v>30</v>
      </c>
      <c r="H115" s="51">
        <v>25000</v>
      </c>
      <c r="I115" s="119">
        <v>5000</v>
      </c>
      <c r="J115" s="62" t="s">
        <v>31</v>
      </c>
      <c r="K115" s="280" t="s">
        <v>32</v>
      </c>
      <c r="L115" s="2"/>
      <c r="M115" s="2">
        <f>25000/5</f>
        <v>5000</v>
      </c>
      <c r="N115" s="2"/>
      <c r="O115" s="2"/>
      <c r="P115" s="2"/>
      <c r="Q115" s="2"/>
    </row>
    <row r="116" spans="1:17" ht="15.75" customHeight="1">
      <c r="A116" s="62">
        <v>25</v>
      </c>
      <c r="B116" s="48" t="s">
        <v>1353</v>
      </c>
      <c r="C116" s="48" t="s">
        <v>39</v>
      </c>
      <c r="D116" s="48" t="s">
        <v>108</v>
      </c>
      <c r="E116" s="48" t="s">
        <v>44</v>
      </c>
      <c r="F116" s="48"/>
      <c r="G116" s="48" t="s">
        <v>30</v>
      </c>
      <c r="H116" s="51">
        <v>1000</v>
      </c>
      <c r="I116" s="119">
        <v>200</v>
      </c>
      <c r="J116" s="62" t="s">
        <v>31</v>
      </c>
      <c r="K116" s="280" t="s">
        <v>32</v>
      </c>
      <c r="L116" s="2"/>
      <c r="M116" s="2">
        <f>1000/5</f>
        <v>200</v>
      </c>
      <c r="N116" s="2"/>
      <c r="O116" s="2"/>
      <c r="P116" s="2"/>
      <c r="Q116" s="2"/>
    </row>
    <row r="117" spans="1:17" ht="15.75" customHeight="1">
      <c r="A117" s="62">
        <v>25</v>
      </c>
      <c r="B117" s="58" t="s">
        <v>1354</v>
      </c>
      <c r="C117" s="58" t="s">
        <v>39</v>
      </c>
      <c r="D117" s="58" t="s">
        <v>96</v>
      </c>
      <c r="E117" s="58" t="s">
        <v>44</v>
      </c>
      <c r="F117" s="58"/>
      <c r="G117" s="58" t="s">
        <v>30</v>
      </c>
      <c r="H117" s="59">
        <v>300</v>
      </c>
      <c r="I117" s="160">
        <v>90</v>
      </c>
      <c r="J117" s="62" t="s">
        <v>31</v>
      </c>
      <c r="K117" s="280" t="s">
        <v>32</v>
      </c>
      <c r="L117" s="2"/>
      <c r="M117" s="2">
        <v>50</v>
      </c>
      <c r="N117" s="2"/>
      <c r="O117" s="2"/>
      <c r="P117" s="2"/>
      <c r="Q117" s="2"/>
    </row>
    <row r="118" spans="1:17" ht="15.75" customHeight="1">
      <c r="A118" s="62">
        <v>26</v>
      </c>
      <c r="B118" s="62" t="s">
        <v>1355</v>
      </c>
      <c r="C118" s="62" t="s">
        <v>27</v>
      </c>
      <c r="D118" s="62" t="s">
        <v>593</v>
      </c>
      <c r="E118" s="62" t="s">
        <v>169</v>
      </c>
      <c r="F118" s="62"/>
      <c r="G118" s="62" t="s">
        <v>30</v>
      </c>
      <c r="H118" s="63">
        <v>2500</v>
      </c>
      <c r="I118" s="159">
        <v>500</v>
      </c>
      <c r="J118" s="62" t="s">
        <v>31</v>
      </c>
      <c r="K118" s="280" t="s">
        <v>32</v>
      </c>
      <c r="L118" s="2"/>
      <c r="M118" s="2">
        <f>3000/5</f>
        <v>600</v>
      </c>
      <c r="N118" s="2"/>
      <c r="O118" s="2"/>
      <c r="P118" s="2"/>
      <c r="Q118" s="2"/>
    </row>
    <row r="119" spans="1:17" ht="15.75" customHeight="1">
      <c r="A119" s="62">
        <v>26</v>
      </c>
      <c r="B119" s="62" t="s">
        <v>1355</v>
      </c>
      <c r="C119" s="62" t="s">
        <v>27</v>
      </c>
      <c r="D119" s="62" t="s">
        <v>593</v>
      </c>
      <c r="E119" s="62" t="s">
        <v>169</v>
      </c>
      <c r="F119" s="48"/>
      <c r="G119" s="48" t="s">
        <v>30</v>
      </c>
      <c r="H119" s="51">
        <v>500</v>
      </c>
      <c r="I119" s="119" t="s">
        <v>90</v>
      </c>
      <c r="J119" s="62" t="s">
        <v>31</v>
      </c>
      <c r="K119" s="280" t="s">
        <v>32</v>
      </c>
      <c r="L119" s="2"/>
      <c r="M119" s="2"/>
      <c r="N119" s="2"/>
      <c r="O119" s="2"/>
      <c r="P119" s="2"/>
      <c r="Q119" s="2"/>
    </row>
    <row r="120" spans="1:17" ht="15.75" customHeight="1">
      <c r="A120" s="62">
        <v>26</v>
      </c>
      <c r="B120" s="48" t="s">
        <v>1356</v>
      </c>
      <c r="C120" s="48" t="s">
        <v>27</v>
      </c>
      <c r="D120" s="48" t="s">
        <v>96</v>
      </c>
      <c r="E120" s="48" t="s">
        <v>44</v>
      </c>
      <c r="F120" s="48"/>
      <c r="G120" s="48" t="s">
        <v>30</v>
      </c>
      <c r="H120" s="51">
        <v>500</v>
      </c>
      <c r="I120" s="119">
        <v>100</v>
      </c>
      <c r="J120" s="62" t="s">
        <v>31</v>
      </c>
      <c r="K120" s="280" t="s">
        <v>32</v>
      </c>
      <c r="L120" s="2"/>
      <c r="M120" s="2">
        <v>100</v>
      </c>
      <c r="N120" s="2"/>
      <c r="O120" s="2"/>
      <c r="P120" s="2"/>
      <c r="Q120" s="2"/>
    </row>
    <row r="121" spans="1:17" ht="15.75" customHeight="1">
      <c r="A121" s="62">
        <v>26</v>
      </c>
      <c r="B121" s="48" t="s">
        <v>1357</v>
      </c>
      <c r="C121" s="48" t="s">
        <v>27</v>
      </c>
      <c r="D121" s="48" t="s">
        <v>495</v>
      </c>
      <c r="E121" s="48" t="s">
        <v>245</v>
      </c>
      <c r="F121" s="48"/>
      <c r="G121" s="48" t="s">
        <v>30</v>
      </c>
      <c r="H121" s="51">
        <v>100</v>
      </c>
      <c r="I121" s="119">
        <v>20</v>
      </c>
      <c r="J121" s="62" t="s">
        <v>31</v>
      </c>
      <c r="K121" s="280" t="s">
        <v>32</v>
      </c>
      <c r="L121" s="2"/>
      <c r="M121" s="2">
        <v>20</v>
      </c>
      <c r="N121" s="2"/>
      <c r="O121" s="2"/>
      <c r="P121" s="2"/>
      <c r="Q121" s="2"/>
    </row>
    <row r="122" spans="1:17" ht="15.75" customHeight="1">
      <c r="A122" s="62">
        <v>26</v>
      </c>
      <c r="B122" s="48" t="s">
        <v>1358</v>
      </c>
      <c r="C122" s="48" t="s">
        <v>27</v>
      </c>
      <c r="D122" s="48" t="s">
        <v>1359</v>
      </c>
      <c r="E122" s="48" t="s">
        <v>51</v>
      </c>
      <c r="F122" s="48"/>
      <c r="G122" s="48" t="s">
        <v>30</v>
      </c>
      <c r="H122" s="51">
        <v>600</v>
      </c>
      <c r="I122" s="119">
        <v>120</v>
      </c>
      <c r="J122" s="62" t="s">
        <v>31</v>
      </c>
      <c r="K122" s="280" t="s">
        <v>32</v>
      </c>
      <c r="L122" s="2"/>
      <c r="M122" s="2">
        <v>120</v>
      </c>
      <c r="N122" s="2"/>
      <c r="O122" s="2"/>
      <c r="P122" s="2"/>
      <c r="Q122" s="2"/>
    </row>
    <row r="123" spans="1:17" ht="15.75" customHeight="1">
      <c r="A123" s="62">
        <v>26</v>
      </c>
      <c r="B123" s="48" t="s">
        <v>1360</v>
      </c>
      <c r="C123" s="48" t="s">
        <v>27</v>
      </c>
      <c r="D123" s="48" t="s">
        <v>363</v>
      </c>
      <c r="E123" s="48" t="s">
        <v>84</v>
      </c>
      <c r="F123" s="48"/>
      <c r="G123" s="48" t="s">
        <v>30</v>
      </c>
      <c r="H123" s="51">
        <v>2500</v>
      </c>
      <c r="I123" s="119">
        <v>1000</v>
      </c>
      <c r="J123" s="62" t="s">
        <v>31</v>
      </c>
      <c r="K123" s="280" t="s">
        <v>32</v>
      </c>
      <c r="L123" s="2"/>
      <c r="M123" s="2">
        <f>2500/5</f>
        <v>500</v>
      </c>
      <c r="N123" s="2"/>
      <c r="O123" s="2"/>
      <c r="P123" s="2"/>
      <c r="Q123" s="2"/>
    </row>
    <row r="124" spans="1:17" ht="15.75" customHeight="1">
      <c r="A124" s="62">
        <v>26</v>
      </c>
      <c r="B124" s="48" t="s">
        <v>1361</v>
      </c>
      <c r="C124" s="48" t="s">
        <v>27</v>
      </c>
      <c r="D124" s="48" t="s">
        <v>434</v>
      </c>
      <c r="E124" s="48" t="s">
        <v>36</v>
      </c>
      <c r="F124" s="48"/>
      <c r="G124" s="48" t="s">
        <v>30</v>
      </c>
      <c r="H124" s="51">
        <v>1000</v>
      </c>
      <c r="I124" s="119">
        <v>200</v>
      </c>
      <c r="J124" s="62" t="s">
        <v>31</v>
      </c>
      <c r="K124" s="280" t="s">
        <v>32</v>
      </c>
      <c r="L124" s="2"/>
      <c r="M124" s="2">
        <f>1500/5</f>
        <v>300</v>
      </c>
      <c r="N124" s="2"/>
      <c r="O124" s="2"/>
      <c r="P124" s="2"/>
      <c r="Q124" s="2"/>
    </row>
    <row r="125" spans="1:17" ht="15.75" customHeight="1">
      <c r="A125" s="62">
        <v>26</v>
      </c>
      <c r="B125" s="48" t="s">
        <v>1361</v>
      </c>
      <c r="C125" s="48" t="s">
        <v>27</v>
      </c>
      <c r="D125" s="48" t="s">
        <v>434</v>
      </c>
      <c r="E125" s="48" t="s">
        <v>36</v>
      </c>
      <c r="F125" s="48"/>
      <c r="G125" s="48" t="s">
        <v>30</v>
      </c>
      <c r="H125" s="51">
        <v>500</v>
      </c>
      <c r="I125" s="119" t="s">
        <v>90</v>
      </c>
      <c r="J125" s="62" t="s">
        <v>31</v>
      </c>
      <c r="K125" s="280" t="s">
        <v>32</v>
      </c>
      <c r="L125" s="2"/>
      <c r="M125" s="2"/>
      <c r="N125" s="2"/>
      <c r="O125" s="770" t="s">
        <v>1362</v>
      </c>
      <c r="P125" s="719"/>
      <c r="Q125" s="2"/>
    </row>
    <row r="126" spans="1:17" ht="15.75" customHeight="1">
      <c r="A126" s="62">
        <v>26</v>
      </c>
      <c r="B126" s="48" t="s">
        <v>1361</v>
      </c>
      <c r="C126" s="48" t="s">
        <v>27</v>
      </c>
      <c r="D126" s="48" t="s">
        <v>434</v>
      </c>
      <c r="E126" s="48" t="s">
        <v>36</v>
      </c>
      <c r="F126" s="48"/>
      <c r="G126" s="48" t="s">
        <v>1300</v>
      </c>
      <c r="H126" s="51">
        <v>10</v>
      </c>
      <c r="I126" s="119">
        <v>50</v>
      </c>
      <c r="J126" s="62" t="s">
        <v>31</v>
      </c>
      <c r="K126" s="280" t="s">
        <v>32</v>
      </c>
      <c r="L126" s="2"/>
      <c r="M126" s="2"/>
      <c r="N126" s="2"/>
      <c r="O126" s="733" t="s">
        <v>25</v>
      </c>
      <c r="P126" s="719"/>
      <c r="Q126" s="2"/>
    </row>
    <row r="127" spans="1:17" ht="15.75" customHeight="1">
      <c r="A127" s="62">
        <v>26</v>
      </c>
      <c r="B127" s="48" t="s">
        <v>1283</v>
      </c>
      <c r="C127" s="48" t="s">
        <v>27</v>
      </c>
      <c r="D127" s="48" t="s">
        <v>1363</v>
      </c>
      <c r="E127" s="48" t="s">
        <v>54</v>
      </c>
      <c r="F127" s="48"/>
      <c r="G127" s="48" t="s">
        <v>30</v>
      </c>
      <c r="H127" s="51">
        <v>1000</v>
      </c>
      <c r="I127" s="119">
        <v>200</v>
      </c>
      <c r="J127" s="62" t="s">
        <v>31</v>
      </c>
      <c r="K127" s="280" t="s">
        <v>32</v>
      </c>
      <c r="L127" s="2"/>
      <c r="M127" s="2">
        <v>1200</v>
      </c>
      <c r="N127" s="2"/>
      <c r="O127" s="68" t="s">
        <v>33</v>
      </c>
      <c r="P127" s="69">
        <v>47200</v>
      </c>
      <c r="Q127" s="55"/>
    </row>
    <row r="128" spans="1:17" ht="15.75" customHeight="1">
      <c r="A128" s="62">
        <v>26</v>
      </c>
      <c r="B128" s="58" t="s">
        <v>1364</v>
      </c>
      <c r="C128" s="58" t="s">
        <v>27</v>
      </c>
      <c r="D128" s="58" t="s">
        <v>1365</v>
      </c>
      <c r="E128" s="58" t="s">
        <v>86</v>
      </c>
      <c r="F128" s="58"/>
      <c r="G128" s="58" t="s">
        <v>30</v>
      </c>
      <c r="H128" s="59">
        <v>500</v>
      </c>
      <c r="I128" s="160">
        <v>200</v>
      </c>
      <c r="J128" s="62" t="s">
        <v>31</v>
      </c>
      <c r="K128" s="280" t="s">
        <v>32</v>
      </c>
      <c r="L128" s="2"/>
      <c r="M128" s="2">
        <f>500/5</f>
        <v>100</v>
      </c>
      <c r="N128" s="2"/>
      <c r="O128" s="68" t="s">
        <v>37</v>
      </c>
      <c r="P128" s="68">
        <v>1000</v>
      </c>
      <c r="Q128" s="55"/>
    </row>
    <row r="129" spans="1:17" ht="15.75" customHeight="1">
      <c r="A129" s="230">
        <v>27</v>
      </c>
      <c r="B129" s="230" t="s">
        <v>1366</v>
      </c>
      <c r="C129" s="230" t="s">
        <v>27</v>
      </c>
      <c r="D129" s="230" t="s">
        <v>1367</v>
      </c>
      <c r="E129" s="230" t="s">
        <v>484</v>
      </c>
      <c r="F129" s="230"/>
      <c r="G129" s="230" t="s">
        <v>30</v>
      </c>
      <c r="H129" s="231">
        <v>600</v>
      </c>
      <c r="I129" s="232">
        <v>120</v>
      </c>
      <c r="J129" s="62" t="s">
        <v>31</v>
      </c>
      <c r="K129" s="280" t="s">
        <v>32</v>
      </c>
      <c r="L129" s="2"/>
      <c r="M129" s="2">
        <v>100</v>
      </c>
      <c r="N129" s="2"/>
      <c r="O129" s="68" t="s">
        <v>576</v>
      </c>
      <c r="P129" s="69">
        <v>48200</v>
      </c>
      <c r="Q129" s="55"/>
    </row>
    <row r="130" spans="1:17" ht="15.75" customHeight="1">
      <c r="A130" s="62">
        <v>28</v>
      </c>
      <c r="B130" s="62" t="s">
        <v>1368</v>
      </c>
      <c r="C130" s="62" t="s">
        <v>27</v>
      </c>
      <c r="D130" s="62" t="s">
        <v>483</v>
      </c>
      <c r="E130" s="62" t="s">
        <v>484</v>
      </c>
      <c r="F130" s="62"/>
      <c r="G130" s="62" t="s">
        <v>30</v>
      </c>
      <c r="H130" s="63">
        <v>1500</v>
      </c>
      <c r="I130" s="159">
        <v>300</v>
      </c>
      <c r="J130" s="62" t="s">
        <v>31</v>
      </c>
      <c r="K130" s="280" t="s">
        <v>32</v>
      </c>
      <c r="L130" s="2"/>
      <c r="M130" s="2">
        <f>1500/5</f>
        <v>300</v>
      </c>
      <c r="N130" s="2"/>
      <c r="O130" s="733" t="s">
        <v>286</v>
      </c>
      <c r="P130" s="719"/>
      <c r="Q130" s="2"/>
    </row>
    <row r="131" spans="1:17" ht="15.75" customHeight="1">
      <c r="A131" s="62">
        <v>28</v>
      </c>
      <c r="B131" s="48" t="s">
        <v>1369</v>
      </c>
      <c r="C131" s="48" t="s">
        <v>27</v>
      </c>
      <c r="D131" s="48" t="s">
        <v>400</v>
      </c>
      <c r="E131" s="48" t="s">
        <v>36</v>
      </c>
      <c r="F131" s="48"/>
      <c r="G131" s="48" t="s">
        <v>30</v>
      </c>
      <c r="H131" s="51">
        <v>600</v>
      </c>
      <c r="I131" s="119">
        <v>120</v>
      </c>
      <c r="J131" s="62" t="s">
        <v>31</v>
      </c>
      <c r="K131" s="280" t="s">
        <v>32</v>
      </c>
      <c r="L131" s="2"/>
      <c r="M131" s="2">
        <f>600/5</f>
        <v>120</v>
      </c>
      <c r="N131" s="2"/>
      <c r="O131" s="68" t="s">
        <v>580</v>
      </c>
      <c r="P131" s="69">
        <v>27</v>
      </c>
      <c r="Q131" s="2"/>
    </row>
    <row r="132" spans="1:17" ht="15.75" customHeight="1">
      <c r="A132" s="62">
        <v>28</v>
      </c>
      <c r="B132" s="48" t="s">
        <v>1370</v>
      </c>
      <c r="C132" s="48" t="s">
        <v>27</v>
      </c>
      <c r="D132" s="48" t="s">
        <v>916</v>
      </c>
      <c r="E132" s="48" t="s">
        <v>36</v>
      </c>
      <c r="F132" s="48"/>
      <c r="G132" s="48" t="s">
        <v>30</v>
      </c>
      <c r="H132" s="51">
        <v>500</v>
      </c>
      <c r="I132" s="119">
        <v>100</v>
      </c>
      <c r="J132" s="62" t="s">
        <v>31</v>
      </c>
      <c r="K132" s="280" t="s">
        <v>32</v>
      </c>
      <c r="L132" s="2"/>
      <c r="M132" s="2">
        <v>100</v>
      </c>
      <c r="N132" s="2"/>
      <c r="O132" s="2"/>
      <c r="P132" s="2"/>
      <c r="Q132" s="2"/>
    </row>
    <row r="133" spans="1:17" ht="15.75" customHeight="1">
      <c r="A133" s="62">
        <v>28</v>
      </c>
      <c r="B133" s="58" t="s">
        <v>1371</v>
      </c>
      <c r="C133" s="58" t="s">
        <v>27</v>
      </c>
      <c r="D133" s="58" t="s">
        <v>205</v>
      </c>
      <c r="E133" s="58" t="s">
        <v>191</v>
      </c>
      <c r="F133" s="58"/>
      <c r="G133" s="58" t="s">
        <v>30</v>
      </c>
      <c r="H133" s="59">
        <v>500</v>
      </c>
      <c r="I133" s="160">
        <v>100</v>
      </c>
      <c r="J133" s="62" t="s">
        <v>31</v>
      </c>
      <c r="K133" s="280" t="s">
        <v>32</v>
      </c>
      <c r="L133" s="2"/>
      <c r="M133" s="2">
        <v>100</v>
      </c>
      <c r="N133" s="2"/>
      <c r="O133" s="2"/>
      <c r="P133" s="2"/>
      <c r="Q133" s="2"/>
    </row>
    <row r="134" spans="1:17" ht="15.75" customHeight="1">
      <c r="A134" s="62">
        <v>29</v>
      </c>
      <c r="B134" s="62" t="s">
        <v>1372</v>
      </c>
      <c r="C134" s="62" t="s">
        <v>27</v>
      </c>
      <c r="D134" s="62" t="s">
        <v>1373</v>
      </c>
      <c r="E134" s="62" t="s">
        <v>223</v>
      </c>
      <c r="F134" s="62"/>
      <c r="G134" s="62" t="s">
        <v>30</v>
      </c>
      <c r="H134" s="63">
        <v>500</v>
      </c>
      <c r="I134" s="159">
        <v>100</v>
      </c>
      <c r="J134" s="62" t="s">
        <v>31</v>
      </c>
      <c r="K134" s="280" t="s">
        <v>32</v>
      </c>
      <c r="L134" s="2"/>
      <c r="M134" s="2">
        <v>100</v>
      </c>
      <c r="N134" s="2"/>
      <c r="O134" s="2"/>
      <c r="P134" s="2"/>
      <c r="Q134" s="2"/>
    </row>
    <row r="135" spans="1:17" ht="15.75" customHeight="1">
      <c r="A135" s="62">
        <v>29</v>
      </c>
      <c r="B135" s="48" t="s">
        <v>1374</v>
      </c>
      <c r="C135" s="48" t="s">
        <v>27</v>
      </c>
      <c r="D135" s="48" t="s">
        <v>623</v>
      </c>
      <c r="E135" s="48" t="s">
        <v>44</v>
      </c>
      <c r="F135" s="48"/>
      <c r="G135" s="48" t="s">
        <v>30</v>
      </c>
      <c r="H135" s="51">
        <v>200</v>
      </c>
      <c r="I135" s="119">
        <v>40</v>
      </c>
      <c r="J135" s="62" t="s">
        <v>31</v>
      </c>
      <c r="K135" s="280" t="s">
        <v>32</v>
      </c>
      <c r="L135" s="2"/>
      <c r="M135" s="2">
        <v>100</v>
      </c>
      <c r="N135" s="2"/>
      <c r="O135" s="2"/>
      <c r="P135" s="2"/>
      <c r="Q135" s="2"/>
    </row>
    <row r="136" spans="1:17" ht="15.75" customHeight="1">
      <c r="A136" s="62">
        <v>29</v>
      </c>
      <c r="B136" s="48" t="s">
        <v>1374</v>
      </c>
      <c r="C136" s="48" t="s">
        <v>27</v>
      </c>
      <c r="D136" s="48" t="s">
        <v>623</v>
      </c>
      <c r="E136" s="48" t="s">
        <v>44</v>
      </c>
      <c r="F136" s="58"/>
      <c r="G136" s="58" t="s">
        <v>1300</v>
      </c>
      <c r="H136" s="59">
        <v>7</v>
      </c>
      <c r="I136" s="160">
        <v>70</v>
      </c>
      <c r="J136" s="62" t="s">
        <v>31</v>
      </c>
      <c r="K136" s="280" t="s">
        <v>32</v>
      </c>
      <c r="L136" s="2"/>
      <c r="M136" s="2"/>
      <c r="N136" s="2"/>
      <c r="O136" s="2"/>
      <c r="P136" s="2"/>
      <c r="Q136" s="2"/>
    </row>
    <row r="137" spans="1:17" ht="15.75" customHeight="1">
      <c r="G137" s="2"/>
      <c r="H137" s="2"/>
      <c r="I137" s="2"/>
      <c r="L137" s="2"/>
      <c r="M137" s="2"/>
      <c r="N137" s="2"/>
      <c r="O137" s="2"/>
      <c r="P137" s="2"/>
      <c r="Q137" s="2"/>
    </row>
    <row r="138" spans="1:17" ht="15.75" customHeight="1">
      <c r="G138" s="2"/>
      <c r="H138" s="2"/>
      <c r="I138" s="137" t="s">
        <v>508</v>
      </c>
      <c r="J138" s="83"/>
      <c r="L138" s="2"/>
      <c r="M138" s="2"/>
      <c r="N138" s="2"/>
      <c r="O138" s="2"/>
      <c r="P138" s="2"/>
      <c r="Q138" s="2"/>
    </row>
    <row r="139" spans="1:17" ht="15.75" customHeight="1">
      <c r="B139" s="126" t="s">
        <v>509</v>
      </c>
      <c r="E139" s="126" t="s">
        <v>510</v>
      </c>
      <c r="G139" s="2"/>
      <c r="H139" s="2"/>
      <c r="I139" s="83" t="s">
        <v>942</v>
      </c>
      <c r="J139" s="83"/>
      <c r="L139" s="2"/>
      <c r="M139" s="2"/>
      <c r="N139" s="2"/>
      <c r="O139" s="2"/>
      <c r="P139" s="2"/>
      <c r="Q139" s="2"/>
    </row>
    <row r="140" spans="1:17" ht="15.75" customHeight="1">
      <c r="G140" s="2"/>
      <c r="H140" s="2"/>
      <c r="I140" s="83" t="s">
        <v>944</v>
      </c>
      <c r="J140" s="83"/>
      <c r="L140" s="2"/>
      <c r="M140" s="2"/>
      <c r="N140" s="2"/>
      <c r="O140" s="2"/>
      <c r="P140" s="2"/>
      <c r="Q140" s="2"/>
    </row>
    <row r="141" spans="1:17" ht="15.75" customHeight="1">
      <c r="G141" s="2"/>
      <c r="H141" s="2"/>
      <c r="I141" s="83" t="s">
        <v>946</v>
      </c>
      <c r="J141" s="83"/>
      <c r="L141" s="2"/>
      <c r="M141" s="2"/>
      <c r="N141" s="2"/>
      <c r="O141" s="2"/>
      <c r="P141" s="2"/>
      <c r="Q141" s="2"/>
    </row>
    <row r="142" spans="1:17" ht="15.75" customHeight="1">
      <c r="B142" s="86" t="s">
        <v>516</v>
      </c>
      <c r="E142" s="731" t="s">
        <v>517</v>
      </c>
      <c r="F142" s="711"/>
      <c r="G142" s="711"/>
      <c r="H142" s="2"/>
      <c r="I142" s="83" t="s">
        <v>947</v>
      </c>
      <c r="J142" s="83"/>
      <c r="L142" s="2"/>
      <c r="M142" s="2"/>
      <c r="N142" s="2"/>
      <c r="O142" s="2"/>
      <c r="P142" s="2"/>
      <c r="Q142" s="2"/>
    </row>
    <row r="143" spans="1:17" ht="15.75" customHeight="1">
      <c r="B143" s="4" t="s">
        <v>949</v>
      </c>
      <c r="E143" s="732" t="s">
        <v>1238</v>
      </c>
      <c r="F143" s="711"/>
      <c r="G143" s="711"/>
      <c r="H143" s="2"/>
      <c r="I143" s="83" t="s">
        <v>950</v>
      </c>
      <c r="J143" s="83"/>
      <c r="L143" s="2"/>
      <c r="M143" s="2"/>
      <c r="N143" s="2"/>
      <c r="O143" s="2"/>
      <c r="P143" s="2"/>
      <c r="Q143" s="2"/>
    </row>
    <row r="144" spans="1:17" ht="15.75" customHeight="1">
      <c r="G144" s="2"/>
      <c r="H144" s="2"/>
      <c r="I144" s="83" t="s">
        <v>564</v>
      </c>
      <c r="J144" s="83"/>
      <c r="L144" s="2"/>
      <c r="M144" s="2"/>
      <c r="N144" s="2"/>
      <c r="O144" s="2"/>
      <c r="P144" s="2"/>
      <c r="Q144" s="2"/>
    </row>
    <row r="145" spans="7:17" ht="15.75" customHeight="1">
      <c r="G145" s="2"/>
      <c r="H145" s="2"/>
      <c r="I145" s="83" t="s">
        <v>525</v>
      </c>
      <c r="J145" s="83"/>
      <c r="L145" s="2"/>
      <c r="M145" s="2"/>
      <c r="N145" s="2"/>
      <c r="O145" s="2"/>
      <c r="P145" s="2"/>
      <c r="Q145" s="2"/>
    </row>
    <row r="146" spans="7:17" ht="15.75" customHeight="1">
      <c r="G146" s="2"/>
      <c r="H146" s="2"/>
      <c r="I146" s="10" t="s">
        <v>565</v>
      </c>
      <c r="J146" s="90"/>
      <c r="L146" s="2"/>
      <c r="M146" s="2"/>
      <c r="N146" s="2"/>
      <c r="O146" s="2"/>
      <c r="P146" s="2"/>
      <c r="Q146" s="2"/>
    </row>
    <row r="147" spans="7:17" ht="15.75" customHeight="1">
      <c r="G147" s="2"/>
      <c r="H147" s="2"/>
      <c r="I147" s="10" t="s">
        <v>953</v>
      </c>
      <c r="J147" s="90"/>
      <c r="L147" s="2"/>
      <c r="M147" s="2"/>
      <c r="N147" s="2"/>
      <c r="O147" s="2"/>
      <c r="P147" s="2"/>
      <c r="Q147" s="2"/>
    </row>
    <row r="148" spans="7:17" ht="15.75" customHeight="1">
      <c r="G148" s="2"/>
      <c r="H148" s="2"/>
      <c r="I148" s="2"/>
      <c r="L148" s="2"/>
      <c r="M148" s="2"/>
      <c r="N148" s="2"/>
      <c r="O148" s="2"/>
      <c r="P148" s="2"/>
      <c r="Q148" s="2"/>
    </row>
    <row r="149" spans="7:17" ht="15.75" customHeight="1">
      <c r="G149" s="2"/>
      <c r="H149" s="2"/>
      <c r="I149" s="2"/>
      <c r="L149" s="2"/>
      <c r="M149" s="2"/>
      <c r="N149" s="2"/>
      <c r="O149" s="2"/>
      <c r="P149" s="2"/>
      <c r="Q149" s="2"/>
    </row>
    <row r="150" spans="7:17" ht="15.75" customHeight="1">
      <c r="G150" s="2"/>
      <c r="H150" s="2"/>
      <c r="I150" s="2"/>
      <c r="L150" s="2"/>
      <c r="M150" s="2"/>
      <c r="N150" s="2"/>
      <c r="O150" s="2"/>
      <c r="P150" s="2"/>
      <c r="Q150" s="2"/>
    </row>
    <row r="151" spans="7:17" ht="15.75" customHeight="1">
      <c r="G151" s="2"/>
      <c r="H151" s="2"/>
      <c r="I151" s="2"/>
      <c r="L151" s="2"/>
      <c r="M151" s="2"/>
      <c r="N151" s="2"/>
      <c r="O151" s="2"/>
      <c r="P151" s="2"/>
      <c r="Q151" s="2"/>
    </row>
    <row r="152" spans="7:17" ht="15.75" customHeight="1">
      <c r="G152" s="2"/>
      <c r="H152" s="2"/>
      <c r="I152" s="2"/>
      <c r="L152" s="2"/>
      <c r="M152" s="2"/>
      <c r="N152" s="2"/>
      <c r="O152" s="2"/>
      <c r="P152" s="2"/>
      <c r="Q152" s="2"/>
    </row>
    <row r="153" spans="7:17" ht="15.75" customHeight="1">
      <c r="G153" s="2"/>
      <c r="H153" s="2"/>
      <c r="I153" s="2"/>
      <c r="L153" s="2"/>
      <c r="M153" s="2"/>
      <c r="N153" s="2"/>
      <c r="O153" s="2"/>
      <c r="P153" s="2"/>
      <c r="Q153" s="2"/>
    </row>
    <row r="154" spans="7:17" ht="15.75" customHeight="1">
      <c r="G154" s="2"/>
      <c r="H154" s="2"/>
      <c r="I154" s="2"/>
      <c r="L154" s="2"/>
      <c r="M154" s="2"/>
      <c r="N154" s="2"/>
      <c r="O154" s="2"/>
      <c r="P154" s="2"/>
      <c r="Q154" s="2"/>
    </row>
    <row r="155" spans="7:17" ht="15.75" customHeight="1">
      <c r="G155" s="2"/>
      <c r="H155" s="2"/>
      <c r="I155" s="2"/>
      <c r="L155" s="2"/>
      <c r="M155" s="2"/>
      <c r="N155" s="2"/>
      <c r="O155" s="2"/>
      <c r="P155" s="2"/>
      <c r="Q155" s="2"/>
    </row>
    <row r="156" spans="7:17" ht="15.75" customHeight="1">
      <c r="G156" s="2"/>
      <c r="H156" s="2"/>
      <c r="I156" s="2"/>
      <c r="L156" s="2"/>
      <c r="M156" s="2"/>
      <c r="N156" s="2"/>
      <c r="O156" s="2"/>
      <c r="P156" s="2"/>
      <c r="Q156" s="2"/>
    </row>
    <row r="157" spans="7:17" ht="15.75" customHeight="1">
      <c r="G157" s="2"/>
      <c r="H157" s="2"/>
      <c r="I157" s="2"/>
      <c r="L157" s="2"/>
      <c r="M157" s="2"/>
      <c r="N157" s="2"/>
      <c r="O157" s="2"/>
      <c r="P157" s="2"/>
      <c r="Q157" s="2"/>
    </row>
    <row r="158" spans="7:17" ht="15.75" customHeight="1">
      <c r="G158" s="2"/>
      <c r="H158" s="2"/>
      <c r="I158" s="2"/>
      <c r="L158" s="2"/>
      <c r="M158" s="2"/>
      <c r="N158" s="2"/>
      <c r="O158" s="2"/>
      <c r="P158" s="2"/>
      <c r="Q158" s="2"/>
    </row>
    <row r="159" spans="7:17" ht="15.75" customHeight="1">
      <c r="G159" s="2"/>
      <c r="H159" s="2"/>
      <c r="I159" s="2"/>
      <c r="L159" s="2"/>
      <c r="M159" s="2"/>
      <c r="N159" s="2"/>
      <c r="O159" s="2"/>
      <c r="P159" s="2"/>
      <c r="Q159" s="2"/>
    </row>
    <row r="160" spans="7:17" ht="15.75" customHeight="1">
      <c r="G160" s="2"/>
      <c r="H160" s="2"/>
      <c r="I160" s="2"/>
      <c r="L160" s="2"/>
      <c r="M160" s="2"/>
      <c r="N160" s="2"/>
      <c r="O160" s="2"/>
      <c r="P160" s="2"/>
      <c r="Q160" s="2"/>
    </row>
    <row r="161" spans="7:17" ht="15.75" customHeight="1">
      <c r="G161" s="2"/>
      <c r="H161" s="2"/>
      <c r="I161" s="2"/>
      <c r="L161" s="2"/>
      <c r="M161" s="2"/>
      <c r="N161" s="2"/>
      <c r="O161" s="2"/>
      <c r="P161" s="2"/>
      <c r="Q161" s="2"/>
    </row>
    <row r="162" spans="7:17" ht="15.75" customHeight="1">
      <c r="G162" s="2"/>
      <c r="H162" s="2"/>
      <c r="I162" s="2"/>
      <c r="L162" s="2"/>
      <c r="M162" s="2"/>
      <c r="N162" s="2"/>
      <c r="O162" s="2"/>
      <c r="P162" s="2"/>
      <c r="Q162" s="2"/>
    </row>
    <row r="163" spans="7:17" ht="15.75" customHeight="1">
      <c r="G163" s="2"/>
      <c r="H163" s="2"/>
      <c r="I163" s="2"/>
      <c r="L163" s="2"/>
      <c r="M163" s="2"/>
      <c r="N163" s="2"/>
      <c r="O163" s="2"/>
      <c r="P163" s="2"/>
      <c r="Q163" s="2"/>
    </row>
    <row r="164" spans="7:17" ht="15.75" customHeight="1">
      <c r="G164" s="2"/>
      <c r="H164" s="2"/>
      <c r="I164" s="2"/>
      <c r="L164" s="2"/>
      <c r="M164" s="2"/>
      <c r="N164" s="2"/>
      <c r="O164" s="2"/>
      <c r="P164" s="2"/>
      <c r="Q164" s="2"/>
    </row>
    <row r="165" spans="7:17" ht="15.75" customHeight="1">
      <c r="G165" s="2"/>
      <c r="H165" s="2"/>
      <c r="I165" s="2"/>
      <c r="L165" s="2"/>
      <c r="M165" s="2"/>
      <c r="N165" s="2"/>
      <c r="O165" s="2"/>
      <c r="P165" s="2"/>
      <c r="Q165" s="2"/>
    </row>
    <row r="166" spans="7:17" ht="15.75" customHeight="1">
      <c r="G166" s="2"/>
      <c r="H166" s="2"/>
      <c r="I166" s="2"/>
      <c r="L166" s="2"/>
      <c r="M166" s="2"/>
      <c r="N166" s="2"/>
      <c r="O166" s="2"/>
      <c r="P166" s="2"/>
      <c r="Q166" s="2"/>
    </row>
    <row r="167" spans="7:17" ht="15.75" customHeight="1">
      <c r="G167" s="2"/>
      <c r="H167" s="2"/>
      <c r="I167" s="2"/>
      <c r="L167" s="2"/>
      <c r="M167" s="2"/>
      <c r="N167" s="2"/>
      <c r="O167" s="2"/>
      <c r="P167" s="2"/>
      <c r="Q167" s="2"/>
    </row>
    <row r="168" spans="7:17" ht="15.75" customHeight="1">
      <c r="G168" s="2"/>
      <c r="H168" s="2"/>
      <c r="I168" s="2"/>
      <c r="L168" s="2"/>
      <c r="M168" s="2"/>
      <c r="N168" s="2"/>
      <c r="O168" s="2"/>
      <c r="P168" s="2"/>
      <c r="Q168" s="2"/>
    </row>
    <row r="169" spans="7:17" ht="15.75" customHeight="1">
      <c r="G169" s="2"/>
      <c r="H169" s="2"/>
      <c r="I169" s="2"/>
      <c r="L169" s="2"/>
      <c r="M169" s="2"/>
      <c r="N169" s="2"/>
      <c r="O169" s="2"/>
      <c r="P169" s="2"/>
      <c r="Q169" s="2"/>
    </row>
    <row r="170" spans="7:17" ht="15.75" customHeight="1">
      <c r="G170" s="2"/>
      <c r="H170" s="2"/>
      <c r="I170" s="2"/>
      <c r="L170" s="2"/>
      <c r="M170" s="2"/>
      <c r="N170" s="2"/>
      <c r="O170" s="2"/>
      <c r="P170" s="2"/>
      <c r="Q170" s="2"/>
    </row>
    <row r="171" spans="7:17" ht="15.75" customHeight="1">
      <c r="G171" s="2"/>
      <c r="H171" s="2"/>
      <c r="I171" s="2"/>
      <c r="L171" s="2"/>
      <c r="M171" s="2"/>
      <c r="N171" s="2"/>
      <c r="O171" s="2"/>
      <c r="P171" s="2"/>
      <c r="Q171" s="2"/>
    </row>
    <row r="172" spans="7:17" ht="15.75" customHeight="1">
      <c r="G172" s="2"/>
      <c r="H172" s="2"/>
      <c r="I172" s="2"/>
      <c r="L172" s="2"/>
      <c r="M172" s="2"/>
      <c r="N172" s="2"/>
      <c r="O172" s="2"/>
      <c r="P172" s="2"/>
      <c r="Q172" s="2"/>
    </row>
    <row r="173" spans="7:17" ht="15.75" customHeight="1">
      <c r="G173" s="2"/>
      <c r="H173" s="2"/>
      <c r="I173" s="2"/>
      <c r="L173" s="2"/>
      <c r="M173" s="2"/>
      <c r="N173" s="2"/>
      <c r="O173" s="2"/>
      <c r="P173" s="2"/>
      <c r="Q173" s="2"/>
    </row>
    <row r="174" spans="7:17" ht="15.75" customHeight="1">
      <c r="G174" s="2"/>
      <c r="H174" s="2"/>
      <c r="I174" s="2"/>
      <c r="L174" s="2"/>
      <c r="M174" s="2"/>
      <c r="N174" s="2"/>
      <c r="O174" s="2"/>
      <c r="P174" s="2"/>
      <c r="Q174" s="2"/>
    </row>
    <row r="175" spans="7:17" ht="15.75" customHeight="1">
      <c r="G175" s="2"/>
      <c r="H175" s="2"/>
      <c r="I175" s="2"/>
      <c r="L175" s="2"/>
      <c r="M175" s="2"/>
      <c r="N175" s="2"/>
      <c r="O175" s="2"/>
      <c r="P175" s="2"/>
      <c r="Q175" s="2"/>
    </row>
    <row r="176" spans="7:17" ht="15.75" customHeight="1">
      <c r="G176" s="2"/>
      <c r="H176" s="2"/>
      <c r="I176" s="2"/>
      <c r="L176" s="2"/>
      <c r="M176" s="2"/>
      <c r="N176" s="2"/>
      <c r="O176" s="2"/>
      <c r="P176" s="2"/>
      <c r="Q176" s="2"/>
    </row>
    <row r="177" spans="7:17" ht="15.75" customHeight="1">
      <c r="G177" s="2"/>
      <c r="H177" s="2"/>
      <c r="I177" s="2"/>
      <c r="L177" s="2"/>
      <c r="M177" s="2"/>
      <c r="N177" s="2"/>
      <c r="O177" s="2"/>
      <c r="P177" s="2"/>
      <c r="Q177" s="2"/>
    </row>
    <row r="178" spans="7:17" ht="15.75" customHeight="1">
      <c r="G178" s="2"/>
      <c r="H178" s="2"/>
      <c r="I178" s="2"/>
      <c r="L178" s="2"/>
      <c r="M178" s="2"/>
      <c r="N178" s="2"/>
      <c r="O178" s="2"/>
      <c r="P178" s="2"/>
      <c r="Q178" s="2"/>
    </row>
    <row r="179" spans="7:17" ht="15.75" customHeight="1">
      <c r="G179" s="2"/>
      <c r="H179" s="2"/>
      <c r="I179" s="2"/>
      <c r="L179" s="2"/>
      <c r="M179" s="2"/>
      <c r="N179" s="2"/>
      <c r="O179" s="2"/>
      <c r="P179" s="2"/>
      <c r="Q179" s="2"/>
    </row>
    <row r="180" spans="7:17" ht="15.75" customHeight="1">
      <c r="G180" s="2"/>
      <c r="H180" s="2"/>
      <c r="I180" s="2"/>
      <c r="L180" s="2"/>
      <c r="M180" s="2"/>
      <c r="N180" s="2"/>
      <c r="O180" s="2"/>
      <c r="P180" s="2"/>
      <c r="Q180" s="2"/>
    </row>
    <row r="181" spans="7:17" ht="15.75" customHeight="1">
      <c r="G181" s="2"/>
      <c r="H181" s="2"/>
      <c r="I181" s="2"/>
      <c r="L181" s="2"/>
      <c r="M181" s="2"/>
      <c r="N181" s="2"/>
      <c r="O181" s="2"/>
      <c r="P181" s="2"/>
      <c r="Q181" s="2"/>
    </row>
    <row r="182" spans="7:17" ht="15.75" customHeight="1">
      <c r="G182" s="2"/>
      <c r="H182" s="2"/>
      <c r="I182" s="2"/>
      <c r="L182" s="2"/>
      <c r="M182" s="2"/>
      <c r="N182" s="2"/>
      <c r="O182" s="2"/>
      <c r="P182" s="2"/>
      <c r="Q182" s="2"/>
    </row>
    <row r="183" spans="7:17" ht="15.75" customHeight="1">
      <c r="G183" s="2"/>
      <c r="H183" s="2"/>
      <c r="I183" s="2"/>
      <c r="L183" s="2"/>
      <c r="M183" s="2"/>
      <c r="N183" s="2"/>
      <c r="O183" s="2"/>
      <c r="P183" s="2"/>
      <c r="Q183" s="2"/>
    </row>
    <row r="184" spans="7:17" ht="15.75" customHeight="1">
      <c r="G184" s="2"/>
      <c r="H184" s="2"/>
      <c r="I184" s="2"/>
      <c r="L184" s="2"/>
      <c r="M184" s="2"/>
      <c r="N184" s="2"/>
      <c r="O184" s="2"/>
      <c r="P184" s="2"/>
      <c r="Q184" s="2"/>
    </row>
    <row r="185" spans="7:17" ht="15.75" customHeight="1">
      <c r="G185" s="2"/>
      <c r="H185" s="2"/>
      <c r="I185" s="2"/>
      <c r="L185" s="2"/>
      <c r="M185" s="2"/>
      <c r="N185" s="2"/>
      <c r="O185" s="2"/>
      <c r="P185" s="2"/>
      <c r="Q185" s="2"/>
    </row>
    <row r="186" spans="7:17" ht="15.75" customHeight="1">
      <c r="G186" s="2"/>
      <c r="H186" s="2"/>
      <c r="I186" s="2"/>
      <c r="L186" s="2"/>
      <c r="M186" s="2"/>
      <c r="N186" s="2"/>
      <c r="O186" s="2"/>
      <c r="P186" s="2"/>
      <c r="Q186" s="2"/>
    </row>
    <row r="187" spans="7:17" ht="15.75" customHeight="1">
      <c r="G187" s="2"/>
      <c r="H187" s="2"/>
      <c r="I187" s="2"/>
      <c r="L187" s="2"/>
      <c r="M187" s="2"/>
      <c r="N187" s="2"/>
      <c r="O187" s="2"/>
      <c r="P187" s="2"/>
      <c r="Q187" s="2"/>
    </row>
    <row r="188" spans="7:17" ht="15.75" customHeight="1">
      <c r="G188" s="2"/>
      <c r="H188" s="2"/>
      <c r="I188" s="2"/>
      <c r="L188" s="2"/>
      <c r="M188" s="2"/>
      <c r="N188" s="2"/>
      <c r="O188" s="2"/>
      <c r="P188" s="2"/>
      <c r="Q188" s="2"/>
    </row>
    <row r="189" spans="7:17" ht="15.75" customHeight="1">
      <c r="G189" s="2"/>
      <c r="H189" s="2"/>
      <c r="I189" s="2"/>
      <c r="L189" s="2"/>
      <c r="M189" s="2"/>
      <c r="N189" s="2"/>
      <c r="O189" s="2"/>
      <c r="P189" s="2"/>
      <c r="Q189" s="2"/>
    </row>
    <row r="190" spans="7:17" ht="15.75" customHeight="1">
      <c r="G190" s="2"/>
      <c r="H190" s="2"/>
      <c r="I190" s="2"/>
      <c r="L190" s="2"/>
      <c r="M190" s="2"/>
      <c r="N190" s="2"/>
      <c r="O190" s="2"/>
      <c r="P190" s="2"/>
      <c r="Q190" s="2"/>
    </row>
    <row r="191" spans="7:17" ht="15.75" customHeight="1">
      <c r="G191" s="2"/>
      <c r="H191" s="2"/>
      <c r="I191" s="2"/>
      <c r="L191" s="2"/>
      <c r="M191" s="2"/>
      <c r="N191" s="2"/>
      <c r="O191" s="2"/>
      <c r="P191" s="2"/>
      <c r="Q191" s="2"/>
    </row>
    <row r="192" spans="7:17" ht="15.75" customHeight="1">
      <c r="G192" s="2"/>
      <c r="H192" s="2"/>
      <c r="I192" s="2"/>
      <c r="L192" s="2"/>
      <c r="M192" s="2"/>
      <c r="N192" s="2"/>
      <c r="O192" s="2"/>
      <c r="P192" s="2"/>
      <c r="Q192" s="2"/>
    </row>
    <row r="193" spans="7:17" ht="15.75" customHeight="1">
      <c r="G193" s="2"/>
      <c r="H193" s="2"/>
      <c r="I193" s="2"/>
      <c r="L193" s="2"/>
      <c r="M193" s="2"/>
      <c r="N193" s="2"/>
      <c r="O193" s="2"/>
      <c r="P193" s="2"/>
      <c r="Q193" s="2"/>
    </row>
    <row r="194" spans="7:17" ht="15.75" customHeight="1">
      <c r="G194" s="2"/>
      <c r="H194" s="2"/>
      <c r="I194" s="2"/>
      <c r="L194" s="2"/>
      <c r="M194" s="2"/>
      <c r="N194" s="2"/>
      <c r="O194" s="2"/>
      <c r="P194" s="2"/>
      <c r="Q194" s="2"/>
    </row>
    <row r="195" spans="7:17" ht="15.75" customHeight="1">
      <c r="G195" s="2"/>
      <c r="H195" s="2"/>
      <c r="I195" s="2"/>
      <c r="L195" s="2"/>
      <c r="M195" s="2"/>
      <c r="N195" s="2"/>
      <c r="O195" s="2"/>
      <c r="P195" s="2"/>
      <c r="Q195" s="2"/>
    </row>
    <row r="196" spans="7:17" ht="15.75" customHeight="1">
      <c r="G196" s="2"/>
      <c r="H196" s="2"/>
      <c r="I196" s="2"/>
      <c r="L196" s="2"/>
      <c r="M196" s="2"/>
      <c r="N196" s="2"/>
      <c r="O196" s="2"/>
      <c r="P196" s="2"/>
      <c r="Q196" s="2"/>
    </row>
    <row r="197" spans="7:17" ht="15.75" customHeight="1">
      <c r="G197" s="2"/>
      <c r="H197" s="2"/>
      <c r="I197" s="2"/>
      <c r="L197" s="2"/>
      <c r="M197" s="2"/>
      <c r="N197" s="2"/>
      <c r="O197" s="2"/>
      <c r="P197" s="2"/>
      <c r="Q197" s="2"/>
    </row>
    <row r="198" spans="7:17" ht="15.75" customHeight="1">
      <c r="G198" s="2"/>
      <c r="H198" s="2"/>
      <c r="I198" s="2"/>
      <c r="L198" s="2"/>
      <c r="M198" s="2"/>
      <c r="N198" s="2"/>
      <c r="O198" s="2"/>
      <c r="P198" s="2"/>
      <c r="Q198" s="2"/>
    </row>
    <row r="199" spans="7:17" ht="15.75" customHeight="1">
      <c r="G199" s="2"/>
      <c r="H199" s="2"/>
      <c r="I199" s="2"/>
      <c r="L199" s="2"/>
      <c r="M199" s="2"/>
      <c r="N199" s="2"/>
      <c r="O199" s="2"/>
      <c r="P199" s="2"/>
      <c r="Q199" s="2"/>
    </row>
    <row r="200" spans="7:17" ht="15.75" customHeight="1">
      <c r="G200" s="2"/>
      <c r="H200" s="2"/>
      <c r="I200" s="2"/>
      <c r="L200" s="2"/>
      <c r="M200" s="2"/>
      <c r="N200" s="2"/>
      <c r="O200" s="2"/>
      <c r="P200" s="2"/>
      <c r="Q200" s="2"/>
    </row>
    <row r="201" spans="7:17" ht="15.75" customHeight="1">
      <c r="G201" s="2"/>
      <c r="H201" s="2"/>
      <c r="I201" s="2"/>
      <c r="L201" s="2"/>
      <c r="M201" s="2"/>
      <c r="N201" s="2"/>
      <c r="O201" s="2"/>
      <c r="P201" s="2"/>
      <c r="Q201" s="2"/>
    </row>
    <row r="202" spans="7:17" ht="15.75" customHeight="1">
      <c r="G202" s="2"/>
      <c r="H202" s="2"/>
      <c r="I202" s="2"/>
      <c r="L202" s="2"/>
      <c r="M202" s="2"/>
      <c r="N202" s="2"/>
      <c r="O202" s="2"/>
      <c r="P202" s="2"/>
      <c r="Q202" s="2"/>
    </row>
    <row r="203" spans="7:17" ht="15.75" customHeight="1">
      <c r="G203" s="2"/>
      <c r="H203" s="2"/>
      <c r="I203" s="2"/>
      <c r="L203" s="2"/>
      <c r="M203" s="2"/>
      <c r="N203" s="2"/>
      <c r="O203" s="2"/>
      <c r="P203" s="2"/>
      <c r="Q203" s="2"/>
    </row>
    <row r="204" spans="7:17" ht="15.75" customHeight="1">
      <c r="G204" s="2"/>
      <c r="H204" s="2"/>
      <c r="I204" s="2"/>
      <c r="L204" s="2"/>
      <c r="M204" s="2"/>
      <c r="N204" s="2"/>
      <c r="O204" s="2"/>
      <c r="P204" s="2"/>
      <c r="Q204" s="2"/>
    </row>
    <row r="205" spans="7:17" ht="15.75" customHeight="1">
      <c r="G205" s="2"/>
      <c r="H205" s="2"/>
      <c r="I205" s="2"/>
      <c r="L205" s="2"/>
      <c r="M205" s="2"/>
      <c r="N205" s="2"/>
      <c r="O205" s="2"/>
      <c r="P205" s="2"/>
      <c r="Q205" s="2"/>
    </row>
    <row r="206" spans="7:17" ht="15.75" customHeight="1">
      <c r="G206" s="2"/>
      <c r="H206" s="2"/>
      <c r="I206" s="2"/>
      <c r="L206" s="2"/>
      <c r="M206" s="2"/>
      <c r="N206" s="2"/>
      <c r="O206" s="2"/>
      <c r="P206" s="2"/>
      <c r="Q206" s="2"/>
    </row>
    <row r="207" spans="7:17" ht="15.75" customHeight="1">
      <c r="G207" s="2"/>
      <c r="H207" s="2"/>
      <c r="I207" s="2"/>
      <c r="L207" s="2"/>
      <c r="M207" s="2"/>
      <c r="N207" s="2"/>
      <c r="O207" s="2"/>
      <c r="P207" s="2"/>
      <c r="Q207" s="2"/>
    </row>
    <row r="208" spans="7:17" ht="15.75" customHeight="1">
      <c r="G208" s="2"/>
      <c r="H208" s="2"/>
      <c r="I208" s="2"/>
      <c r="L208" s="2"/>
      <c r="M208" s="2"/>
      <c r="N208" s="2"/>
      <c r="O208" s="2"/>
      <c r="P208" s="2"/>
      <c r="Q208" s="2"/>
    </row>
    <row r="209" spans="7:17" ht="15.75" customHeight="1">
      <c r="G209" s="2"/>
      <c r="H209" s="2"/>
      <c r="I209" s="2"/>
      <c r="L209" s="2"/>
      <c r="M209" s="2"/>
      <c r="N209" s="2"/>
      <c r="O209" s="2"/>
      <c r="P209" s="2"/>
      <c r="Q209" s="2"/>
    </row>
    <row r="210" spans="7:17" ht="15.75" customHeight="1">
      <c r="G210" s="2"/>
      <c r="H210" s="2"/>
      <c r="I210" s="2"/>
      <c r="L210" s="2"/>
      <c r="M210" s="2"/>
      <c r="N210" s="2"/>
      <c r="O210" s="2"/>
      <c r="P210" s="2"/>
      <c r="Q210" s="2"/>
    </row>
    <row r="211" spans="7:17" ht="15.75" customHeight="1">
      <c r="G211" s="2"/>
      <c r="H211" s="2"/>
      <c r="I211" s="2"/>
      <c r="L211" s="2"/>
      <c r="M211" s="2"/>
      <c r="N211" s="2"/>
      <c r="O211" s="2"/>
      <c r="P211" s="2"/>
      <c r="Q211" s="2"/>
    </row>
    <row r="212" spans="7:17" ht="15.75" customHeight="1">
      <c r="G212" s="2"/>
      <c r="H212" s="2"/>
      <c r="I212" s="2"/>
      <c r="L212" s="2"/>
      <c r="M212" s="2"/>
      <c r="N212" s="2"/>
      <c r="O212" s="2"/>
      <c r="P212" s="2"/>
      <c r="Q212" s="2"/>
    </row>
    <row r="213" spans="7:17" ht="15.75" customHeight="1">
      <c r="G213" s="2"/>
      <c r="H213" s="2"/>
      <c r="I213" s="2"/>
      <c r="L213" s="2"/>
      <c r="M213" s="2"/>
      <c r="N213" s="2"/>
      <c r="O213" s="2"/>
      <c r="P213" s="2"/>
      <c r="Q213" s="2"/>
    </row>
    <row r="214" spans="7:17" ht="15.75" customHeight="1">
      <c r="G214" s="2"/>
      <c r="H214" s="2"/>
      <c r="I214" s="2"/>
      <c r="L214" s="2"/>
      <c r="M214" s="2"/>
      <c r="N214" s="2"/>
      <c r="O214" s="2"/>
      <c r="P214" s="2"/>
      <c r="Q214" s="2"/>
    </row>
    <row r="215" spans="7:17" ht="15.75" customHeight="1">
      <c r="G215" s="2"/>
      <c r="H215" s="2"/>
      <c r="I215" s="2"/>
      <c r="L215" s="2"/>
      <c r="M215" s="2"/>
      <c r="N215" s="2"/>
      <c r="O215" s="2"/>
      <c r="P215" s="2"/>
      <c r="Q215" s="2"/>
    </row>
    <row r="216" spans="7:17" ht="15.75" customHeight="1">
      <c r="G216" s="2"/>
      <c r="H216" s="2"/>
      <c r="I216" s="2"/>
      <c r="L216" s="2"/>
      <c r="M216" s="2"/>
      <c r="N216" s="2"/>
      <c r="O216" s="2"/>
      <c r="P216" s="2"/>
      <c r="Q216" s="2"/>
    </row>
    <row r="217" spans="7:17" ht="15.75" customHeight="1">
      <c r="G217" s="2"/>
      <c r="H217" s="2"/>
      <c r="I217" s="2"/>
      <c r="L217" s="2"/>
      <c r="M217" s="2"/>
      <c r="N217" s="2"/>
      <c r="O217" s="2"/>
      <c r="P217" s="2"/>
      <c r="Q217" s="2"/>
    </row>
    <row r="218" spans="7:17" ht="15.75" customHeight="1">
      <c r="G218" s="2"/>
      <c r="H218" s="2"/>
      <c r="I218" s="2"/>
      <c r="L218" s="2"/>
      <c r="M218" s="2"/>
      <c r="N218" s="2"/>
      <c r="O218" s="2"/>
      <c r="P218" s="2"/>
      <c r="Q218" s="2"/>
    </row>
    <row r="219" spans="7:17" ht="15.75" customHeight="1">
      <c r="G219" s="2"/>
      <c r="H219" s="2"/>
      <c r="I219" s="2"/>
      <c r="L219" s="2"/>
      <c r="M219" s="2"/>
      <c r="N219" s="2"/>
      <c r="O219" s="2"/>
      <c r="P219" s="2"/>
      <c r="Q219" s="2"/>
    </row>
    <row r="220" spans="7:17" ht="15.75" customHeight="1">
      <c r="G220" s="2"/>
      <c r="H220" s="2"/>
      <c r="I220" s="2"/>
      <c r="L220" s="2"/>
      <c r="M220" s="2"/>
      <c r="N220" s="2"/>
      <c r="O220" s="2"/>
      <c r="P220" s="2"/>
      <c r="Q220" s="2"/>
    </row>
    <row r="221" spans="7:17" ht="15.75" customHeight="1">
      <c r="G221" s="2"/>
      <c r="H221" s="2"/>
      <c r="I221" s="2"/>
      <c r="L221" s="2"/>
      <c r="M221" s="2"/>
      <c r="N221" s="2"/>
      <c r="O221" s="2"/>
      <c r="P221" s="2"/>
      <c r="Q221" s="2"/>
    </row>
    <row r="222" spans="7:17" ht="15.75" customHeight="1">
      <c r="G222" s="2"/>
      <c r="H222" s="2"/>
      <c r="I222" s="2"/>
      <c r="L222" s="2"/>
      <c r="M222" s="2"/>
      <c r="N222" s="2"/>
      <c r="O222" s="2"/>
      <c r="P222" s="2"/>
      <c r="Q222" s="2"/>
    </row>
    <row r="223" spans="7:17" ht="15.75" customHeight="1">
      <c r="G223" s="2"/>
      <c r="H223" s="2"/>
      <c r="I223" s="2"/>
      <c r="L223" s="2"/>
      <c r="M223" s="2"/>
      <c r="N223" s="2"/>
      <c r="O223" s="2"/>
      <c r="P223" s="2"/>
      <c r="Q223" s="2"/>
    </row>
    <row r="224" spans="7:17" ht="15.75" customHeight="1">
      <c r="G224" s="2"/>
      <c r="H224" s="2"/>
      <c r="I224" s="2"/>
      <c r="L224" s="2"/>
      <c r="M224" s="2"/>
      <c r="N224" s="2"/>
      <c r="O224" s="2"/>
      <c r="P224" s="2"/>
      <c r="Q224" s="2"/>
    </row>
    <row r="225" spans="7:17" ht="15.75" customHeight="1">
      <c r="G225" s="2"/>
      <c r="H225" s="2"/>
      <c r="I225" s="2"/>
      <c r="L225" s="2"/>
      <c r="M225" s="2"/>
      <c r="N225" s="2"/>
      <c r="O225" s="2"/>
      <c r="P225" s="2"/>
      <c r="Q225" s="2"/>
    </row>
    <row r="226" spans="7:17" ht="15.75" customHeight="1">
      <c r="G226" s="2"/>
      <c r="H226" s="2"/>
      <c r="I226" s="2"/>
      <c r="L226" s="2"/>
      <c r="M226" s="2"/>
      <c r="N226" s="2"/>
      <c r="O226" s="2"/>
      <c r="P226" s="2"/>
      <c r="Q226" s="2"/>
    </row>
    <row r="227" spans="7:17" ht="15.75" customHeight="1">
      <c r="G227" s="2"/>
      <c r="H227" s="2"/>
      <c r="I227" s="2"/>
      <c r="L227" s="2"/>
      <c r="M227" s="2"/>
      <c r="N227" s="2"/>
      <c r="O227" s="2"/>
      <c r="P227" s="2"/>
      <c r="Q227" s="2"/>
    </row>
    <row r="228" spans="7:17" ht="15.75" customHeight="1">
      <c r="G228" s="2"/>
      <c r="H228" s="2"/>
      <c r="I228" s="2"/>
      <c r="L228" s="2"/>
      <c r="M228" s="2"/>
      <c r="N228" s="2"/>
      <c r="O228" s="2"/>
      <c r="P228" s="2"/>
      <c r="Q228" s="2"/>
    </row>
    <row r="229" spans="7:17" ht="15.75" customHeight="1">
      <c r="G229" s="2"/>
      <c r="H229" s="2"/>
      <c r="I229" s="2"/>
      <c r="L229" s="2"/>
      <c r="M229" s="2"/>
      <c r="N229" s="2"/>
      <c r="O229" s="2"/>
      <c r="P229" s="2"/>
      <c r="Q229" s="2"/>
    </row>
    <row r="230" spans="7:17" ht="15.75" customHeight="1">
      <c r="G230" s="2"/>
      <c r="H230" s="2"/>
      <c r="I230" s="2"/>
      <c r="L230" s="2"/>
      <c r="M230" s="2"/>
      <c r="N230" s="2"/>
      <c r="O230" s="2"/>
      <c r="P230" s="2"/>
      <c r="Q230" s="2"/>
    </row>
    <row r="231" spans="7:17" ht="15.75" customHeight="1">
      <c r="G231" s="2"/>
      <c r="H231" s="2"/>
      <c r="I231" s="2"/>
      <c r="L231" s="2"/>
      <c r="M231" s="2"/>
      <c r="N231" s="2"/>
      <c r="O231" s="2"/>
      <c r="P231" s="2"/>
      <c r="Q231" s="2"/>
    </row>
    <row r="232" spans="7:17" ht="15.75" customHeight="1">
      <c r="G232" s="2"/>
      <c r="H232" s="2"/>
      <c r="I232" s="2"/>
      <c r="L232" s="2"/>
      <c r="M232" s="2"/>
      <c r="N232" s="2"/>
      <c r="O232" s="2"/>
      <c r="P232" s="2"/>
      <c r="Q232" s="2"/>
    </row>
    <row r="233" spans="7:17" ht="15.75" customHeight="1">
      <c r="G233" s="2"/>
      <c r="H233" s="2"/>
      <c r="I233" s="2"/>
      <c r="L233" s="2"/>
      <c r="M233" s="2"/>
      <c r="N233" s="2"/>
      <c r="O233" s="2"/>
      <c r="P233" s="2"/>
      <c r="Q233" s="2"/>
    </row>
    <row r="234" spans="7:17" ht="15.75" customHeight="1">
      <c r="G234" s="2"/>
      <c r="H234" s="2"/>
      <c r="I234" s="2"/>
      <c r="L234" s="2"/>
      <c r="M234" s="2"/>
      <c r="N234" s="2"/>
      <c r="O234" s="2"/>
      <c r="P234" s="2"/>
      <c r="Q234" s="2"/>
    </row>
    <row r="235" spans="7:17" ht="15.75" customHeight="1">
      <c r="G235" s="2"/>
      <c r="H235" s="2"/>
      <c r="I235" s="2"/>
      <c r="L235" s="2"/>
      <c r="M235" s="2"/>
      <c r="N235" s="2"/>
      <c r="O235" s="2"/>
      <c r="P235" s="2"/>
      <c r="Q235" s="2"/>
    </row>
    <row r="236" spans="7:17" ht="15.75" customHeight="1">
      <c r="G236" s="2"/>
      <c r="H236" s="2"/>
      <c r="I236" s="2"/>
      <c r="L236" s="2"/>
      <c r="M236" s="2"/>
      <c r="N236" s="2"/>
      <c r="O236" s="2"/>
      <c r="P236" s="2"/>
      <c r="Q236" s="2"/>
    </row>
    <row r="237" spans="7:17" ht="15.75" customHeight="1">
      <c r="G237" s="2"/>
      <c r="H237" s="2"/>
      <c r="I237" s="2"/>
      <c r="L237" s="2"/>
      <c r="M237" s="2"/>
      <c r="N237" s="2"/>
      <c r="O237" s="2"/>
      <c r="P237" s="2"/>
      <c r="Q237" s="2"/>
    </row>
    <row r="238" spans="7:17" ht="15.75" customHeight="1">
      <c r="G238" s="2"/>
      <c r="H238" s="2"/>
      <c r="I238" s="2"/>
      <c r="L238" s="2"/>
      <c r="M238" s="2"/>
      <c r="N238" s="2"/>
      <c r="O238" s="2"/>
      <c r="P238" s="2"/>
      <c r="Q238" s="2"/>
    </row>
    <row r="239" spans="7:17" ht="15.75" customHeight="1">
      <c r="G239" s="2"/>
      <c r="H239" s="2"/>
      <c r="I239" s="2"/>
      <c r="L239" s="2"/>
      <c r="M239" s="2"/>
      <c r="N239" s="2"/>
      <c r="O239" s="2"/>
      <c r="P239" s="2"/>
      <c r="Q239" s="2"/>
    </row>
    <row r="240" spans="7:17" ht="15.75" customHeight="1">
      <c r="G240" s="2"/>
      <c r="H240" s="2"/>
      <c r="I240" s="2"/>
      <c r="L240" s="2"/>
      <c r="M240" s="2"/>
      <c r="N240" s="2"/>
      <c r="O240" s="2"/>
      <c r="P240" s="2"/>
      <c r="Q240" s="2"/>
    </row>
    <row r="241" spans="7:17" ht="15.75" customHeight="1">
      <c r="G241" s="2"/>
      <c r="H241" s="2"/>
      <c r="I241" s="2"/>
      <c r="L241" s="2"/>
      <c r="M241" s="2"/>
      <c r="N241" s="2"/>
      <c r="O241" s="2"/>
      <c r="P241" s="2"/>
      <c r="Q241" s="2"/>
    </row>
    <row r="242" spans="7:17" ht="15.75" customHeight="1">
      <c r="G242" s="2"/>
      <c r="H242" s="2"/>
      <c r="I242" s="2"/>
      <c r="L242" s="2"/>
      <c r="M242" s="2"/>
      <c r="N242" s="2"/>
      <c r="O242" s="2"/>
      <c r="P242" s="2"/>
      <c r="Q242" s="2"/>
    </row>
    <row r="243" spans="7:17" ht="15.75" customHeight="1">
      <c r="G243" s="2"/>
      <c r="H243" s="2"/>
      <c r="I243" s="2"/>
      <c r="L243" s="2"/>
      <c r="M243" s="2"/>
      <c r="N243" s="2"/>
      <c r="O243" s="2"/>
      <c r="P243" s="2"/>
      <c r="Q243" s="2"/>
    </row>
    <row r="244" spans="7:17" ht="15.75" customHeight="1">
      <c r="G244" s="2"/>
      <c r="H244" s="2"/>
      <c r="I244" s="2"/>
      <c r="L244" s="2"/>
      <c r="M244" s="2"/>
      <c r="N244" s="2"/>
      <c r="O244" s="2"/>
      <c r="P244" s="2"/>
      <c r="Q244" s="2"/>
    </row>
    <row r="245" spans="7:17" ht="15.75" customHeight="1">
      <c r="G245" s="2"/>
      <c r="H245" s="2"/>
      <c r="I245" s="2"/>
      <c r="L245" s="2"/>
      <c r="M245" s="2"/>
      <c r="N245" s="2"/>
      <c r="O245" s="2"/>
      <c r="P245" s="2"/>
      <c r="Q245" s="2"/>
    </row>
    <row r="246" spans="7:17" ht="15.75" customHeight="1">
      <c r="G246" s="2"/>
      <c r="H246" s="2"/>
      <c r="I246" s="2"/>
      <c r="L246" s="2"/>
      <c r="M246" s="2"/>
      <c r="N246" s="2"/>
      <c r="O246" s="2"/>
      <c r="P246" s="2"/>
      <c r="Q246" s="2"/>
    </row>
    <row r="247" spans="7:17" ht="15.75" customHeight="1">
      <c r="G247" s="2"/>
      <c r="H247" s="2"/>
      <c r="I247" s="2"/>
      <c r="L247" s="2"/>
      <c r="M247" s="2"/>
      <c r="N247" s="2"/>
      <c r="O247" s="2"/>
      <c r="P247" s="2"/>
      <c r="Q247" s="2"/>
    </row>
    <row r="248" spans="7:17" ht="15.75" customHeight="1">
      <c r="G248" s="2"/>
      <c r="H248" s="2"/>
      <c r="I248" s="2"/>
      <c r="L248" s="2"/>
      <c r="M248" s="2"/>
      <c r="N248" s="2"/>
      <c r="O248" s="2"/>
      <c r="P248" s="2"/>
      <c r="Q248" s="2"/>
    </row>
    <row r="249" spans="7:17" ht="15.75" customHeight="1">
      <c r="G249" s="2"/>
      <c r="H249" s="2"/>
      <c r="I249" s="2"/>
      <c r="L249" s="2"/>
      <c r="M249" s="2"/>
      <c r="N249" s="2"/>
      <c r="O249" s="2"/>
      <c r="P249" s="2"/>
      <c r="Q249" s="2"/>
    </row>
    <row r="250" spans="7:17" ht="15.75" customHeight="1">
      <c r="G250" s="2"/>
      <c r="H250" s="2"/>
      <c r="I250" s="2"/>
      <c r="L250" s="2"/>
      <c r="M250" s="2"/>
      <c r="N250" s="2"/>
      <c r="O250" s="2"/>
      <c r="P250" s="2"/>
      <c r="Q250" s="2"/>
    </row>
    <row r="251" spans="7:17" ht="15.75" customHeight="1">
      <c r="G251" s="2"/>
      <c r="H251" s="2"/>
      <c r="I251" s="2"/>
      <c r="L251" s="2"/>
      <c r="M251" s="2"/>
      <c r="N251" s="2"/>
      <c r="O251" s="2"/>
      <c r="P251" s="2"/>
      <c r="Q251" s="2"/>
    </row>
    <row r="252" spans="7:17" ht="15.75" customHeight="1">
      <c r="G252" s="2"/>
      <c r="H252" s="2"/>
      <c r="I252" s="2"/>
      <c r="L252" s="2"/>
      <c r="M252" s="2"/>
      <c r="N252" s="2"/>
      <c r="O252" s="2"/>
      <c r="P252" s="2"/>
      <c r="Q252" s="2"/>
    </row>
    <row r="253" spans="7:17" ht="15.75" customHeight="1">
      <c r="G253" s="2"/>
      <c r="H253" s="2"/>
      <c r="I253" s="2"/>
      <c r="L253" s="2"/>
      <c r="M253" s="2"/>
      <c r="N253" s="2"/>
      <c r="O253" s="2"/>
      <c r="P253" s="2"/>
      <c r="Q253" s="2"/>
    </row>
    <row r="254" spans="7:17" ht="15.75" customHeight="1">
      <c r="G254" s="2"/>
      <c r="H254" s="2"/>
      <c r="I254" s="2"/>
      <c r="L254" s="2"/>
      <c r="M254" s="2"/>
      <c r="N254" s="2"/>
      <c r="O254" s="2"/>
      <c r="P254" s="2"/>
      <c r="Q254" s="2"/>
    </row>
    <row r="255" spans="7:17" ht="15.75" customHeight="1">
      <c r="G255" s="2"/>
      <c r="H255" s="2"/>
      <c r="I255" s="2"/>
      <c r="L255" s="2"/>
      <c r="M255" s="2"/>
      <c r="N255" s="2"/>
      <c r="O255" s="2"/>
      <c r="P255" s="2"/>
      <c r="Q255" s="2"/>
    </row>
    <row r="256" spans="7:17" ht="15.75" customHeight="1">
      <c r="G256" s="2"/>
      <c r="H256" s="2"/>
      <c r="I256" s="2"/>
      <c r="L256" s="2"/>
      <c r="M256" s="2"/>
      <c r="N256" s="2"/>
      <c r="O256" s="2"/>
      <c r="P256" s="2"/>
      <c r="Q256" s="2"/>
    </row>
    <row r="257" spans="7:17" ht="15.75" customHeight="1">
      <c r="G257" s="2"/>
      <c r="H257" s="2"/>
      <c r="I257" s="2"/>
      <c r="L257" s="2"/>
      <c r="M257" s="2"/>
      <c r="N257" s="2"/>
      <c r="O257" s="2"/>
      <c r="P257" s="2"/>
      <c r="Q257" s="2"/>
    </row>
    <row r="258" spans="7:17" ht="15.75" customHeight="1">
      <c r="G258" s="2"/>
      <c r="H258" s="2"/>
      <c r="I258" s="2"/>
      <c r="L258" s="2"/>
      <c r="M258" s="2"/>
      <c r="N258" s="2"/>
      <c r="O258" s="2"/>
      <c r="P258" s="2"/>
      <c r="Q258" s="2"/>
    </row>
    <row r="259" spans="7:17" ht="15.75" customHeight="1">
      <c r="G259" s="2"/>
      <c r="H259" s="2"/>
      <c r="I259" s="2"/>
      <c r="L259" s="2"/>
      <c r="M259" s="2"/>
      <c r="N259" s="2"/>
      <c r="O259" s="2"/>
      <c r="P259" s="2"/>
      <c r="Q259" s="2"/>
    </row>
    <row r="260" spans="7:17" ht="15.75" customHeight="1">
      <c r="G260" s="2"/>
      <c r="H260" s="2"/>
      <c r="I260" s="2"/>
      <c r="L260" s="2"/>
      <c r="M260" s="2"/>
      <c r="N260" s="2"/>
      <c r="O260" s="2"/>
      <c r="P260" s="2"/>
      <c r="Q260" s="2"/>
    </row>
    <row r="261" spans="7:17" ht="15.75" customHeight="1">
      <c r="G261" s="2"/>
      <c r="H261" s="2"/>
      <c r="I261" s="2"/>
      <c r="L261" s="2"/>
      <c r="M261" s="2"/>
      <c r="N261" s="2"/>
      <c r="O261" s="2"/>
      <c r="P261" s="2"/>
      <c r="Q261" s="2"/>
    </row>
    <row r="262" spans="7:17" ht="15.75" customHeight="1">
      <c r="G262" s="2"/>
      <c r="H262" s="2"/>
      <c r="I262" s="2"/>
      <c r="L262" s="2"/>
      <c r="M262" s="2"/>
      <c r="N262" s="2"/>
      <c r="O262" s="2"/>
      <c r="P262" s="2"/>
      <c r="Q262" s="2"/>
    </row>
    <row r="263" spans="7:17" ht="15.75" customHeight="1">
      <c r="G263" s="2"/>
      <c r="H263" s="2"/>
      <c r="I263" s="2"/>
      <c r="L263" s="2"/>
      <c r="M263" s="2"/>
      <c r="N263" s="2"/>
      <c r="O263" s="2"/>
      <c r="P263" s="2"/>
      <c r="Q263" s="2"/>
    </row>
    <row r="264" spans="7:17" ht="15.75" customHeight="1">
      <c r="G264" s="2"/>
      <c r="H264" s="2"/>
      <c r="I264" s="2"/>
      <c r="L264" s="2"/>
      <c r="M264" s="2"/>
      <c r="N264" s="2"/>
      <c r="O264" s="2"/>
      <c r="P264" s="2"/>
      <c r="Q264" s="2"/>
    </row>
    <row r="265" spans="7:17" ht="15.75" customHeight="1">
      <c r="G265" s="2"/>
      <c r="H265" s="2"/>
      <c r="I265" s="2"/>
      <c r="L265" s="2"/>
      <c r="M265" s="2"/>
      <c r="N265" s="2"/>
      <c r="O265" s="2"/>
      <c r="P265" s="2"/>
      <c r="Q265" s="2"/>
    </row>
    <row r="266" spans="7:17" ht="15.75" customHeight="1">
      <c r="G266" s="2"/>
      <c r="H266" s="2"/>
      <c r="I266" s="2"/>
      <c r="L266" s="2"/>
      <c r="M266" s="2"/>
      <c r="N266" s="2"/>
      <c r="O266" s="2"/>
      <c r="P266" s="2"/>
      <c r="Q266" s="2"/>
    </row>
    <row r="267" spans="7:17" ht="15.75" customHeight="1">
      <c r="G267" s="2"/>
      <c r="H267" s="2"/>
      <c r="I267" s="2"/>
      <c r="L267" s="2"/>
      <c r="M267" s="2"/>
      <c r="N267" s="2"/>
      <c r="O267" s="2"/>
      <c r="P267" s="2"/>
      <c r="Q267" s="2"/>
    </row>
    <row r="268" spans="7:17" ht="15.75" customHeight="1">
      <c r="G268" s="2"/>
      <c r="H268" s="2"/>
      <c r="I268" s="2"/>
      <c r="L268" s="2"/>
      <c r="M268" s="2"/>
      <c r="N268" s="2"/>
      <c r="O268" s="2"/>
      <c r="P268" s="2"/>
      <c r="Q268" s="2"/>
    </row>
    <row r="269" spans="7:17" ht="15.75" customHeight="1">
      <c r="G269" s="2"/>
      <c r="H269" s="2"/>
      <c r="I269" s="2"/>
      <c r="L269" s="2"/>
      <c r="M269" s="2"/>
      <c r="N269" s="2"/>
      <c r="O269" s="2"/>
      <c r="P269" s="2"/>
      <c r="Q269" s="2"/>
    </row>
    <row r="270" spans="7:17" ht="15.75" customHeight="1">
      <c r="G270" s="2"/>
      <c r="H270" s="2"/>
      <c r="I270" s="2"/>
      <c r="L270" s="2"/>
      <c r="M270" s="2"/>
      <c r="N270" s="2"/>
      <c r="O270" s="2"/>
      <c r="P270" s="2"/>
      <c r="Q270" s="2"/>
    </row>
    <row r="271" spans="7:17" ht="15.75" customHeight="1">
      <c r="G271" s="2"/>
      <c r="H271" s="2"/>
      <c r="I271" s="2"/>
      <c r="L271" s="2"/>
      <c r="M271" s="2"/>
      <c r="N271" s="2"/>
      <c r="O271" s="2"/>
      <c r="P271" s="2"/>
      <c r="Q271" s="2"/>
    </row>
    <row r="272" spans="7:17" ht="15.75" customHeight="1">
      <c r="G272" s="2"/>
      <c r="H272" s="2"/>
      <c r="I272" s="2"/>
      <c r="L272" s="2"/>
      <c r="M272" s="2"/>
      <c r="N272" s="2"/>
      <c r="O272" s="2"/>
      <c r="P272" s="2"/>
      <c r="Q272" s="2"/>
    </row>
    <row r="273" spans="7:17" ht="15.75" customHeight="1">
      <c r="G273" s="2"/>
      <c r="H273" s="2"/>
      <c r="I273" s="2"/>
      <c r="L273" s="2"/>
      <c r="M273" s="2"/>
      <c r="N273" s="2"/>
      <c r="O273" s="2"/>
      <c r="P273" s="2"/>
      <c r="Q273" s="2"/>
    </row>
    <row r="274" spans="7:17" ht="15.75" customHeight="1">
      <c r="G274" s="2"/>
      <c r="H274" s="2"/>
      <c r="I274" s="2"/>
      <c r="L274" s="2"/>
      <c r="M274" s="2"/>
      <c r="N274" s="2"/>
      <c r="O274" s="2"/>
      <c r="P274" s="2"/>
      <c r="Q274" s="2"/>
    </row>
    <row r="275" spans="7:17" ht="15.75" customHeight="1">
      <c r="G275" s="2"/>
      <c r="H275" s="2"/>
      <c r="I275" s="2"/>
      <c r="L275" s="2"/>
      <c r="M275" s="2"/>
      <c r="N275" s="2"/>
      <c r="O275" s="2"/>
      <c r="P275" s="2"/>
      <c r="Q275" s="2"/>
    </row>
    <row r="276" spans="7:17" ht="15.75" customHeight="1">
      <c r="G276" s="2"/>
      <c r="H276" s="2"/>
      <c r="I276" s="2"/>
      <c r="L276" s="2"/>
      <c r="M276" s="2"/>
      <c r="N276" s="2"/>
      <c r="O276" s="2"/>
      <c r="P276" s="2"/>
      <c r="Q276" s="2"/>
    </row>
    <row r="277" spans="7:17" ht="15.75" customHeight="1">
      <c r="G277" s="2"/>
      <c r="H277" s="2"/>
      <c r="I277" s="2"/>
      <c r="L277" s="2"/>
      <c r="M277" s="2"/>
      <c r="N277" s="2"/>
      <c r="O277" s="2"/>
      <c r="P277" s="2"/>
      <c r="Q277" s="2"/>
    </row>
    <row r="278" spans="7:17" ht="15.75" customHeight="1">
      <c r="G278" s="2"/>
      <c r="H278" s="2"/>
      <c r="I278" s="2"/>
      <c r="L278" s="2"/>
      <c r="M278" s="2"/>
      <c r="N278" s="2"/>
      <c r="O278" s="2"/>
      <c r="P278" s="2"/>
      <c r="Q278" s="2"/>
    </row>
    <row r="279" spans="7:17" ht="15.75" customHeight="1">
      <c r="G279" s="2"/>
      <c r="H279" s="2"/>
      <c r="I279" s="2"/>
      <c r="L279" s="2"/>
      <c r="M279" s="2"/>
      <c r="N279" s="2"/>
      <c r="O279" s="2"/>
      <c r="P279" s="2"/>
      <c r="Q279" s="2"/>
    </row>
    <row r="280" spans="7:17" ht="15.75" customHeight="1">
      <c r="G280" s="2"/>
      <c r="H280" s="2"/>
      <c r="I280" s="2"/>
      <c r="L280" s="2"/>
      <c r="M280" s="2"/>
      <c r="N280" s="2"/>
      <c r="O280" s="2"/>
      <c r="P280" s="2"/>
      <c r="Q280" s="2"/>
    </row>
    <row r="281" spans="7:17" ht="15.75" customHeight="1">
      <c r="G281" s="2"/>
      <c r="H281" s="2"/>
      <c r="I281" s="2"/>
      <c r="L281" s="2"/>
      <c r="M281" s="2"/>
      <c r="N281" s="2"/>
      <c r="O281" s="2"/>
      <c r="P281" s="2"/>
      <c r="Q281" s="2"/>
    </row>
    <row r="282" spans="7:17" ht="15.75" customHeight="1">
      <c r="G282" s="2"/>
      <c r="H282" s="2"/>
      <c r="I282" s="2"/>
      <c r="L282" s="2"/>
      <c r="M282" s="2"/>
      <c r="N282" s="2"/>
      <c r="O282" s="2"/>
      <c r="P282" s="2"/>
      <c r="Q282" s="2"/>
    </row>
    <row r="283" spans="7:17" ht="15.75" customHeight="1">
      <c r="G283" s="2"/>
      <c r="H283" s="2"/>
      <c r="I283" s="2"/>
      <c r="L283" s="2"/>
      <c r="M283" s="2"/>
      <c r="N283" s="2"/>
      <c r="O283" s="2"/>
      <c r="P283" s="2"/>
      <c r="Q283" s="2"/>
    </row>
    <row r="284" spans="7:17" ht="15.75" customHeight="1">
      <c r="G284" s="2"/>
      <c r="H284" s="2"/>
      <c r="I284" s="2"/>
      <c r="L284" s="2"/>
      <c r="M284" s="2"/>
      <c r="N284" s="2"/>
      <c r="O284" s="2"/>
      <c r="P284" s="2"/>
      <c r="Q284" s="2"/>
    </row>
    <row r="285" spans="7:17" ht="15.75" customHeight="1">
      <c r="G285" s="2"/>
      <c r="H285" s="2"/>
      <c r="I285" s="2"/>
      <c r="L285" s="2"/>
      <c r="M285" s="2"/>
      <c r="N285" s="2"/>
      <c r="O285" s="2"/>
      <c r="P285" s="2"/>
      <c r="Q285" s="2"/>
    </row>
    <row r="286" spans="7:17" ht="15.75" customHeight="1">
      <c r="G286" s="2"/>
      <c r="H286" s="2"/>
      <c r="I286" s="2"/>
      <c r="L286" s="2"/>
      <c r="M286" s="2"/>
      <c r="N286" s="2"/>
      <c r="O286" s="2"/>
      <c r="P286" s="2"/>
      <c r="Q286" s="2"/>
    </row>
    <row r="287" spans="7:17" ht="15.75" customHeight="1">
      <c r="G287" s="2"/>
      <c r="H287" s="2"/>
      <c r="I287" s="2"/>
      <c r="L287" s="2"/>
      <c r="M287" s="2"/>
      <c r="N287" s="2"/>
      <c r="O287" s="2"/>
      <c r="P287" s="2"/>
      <c r="Q287" s="2"/>
    </row>
    <row r="288" spans="7:17" ht="15.75" customHeight="1">
      <c r="G288" s="2"/>
      <c r="H288" s="2"/>
      <c r="I288" s="2"/>
      <c r="L288" s="2"/>
      <c r="M288" s="2"/>
      <c r="N288" s="2"/>
      <c r="O288" s="2"/>
      <c r="P288" s="2"/>
      <c r="Q288" s="2"/>
    </row>
    <row r="289" spans="7:17" ht="15.75" customHeight="1">
      <c r="G289" s="2"/>
      <c r="H289" s="2"/>
      <c r="I289" s="2"/>
      <c r="L289" s="2"/>
      <c r="M289" s="2"/>
      <c r="N289" s="2"/>
      <c r="O289" s="2"/>
      <c r="P289" s="2"/>
      <c r="Q289" s="2"/>
    </row>
    <row r="290" spans="7:17" ht="15.75" customHeight="1">
      <c r="G290" s="2"/>
      <c r="H290" s="2"/>
      <c r="I290" s="2"/>
      <c r="L290" s="2"/>
      <c r="M290" s="2"/>
      <c r="N290" s="2"/>
      <c r="O290" s="2"/>
      <c r="P290" s="2"/>
      <c r="Q290" s="2"/>
    </row>
    <row r="291" spans="7:17" ht="15.75" customHeight="1">
      <c r="G291" s="2"/>
      <c r="H291" s="2"/>
      <c r="I291" s="2"/>
      <c r="L291" s="2"/>
      <c r="M291" s="2"/>
      <c r="N291" s="2"/>
      <c r="O291" s="2"/>
      <c r="P291" s="2"/>
      <c r="Q291" s="2"/>
    </row>
    <row r="292" spans="7:17" ht="15.75" customHeight="1">
      <c r="G292" s="2"/>
      <c r="H292" s="2"/>
      <c r="I292" s="2"/>
      <c r="L292" s="2"/>
      <c r="M292" s="2"/>
      <c r="N292" s="2"/>
      <c r="O292" s="2"/>
      <c r="P292" s="2"/>
      <c r="Q292" s="2"/>
    </row>
    <row r="293" spans="7:17" ht="15.75" customHeight="1">
      <c r="G293" s="2"/>
      <c r="H293" s="2"/>
      <c r="I293" s="2"/>
      <c r="L293" s="2"/>
      <c r="M293" s="2"/>
      <c r="N293" s="2"/>
      <c r="O293" s="2"/>
      <c r="P293" s="2"/>
      <c r="Q293" s="2"/>
    </row>
    <row r="294" spans="7:17" ht="15.75" customHeight="1">
      <c r="G294" s="2"/>
      <c r="H294" s="2"/>
      <c r="I294" s="2"/>
      <c r="L294" s="2"/>
      <c r="M294" s="2"/>
      <c r="N294" s="2"/>
      <c r="O294" s="2"/>
      <c r="P294" s="2"/>
      <c r="Q294" s="2"/>
    </row>
    <row r="295" spans="7:17" ht="15.75" customHeight="1">
      <c r="G295" s="2"/>
      <c r="H295" s="2"/>
      <c r="I295" s="2"/>
      <c r="L295" s="2"/>
      <c r="M295" s="2"/>
      <c r="N295" s="2"/>
      <c r="O295" s="2"/>
      <c r="P295" s="2"/>
      <c r="Q295" s="2"/>
    </row>
    <row r="296" spans="7:17" ht="15.75" customHeight="1">
      <c r="G296" s="2"/>
      <c r="H296" s="2"/>
      <c r="I296" s="2"/>
      <c r="L296" s="2"/>
      <c r="M296" s="2"/>
      <c r="N296" s="2"/>
      <c r="O296" s="2"/>
      <c r="P296" s="2"/>
      <c r="Q296" s="2"/>
    </row>
    <row r="297" spans="7:17" ht="15.75" customHeight="1">
      <c r="G297" s="2"/>
      <c r="H297" s="2"/>
      <c r="I297" s="2"/>
      <c r="L297" s="2"/>
      <c r="M297" s="2"/>
      <c r="N297" s="2"/>
      <c r="O297" s="2"/>
      <c r="P297" s="2"/>
      <c r="Q297" s="2"/>
    </row>
    <row r="298" spans="7:17" ht="15.75" customHeight="1">
      <c r="G298" s="2"/>
      <c r="H298" s="2"/>
      <c r="I298" s="2"/>
      <c r="L298" s="2"/>
      <c r="M298" s="2"/>
      <c r="N298" s="2"/>
      <c r="O298" s="2"/>
      <c r="P298" s="2"/>
      <c r="Q298" s="2"/>
    </row>
    <row r="299" spans="7:17" ht="15.75" customHeight="1">
      <c r="G299" s="2"/>
      <c r="H299" s="2"/>
      <c r="I299" s="2"/>
      <c r="L299" s="2"/>
      <c r="M299" s="2"/>
      <c r="N299" s="2"/>
      <c r="O299" s="2"/>
      <c r="P299" s="2"/>
      <c r="Q299" s="2"/>
    </row>
    <row r="300" spans="7:17" ht="15.75" customHeight="1">
      <c r="G300" s="2"/>
      <c r="H300" s="2"/>
      <c r="I300" s="2"/>
      <c r="L300" s="2"/>
      <c r="M300" s="2"/>
      <c r="N300" s="2"/>
      <c r="O300" s="2"/>
      <c r="P300" s="2"/>
      <c r="Q300" s="2"/>
    </row>
    <row r="301" spans="7:17" ht="15.75" customHeight="1">
      <c r="G301" s="2"/>
      <c r="H301" s="2"/>
      <c r="I301" s="2"/>
      <c r="L301" s="2"/>
      <c r="M301" s="2"/>
      <c r="N301" s="2"/>
      <c r="O301" s="2"/>
      <c r="P301" s="2"/>
      <c r="Q301" s="2"/>
    </row>
    <row r="302" spans="7:17" ht="15.75" customHeight="1">
      <c r="G302" s="2"/>
      <c r="H302" s="2"/>
      <c r="I302" s="2"/>
      <c r="L302" s="2"/>
      <c r="M302" s="2"/>
      <c r="N302" s="2"/>
      <c r="O302" s="2"/>
      <c r="P302" s="2"/>
      <c r="Q302" s="2"/>
    </row>
    <row r="303" spans="7:17" ht="15.75" customHeight="1">
      <c r="G303" s="2"/>
      <c r="H303" s="2"/>
      <c r="I303" s="2"/>
      <c r="L303" s="2"/>
      <c r="M303" s="2"/>
      <c r="N303" s="2"/>
      <c r="O303" s="2"/>
      <c r="P303" s="2"/>
      <c r="Q303" s="2"/>
    </row>
    <row r="304" spans="7:17" ht="15.75" customHeight="1">
      <c r="G304" s="2"/>
      <c r="H304" s="2"/>
      <c r="I304" s="2"/>
      <c r="L304" s="2"/>
      <c r="M304" s="2"/>
      <c r="N304" s="2"/>
      <c r="O304" s="2"/>
      <c r="P304" s="2"/>
      <c r="Q304" s="2"/>
    </row>
    <row r="305" spans="7:17" ht="15.75" customHeight="1">
      <c r="G305" s="2"/>
      <c r="H305" s="2"/>
      <c r="I305" s="2"/>
      <c r="L305" s="2"/>
      <c r="M305" s="2"/>
      <c r="N305" s="2"/>
      <c r="O305" s="2"/>
      <c r="P305" s="2"/>
      <c r="Q305" s="2"/>
    </row>
    <row r="306" spans="7:17" ht="15.75" customHeight="1">
      <c r="G306" s="2"/>
      <c r="H306" s="2"/>
      <c r="I306" s="2"/>
      <c r="L306" s="2"/>
      <c r="M306" s="2"/>
      <c r="N306" s="2"/>
      <c r="O306" s="2"/>
      <c r="P306" s="2"/>
      <c r="Q306" s="2"/>
    </row>
    <row r="307" spans="7:17" ht="15.75" customHeight="1">
      <c r="G307" s="2"/>
      <c r="H307" s="2"/>
      <c r="I307" s="2"/>
      <c r="L307" s="2"/>
      <c r="M307" s="2"/>
      <c r="N307" s="2"/>
      <c r="O307" s="2"/>
      <c r="P307" s="2"/>
      <c r="Q307" s="2"/>
    </row>
    <row r="308" spans="7:17" ht="15.75" customHeight="1">
      <c r="G308" s="2"/>
      <c r="H308" s="2"/>
      <c r="I308" s="2"/>
      <c r="L308" s="2"/>
      <c r="M308" s="2"/>
      <c r="N308" s="2"/>
      <c r="O308" s="2"/>
      <c r="P308" s="2"/>
      <c r="Q308" s="2"/>
    </row>
    <row r="309" spans="7:17" ht="15.75" customHeight="1">
      <c r="G309" s="2"/>
      <c r="H309" s="2"/>
      <c r="I309" s="2"/>
      <c r="L309" s="2"/>
      <c r="M309" s="2"/>
      <c r="N309" s="2"/>
      <c r="O309" s="2"/>
      <c r="P309" s="2"/>
      <c r="Q309" s="2"/>
    </row>
    <row r="310" spans="7:17" ht="15.75" customHeight="1">
      <c r="G310" s="2"/>
      <c r="H310" s="2"/>
      <c r="I310" s="2"/>
      <c r="L310" s="2"/>
      <c r="M310" s="2"/>
      <c r="N310" s="2"/>
      <c r="O310" s="2"/>
      <c r="P310" s="2"/>
      <c r="Q310" s="2"/>
    </row>
    <row r="311" spans="7:17" ht="15.75" customHeight="1">
      <c r="G311" s="2"/>
      <c r="H311" s="2"/>
      <c r="I311" s="2"/>
      <c r="L311" s="2"/>
      <c r="M311" s="2"/>
      <c r="N311" s="2"/>
      <c r="O311" s="2"/>
      <c r="P311" s="2"/>
      <c r="Q311" s="2"/>
    </row>
    <row r="312" spans="7:17" ht="15.75" customHeight="1">
      <c r="G312" s="2"/>
      <c r="H312" s="2"/>
      <c r="I312" s="2"/>
      <c r="L312" s="2"/>
      <c r="M312" s="2"/>
      <c r="N312" s="2"/>
      <c r="O312" s="2"/>
      <c r="P312" s="2"/>
      <c r="Q312" s="2"/>
    </row>
    <row r="313" spans="7:17" ht="15.75" customHeight="1">
      <c r="G313" s="2"/>
      <c r="H313" s="2"/>
      <c r="I313" s="2"/>
      <c r="L313" s="2"/>
      <c r="M313" s="2"/>
      <c r="N313" s="2"/>
      <c r="O313" s="2"/>
      <c r="P313" s="2"/>
      <c r="Q313" s="2"/>
    </row>
    <row r="314" spans="7:17" ht="15.75" customHeight="1">
      <c r="G314" s="2"/>
      <c r="H314" s="2"/>
      <c r="I314" s="2"/>
      <c r="L314" s="2"/>
      <c r="M314" s="2"/>
      <c r="N314" s="2"/>
      <c r="O314" s="2"/>
      <c r="P314" s="2"/>
      <c r="Q314" s="2"/>
    </row>
    <row r="315" spans="7:17" ht="15.75" customHeight="1">
      <c r="G315" s="2"/>
      <c r="H315" s="2"/>
      <c r="I315" s="2"/>
      <c r="L315" s="2"/>
      <c r="M315" s="2"/>
      <c r="N315" s="2"/>
      <c r="O315" s="2"/>
      <c r="P315" s="2"/>
      <c r="Q315" s="2"/>
    </row>
    <row r="316" spans="7:17" ht="15.75" customHeight="1">
      <c r="G316" s="2"/>
      <c r="H316" s="2"/>
      <c r="I316" s="2"/>
      <c r="L316" s="2"/>
      <c r="M316" s="2"/>
      <c r="N316" s="2"/>
      <c r="O316" s="2"/>
      <c r="P316" s="2"/>
      <c r="Q316" s="2"/>
    </row>
    <row r="317" spans="7:17" ht="15.75" customHeight="1">
      <c r="G317" s="2"/>
      <c r="H317" s="2"/>
      <c r="I317" s="2"/>
      <c r="L317" s="2"/>
      <c r="M317" s="2"/>
      <c r="N317" s="2"/>
      <c r="O317" s="2"/>
      <c r="P317" s="2"/>
      <c r="Q317" s="2"/>
    </row>
    <row r="318" spans="7:17" ht="15.75" customHeight="1">
      <c r="G318" s="2"/>
      <c r="H318" s="2"/>
      <c r="I318" s="2"/>
      <c r="L318" s="2"/>
      <c r="M318" s="2"/>
      <c r="N318" s="2"/>
      <c r="O318" s="2"/>
      <c r="P318" s="2"/>
      <c r="Q318" s="2"/>
    </row>
    <row r="319" spans="7:17" ht="15.75" customHeight="1">
      <c r="G319" s="2"/>
      <c r="H319" s="2"/>
      <c r="I319" s="2"/>
      <c r="L319" s="2"/>
      <c r="M319" s="2"/>
      <c r="N319" s="2"/>
      <c r="O319" s="2"/>
      <c r="P319" s="2"/>
      <c r="Q319" s="2"/>
    </row>
    <row r="320" spans="7:17" ht="15.75" customHeight="1">
      <c r="G320" s="2"/>
      <c r="H320" s="2"/>
      <c r="I320" s="2"/>
      <c r="L320" s="2"/>
      <c r="M320" s="2"/>
      <c r="N320" s="2"/>
      <c r="O320" s="2"/>
      <c r="P320" s="2"/>
      <c r="Q320" s="2"/>
    </row>
    <row r="321" spans="7:17" ht="15.75" customHeight="1">
      <c r="G321" s="2"/>
      <c r="H321" s="2"/>
      <c r="I321" s="2"/>
      <c r="L321" s="2"/>
      <c r="M321" s="2"/>
      <c r="N321" s="2"/>
      <c r="O321" s="2"/>
      <c r="P321" s="2"/>
      <c r="Q321" s="2"/>
    </row>
    <row r="322" spans="7:17" ht="15.75" customHeight="1">
      <c r="G322" s="2"/>
      <c r="H322" s="2"/>
      <c r="I322" s="2"/>
      <c r="L322" s="2"/>
      <c r="M322" s="2"/>
      <c r="N322" s="2"/>
      <c r="O322" s="2"/>
      <c r="P322" s="2"/>
      <c r="Q322" s="2"/>
    </row>
    <row r="323" spans="7:17" ht="15.75" customHeight="1">
      <c r="G323" s="2"/>
      <c r="H323" s="2"/>
      <c r="I323" s="2"/>
      <c r="L323" s="2"/>
      <c r="M323" s="2"/>
      <c r="N323" s="2"/>
      <c r="O323" s="2"/>
      <c r="P323" s="2"/>
      <c r="Q323" s="2"/>
    </row>
    <row r="324" spans="7:17" ht="15.75" customHeight="1">
      <c r="G324" s="2"/>
      <c r="H324" s="2"/>
      <c r="I324" s="2"/>
      <c r="L324" s="2"/>
      <c r="M324" s="2"/>
      <c r="N324" s="2"/>
      <c r="O324" s="2"/>
      <c r="P324" s="2"/>
      <c r="Q324" s="2"/>
    </row>
    <row r="325" spans="7:17" ht="15.75" customHeight="1">
      <c r="G325" s="2"/>
      <c r="H325" s="2"/>
      <c r="I325" s="2"/>
      <c r="L325" s="2"/>
      <c r="M325" s="2"/>
      <c r="N325" s="2"/>
      <c r="O325" s="2"/>
      <c r="P325" s="2"/>
      <c r="Q325" s="2"/>
    </row>
    <row r="326" spans="7:17" ht="15.75" customHeight="1">
      <c r="G326" s="2"/>
      <c r="H326" s="2"/>
      <c r="I326" s="2"/>
      <c r="L326" s="2"/>
      <c r="M326" s="2"/>
      <c r="N326" s="2"/>
      <c r="O326" s="2"/>
      <c r="P326" s="2"/>
      <c r="Q326" s="2"/>
    </row>
    <row r="327" spans="7:17" ht="15.75" customHeight="1">
      <c r="G327" s="2"/>
      <c r="H327" s="2"/>
      <c r="I327" s="2"/>
      <c r="L327" s="2"/>
      <c r="M327" s="2"/>
      <c r="N327" s="2"/>
      <c r="O327" s="2"/>
      <c r="P327" s="2"/>
      <c r="Q327" s="2"/>
    </row>
    <row r="328" spans="7:17" ht="15.75" customHeight="1">
      <c r="G328" s="2"/>
      <c r="H328" s="2"/>
      <c r="I328" s="2"/>
      <c r="L328" s="2"/>
      <c r="M328" s="2"/>
      <c r="N328" s="2"/>
      <c r="O328" s="2"/>
      <c r="P328" s="2"/>
      <c r="Q328" s="2"/>
    </row>
    <row r="329" spans="7:17" ht="15.75" customHeight="1">
      <c r="G329" s="2"/>
      <c r="H329" s="2"/>
      <c r="I329" s="2"/>
      <c r="L329" s="2"/>
      <c r="M329" s="2"/>
      <c r="N329" s="2"/>
      <c r="O329" s="2"/>
      <c r="P329" s="2"/>
      <c r="Q329" s="2"/>
    </row>
    <row r="330" spans="7:17" ht="15.75" customHeight="1">
      <c r="G330" s="2"/>
      <c r="H330" s="2"/>
      <c r="I330" s="2"/>
      <c r="L330" s="2"/>
      <c r="M330" s="2"/>
      <c r="N330" s="2"/>
      <c r="O330" s="2"/>
      <c r="P330" s="2"/>
      <c r="Q330" s="2"/>
    </row>
    <row r="331" spans="7:17" ht="15.75" customHeight="1">
      <c r="G331" s="2"/>
      <c r="H331" s="2"/>
      <c r="I331" s="2"/>
      <c r="L331" s="2"/>
      <c r="M331" s="2"/>
      <c r="N331" s="2"/>
      <c r="O331" s="2"/>
      <c r="P331" s="2"/>
      <c r="Q331" s="2"/>
    </row>
    <row r="332" spans="7:17" ht="15.75" customHeight="1">
      <c r="G332" s="2"/>
      <c r="H332" s="2"/>
      <c r="I332" s="2"/>
      <c r="L332" s="2"/>
      <c r="M332" s="2"/>
      <c r="N332" s="2"/>
      <c r="O332" s="2"/>
      <c r="P332" s="2"/>
      <c r="Q332" s="2"/>
    </row>
    <row r="333" spans="7:17" ht="15.75" customHeight="1">
      <c r="G333" s="2"/>
      <c r="H333" s="2"/>
      <c r="I333" s="2"/>
      <c r="L333" s="2"/>
      <c r="M333" s="2"/>
      <c r="N333" s="2"/>
      <c r="O333" s="2"/>
      <c r="P333" s="2"/>
      <c r="Q333" s="2"/>
    </row>
    <row r="334" spans="7:17" ht="15.75" customHeight="1">
      <c r="G334" s="2"/>
      <c r="H334" s="2"/>
      <c r="I334" s="2"/>
      <c r="L334" s="2"/>
      <c r="M334" s="2"/>
      <c r="N334" s="2"/>
      <c r="O334" s="2"/>
      <c r="P334" s="2"/>
      <c r="Q334" s="2"/>
    </row>
    <row r="335" spans="7:17" ht="15.75" customHeight="1">
      <c r="G335" s="2"/>
      <c r="H335" s="2"/>
      <c r="I335" s="2"/>
      <c r="L335" s="2"/>
      <c r="M335" s="2"/>
      <c r="N335" s="2"/>
      <c r="O335" s="2"/>
      <c r="P335" s="2"/>
      <c r="Q335" s="2"/>
    </row>
    <row r="336" spans="7:17" ht="15.75" customHeight="1">
      <c r="G336" s="2"/>
      <c r="H336" s="2"/>
      <c r="I336" s="2"/>
      <c r="L336" s="2"/>
      <c r="M336" s="2"/>
      <c r="N336" s="2"/>
      <c r="O336" s="2"/>
      <c r="P336" s="2"/>
      <c r="Q336" s="2"/>
    </row>
    <row r="337" spans="7:17" ht="15.75" customHeight="1">
      <c r="G337" s="2"/>
      <c r="H337" s="2"/>
      <c r="I337" s="2"/>
      <c r="L337" s="2"/>
      <c r="M337" s="2"/>
      <c r="N337" s="2"/>
      <c r="O337" s="2"/>
      <c r="P337" s="2"/>
      <c r="Q337" s="2"/>
    </row>
    <row r="338" spans="7:17" ht="15.75" customHeight="1">
      <c r="G338" s="2"/>
      <c r="H338" s="2"/>
      <c r="I338" s="2"/>
      <c r="L338" s="2"/>
      <c r="M338" s="2"/>
      <c r="N338" s="2"/>
      <c r="O338" s="2"/>
      <c r="P338" s="2"/>
      <c r="Q338" s="2"/>
    </row>
    <row r="339" spans="7:17" ht="15.75" customHeight="1">
      <c r="G339" s="2"/>
      <c r="H339" s="2"/>
      <c r="I339" s="2"/>
      <c r="L339" s="2"/>
      <c r="M339" s="2"/>
      <c r="N339" s="2"/>
      <c r="O339" s="2"/>
      <c r="P339" s="2"/>
      <c r="Q339" s="2"/>
    </row>
    <row r="340" spans="7:17" ht="15.75" customHeight="1">
      <c r="G340" s="2"/>
      <c r="H340" s="2"/>
      <c r="I340" s="2"/>
      <c r="L340" s="2"/>
      <c r="M340" s="2"/>
      <c r="N340" s="2"/>
      <c r="O340" s="2"/>
      <c r="P340" s="2"/>
      <c r="Q340" s="2"/>
    </row>
    <row r="341" spans="7:17" ht="15.75" customHeight="1">
      <c r="G341" s="2"/>
      <c r="H341" s="2"/>
      <c r="I341" s="2"/>
      <c r="L341" s="2"/>
      <c r="M341" s="2"/>
      <c r="N341" s="2"/>
      <c r="O341" s="2"/>
      <c r="P341" s="2"/>
      <c r="Q341" s="2"/>
    </row>
    <row r="342" spans="7:17" ht="15.75" customHeight="1">
      <c r="G342" s="2"/>
      <c r="H342" s="2"/>
      <c r="I342" s="2"/>
      <c r="L342" s="2"/>
      <c r="M342" s="2"/>
      <c r="N342" s="2"/>
      <c r="O342" s="2"/>
      <c r="P342" s="2"/>
      <c r="Q342" s="2"/>
    </row>
    <row r="343" spans="7:17" ht="15.75" customHeight="1">
      <c r="G343" s="2"/>
      <c r="H343" s="2"/>
      <c r="I343" s="2"/>
      <c r="L343" s="2"/>
      <c r="M343" s="2"/>
      <c r="N343" s="2"/>
      <c r="O343" s="2"/>
      <c r="P343" s="2"/>
      <c r="Q343" s="2"/>
    </row>
    <row r="344" spans="7:17" ht="15.75" customHeight="1">
      <c r="G344" s="2"/>
      <c r="H344" s="2"/>
      <c r="I344" s="2"/>
      <c r="L344" s="2"/>
      <c r="M344" s="2"/>
      <c r="N344" s="2"/>
      <c r="O344" s="2"/>
      <c r="P344" s="2"/>
      <c r="Q344" s="2"/>
    </row>
    <row r="345" spans="7:17" ht="15.75" customHeight="1">
      <c r="G345" s="2"/>
      <c r="H345" s="2"/>
      <c r="I345" s="2"/>
      <c r="L345" s="2"/>
      <c r="M345" s="2"/>
      <c r="N345" s="2"/>
      <c r="O345" s="2"/>
      <c r="P345" s="2"/>
      <c r="Q345" s="2"/>
    </row>
    <row r="346" spans="7:17" ht="15.75" customHeight="1">
      <c r="G346" s="2"/>
      <c r="H346" s="2"/>
      <c r="I346" s="2"/>
      <c r="L346" s="2"/>
      <c r="M346" s="2"/>
      <c r="N346" s="2"/>
      <c r="O346" s="2"/>
      <c r="P346" s="2"/>
      <c r="Q346" s="2"/>
    </row>
    <row r="347" spans="7:17" ht="15.75" customHeight="1">
      <c r="G347" s="2"/>
      <c r="H347" s="2"/>
      <c r="I347" s="2"/>
      <c r="L347" s="2"/>
      <c r="M347" s="2"/>
      <c r="N347" s="2"/>
      <c r="O347" s="2"/>
      <c r="P347" s="2"/>
      <c r="Q347" s="2"/>
    </row>
    <row r="348" spans="7:17" ht="15.75" customHeight="1">
      <c r="G348" s="2"/>
      <c r="H348" s="2"/>
      <c r="I348" s="2"/>
      <c r="L348" s="2"/>
      <c r="M348" s="2"/>
      <c r="N348" s="2"/>
      <c r="O348" s="2"/>
      <c r="P348" s="2"/>
      <c r="Q348" s="2"/>
    </row>
    <row r="349" spans="7:17" ht="15.75" customHeight="1">
      <c r="G349" s="2"/>
      <c r="H349" s="2"/>
      <c r="I349" s="2"/>
      <c r="L349" s="2"/>
      <c r="M349" s="2"/>
      <c r="N349" s="2"/>
      <c r="O349" s="2"/>
      <c r="P349" s="2"/>
      <c r="Q349" s="2"/>
    </row>
    <row r="350" spans="7:17" ht="15.75" customHeight="1">
      <c r="G350" s="2"/>
      <c r="H350" s="2"/>
      <c r="I350" s="2"/>
      <c r="L350" s="2"/>
      <c r="M350" s="2"/>
      <c r="N350" s="2"/>
      <c r="O350" s="2"/>
      <c r="P350" s="2"/>
      <c r="Q350" s="2"/>
    </row>
    <row r="351" spans="7:17" ht="15.75" customHeight="1">
      <c r="G351" s="2"/>
      <c r="H351" s="2"/>
      <c r="I351" s="2"/>
      <c r="L351" s="2"/>
      <c r="M351" s="2"/>
      <c r="N351" s="2"/>
      <c r="O351" s="2"/>
      <c r="P351" s="2"/>
      <c r="Q351" s="2"/>
    </row>
    <row r="352" spans="7:17" ht="15.75" customHeight="1">
      <c r="G352" s="2"/>
      <c r="H352" s="2"/>
      <c r="I352" s="2"/>
      <c r="L352" s="2"/>
      <c r="M352" s="2"/>
      <c r="N352" s="2"/>
      <c r="O352" s="2"/>
      <c r="P352" s="2"/>
      <c r="Q352" s="2"/>
    </row>
    <row r="353" spans="7:17" ht="15.75" customHeight="1">
      <c r="G353" s="2"/>
      <c r="H353" s="2"/>
      <c r="I353" s="2"/>
      <c r="L353" s="2"/>
      <c r="M353" s="2"/>
      <c r="N353" s="2"/>
      <c r="O353" s="2"/>
      <c r="P353" s="2"/>
      <c r="Q353" s="2"/>
    </row>
    <row r="354" spans="7:17" ht="15.75" customHeight="1">
      <c r="G354" s="2"/>
      <c r="H354" s="2"/>
      <c r="I354" s="2"/>
      <c r="L354" s="2"/>
      <c r="M354" s="2"/>
      <c r="N354" s="2"/>
      <c r="O354" s="2"/>
      <c r="P354" s="2"/>
      <c r="Q354" s="2"/>
    </row>
    <row r="355" spans="7:17" ht="15.75" customHeight="1">
      <c r="G355" s="2"/>
      <c r="H355" s="2"/>
      <c r="I355" s="2"/>
      <c r="L355" s="2"/>
      <c r="M355" s="2"/>
      <c r="N355" s="2"/>
      <c r="O355" s="2"/>
      <c r="P355" s="2"/>
      <c r="Q355" s="2"/>
    </row>
    <row r="356" spans="7:17" ht="15.75" customHeight="1">
      <c r="G356" s="2"/>
      <c r="H356" s="2"/>
      <c r="I356" s="2"/>
      <c r="L356" s="2"/>
      <c r="M356" s="2"/>
      <c r="N356" s="2"/>
      <c r="O356" s="2"/>
      <c r="P356" s="2"/>
      <c r="Q356" s="2"/>
    </row>
    <row r="357" spans="7:17" ht="15.75" customHeight="1">
      <c r="G357" s="2"/>
      <c r="H357" s="2"/>
      <c r="I357" s="2"/>
      <c r="L357" s="2"/>
      <c r="M357" s="2"/>
      <c r="N357" s="2"/>
      <c r="O357" s="2"/>
      <c r="P357" s="2"/>
      <c r="Q357" s="2"/>
    </row>
    <row r="358" spans="7:17" ht="15.75" customHeight="1">
      <c r="G358" s="2"/>
      <c r="H358" s="2"/>
      <c r="I358" s="2"/>
      <c r="L358" s="2"/>
      <c r="M358" s="2"/>
      <c r="N358" s="2"/>
      <c r="O358" s="2"/>
      <c r="P358" s="2"/>
      <c r="Q358" s="2"/>
    </row>
    <row r="359" spans="7:17" ht="15.75" customHeight="1">
      <c r="G359" s="2"/>
      <c r="H359" s="2"/>
      <c r="I359" s="2"/>
      <c r="L359" s="2"/>
      <c r="M359" s="2"/>
      <c r="N359" s="2"/>
      <c r="O359" s="2"/>
      <c r="P359" s="2"/>
      <c r="Q359" s="2"/>
    </row>
    <row r="360" spans="7:17" ht="15.75" customHeight="1">
      <c r="G360" s="2"/>
      <c r="H360" s="2"/>
      <c r="I360" s="2"/>
      <c r="L360" s="2"/>
      <c r="M360" s="2"/>
      <c r="N360" s="2"/>
      <c r="O360" s="2"/>
      <c r="P360" s="2"/>
      <c r="Q360" s="2"/>
    </row>
    <row r="361" spans="7:17" ht="15.75" customHeight="1">
      <c r="G361" s="2"/>
      <c r="H361" s="2"/>
      <c r="I361" s="2"/>
      <c r="L361" s="2"/>
      <c r="M361" s="2"/>
      <c r="N361" s="2"/>
      <c r="O361" s="2"/>
      <c r="P361" s="2"/>
      <c r="Q361" s="2"/>
    </row>
    <row r="362" spans="7:17" ht="15.75" customHeight="1">
      <c r="G362" s="2"/>
      <c r="H362" s="2"/>
      <c r="I362" s="2"/>
      <c r="L362" s="2"/>
      <c r="M362" s="2"/>
      <c r="N362" s="2"/>
      <c r="O362" s="2"/>
      <c r="P362" s="2"/>
      <c r="Q362" s="2"/>
    </row>
    <row r="363" spans="7:17" ht="15.75" customHeight="1">
      <c r="G363" s="2"/>
      <c r="H363" s="2"/>
      <c r="I363" s="2"/>
      <c r="L363" s="2"/>
      <c r="M363" s="2"/>
      <c r="N363" s="2"/>
      <c r="O363" s="2"/>
      <c r="P363" s="2"/>
      <c r="Q363" s="2"/>
    </row>
    <row r="364" spans="7:17" ht="15.75" customHeight="1">
      <c r="G364" s="2"/>
      <c r="H364" s="2"/>
      <c r="I364" s="2"/>
      <c r="L364" s="2"/>
      <c r="M364" s="2"/>
      <c r="N364" s="2"/>
      <c r="O364" s="2"/>
      <c r="P364" s="2"/>
      <c r="Q364" s="2"/>
    </row>
    <row r="365" spans="7:17" ht="15.75" customHeight="1">
      <c r="G365" s="2"/>
      <c r="H365" s="2"/>
      <c r="I365" s="2"/>
      <c r="L365" s="2"/>
      <c r="M365" s="2"/>
      <c r="N365" s="2"/>
      <c r="O365" s="2"/>
      <c r="P365" s="2"/>
      <c r="Q365" s="2"/>
    </row>
    <row r="366" spans="7:17" ht="15.75" customHeight="1">
      <c r="G366" s="2"/>
      <c r="H366" s="2"/>
      <c r="I366" s="2"/>
      <c r="L366" s="2"/>
      <c r="M366" s="2"/>
      <c r="N366" s="2"/>
      <c r="O366" s="2"/>
      <c r="P366" s="2"/>
      <c r="Q366" s="2"/>
    </row>
    <row r="367" spans="7:17" ht="15.75" customHeight="1">
      <c r="G367" s="2"/>
      <c r="H367" s="2"/>
      <c r="I367" s="2"/>
      <c r="L367" s="2"/>
      <c r="M367" s="2"/>
      <c r="N367" s="2"/>
      <c r="O367" s="2"/>
      <c r="P367" s="2"/>
      <c r="Q367" s="2"/>
    </row>
    <row r="368" spans="7:17" ht="15.75" customHeight="1">
      <c r="G368" s="2"/>
      <c r="H368" s="2"/>
      <c r="I368" s="2"/>
      <c r="L368" s="2"/>
      <c r="M368" s="2"/>
      <c r="N368" s="2"/>
      <c r="O368" s="2"/>
      <c r="P368" s="2"/>
      <c r="Q368" s="2"/>
    </row>
    <row r="369" spans="7:17" ht="15.75" customHeight="1">
      <c r="G369" s="2"/>
      <c r="H369" s="2"/>
      <c r="I369" s="2"/>
      <c r="L369" s="2"/>
      <c r="M369" s="2"/>
      <c r="N369" s="2"/>
      <c r="O369" s="2"/>
      <c r="P369" s="2"/>
      <c r="Q369" s="2"/>
    </row>
    <row r="370" spans="7:17" ht="15.75" customHeight="1">
      <c r="G370" s="2"/>
      <c r="H370" s="2"/>
      <c r="I370" s="2"/>
      <c r="L370" s="2"/>
      <c r="M370" s="2"/>
      <c r="N370" s="2"/>
      <c r="O370" s="2"/>
      <c r="P370" s="2"/>
      <c r="Q370" s="2"/>
    </row>
    <row r="371" spans="7:17" ht="15.75" customHeight="1">
      <c r="G371" s="2"/>
      <c r="H371" s="2"/>
      <c r="I371" s="2"/>
      <c r="L371" s="2"/>
      <c r="M371" s="2"/>
      <c r="N371" s="2"/>
      <c r="O371" s="2"/>
      <c r="P371" s="2"/>
      <c r="Q371" s="2"/>
    </row>
    <row r="372" spans="7:17" ht="15.75" customHeight="1">
      <c r="G372" s="2"/>
      <c r="H372" s="2"/>
      <c r="I372" s="2"/>
      <c r="L372" s="2"/>
      <c r="M372" s="2"/>
      <c r="N372" s="2"/>
      <c r="O372" s="2"/>
      <c r="P372" s="2"/>
      <c r="Q372" s="2"/>
    </row>
    <row r="373" spans="7:17" ht="15.75" customHeight="1">
      <c r="G373" s="2"/>
      <c r="H373" s="2"/>
      <c r="I373" s="2"/>
      <c r="L373" s="2"/>
      <c r="M373" s="2"/>
      <c r="N373" s="2"/>
      <c r="O373" s="2"/>
      <c r="P373" s="2"/>
      <c r="Q373" s="2"/>
    </row>
    <row r="374" spans="7:17" ht="15.75" customHeight="1">
      <c r="G374" s="2"/>
      <c r="H374" s="2"/>
      <c r="I374" s="2"/>
      <c r="L374" s="2"/>
      <c r="M374" s="2"/>
      <c r="N374" s="2"/>
      <c r="O374" s="2"/>
      <c r="P374" s="2"/>
      <c r="Q374" s="2"/>
    </row>
    <row r="375" spans="7:17" ht="15.75" customHeight="1">
      <c r="G375" s="2"/>
      <c r="H375" s="2"/>
      <c r="I375" s="2"/>
      <c r="L375" s="2"/>
      <c r="M375" s="2"/>
      <c r="N375" s="2"/>
      <c r="O375" s="2"/>
      <c r="P375" s="2"/>
      <c r="Q375" s="2"/>
    </row>
    <row r="376" spans="7:17" ht="15.75" customHeight="1">
      <c r="G376" s="2"/>
      <c r="H376" s="2"/>
      <c r="I376" s="2"/>
      <c r="L376" s="2"/>
      <c r="M376" s="2"/>
      <c r="N376" s="2"/>
      <c r="O376" s="2"/>
      <c r="P376" s="2"/>
      <c r="Q376" s="2"/>
    </row>
    <row r="377" spans="7:17" ht="15.75" customHeight="1">
      <c r="G377" s="2"/>
      <c r="H377" s="2"/>
      <c r="I377" s="2"/>
      <c r="L377" s="2"/>
      <c r="M377" s="2"/>
      <c r="N377" s="2"/>
      <c r="O377" s="2"/>
      <c r="P377" s="2"/>
      <c r="Q377" s="2"/>
    </row>
    <row r="378" spans="7:17" ht="15.75" customHeight="1">
      <c r="G378" s="2"/>
      <c r="H378" s="2"/>
      <c r="I378" s="2"/>
      <c r="L378" s="2"/>
      <c r="M378" s="2"/>
      <c r="N378" s="2"/>
      <c r="O378" s="2"/>
      <c r="P378" s="2"/>
      <c r="Q378" s="2"/>
    </row>
    <row r="379" spans="7:17" ht="15.75" customHeight="1">
      <c r="G379" s="2"/>
      <c r="H379" s="2"/>
      <c r="I379" s="2"/>
      <c r="L379" s="2"/>
      <c r="M379" s="2"/>
      <c r="N379" s="2"/>
      <c r="O379" s="2"/>
      <c r="P379" s="2"/>
      <c r="Q379" s="2"/>
    </row>
    <row r="380" spans="7:17" ht="15.75" customHeight="1">
      <c r="G380" s="2"/>
      <c r="H380" s="2"/>
      <c r="I380" s="2"/>
      <c r="L380" s="2"/>
      <c r="M380" s="2"/>
      <c r="N380" s="2"/>
      <c r="O380" s="2"/>
      <c r="P380" s="2"/>
      <c r="Q380" s="2"/>
    </row>
    <row r="381" spans="7:17" ht="15.75" customHeight="1">
      <c r="G381" s="2"/>
      <c r="H381" s="2"/>
      <c r="I381" s="2"/>
      <c r="L381" s="2"/>
      <c r="M381" s="2"/>
      <c r="N381" s="2"/>
      <c r="O381" s="2"/>
      <c r="P381" s="2"/>
      <c r="Q381" s="2"/>
    </row>
    <row r="382" spans="7:17" ht="15.75" customHeight="1">
      <c r="G382" s="2"/>
      <c r="H382" s="2"/>
      <c r="I382" s="2"/>
      <c r="L382" s="2"/>
      <c r="M382" s="2"/>
      <c r="N382" s="2"/>
      <c r="O382" s="2"/>
      <c r="P382" s="2"/>
      <c r="Q382" s="2"/>
    </row>
    <row r="383" spans="7:17" ht="15.75" customHeight="1">
      <c r="G383" s="2"/>
      <c r="H383" s="2"/>
      <c r="I383" s="2"/>
      <c r="L383" s="2"/>
      <c r="M383" s="2"/>
      <c r="N383" s="2"/>
      <c r="O383" s="2"/>
      <c r="P383" s="2"/>
      <c r="Q383" s="2"/>
    </row>
    <row r="384" spans="7:17" ht="15.75" customHeight="1">
      <c r="G384" s="2"/>
      <c r="H384" s="2"/>
      <c r="I384" s="2"/>
      <c r="L384" s="2"/>
      <c r="M384" s="2"/>
      <c r="N384" s="2"/>
      <c r="O384" s="2"/>
      <c r="P384" s="2"/>
      <c r="Q384" s="2"/>
    </row>
    <row r="385" spans="7:17" ht="15.75" customHeight="1">
      <c r="G385" s="2"/>
      <c r="H385" s="2"/>
      <c r="I385" s="2"/>
      <c r="L385" s="2"/>
      <c r="M385" s="2"/>
      <c r="N385" s="2"/>
      <c r="O385" s="2"/>
      <c r="P385" s="2"/>
      <c r="Q385" s="2"/>
    </row>
    <row r="386" spans="7:17" ht="15.75" customHeight="1">
      <c r="G386" s="2"/>
      <c r="H386" s="2"/>
      <c r="I386" s="2"/>
      <c r="L386" s="2"/>
      <c r="M386" s="2"/>
      <c r="N386" s="2"/>
      <c r="O386" s="2"/>
      <c r="P386" s="2"/>
      <c r="Q386" s="2"/>
    </row>
    <row r="387" spans="7:17" ht="15.75" customHeight="1">
      <c r="G387" s="2"/>
      <c r="H387" s="2"/>
      <c r="I387" s="2"/>
      <c r="L387" s="2"/>
      <c r="M387" s="2"/>
      <c r="N387" s="2"/>
      <c r="O387" s="2"/>
      <c r="P387" s="2"/>
      <c r="Q387" s="2"/>
    </row>
    <row r="388" spans="7:17" ht="15.75" customHeight="1">
      <c r="G388" s="2"/>
      <c r="H388" s="2"/>
      <c r="I388" s="2"/>
      <c r="L388" s="2"/>
      <c r="M388" s="2"/>
      <c r="N388" s="2"/>
      <c r="O388" s="2"/>
      <c r="P388" s="2"/>
      <c r="Q388" s="2"/>
    </row>
    <row r="389" spans="7:17" ht="15.75" customHeight="1">
      <c r="G389" s="2"/>
      <c r="H389" s="2"/>
      <c r="I389" s="2"/>
      <c r="L389" s="2"/>
      <c r="M389" s="2"/>
      <c r="N389" s="2"/>
      <c r="O389" s="2"/>
      <c r="P389" s="2"/>
      <c r="Q389" s="2"/>
    </row>
    <row r="390" spans="7:17" ht="15.75" customHeight="1">
      <c r="G390" s="2"/>
      <c r="H390" s="2"/>
      <c r="I390" s="2"/>
      <c r="L390" s="2"/>
      <c r="M390" s="2"/>
      <c r="N390" s="2"/>
      <c r="O390" s="2"/>
      <c r="P390" s="2"/>
      <c r="Q390" s="2"/>
    </row>
    <row r="391" spans="7:17" ht="15.75" customHeight="1">
      <c r="G391" s="2"/>
      <c r="H391" s="2"/>
      <c r="I391" s="2"/>
      <c r="L391" s="2"/>
      <c r="M391" s="2"/>
      <c r="N391" s="2"/>
      <c r="O391" s="2"/>
      <c r="P391" s="2"/>
      <c r="Q391" s="2"/>
    </row>
    <row r="392" spans="7:17" ht="15.75" customHeight="1">
      <c r="G392" s="2"/>
      <c r="H392" s="2"/>
      <c r="I392" s="2"/>
      <c r="L392" s="2"/>
      <c r="M392" s="2"/>
      <c r="N392" s="2"/>
      <c r="O392" s="2"/>
      <c r="P392" s="2"/>
      <c r="Q392" s="2"/>
    </row>
    <row r="393" spans="7:17" ht="15.75" customHeight="1">
      <c r="G393" s="2"/>
      <c r="H393" s="2"/>
      <c r="I393" s="2"/>
      <c r="L393" s="2"/>
      <c r="M393" s="2"/>
      <c r="N393" s="2"/>
      <c r="O393" s="2"/>
      <c r="P393" s="2"/>
      <c r="Q393" s="2"/>
    </row>
    <row r="394" spans="7:17" ht="15.75" customHeight="1">
      <c r="G394" s="2"/>
      <c r="H394" s="2"/>
      <c r="I394" s="2"/>
      <c r="L394" s="2"/>
      <c r="M394" s="2"/>
      <c r="N394" s="2"/>
      <c r="O394" s="2"/>
      <c r="P394" s="2"/>
      <c r="Q394" s="2"/>
    </row>
    <row r="395" spans="7:17" ht="15.75" customHeight="1">
      <c r="G395" s="2"/>
      <c r="H395" s="2"/>
      <c r="I395" s="2"/>
      <c r="L395" s="2"/>
      <c r="M395" s="2"/>
      <c r="N395" s="2"/>
      <c r="O395" s="2"/>
      <c r="P395" s="2"/>
      <c r="Q395" s="2"/>
    </row>
    <row r="396" spans="7:17" ht="15.75" customHeight="1">
      <c r="G396" s="2"/>
      <c r="H396" s="2"/>
      <c r="I396" s="2"/>
      <c r="L396" s="2"/>
      <c r="M396" s="2"/>
      <c r="N396" s="2"/>
      <c r="O396" s="2"/>
      <c r="P396" s="2"/>
      <c r="Q396" s="2"/>
    </row>
    <row r="397" spans="7:17" ht="15.75" customHeight="1">
      <c r="G397" s="2"/>
      <c r="H397" s="2"/>
      <c r="I397" s="2"/>
      <c r="L397" s="2"/>
      <c r="M397" s="2"/>
      <c r="N397" s="2"/>
      <c r="O397" s="2"/>
      <c r="P397" s="2"/>
      <c r="Q397" s="2"/>
    </row>
    <row r="398" spans="7:17" ht="15.75" customHeight="1">
      <c r="G398" s="2"/>
      <c r="H398" s="2"/>
      <c r="I398" s="2"/>
      <c r="L398" s="2"/>
      <c r="M398" s="2"/>
      <c r="N398" s="2"/>
      <c r="O398" s="2"/>
      <c r="P398" s="2"/>
      <c r="Q398" s="2"/>
    </row>
    <row r="399" spans="7:17" ht="15.75" customHeight="1">
      <c r="G399" s="2"/>
      <c r="H399" s="2"/>
      <c r="I399" s="2"/>
      <c r="L399" s="2"/>
      <c r="M399" s="2"/>
      <c r="N399" s="2"/>
      <c r="O399" s="2"/>
      <c r="P399" s="2"/>
      <c r="Q399" s="2"/>
    </row>
    <row r="400" spans="7:17" ht="15.75" customHeight="1">
      <c r="G400" s="2"/>
      <c r="H400" s="2"/>
      <c r="I400" s="2"/>
      <c r="L400" s="2"/>
      <c r="M400" s="2"/>
      <c r="N400" s="2"/>
      <c r="O400" s="2"/>
      <c r="P400" s="2"/>
      <c r="Q400" s="2"/>
    </row>
    <row r="401" spans="7:17" ht="15.75" customHeight="1">
      <c r="G401" s="2"/>
      <c r="H401" s="2"/>
      <c r="I401" s="2"/>
      <c r="L401" s="2"/>
      <c r="M401" s="2"/>
      <c r="N401" s="2"/>
      <c r="O401" s="2"/>
      <c r="P401" s="2"/>
      <c r="Q401" s="2"/>
    </row>
    <row r="402" spans="7:17" ht="15.75" customHeight="1">
      <c r="G402" s="2"/>
      <c r="H402" s="2"/>
      <c r="I402" s="2"/>
      <c r="L402" s="2"/>
      <c r="M402" s="2"/>
      <c r="N402" s="2"/>
      <c r="O402" s="2"/>
      <c r="P402" s="2"/>
      <c r="Q402" s="2"/>
    </row>
    <row r="403" spans="7:17" ht="15.75" customHeight="1">
      <c r="G403" s="2"/>
      <c r="H403" s="2"/>
      <c r="I403" s="2"/>
      <c r="L403" s="2"/>
      <c r="M403" s="2"/>
      <c r="N403" s="2"/>
      <c r="O403" s="2"/>
      <c r="P403" s="2"/>
      <c r="Q403" s="2"/>
    </row>
    <row r="404" spans="7:17" ht="15.75" customHeight="1">
      <c r="G404" s="2"/>
      <c r="H404" s="2"/>
      <c r="I404" s="2"/>
      <c r="L404" s="2"/>
      <c r="M404" s="2"/>
      <c r="N404" s="2"/>
      <c r="O404" s="2"/>
      <c r="P404" s="2"/>
      <c r="Q404" s="2"/>
    </row>
    <row r="405" spans="7:17" ht="15.75" customHeight="1">
      <c r="G405" s="2"/>
      <c r="H405" s="2"/>
      <c r="I405" s="2"/>
      <c r="L405" s="2"/>
      <c r="M405" s="2"/>
      <c r="N405" s="2"/>
      <c r="O405" s="2"/>
      <c r="P405" s="2"/>
      <c r="Q405" s="2"/>
    </row>
    <row r="406" spans="7:17" ht="15.75" customHeight="1">
      <c r="G406" s="2"/>
      <c r="H406" s="2"/>
      <c r="I406" s="2"/>
      <c r="L406" s="2"/>
      <c r="M406" s="2"/>
      <c r="N406" s="2"/>
      <c r="O406" s="2"/>
      <c r="P406" s="2"/>
      <c r="Q406" s="2"/>
    </row>
    <row r="407" spans="7:17" ht="15.75" customHeight="1">
      <c r="G407" s="2"/>
      <c r="H407" s="2"/>
      <c r="I407" s="2"/>
      <c r="L407" s="2"/>
      <c r="M407" s="2"/>
      <c r="N407" s="2"/>
      <c r="O407" s="2"/>
      <c r="P407" s="2"/>
      <c r="Q407" s="2"/>
    </row>
    <row r="408" spans="7:17" ht="15.75" customHeight="1">
      <c r="G408" s="2"/>
      <c r="H408" s="2"/>
      <c r="I408" s="2"/>
      <c r="L408" s="2"/>
      <c r="M408" s="2"/>
      <c r="N408" s="2"/>
      <c r="O408" s="2"/>
      <c r="P408" s="2"/>
      <c r="Q408" s="2"/>
    </row>
    <row r="409" spans="7:17" ht="15.75" customHeight="1">
      <c r="G409" s="2"/>
      <c r="H409" s="2"/>
      <c r="I409" s="2"/>
      <c r="L409" s="2"/>
      <c r="M409" s="2"/>
      <c r="N409" s="2"/>
      <c r="O409" s="2"/>
      <c r="P409" s="2"/>
      <c r="Q409" s="2"/>
    </row>
    <row r="410" spans="7:17" ht="15.75" customHeight="1">
      <c r="G410" s="2"/>
      <c r="H410" s="2"/>
      <c r="I410" s="2"/>
      <c r="L410" s="2"/>
      <c r="M410" s="2"/>
      <c r="N410" s="2"/>
      <c r="O410" s="2"/>
      <c r="P410" s="2"/>
      <c r="Q410" s="2"/>
    </row>
    <row r="411" spans="7:17" ht="15.75" customHeight="1">
      <c r="G411" s="2"/>
      <c r="H411" s="2"/>
      <c r="I411" s="2"/>
      <c r="L411" s="2"/>
      <c r="M411" s="2"/>
      <c r="N411" s="2"/>
      <c r="O411" s="2"/>
      <c r="P411" s="2"/>
      <c r="Q411" s="2"/>
    </row>
    <row r="412" spans="7:17" ht="15.75" customHeight="1">
      <c r="G412" s="2"/>
      <c r="H412" s="2"/>
      <c r="I412" s="2"/>
      <c r="L412" s="2"/>
      <c r="M412" s="2"/>
      <c r="N412" s="2"/>
      <c r="O412" s="2"/>
      <c r="P412" s="2"/>
      <c r="Q412" s="2"/>
    </row>
    <row r="413" spans="7:17" ht="15.75" customHeight="1">
      <c r="G413" s="2"/>
      <c r="H413" s="2"/>
      <c r="I413" s="2"/>
      <c r="L413" s="2"/>
      <c r="M413" s="2"/>
      <c r="N413" s="2"/>
      <c r="O413" s="2"/>
      <c r="P413" s="2"/>
      <c r="Q413" s="2"/>
    </row>
    <row r="414" spans="7:17" ht="15.75" customHeight="1">
      <c r="G414" s="2"/>
      <c r="H414" s="2"/>
      <c r="I414" s="2"/>
      <c r="L414" s="2"/>
      <c r="M414" s="2"/>
      <c r="N414" s="2"/>
      <c r="O414" s="2"/>
      <c r="P414" s="2"/>
      <c r="Q414" s="2"/>
    </row>
    <row r="415" spans="7:17" ht="15.75" customHeight="1">
      <c r="G415" s="2"/>
      <c r="H415" s="2"/>
      <c r="I415" s="2"/>
      <c r="L415" s="2"/>
      <c r="M415" s="2"/>
      <c r="N415" s="2"/>
      <c r="O415" s="2"/>
      <c r="P415" s="2"/>
      <c r="Q415" s="2"/>
    </row>
    <row r="416" spans="7:17" ht="15.75" customHeight="1">
      <c r="G416" s="2"/>
      <c r="H416" s="2"/>
      <c r="I416" s="2"/>
      <c r="L416" s="2"/>
      <c r="M416" s="2"/>
      <c r="N416" s="2"/>
      <c r="O416" s="2"/>
      <c r="P416" s="2"/>
      <c r="Q416" s="2"/>
    </row>
    <row r="417" spans="7:17" ht="15.75" customHeight="1">
      <c r="G417" s="2"/>
      <c r="H417" s="2"/>
      <c r="I417" s="2"/>
      <c r="L417" s="2"/>
      <c r="M417" s="2"/>
      <c r="N417" s="2"/>
      <c r="O417" s="2"/>
      <c r="P417" s="2"/>
      <c r="Q417" s="2"/>
    </row>
    <row r="418" spans="7:17" ht="15.75" customHeight="1">
      <c r="G418" s="2"/>
      <c r="H418" s="2"/>
      <c r="I418" s="2"/>
      <c r="L418" s="2"/>
      <c r="M418" s="2"/>
      <c r="N418" s="2"/>
      <c r="O418" s="2"/>
      <c r="P418" s="2"/>
      <c r="Q418" s="2"/>
    </row>
    <row r="419" spans="7:17" ht="15.75" customHeight="1">
      <c r="G419" s="2"/>
      <c r="H419" s="2"/>
      <c r="I419" s="2"/>
      <c r="L419" s="2"/>
      <c r="M419" s="2"/>
      <c r="N419" s="2"/>
      <c r="O419" s="2"/>
      <c r="P419" s="2"/>
      <c r="Q419" s="2"/>
    </row>
    <row r="420" spans="7:17" ht="15.75" customHeight="1">
      <c r="G420" s="2"/>
      <c r="H420" s="2"/>
      <c r="I420" s="2"/>
      <c r="L420" s="2"/>
      <c r="M420" s="2"/>
      <c r="N420" s="2"/>
      <c r="O420" s="2"/>
      <c r="P420" s="2"/>
      <c r="Q420" s="2"/>
    </row>
    <row r="421" spans="7:17" ht="15.75" customHeight="1">
      <c r="G421" s="2"/>
      <c r="H421" s="2"/>
      <c r="I421" s="2"/>
      <c r="L421" s="2"/>
      <c r="M421" s="2"/>
      <c r="N421" s="2"/>
      <c r="O421" s="2"/>
      <c r="P421" s="2"/>
      <c r="Q421" s="2"/>
    </row>
    <row r="422" spans="7:17" ht="15.75" customHeight="1">
      <c r="G422" s="2"/>
      <c r="H422" s="2"/>
      <c r="I422" s="2"/>
      <c r="L422" s="2"/>
      <c r="M422" s="2"/>
      <c r="N422" s="2"/>
      <c r="O422" s="2"/>
      <c r="P422" s="2"/>
      <c r="Q422" s="2"/>
    </row>
    <row r="423" spans="7:17" ht="15.75" customHeight="1">
      <c r="G423" s="2"/>
      <c r="H423" s="2"/>
      <c r="I423" s="2"/>
      <c r="L423" s="2"/>
      <c r="M423" s="2"/>
      <c r="N423" s="2"/>
      <c r="O423" s="2"/>
      <c r="P423" s="2"/>
      <c r="Q423" s="2"/>
    </row>
    <row r="424" spans="7:17" ht="15.75" customHeight="1">
      <c r="G424" s="2"/>
      <c r="H424" s="2"/>
      <c r="I424" s="2"/>
      <c r="L424" s="2"/>
      <c r="M424" s="2"/>
      <c r="N424" s="2"/>
      <c r="O424" s="2"/>
      <c r="P424" s="2"/>
      <c r="Q424" s="2"/>
    </row>
    <row r="425" spans="7:17" ht="15.75" customHeight="1">
      <c r="G425" s="2"/>
      <c r="H425" s="2"/>
      <c r="I425" s="2"/>
      <c r="L425" s="2"/>
      <c r="M425" s="2"/>
      <c r="N425" s="2"/>
      <c r="O425" s="2"/>
      <c r="P425" s="2"/>
      <c r="Q425" s="2"/>
    </row>
    <row r="426" spans="7:17" ht="15.75" customHeight="1">
      <c r="G426" s="2"/>
      <c r="H426" s="2"/>
      <c r="I426" s="2"/>
      <c r="L426" s="2"/>
      <c r="M426" s="2"/>
      <c r="N426" s="2"/>
      <c r="O426" s="2"/>
      <c r="P426" s="2"/>
      <c r="Q426" s="2"/>
    </row>
    <row r="427" spans="7:17" ht="15.75" customHeight="1">
      <c r="G427" s="2"/>
      <c r="H427" s="2"/>
      <c r="I427" s="2"/>
      <c r="L427" s="2"/>
      <c r="M427" s="2"/>
      <c r="N427" s="2"/>
      <c r="O427" s="2"/>
      <c r="P427" s="2"/>
      <c r="Q427" s="2"/>
    </row>
    <row r="428" spans="7:17" ht="15.75" customHeight="1">
      <c r="G428" s="2"/>
      <c r="H428" s="2"/>
      <c r="I428" s="2"/>
      <c r="L428" s="2"/>
      <c r="M428" s="2"/>
      <c r="N428" s="2"/>
      <c r="O428" s="2"/>
      <c r="P428" s="2"/>
      <c r="Q428" s="2"/>
    </row>
    <row r="429" spans="7:17" ht="15.75" customHeight="1">
      <c r="G429" s="2"/>
      <c r="H429" s="2"/>
      <c r="I429" s="2"/>
      <c r="L429" s="2"/>
      <c r="M429" s="2"/>
      <c r="N429" s="2"/>
      <c r="O429" s="2"/>
      <c r="P429" s="2"/>
      <c r="Q429" s="2"/>
    </row>
    <row r="430" spans="7:17" ht="15.75" customHeight="1">
      <c r="G430" s="2"/>
      <c r="H430" s="2"/>
      <c r="I430" s="2"/>
      <c r="L430" s="2"/>
      <c r="M430" s="2"/>
      <c r="N430" s="2"/>
      <c r="O430" s="2"/>
      <c r="P430" s="2"/>
      <c r="Q430" s="2"/>
    </row>
    <row r="431" spans="7:17" ht="15.75" customHeight="1">
      <c r="G431" s="2"/>
      <c r="H431" s="2"/>
      <c r="I431" s="2"/>
      <c r="L431" s="2"/>
      <c r="M431" s="2"/>
      <c r="N431" s="2"/>
      <c r="O431" s="2"/>
      <c r="P431" s="2"/>
      <c r="Q431" s="2"/>
    </row>
    <row r="432" spans="7:17" ht="15.75" customHeight="1">
      <c r="G432" s="2"/>
      <c r="H432" s="2"/>
      <c r="I432" s="2"/>
      <c r="L432" s="2"/>
      <c r="M432" s="2"/>
      <c r="N432" s="2"/>
      <c r="O432" s="2"/>
      <c r="P432" s="2"/>
      <c r="Q432" s="2"/>
    </row>
    <row r="433" spans="7:17" ht="15.75" customHeight="1">
      <c r="G433" s="2"/>
      <c r="H433" s="2"/>
      <c r="I433" s="2"/>
      <c r="L433" s="2"/>
      <c r="M433" s="2"/>
      <c r="N433" s="2"/>
      <c r="O433" s="2"/>
      <c r="P433" s="2"/>
      <c r="Q433" s="2"/>
    </row>
    <row r="434" spans="7:17" ht="15.75" customHeight="1">
      <c r="G434" s="2"/>
      <c r="H434" s="2"/>
      <c r="I434" s="2"/>
      <c r="L434" s="2"/>
      <c r="M434" s="2"/>
      <c r="N434" s="2"/>
      <c r="O434" s="2"/>
      <c r="P434" s="2"/>
      <c r="Q434" s="2"/>
    </row>
    <row r="435" spans="7:17" ht="15.75" customHeight="1">
      <c r="G435" s="2"/>
      <c r="H435" s="2"/>
      <c r="I435" s="2"/>
      <c r="L435" s="2"/>
      <c r="M435" s="2"/>
      <c r="N435" s="2"/>
      <c r="O435" s="2"/>
      <c r="P435" s="2"/>
      <c r="Q435" s="2"/>
    </row>
    <row r="436" spans="7:17" ht="15.75" customHeight="1">
      <c r="G436" s="2"/>
      <c r="H436" s="2"/>
      <c r="I436" s="2"/>
      <c r="L436" s="2"/>
      <c r="M436" s="2"/>
      <c r="N436" s="2"/>
      <c r="O436" s="2"/>
      <c r="P436" s="2"/>
      <c r="Q436" s="2"/>
    </row>
    <row r="437" spans="7:17" ht="15.75" customHeight="1">
      <c r="G437" s="2"/>
      <c r="H437" s="2"/>
      <c r="I437" s="2"/>
      <c r="L437" s="2"/>
      <c r="M437" s="2"/>
      <c r="N437" s="2"/>
      <c r="O437" s="2"/>
      <c r="P437" s="2"/>
      <c r="Q437" s="2"/>
    </row>
    <row r="438" spans="7:17" ht="15.75" customHeight="1">
      <c r="G438" s="2"/>
      <c r="H438" s="2"/>
      <c r="I438" s="2"/>
      <c r="L438" s="2"/>
      <c r="M438" s="2"/>
      <c r="N438" s="2"/>
      <c r="O438" s="2"/>
      <c r="P438" s="2"/>
      <c r="Q438" s="2"/>
    </row>
    <row r="439" spans="7:17" ht="15.75" customHeight="1">
      <c r="G439" s="2"/>
      <c r="H439" s="2"/>
      <c r="I439" s="2"/>
      <c r="L439" s="2"/>
      <c r="M439" s="2"/>
      <c r="N439" s="2"/>
      <c r="O439" s="2"/>
      <c r="P439" s="2"/>
      <c r="Q439" s="2"/>
    </row>
    <row r="440" spans="7:17" ht="15.75" customHeight="1">
      <c r="G440" s="2"/>
      <c r="H440" s="2"/>
      <c r="I440" s="2"/>
      <c r="L440" s="2"/>
      <c r="M440" s="2"/>
      <c r="N440" s="2"/>
      <c r="O440" s="2"/>
      <c r="P440" s="2"/>
      <c r="Q440" s="2"/>
    </row>
    <row r="441" spans="7:17" ht="15.75" customHeight="1">
      <c r="G441" s="2"/>
      <c r="H441" s="2"/>
      <c r="I441" s="2"/>
      <c r="L441" s="2"/>
      <c r="M441" s="2"/>
      <c r="N441" s="2"/>
      <c r="O441" s="2"/>
      <c r="P441" s="2"/>
      <c r="Q441" s="2"/>
    </row>
    <row r="442" spans="7:17" ht="15.75" customHeight="1">
      <c r="G442" s="2"/>
      <c r="H442" s="2"/>
      <c r="I442" s="2"/>
      <c r="L442" s="2"/>
      <c r="M442" s="2"/>
      <c r="N442" s="2"/>
      <c r="O442" s="2"/>
      <c r="P442" s="2"/>
      <c r="Q442" s="2"/>
    </row>
    <row r="443" spans="7:17" ht="15.75" customHeight="1">
      <c r="G443" s="2"/>
      <c r="H443" s="2"/>
      <c r="I443" s="2"/>
      <c r="L443" s="2"/>
      <c r="M443" s="2"/>
      <c r="N443" s="2"/>
      <c r="O443" s="2"/>
      <c r="P443" s="2"/>
      <c r="Q443" s="2"/>
    </row>
    <row r="444" spans="7:17" ht="15.75" customHeight="1">
      <c r="G444" s="2"/>
      <c r="H444" s="2"/>
      <c r="I444" s="2"/>
      <c r="L444" s="2"/>
      <c r="M444" s="2"/>
      <c r="N444" s="2"/>
      <c r="O444" s="2"/>
      <c r="P444" s="2"/>
      <c r="Q444" s="2"/>
    </row>
    <row r="445" spans="7:17" ht="15.75" customHeight="1">
      <c r="G445" s="2"/>
      <c r="H445" s="2"/>
      <c r="I445" s="2"/>
      <c r="L445" s="2"/>
      <c r="M445" s="2"/>
      <c r="N445" s="2"/>
      <c r="O445" s="2"/>
      <c r="P445" s="2"/>
      <c r="Q445" s="2"/>
    </row>
    <row r="446" spans="7:17" ht="15.75" customHeight="1">
      <c r="G446" s="2"/>
      <c r="H446" s="2"/>
      <c r="I446" s="2"/>
      <c r="L446" s="2"/>
      <c r="M446" s="2"/>
      <c r="N446" s="2"/>
      <c r="O446" s="2"/>
      <c r="P446" s="2"/>
      <c r="Q446" s="2"/>
    </row>
    <row r="447" spans="7:17" ht="15.75" customHeight="1">
      <c r="G447" s="2"/>
      <c r="H447" s="2"/>
      <c r="I447" s="2"/>
      <c r="L447" s="2"/>
      <c r="M447" s="2"/>
      <c r="N447" s="2"/>
      <c r="O447" s="2"/>
      <c r="P447" s="2"/>
      <c r="Q447" s="2"/>
    </row>
    <row r="448" spans="7:17" ht="15.75" customHeight="1">
      <c r="G448" s="2"/>
      <c r="H448" s="2"/>
      <c r="I448" s="2"/>
      <c r="L448" s="2"/>
      <c r="M448" s="2"/>
      <c r="N448" s="2"/>
      <c r="O448" s="2"/>
      <c r="P448" s="2"/>
      <c r="Q448" s="2"/>
    </row>
    <row r="449" spans="7:17" ht="15.75" customHeight="1">
      <c r="G449" s="2"/>
      <c r="H449" s="2"/>
      <c r="I449" s="2"/>
      <c r="L449" s="2"/>
      <c r="M449" s="2"/>
      <c r="N449" s="2"/>
      <c r="O449" s="2"/>
      <c r="P449" s="2"/>
      <c r="Q449" s="2"/>
    </row>
    <row r="450" spans="7:17" ht="15.75" customHeight="1">
      <c r="G450" s="2"/>
      <c r="H450" s="2"/>
      <c r="I450" s="2"/>
      <c r="L450" s="2"/>
      <c r="M450" s="2"/>
      <c r="N450" s="2"/>
      <c r="O450" s="2"/>
      <c r="P450" s="2"/>
      <c r="Q450" s="2"/>
    </row>
    <row r="451" spans="7:17" ht="15.75" customHeight="1">
      <c r="G451" s="2"/>
      <c r="H451" s="2"/>
      <c r="I451" s="2"/>
      <c r="L451" s="2"/>
      <c r="M451" s="2"/>
      <c r="N451" s="2"/>
      <c r="O451" s="2"/>
      <c r="P451" s="2"/>
      <c r="Q451" s="2"/>
    </row>
    <row r="452" spans="7:17" ht="15.75" customHeight="1">
      <c r="G452" s="2"/>
      <c r="H452" s="2"/>
      <c r="I452" s="2"/>
      <c r="L452" s="2"/>
      <c r="M452" s="2"/>
      <c r="N452" s="2"/>
      <c r="O452" s="2"/>
      <c r="P452" s="2"/>
      <c r="Q452" s="2"/>
    </row>
    <row r="453" spans="7:17" ht="15.75" customHeight="1">
      <c r="G453" s="2"/>
      <c r="H453" s="2"/>
      <c r="I453" s="2"/>
      <c r="L453" s="2"/>
      <c r="M453" s="2"/>
      <c r="N453" s="2"/>
      <c r="O453" s="2"/>
      <c r="P453" s="2"/>
      <c r="Q453" s="2"/>
    </row>
    <row r="454" spans="7:17" ht="15.75" customHeight="1">
      <c r="G454" s="2"/>
      <c r="H454" s="2"/>
      <c r="I454" s="2"/>
      <c r="L454" s="2"/>
      <c r="M454" s="2"/>
      <c r="N454" s="2"/>
      <c r="O454" s="2"/>
      <c r="P454" s="2"/>
      <c r="Q454" s="2"/>
    </row>
    <row r="455" spans="7:17" ht="15.75" customHeight="1">
      <c r="G455" s="2"/>
      <c r="H455" s="2"/>
      <c r="I455" s="2"/>
      <c r="L455" s="2"/>
      <c r="M455" s="2"/>
      <c r="N455" s="2"/>
      <c r="O455" s="2"/>
      <c r="P455" s="2"/>
      <c r="Q455" s="2"/>
    </row>
    <row r="456" spans="7:17" ht="15.75" customHeight="1">
      <c r="G456" s="2"/>
      <c r="H456" s="2"/>
      <c r="I456" s="2"/>
      <c r="L456" s="2"/>
      <c r="M456" s="2"/>
      <c r="N456" s="2"/>
      <c r="O456" s="2"/>
      <c r="P456" s="2"/>
      <c r="Q456" s="2"/>
    </row>
    <row r="457" spans="7:17" ht="15.75" customHeight="1">
      <c r="G457" s="2"/>
      <c r="H457" s="2"/>
      <c r="I457" s="2"/>
      <c r="L457" s="2"/>
      <c r="M457" s="2"/>
      <c r="N457" s="2"/>
      <c r="O457" s="2"/>
      <c r="P457" s="2"/>
      <c r="Q457" s="2"/>
    </row>
    <row r="458" spans="7:17" ht="15.75" customHeight="1">
      <c r="G458" s="2"/>
      <c r="H458" s="2"/>
      <c r="I458" s="2"/>
      <c r="L458" s="2"/>
      <c r="M458" s="2"/>
      <c r="N458" s="2"/>
      <c r="O458" s="2"/>
      <c r="P458" s="2"/>
      <c r="Q458" s="2"/>
    </row>
    <row r="459" spans="7:17" ht="15.75" customHeight="1">
      <c r="G459" s="2"/>
      <c r="H459" s="2"/>
      <c r="I459" s="2"/>
      <c r="L459" s="2"/>
      <c r="M459" s="2"/>
      <c r="N459" s="2"/>
      <c r="O459" s="2"/>
      <c r="P459" s="2"/>
      <c r="Q459" s="2"/>
    </row>
    <row r="460" spans="7:17" ht="15.75" customHeight="1">
      <c r="G460" s="2"/>
      <c r="H460" s="2"/>
      <c r="I460" s="2"/>
      <c r="L460" s="2"/>
      <c r="M460" s="2"/>
      <c r="N460" s="2"/>
      <c r="O460" s="2"/>
      <c r="P460" s="2"/>
      <c r="Q460" s="2"/>
    </row>
    <row r="461" spans="7:17" ht="15.75" customHeight="1">
      <c r="G461" s="2"/>
      <c r="H461" s="2"/>
      <c r="I461" s="2"/>
      <c r="L461" s="2"/>
      <c r="M461" s="2"/>
      <c r="N461" s="2"/>
      <c r="O461" s="2"/>
      <c r="P461" s="2"/>
      <c r="Q461" s="2"/>
    </row>
    <row r="462" spans="7:17" ht="15.75" customHeight="1">
      <c r="G462" s="2"/>
      <c r="H462" s="2"/>
      <c r="I462" s="2"/>
      <c r="L462" s="2"/>
      <c r="M462" s="2"/>
      <c r="N462" s="2"/>
      <c r="O462" s="2"/>
      <c r="P462" s="2"/>
      <c r="Q462" s="2"/>
    </row>
    <row r="463" spans="7:17" ht="15.75" customHeight="1">
      <c r="G463" s="2"/>
      <c r="H463" s="2"/>
      <c r="I463" s="2"/>
      <c r="L463" s="2"/>
      <c r="M463" s="2"/>
      <c r="N463" s="2"/>
      <c r="O463" s="2"/>
      <c r="P463" s="2"/>
      <c r="Q463" s="2"/>
    </row>
    <row r="464" spans="7:17" ht="15.75" customHeight="1">
      <c r="G464" s="2"/>
      <c r="H464" s="2"/>
      <c r="I464" s="2"/>
      <c r="L464" s="2"/>
      <c r="M464" s="2"/>
      <c r="N464" s="2"/>
      <c r="O464" s="2"/>
      <c r="P464" s="2"/>
      <c r="Q464" s="2"/>
    </row>
    <row r="465" spans="7:17" ht="15.75" customHeight="1">
      <c r="G465" s="2"/>
      <c r="H465" s="2"/>
      <c r="I465" s="2"/>
      <c r="L465" s="2"/>
      <c r="M465" s="2"/>
      <c r="N465" s="2"/>
      <c r="O465" s="2"/>
      <c r="P465" s="2"/>
      <c r="Q465" s="2"/>
    </row>
    <row r="466" spans="7:17" ht="15.75" customHeight="1">
      <c r="G466" s="2"/>
      <c r="H466" s="2"/>
      <c r="I466" s="2"/>
      <c r="L466" s="2"/>
      <c r="M466" s="2"/>
      <c r="N466" s="2"/>
      <c r="O466" s="2"/>
      <c r="P466" s="2"/>
      <c r="Q466" s="2"/>
    </row>
    <row r="467" spans="7:17" ht="15.75" customHeight="1">
      <c r="G467" s="2"/>
      <c r="H467" s="2"/>
      <c r="I467" s="2"/>
      <c r="L467" s="2"/>
      <c r="M467" s="2"/>
      <c r="N467" s="2"/>
      <c r="O467" s="2"/>
      <c r="P467" s="2"/>
      <c r="Q467" s="2"/>
    </row>
    <row r="468" spans="7:17" ht="15.75" customHeight="1">
      <c r="G468" s="2"/>
      <c r="H468" s="2"/>
      <c r="I468" s="2"/>
      <c r="L468" s="2"/>
      <c r="M468" s="2"/>
      <c r="N468" s="2"/>
      <c r="O468" s="2"/>
      <c r="P468" s="2"/>
      <c r="Q468" s="2"/>
    </row>
    <row r="469" spans="7:17" ht="15.75" customHeight="1">
      <c r="G469" s="2"/>
      <c r="H469" s="2"/>
      <c r="I469" s="2"/>
      <c r="L469" s="2"/>
      <c r="M469" s="2"/>
      <c r="N469" s="2"/>
      <c r="O469" s="2"/>
      <c r="P469" s="2"/>
      <c r="Q469" s="2"/>
    </row>
    <row r="470" spans="7:17" ht="15.75" customHeight="1">
      <c r="G470" s="2"/>
      <c r="H470" s="2"/>
      <c r="I470" s="2"/>
      <c r="L470" s="2"/>
      <c r="M470" s="2"/>
      <c r="N470" s="2"/>
      <c r="O470" s="2"/>
      <c r="P470" s="2"/>
      <c r="Q470" s="2"/>
    </row>
    <row r="471" spans="7:17" ht="15.75" customHeight="1">
      <c r="G471" s="2"/>
      <c r="H471" s="2"/>
      <c r="I471" s="2"/>
      <c r="L471" s="2"/>
      <c r="M471" s="2"/>
      <c r="N471" s="2"/>
      <c r="O471" s="2"/>
      <c r="P471" s="2"/>
      <c r="Q471" s="2"/>
    </row>
    <row r="472" spans="7:17" ht="15.75" customHeight="1">
      <c r="G472" s="2"/>
      <c r="H472" s="2"/>
      <c r="I472" s="2"/>
      <c r="L472" s="2"/>
      <c r="M472" s="2"/>
      <c r="N472" s="2"/>
      <c r="O472" s="2"/>
      <c r="P472" s="2"/>
      <c r="Q472" s="2"/>
    </row>
    <row r="473" spans="7:17" ht="15.75" customHeight="1">
      <c r="G473" s="2"/>
      <c r="H473" s="2"/>
      <c r="I473" s="2"/>
      <c r="L473" s="2"/>
      <c r="M473" s="2"/>
      <c r="N473" s="2"/>
      <c r="O473" s="2"/>
      <c r="P473" s="2"/>
      <c r="Q473" s="2"/>
    </row>
    <row r="474" spans="7:17" ht="15.75" customHeight="1">
      <c r="G474" s="2"/>
      <c r="H474" s="2"/>
      <c r="I474" s="2"/>
      <c r="L474" s="2"/>
      <c r="M474" s="2"/>
      <c r="N474" s="2"/>
      <c r="O474" s="2"/>
      <c r="P474" s="2"/>
      <c r="Q474" s="2"/>
    </row>
    <row r="475" spans="7:17" ht="15.75" customHeight="1">
      <c r="G475" s="2"/>
      <c r="H475" s="2"/>
      <c r="I475" s="2"/>
      <c r="L475" s="2"/>
      <c r="M475" s="2"/>
      <c r="N475" s="2"/>
      <c r="O475" s="2"/>
      <c r="P475" s="2"/>
      <c r="Q475" s="2"/>
    </row>
    <row r="476" spans="7:17" ht="15.75" customHeight="1">
      <c r="G476" s="2"/>
      <c r="H476" s="2"/>
      <c r="I476" s="2"/>
      <c r="L476" s="2"/>
      <c r="M476" s="2"/>
      <c r="N476" s="2"/>
      <c r="O476" s="2"/>
      <c r="P476" s="2"/>
      <c r="Q476" s="2"/>
    </row>
    <row r="477" spans="7:17" ht="15.75" customHeight="1">
      <c r="G477" s="2"/>
      <c r="H477" s="2"/>
      <c r="I477" s="2"/>
      <c r="L477" s="2"/>
      <c r="M477" s="2"/>
      <c r="N477" s="2"/>
      <c r="O477" s="2"/>
      <c r="P477" s="2"/>
      <c r="Q477" s="2"/>
    </row>
    <row r="478" spans="7:17" ht="15.75" customHeight="1">
      <c r="G478" s="2"/>
      <c r="H478" s="2"/>
      <c r="I478" s="2"/>
      <c r="L478" s="2"/>
      <c r="M478" s="2"/>
      <c r="N478" s="2"/>
      <c r="O478" s="2"/>
      <c r="P478" s="2"/>
      <c r="Q478" s="2"/>
    </row>
    <row r="479" spans="7:17" ht="15.75" customHeight="1">
      <c r="G479" s="2"/>
      <c r="H479" s="2"/>
      <c r="I479" s="2"/>
      <c r="L479" s="2"/>
      <c r="M479" s="2"/>
      <c r="N479" s="2"/>
      <c r="O479" s="2"/>
      <c r="P479" s="2"/>
      <c r="Q479" s="2"/>
    </row>
    <row r="480" spans="7:17" ht="15.75" customHeight="1">
      <c r="G480" s="2"/>
      <c r="H480" s="2"/>
      <c r="I480" s="2"/>
      <c r="L480" s="2"/>
      <c r="M480" s="2"/>
      <c r="N480" s="2"/>
      <c r="O480" s="2"/>
      <c r="P480" s="2"/>
      <c r="Q480" s="2"/>
    </row>
    <row r="481" spans="7:17" ht="15.75" customHeight="1">
      <c r="G481" s="2"/>
      <c r="H481" s="2"/>
      <c r="I481" s="2"/>
      <c r="L481" s="2"/>
      <c r="M481" s="2"/>
      <c r="N481" s="2"/>
      <c r="O481" s="2"/>
      <c r="P481" s="2"/>
      <c r="Q481" s="2"/>
    </row>
    <row r="482" spans="7:17" ht="15.75" customHeight="1">
      <c r="G482" s="2"/>
      <c r="H482" s="2"/>
      <c r="I482" s="2"/>
      <c r="L482" s="2"/>
      <c r="M482" s="2"/>
      <c r="N482" s="2"/>
      <c r="O482" s="2"/>
      <c r="P482" s="2"/>
      <c r="Q482" s="2"/>
    </row>
    <row r="483" spans="7:17" ht="15.75" customHeight="1">
      <c r="G483" s="2"/>
      <c r="H483" s="2"/>
      <c r="I483" s="2"/>
      <c r="L483" s="2"/>
      <c r="M483" s="2"/>
      <c r="N483" s="2"/>
      <c r="O483" s="2"/>
      <c r="P483" s="2"/>
      <c r="Q483" s="2"/>
    </row>
    <row r="484" spans="7:17" ht="15.75" customHeight="1">
      <c r="G484" s="2"/>
      <c r="H484" s="2"/>
      <c r="I484" s="2"/>
      <c r="L484" s="2"/>
      <c r="M484" s="2"/>
      <c r="N484" s="2"/>
      <c r="O484" s="2"/>
      <c r="P484" s="2"/>
      <c r="Q484" s="2"/>
    </row>
    <row r="485" spans="7:17" ht="15.75" customHeight="1">
      <c r="G485" s="2"/>
      <c r="H485" s="2"/>
      <c r="I485" s="2"/>
      <c r="L485" s="2"/>
      <c r="M485" s="2"/>
      <c r="N485" s="2"/>
      <c r="O485" s="2"/>
      <c r="P485" s="2"/>
      <c r="Q485" s="2"/>
    </row>
    <row r="486" spans="7:17" ht="15.75" customHeight="1">
      <c r="G486" s="2"/>
      <c r="H486" s="2"/>
      <c r="I486" s="2"/>
      <c r="L486" s="2"/>
      <c r="M486" s="2"/>
      <c r="N486" s="2"/>
      <c r="O486" s="2"/>
      <c r="P486" s="2"/>
      <c r="Q486" s="2"/>
    </row>
    <row r="487" spans="7:17" ht="15.75" customHeight="1">
      <c r="G487" s="2"/>
      <c r="H487" s="2"/>
      <c r="I487" s="2"/>
      <c r="L487" s="2"/>
      <c r="M487" s="2"/>
      <c r="N487" s="2"/>
      <c r="O487" s="2"/>
      <c r="P487" s="2"/>
      <c r="Q487" s="2"/>
    </row>
    <row r="488" spans="7:17" ht="15.75" customHeight="1">
      <c r="G488" s="2"/>
      <c r="H488" s="2"/>
      <c r="I488" s="2"/>
      <c r="L488" s="2"/>
      <c r="M488" s="2"/>
      <c r="N488" s="2"/>
      <c r="O488" s="2"/>
      <c r="P488" s="2"/>
      <c r="Q488" s="2"/>
    </row>
    <row r="489" spans="7:17" ht="15.75" customHeight="1">
      <c r="G489" s="2"/>
      <c r="H489" s="2"/>
      <c r="I489" s="2"/>
      <c r="L489" s="2"/>
      <c r="M489" s="2"/>
      <c r="N489" s="2"/>
      <c r="O489" s="2"/>
      <c r="P489" s="2"/>
      <c r="Q489" s="2"/>
    </row>
    <row r="490" spans="7:17" ht="15.75" customHeight="1">
      <c r="G490" s="2"/>
      <c r="H490" s="2"/>
      <c r="I490" s="2"/>
      <c r="L490" s="2"/>
      <c r="M490" s="2"/>
      <c r="N490" s="2"/>
      <c r="O490" s="2"/>
      <c r="P490" s="2"/>
      <c r="Q490" s="2"/>
    </row>
    <row r="491" spans="7:17" ht="15.75" customHeight="1">
      <c r="G491" s="2"/>
      <c r="H491" s="2"/>
      <c r="I491" s="2"/>
      <c r="L491" s="2"/>
      <c r="M491" s="2"/>
      <c r="N491" s="2"/>
      <c r="O491" s="2"/>
      <c r="P491" s="2"/>
      <c r="Q491" s="2"/>
    </row>
    <row r="492" spans="7:17" ht="15.75" customHeight="1">
      <c r="G492" s="2"/>
      <c r="H492" s="2"/>
      <c r="I492" s="2"/>
      <c r="L492" s="2"/>
      <c r="M492" s="2"/>
      <c r="N492" s="2"/>
      <c r="O492" s="2"/>
      <c r="P492" s="2"/>
      <c r="Q492" s="2"/>
    </row>
    <row r="493" spans="7:17" ht="15.75" customHeight="1">
      <c r="G493" s="2"/>
      <c r="H493" s="2"/>
      <c r="I493" s="2"/>
      <c r="L493" s="2"/>
      <c r="M493" s="2"/>
      <c r="N493" s="2"/>
      <c r="O493" s="2"/>
      <c r="P493" s="2"/>
      <c r="Q493" s="2"/>
    </row>
    <row r="494" spans="7:17" ht="15.75" customHeight="1">
      <c r="G494" s="2"/>
      <c r="H494" s="2"/>
      <c r="I494" s="2"/>
      <c r="L494" s="2"/>
      <c r="M494" s="2"/>
      <c r="N494" s="2"/>
      <c r="O494" s="2"/>
      <c r="P494" s="2"/>
      <c r="Q494" s="2"/>
    </row>
    <row r="495" spans="7:17" ht="15.75" customHeight="1">
      <c r="G495" s="2"/>
      <c r="H495" s="2"/>
      <c r="I495" s="2"/>
      <c r="L495" s="2"/>
      <c r="M495" s="2"/>
      <c r="N495" s="2"/>
      <c r="O495" s="2"/>
      <c r="P495" s="2"/>
      <c r="Q495" s="2"/>
    </row>
    <row r="496" spans="7:17" ht="15.75" customHeight="1">
      <c r="G496" s="2"/>
      <c r="H496" s="2"/>
      <c r="I496" s="2"/>
      <c r="L496" s="2"/>
      <c r="M496" s="2"/>
      <c r="N496" s="2"/>
      <c r="O496" s="2"/>
      <c r="P496" s="2"/>
      <c r="Q496" s="2"/>
    </row>
    <row r="497" spans="7:17" ht="15.75" customHeight="1">
      <c r="G497" s="2"/>
      <c r="H497" s="2"/>
      <c r="I497" s="2"/>
      <c r="L497" s="2"/>
      <c r="M497" s="2"/>
      <c r="N497" s="2"/>
      <c r="O497" s="2"/>
      <c r="P497" s="2"/>
      <c r="Q497" s="2"/>
    </row>
    <row r="498" spans="7:17" ht="15.75" customHeight="1">
      <c r="G498" s="2"/>
      <c r="H498" s="2"/>
      <c r="I498" s="2"/>
      <c r="L498" s="2"/>
      <c r="M498" s="2"/>
      <c r="N498" s="2"/>
      <c r="O498" s="2"/>
      <c r="P498" s="2"/>
      <c r="Q498" s="2"/>
    </row>
    <row r="499" spans="7:17" ht="15.75" customHeight="1">
      <c r="G499" s="2"/>
      <c r="H499" s="2"/>
      <c r="I499" s="2"/>
      <c r="L499" s="2"/>
      <c r="M499" s="2"/>
      <c r="N499" s="2"/>
      <c r="O499" s="2"/>
      <c r="P499" s="2"/>
      <c r="Q499" s="2"/>
    </row>
    <row r="500" spans="7:17" ht="15.75" customHeight="1">
      <c r="G500" s="2"/>
      <c r="H500" s="2"/>
      <c r="I500" s="2"/>
      <c r="L500" s="2"/>
      <c r="M500" s="2"/>
      <c r="N500" s="2"/>
      <c r="O500" s="2"/>
      <c r="P500" s="2"/>
      <c r="Q500" s="2"/>
    </row>
    <row r="501" spans="7:17" ht="15.75" customHeight="1">
      <c r="G501" s="2"/>
      <c r="H501" s="2"/>
      <c r="I501" s="2"/>
      <c r="L501" s="2"/>
      <c r="M501" s="2"/>
      <c r="N501" s="2"/>
      <c r="O501" s="2"/>
      <c r="P501" s="2"/>
      <c r="Q501" s="2"/>
    </row>
    <row r="502" spans="7:17" ht="15.75" customHeight="1">
      <c r="G502" s="2"/>
      <c r="H502" s="2"/>
      <c r="I502" s="2"/>
      <c r="L502" s="2"/>
      <c r="M502" s="2"/>
      <c r="N502" s="2"/>
      <c r="O502" s="2"/>
      <c r="P502" s="2"/>
      <c r="Q502" s="2"/>
    </row>
    <row r="503" spans="7:17" ht="15.75" customHeight="1">
      <c r="G503" s="2"/>
      <c r="H503" s="2"/>
      <c r="I503" s="2"/>
      <c r="L503" s="2"/>
      <c r="M503" s="2"/>
      <c r="N503" s="2"/>
      <c r="O503" s="2"/>
      <c r="P503" s="2"/>
      <c r="Q503" s="2"/>
    </row>
    <row r="504" spans="7:17" ht="15.75" customHeight="1">
      <c r="G504" s="2"/>
      <c r="H504" s="2"/>
      <c r="I504" s="2"/>
      <c r="L504" s="2"/>
      <c r="M504" s="2"/>
      <c r="N504" s="2"/>
      <c r="O504" s="2"/>
      <c r="P504" s="2"/>
      <c r="Q504" s="2"/>
    </row>
    <row r="505" spans="7:17" ht="15.75" customHeight="1">
      <c r="G505" s="2"/>
      <c r="H505" s="2"/>
      <c r="I505" s="2"/>
      <c r="L505" s="2"/>
      <c r="M505" s="2"/>
      <c r="N505" s="2"/>
      <c r="O505" s="2"/>
      <c r="P505" s="2"/>
      <c r="Q505" s="2"/>
    </row>
    <row r="506" spans="7:17" ht="15.75" customHeight="1">
      <c r="G506" s="2"/>
      <c r="H506" s="2"/>
      <c r="I506" s="2"/>
      <c r="L506" s="2"/>
      <c r="M506" s="2"/>
      <c r="N506" s="2"/>
      <c r="O506" s="2"/>
      <c r="P506" s="2"/>
      <c r="Q506" s="2"/>
    </row>
    <row r="507" spans="7:17" ht="15.75" customHeight="1">
      <c r="G507" s="2"/>
      <c r="H507" s="2"/>
      <c r="I507" s="2"/>
      <c r="L507" s="2"/>
      <c r="M507" s="2"/>
      <c r="N507" s="2"/>
      <c r="O507" s="2"/>
      <c r="P507" s="2"/>
      <c r="Q507" s="2"/>
    </row>
    <row r="508" spans="7:17" ht="15.75" customHeight="1">
      <c r="G508" s="2"/>
      <c r="H508" s="2"/>
      <c r="I508" s="2"/>
      <c r="L508" s="2"/>
      <c r="M508" s="2"/>
      <c r="N508" s="2"/>
      <c r="O508" s="2"/>
      <c r="P508" s="2"/>
      <c r="Q508" s="2"/>
    </row>
    <row r="509" spans="7:17" ht="15.75" customHeight="1">
      <c r="G509" s="2"/>
      <c r="H509" s="2"/>
      <c r="I509" s="2"/>
      <c r="L509" s="2"/>
      <c r="M509" s="2"/>
      <c r="N509" s="2"/>
      <c r="O509" s="2"/>
      <c r="P509" s="2"/>
      <c r="Q509" s="2"/>
    </row>
    <row r="510" spans="7:17" ht="15.75" customHeight="1">
      <c r="G510" s="2"/>
      <c r="H510" s="2"/>
      <c r="I510" s="2"/>
      <c r="L510" s="2"/>
      <c r="M510" s="2"/>
      <c r="N510" s="2"/>
      <c r="O510" s="2"/>
      <c r="P510" s="2"/>
      <c r="Q510" s="2"/>
    </row>
    <row r="511" spans="7:17" ht="15.75" customHeight="1">
      <c r="G511" s="2"/>
      <c r="H511" s="2"/>
      <c r="I511" s="2"/>
      <c r="L511" s="2"/>
      <c r="M511" s="2"/>
      <c r="N511" s="2"/>
      <c r="O511" s="2"/>
      <c r="P511" s="2"/>
      <c r="Q511" s="2"/>
    </row>
    <row r="512" spans="7:17" ht="15.75" customHeight="1">
      <c r="G512" s="2"/>
      <c r="H512" s="2"/>
      <c r="I512" s="2"/>
      <c r="L512" s="2"/>
      <c r="M512" s="2"/>
      <c r="N512" s="2"/>
      <c r="O512" s="2"/>
      <c r="P512" s="2"/>
      <c r="Q512" s="2"/>
    </row>
    <row r="513" spans="7:17" ht="15.75" customHeight="1">
      <c r="G513" s="2"/>
      <c r="H513" s="2"/>
      <c r="I513" s="2"/>
      <c r="L513" s="2"/>
      <c r="M513" s="2"/>
      <c r="N513" s="2"/>
      <c r="O513" s="2"/>
      <c r="P513" s="2"/>
      <c r="Q513" s="2"/>
    </row>
    <row r="514" spans="7:17" ht="15.75" customHeight="1">
      <c r="G514" s="2"/>
      <c r="H514" s="2"/>
      <c r="I514" s="2"/>
      <c r="L514" s="2"/>
      <c r="M514" s="2"/>
      <c r="N514" s="2"/>
      <c r="O514" s="2"/>
      <c r="P514" s="2"/>
      <c r="Q514" s="2"/>
    </row>
    <row r="515" spans="7:17" ht="15.75" customHeight="1">
      <c r="G515" s="2"/>
      <c r="H515" s="2"/>
      <c r="I515" s="2"/>
      <c r="L515" s="2"/>
      <c r="M515" s="2"/>
      <c r="N515" s="2"/>
      <c r="O515" s="2"/>
      <c r="P515" s="2"/>
      <c r="Q515" s="2"/>
    </row>
    <row r="516" spans="7:17" ht="15.75" customHeight="1">
      <c r="G516" s="2"/>
      <c r="H516" s="2"/>
      <c r="I516" s="2"/>
      <c r="L516" s="2"/>
      <c r="M516" s="2"/>
      <c r="N516" s="2"/>
      <c r="O516" s="2"/>
      <c r="P516" s="2"/>
      <c r="Q516" s="2"/>
    </row>
    <row r="517" spans="7:17" ht="15.75" customHeight="1">
      <c r="G517" s="2"/>
      <c r="H517" s="2"/>
      <c r="I517" s="2"/>
      <c r="L517" s="2"/>
      <c r="M517" s="2"/>
      <c r="N517" s="2"/>
      <c r="O517" s="2"/>
      <c r="P517" s="2"/>
      <c r="Q517" s="2"/>
    </row>
    <row r="518" spans="7:17" ht="15.75" customHeight="1">
      <c r="G518" s="2"/>
      <c r="H518" s="2"/>
      <c r="I518" s="2"/>
      <c r="L518" s="2"/>
      <c r="M518" s="2"/>
      <c r="N518" s="2"/>
      <c r="O518" s="2"/>
      <c r="P518" s="2"/>
      <c r="Q518" s="2"/>
    </row>
    <row r="519" spans="7:17" ht="15.75" customHeight="1">
      <c r="G519" s="2"/>
      <c r="H519" s="2"/>
      <c r="I519" s="2"/>
      <c r="L519" s="2"/>
      <c r="M519" s="2"/>
      <c r="N519" s="2"/>
      <c r="O519" s="2"/>
      <c r="P519" s="2"/>
      <c r="Q519" s="2"/>
    </row>
    <row r="520" spans="7:17" ht="15.75" customHeight="1">
      <c r="G520" s="2"/>
      <c r="H520" s="2"/>
      <c r="I520" s="2"/>
      <c r="L520" s="2"/>
      <c r="M520" s="2"/>
      <c r="N520" s="2"/>
      <c r="O520" s="2"/>
      <c r="P520" s="2"/>
      <c r="Q520" s="2"/>
    </row>
    <row r="521" spans="7:17" ht="15.75" customHeight="1">
      <c r="G521" s="2"/>
      <c r="H521" s="2"/>
      <c r="I521" s="2"/>
      <c r="L521" s="2"/>
      <c r="M521" s="2"/>
      <c r="N521" s="2"/>
      <c r="O521" s="2"/>
      <c r="P521" s="2"/>
      <c r="Q521" s="2"/>
    </row>
    <row r="522" spans="7:17" ht="15.75" customHeight="1">
      <c r="G522" s="2"/>
      <c r="H522" s="2"/>
      <c r="I522" s="2"/>
      <c r="L522" s="2"/>
      <c r="M522" s="2"/>
      <c r="N522" s="2"/>
      <c r="O522" s="2"/>
      <c r="P522" s="2"/>
      <c r="Q522" s="2"/>
    </row>
    <row r="523" spans="7:17" ht="15.75" customHeight="1">
      <c r="G523" s="2"/>
      <c r="H523" s="2"/>
      <c r="I523" s="2"/>
      <c r="L523" s="2"/>
      <c r="M523" s="2"/>
      <c r="N523" s="2"/>
      <c r="O523" s="2"/>
      <c r="P523" s="2"/>
      <c r="Q523" s="2"/>
    </row>
    <row r="524" spans="7:17" ht="15.75" customHeight="1">
      <c r="G524" s="2"/>
      <c r="H524" s="2"/>
      <c r="I524" s="2"/>
      <c r="L524" s="2"/>
      <c r="M524" s="2"/>
      <c r="N524" s="2"/>
      <c r="O524" s="2"/>
      <c r="P524" s="2"/>
      <c r="Q524" s="2"/>
    </row>
    <row r="525" spans="7:17" ht="15.75" customHeight="1">
      <c r="G525" s="2"/>
      <c r="H525" s="2"/>
      <c r="I525" s="2"/>
      <c r="L525" s="2"/>
      <c r="M525" s="2"/>
      <c r="N525" s="2"/>
      <c r="O525" s="2"/>
      <c r="P525" s="2"/>
      <c r="Q525" s="2"/>
    </row>
    <row r="526" spans="7:17" ht="15.75" customHeight="1">
      <c r="G526" s="2"/>
      <c r="H526" s="2"/>
      <c r="I526" s="2"/>
      <c r="L526" s="2"/>
      <c r="M526" s="2"/>
      <c r="N526" s="2"/>
      <c r="O526" s="2"/>
      <c r="P526" s="2"/>
      <c r="Q526" s="2"/>
    </row>
    <row r="527" spans="7:17" ht="15.75" customHeight="1">
      <c r="G527" s="2"/>
      <c r="H527" s="2"/>
      <c r="I527" s="2"/>
      <c r="L527" s="2"/>
      <c r="M527" s="2"/>
      <c r="N527" s="2"/>
      <c r="O527" s="2"/>
      <c r="P527" s="2"/>
      <c r="Q527" s="2"/>
    </row>
    <row r="528" spans="7:17" ht="15.75" customHeight="1">
      <c r="G528" s="2"/>
      <c r="H528" s="2"/>
      <c r="I528" s="2"/>
      <c r="L528" s="2"/>
      <c r="M528" s="2"/>
      <c r="N528" s="2"/>
      <c r="O528" s="2"/>
      <c r="P528" s="2"/>
      <c r="Q528" s="2"/>
    </row>
    <row r="529" spans="7:17" ht="15.75" customHeight="1">
      <c r="G529" s="2"/>
      <c r="H529" s="2"/>
      <c r="I529" s="2"/>
      <c r="L529" s="2"/>
      <c r="M529" s="2"/>
      <c r="N529" s="2"/>
      <c r="O529" s="2"/>
      <c r="P529" s="2"/>
      <c r="Q529" s="2"/>
    </row>
    <row r="530" spans="7:17" ht="15.75" customHeight="1">
      <c r="G530" s="2"/>
      <c r="H530" s="2"/>
      <c r="I530" s="2"/>
      <c r="L530" s="2"/>
      <c r="M530" s="2"/>
      <c r="N530" s="2"/>
      <c r="O530" s="2"/>
      <c r="P530" s="2"/>
      <c r="Q530" s="2"/>
    </row>
    <row r="531" spans="7:17" ht="15.75" customHeight="1">
      <c r="G531" s="2"/>
      <c r="H531" s="2"/>
      <c r="I531" s="2"/>
      <c r="L531" s="2"/>
      <c r="M531" s="2"/>
      <c r="N531" s="2"/>
      <c r="O531" s="2"/>
      <c r="P531" s="2"/>
      <c r="Q531" s="2"/>
    </row>
    <row r="532" spans="7:17" ht="15.75" customHeight="1">
      <c r="G532" s="2"/>
      <c r="H532" s="2"/>
      <c r="I532" s="2"/>
      <c r="L532" s="2"/>
      <c r="M532" s="2"/>
      <c r="N532" s="2"/>
      <c r="O532" s="2"/>
      <c r="P532" s="2"/>
      <c r="Q532" s="2"/>
    </row>
    <row r="533" spans="7:17" ht="15.75" customHeight="1">
      <c r="G533" s="2"/>
      <c r="H533" s="2"/>
      <c r="I533" s="2"/>
      <c r="L533" s="2"/>
      <c r="M533" s="2"/>
      <c r="N533" s="2"/>
      <c r="O533" s="2"/>
      <c r="P533" s="2"/>
      <c r="Q533" s="2"/>
    </row>
    <row r="534" spans="7:17" ht="15.75" customHeight="1">
      <c r="G534" s="2"/>
      <c r="H534" s="2"/>
      <c r="I534" s="2"/>
      <c r="L534" s="2"/>
      <c r="M534" s="2"/>
      <c r="N534" s="2"/>
      <c r="O534" s="2"/>
      <c r="P534" s="2"/>
      <c r="Q534" s="2"/>
    </row>
    <row r="535" spans="7:17" ht="15.75" customHeight="1">
      <c r="G535" s="2"/>
      <c r="H535" s="2"/>
      <c r="I535" s="2"/>
      <c r="L535" s="2"/>
      <c r="M535" s="2"/>
      <c r="N535" s="2"/>
      <c r="O535" s="2"/>
      <c r="P535" s="2"/>
      <c r="Q535" s="2"/>
    </row>
    <row r="536" spans="7:17" ht="15.75" customHeight="1">
      <c r="G536" s="2"/>
      <c r="H536" s="2"/>
      <c r="I536" s="2"/>
      <c r="L536" s="2"/>
      <c r="M536" s="2"/>
      <c r="N536" s="2"/>
      <c r="O536" s="2"/>
      <c r="P536" s="2"/>
      <c r="Q536" s="2"/>
    </row>
    <row r="537" spans="7:17" ht="15.75" customHeight="1">
      <c r="G537" s="2"/>
      <c r="H537" s="2"/>
      <c r="I537" s="2"/>
      <c r="L537" s="2"/>
      <c r="M537" s="2"/>
      <c r="N537" s="2"/>
      <c r="O537" s="2"/>
      <c r="P537" s="2"/>
      <c r="Q537" s="2"/>
    </row>
    <row r="538" spans="7:17" ht="15.75" customHeight="1">
      <c r="G538" s="2"/>
      <c r="H538" s="2"/>
      <c r="I538" s="2"/>
      <c r="L538" s="2"/>
      <c r="M538" s="2"/>
      <c r="N538" s="2"/>
      <c r="O538" s="2"/>
      <c r="P538" s="2"/>
      <c r="Q538" s="2"/>
    </row>
    <row r="539" spans="7:17" ht="15.75" customHeight="1">
      <c r="G539" s="2"/>
      <c r="H539" s="2"/>
      <c r="I539" s="2"/>
      <c r="L539" s="2"/>
      <c r="M539" s="2"/>
      <c r="N539" s="2"/>
      <c r="O539" s="2"/>
      <c r="P539" s="2"/>
      <c r="Q539" s="2"/>
    </row>
    <row r="540" spans="7:17" ht="15.75" customHeight="1">
      <c r="G540" s="2"/>
      <c r="H540" s="2"/>
      <c r="I540" s="2"/>
      <c r="L540" s="2"/>
      <c r="M540" s="2"/>
      <c r="N540" s="2"/>
      <c r="O540" s="2"/>
      <c r="P540" s="2"/>
      <c r="Q540" s="2"/>
    </row>
    <row r="541" spans="7:17" ht="15.75" customHeight="1">
      <c r="G541" s="2"/>
      <c r="H541" s="2"/>
      <c r="I541" s="2"/>
      <c r="L541" s="2"/>
      <c r="M541" s="2"/>
      <c r="N541" s="2"/>
      <c r="O541" s="2"/>
      <c r="P541" s="2"/>
      <c r="Q541" s="2"/>
    </row>
    <row r="542" spans="7:17" ht="15.75" customHeight="1">
      <c r="G542" s="2"/>
      <c r="H542" s="2"/>
      <c r="I542" s="2"/>
      <c r="L542" s="2"/>
      <c r="M542" s="2"/>
      <c r="N542" s="2"/>
      <c r="O542" s="2"/>
      <c r="P542" s="2"/>
      <c r="Q542" s="2"/>
    </row>
    <row r="543" spans="7:17" ht="15.75" customHeight="1">
      <c r="G543" s="2"/>
      <c r="H543" s="2"/>
      <c r="I543" s="2"/>
      <c r="L543" s="2"/>
      <c r="M543" s="2"/>
      <c r="N543" s="2"/>
      <c r="O543" s="2"/>
      <c r="P543" s="2"/>
      <c r="Q543" s="2"/>
    </row>
    <row r="544" spans="7:17" ht="15.75" customHeight="1">
      <c r="G544" s="2"/>
      <c r="H544" s="2"/>
      <c r="I544" s="2"/>
      <c r="L544" s="2"/>
      <c r="M544" s="2"/>
      <c r="N544" s="2"/>
      <c r="O544" s="2"/>
      <c r="P544" s="2"/>
      <c r="Q544" s="2"/>
    </row>
    <row r="545" spans="7:17" ht="15.75" customHeight="1">
      <c r="G545" s="2"/>
      <c r="H545" s="2"/>
      <c r="I545" s="2"/>
      <c r="L545" s="2"/>
      <c r="M545" s="2"/>
      <c r="N545" s="2"/>
      <c r="O545" s="2"/>
      <c r="P545" s="2"/>
      <c r="Q545" s="2"/>
    </row>
    <row r="546" spans="7:17" ht="15.75" customHeight="1">
      <c r="G546" s="2"/>
      <c r="H546" s="2"/>
      <c r="I546" s="2"/>
      <c r="L546" s="2"/>
      <c r="M546" s="2"/>
      <c r="N546" s="2"/>
      <c r="O546" s="2"/>
      <c r="P546" s="2"/>
      <c r="Q546" s="2"/>
    </row>
    <row r="547" spans="7:17" ht="15.75" customHeight="1">
      <c r="G547" s="2"/>
      <c r="H547" s="2"/>
      <c r="I547" s="2"/>
      <c r="L547" s="2"/>
      <c r="M547" s="2"/>
      <c r="N547" s="2"/>
      <c r="O547" s="2"/>
      <c r="P547" s="2"/>
      <c r="Q547" s="2"/>
    </row>
    <row r="548" spans="7:17" ht="15.75" customHeight="1">
      <c r="G548" s="2"/>
      <c r="H548" s="2"/>
      <c r="I548" s="2"/>
      <c r="L548" s="2"/>
      <c r="M548" s="2"/>
      <c r="N548" s="2"/>
      <c r="O548" s="2"/>
      <c r="P548" s="2"/>
      <c r="Q548" s="2"/>
    </row>
    <row r="549" spans="7:17" ht="15.75" customHeight="1">
      <c r="G549" s="2"/>
      <c r="H549" s="2"/>
      <c r="I549" s="2"/>
      <c r="L549" s="2"/>
      <c r="M549" s="2"/>
      <c r="N549" s="2"/>
      <c r="O549" s="2"/>
      <c r="P549" s="2"/>
      <c r="Q549" s="2"/>
    </row>
    <row r="550" spans="7:17" ht="15.75" customHeight="1">
      <c r="G550" s="2"/>
      <c r="H550" s="2"/>
      <c r="I550" s="2"/>
      <c r="L550" s="2"/>
      <c r="M550" s="2"/>
      <c r="N550" s="2"/>
      <c r="O550" s="2"/>
      <c r="P550" s="2"/>
      <c r="Q550" s="2"/>
    </row>
    <row r="551" spans="7:17" ht="15.75" customHeight="1">
      <c r="G551" s="2"/>
      <c r="H551" s="2"/>
      <c r="I551" s="2"/>
      <c r="L551" s="2"/>
      <c r="M551" s="2"/>
      <c r="N551" s="2"/>
      <c r="O551" s="2"/>
      <c r="P551" s="2"/>
      <c r="Q551" s="2"/>
    </row>
    <row r="552" spans="7:17" ht="15.75" customHeight="1">
      <c r="G552" s="2"/>
      <c r="H552" s="2"/>
      <c r="I552" s="2"/>
      <c r="L552" s="2"/>
      <c r="M552" s="2"/>
      <c r="N552" s="2"/>
      <c r="O552" s="2"/>
      <c r="P552" s="2"/>
      <c r="Q552" s="2"/>
    </row>
    <row r="553" spans="7:17" ht="15.75" customHeight="1">
      <c r="G553" s="2"/>
      <c r="H553" s="2"/>
      <c r="I553" s="2"/>
      <c r="L553" s="2"/>
      <c r="M553" s="2"/>
      <c r="N553" s="2"/>
      <c r="O553" s="2"/>
      <c r="P553" s="2"/>
      <c r="Q553" s="2"/>
    </row>
    <row r="554" spans="7:17" ht="15.75" customHeight="1">
      <c r="G554" s="2"/>
      <c r="H554" s="2"/>
      <c r="I554" s="2"/>
      <c r="L554" s="2"/>
      <c r="M554" s="2"/>
      <c r="N554" s="2"/>
      <c r="O554" s="2"/>
      <c r="P554" s="2"/>
      <c r="Q554" s="2"/>
    </row>
    <row r="555" spans="7:17" ht="15.75" customHeight="1">
      <c r="G555" s="2"/>
      <c r="H555" s="2"/>
      <c r="I555" s="2"/>
      <c r="L555" s="2"/>
      <c r="M555" s="2"/>
      <c r="N555" s="2"/>
      <c r="O555" s="2"/>
      <c r="P555" s="2"/>
      <c r="Q555" s="2"/>
    </row>
    <row r="556" spans="7:17" ht="15.75" customHeight="1">
      <c r="G556" s="2"/>
      <c r="H556" s="2"/>
      <c r="I556" s="2"/>
      <c r="L556" s="2"/>
      <c r="M556" s="2"/>
      <c r="N556" s="2"/>
      <c r="O556" s="2"/>
      <c r="P556" s="2"/>
      <c r="Q556" s="2"/>
    </row>
    <row r="557" spans="7:17" ht="15.75" customHeight="1">
      <c r="G557" s="2"/>
      <c r="H557" s="2"/>
      <c r="I557" s="2"/>
      <c r="L557" s="2"/>
      <c r="M557" s="2"/>
      <c r="N557" s="2"/>
      <c r="O557" s="2"/>
      <c r="P557" s="2"/>
      <c r="Q557" s="2"/>
    </row>
    <row r="558" spans="7:17" ht="15.75" customHeight="1">
      <c r="G558" s="2"/>
      <c r="H558" s="2"/>
      <c r="I558" s="2"/>
      <c r="L558" s="2"/>
      <c r="M558" s="2"/>
      <c r="N558" s="2"/>
      <c r="O558" s="2"/>
      <c r="P558" s="2"/>
      <c r="Q558" s="2"/>
    </row>
    <row r="559" spans="7:17" ht="15.75" customHeight="1">
      <c r="G559" s="2"/>
      <c r="H559" s="2"/>
      <c r="I559" s="2"/>
      <c r="L559" s="2"/>
      <c r="M559" s="2"/>
      <c r="N559" s="2"/>
      <c r="O559" s="2"/>
      <c r="P559" s="2"/>
      <c r="Q559" s="2"/>
    </row>
    <row r="560" spans="7:17" ht="15.75" customHeight="1">
      <c r="G560" s="2"/>
      <c r="H560" s="2"/>
      <c r="I560" s="2"/>
      <c r="L560" s="2"/>
      <c r="M560" s="2"/>
      <c r="N560" s="2"/>
      <c r="O560" s="2"/>
      <c r="P560" s="2"/>
      <c r="Q560" s="2"/>
    </row>
    <row r="561" spans="7:17" ht="15.75" customHeight="1">
      <c r="G561" s="2"/>
      <c r="H561" s="2"/>
      <c r="I561" s="2"/>
      <c r="L561" s="2"/>
      <c r="M561" s="2"/>
      <c r="N561" s="2"/>
      <c r="O561" s="2"/>
      <c r="P561" s="2"/>
      <c r="Q561" s="2"/>
    </row>
    <row r="562" spans="7:17" ht="15.75" customHeight="1">
      <c r="G562" s="2"/>
      <c r="H562" s="2"/>
      <c r="I562" s="2"/>
      <c r="L562" s="2"/>
      <c r="M562" s="2"/>
      <c r="N562" s="2"/>
      <c r="O562" s="2"/>
      <c r="P562" s="2"/>
      <c r="Q562" s="2"/>
    </row>
    <row r="563" spans="7:17" ht="15.75" customHeight="1">
      <c r="G563" s="2"/>
      <c r="H563" s="2"/>
      <c r="I563" s="2"/>
      <c r="L563" s="2"/>
      <c r="M563" s="2"/>
      <c r="N563" s="2"/>
      <c r="O563" s="2"/>
      <c r="P563" s="2"/>
      <c r="Q563" s="2"/>
    </row>
    <row r="564" spans="7:17" ht="15.75" customHeight="1">
      <c r="G564" s="2"/>
      <c r="H564" s="2"/>
      <c r="I564" s="2"/>
      <c r="L564" s="2"/>
      <c r="M564" s="2"/>
      <c r="N564" s="2"/>
      <c r="O564" s="2"/>
      <c r="P564" s="2"/>
      <c r="Q564" s="2"/>
    </row>
    <row r="565" spans="7:17" ht="15.75" customHeight="1">
      <c r="G565" s="2"/>
      <c r="H565" s="2"/>
      <c r="I565" s="2"/>
      <c r="L565" s="2"/>
      <c r="M565" s="2"/>
      <c r="N565" s="2"/>
      <c r="O565" s="2"/>
      <c r="P565" s="2"/>
      <c r="Q565" s="2"/>
    </row>
    <row r="566" spans="7:17" ht="15.75" customHeight="1">
      <c r="G566" s="2"/>
      <c r="H566" s="2"/>
      <c r="I566" s="2"/>
      <c r="L566" s="2"/>
      <c r="M566" s="2"/>
      <c r="N566" s="2"/>
      <c r="O566" s="2"/>
      <c r="P566" s="2"/>
      <c r="Q566" s="2"/>
    </row>
    <row r="567" spans="7:17" ht="15.75" customHeight="1">
      <c r="G567" s="2"/>
      <c r="H567" s="2"/>
      <c r="I567" s="2"/>
      <c r="L567" s="2"/>
      <c r="M567" s="2"/>
      <c r="N567" s="2"/>
      <c r="O567" s="2"/>
      <c r="P567" s="2"/>
      <c r="Q567" s="2"/>
    </row>
    <row r="568" spans="7:17" ht="15.75" customHeight="1">
      <c r="G568" s="2"/>
      <c r="H568" s="2"/>
      <c r="I568" s="2"/>
      <c r="L568" s="2"/>
      <c r="M568" s="2"/>
      <c r="N568" s="2"/>
      <c r="O568" s="2"/>
      <c r="P568" s="2"/>
      <c r="Q568" s="2"/>
    </row>
    <row r="569" spans="7:17" ht="15.75" customHeight="1">
      <c r="G569" s="2"/>
      <c r="H569" s="2"/>
      <c r="I569" s="2"/>
      <c r="L569" s="2"/>
      <c r="M569" s="2"/>
      <c r="N569" s="2"/>
      <c r="O569" s="2"/>
      <c r="P569" s="2"/>
      <c r="Q569" s="2"/>
    </row>
    <row r="570" spans="7:17" ht="15.75" customHeight="1">
      <c r="G570" s="2"/>
      <c r="H570" s="2"/>
      <c r="I570" s="2"/>
      <c r="L570" s="2"/>
      <c r="M570" s="2"/>
      <c r="N570" s="2"/>
      <c r="O570" s="2"/>
      <c r="P570" s="2"/>
      <c r="Q570" s="2"/>
    </row>
    <row r="571" spans="7:17" ht="15.75" customHeight="1">
      <c r="G571" s="2"/>
      <c r="H571" s="2"/>
      <c r="I571" s="2"/>
      <c r="L571" s="2"/>
      <c r="M571" s="2"/>
      <c r="N571" s="2"/>
      <c r="O571" s="2"/>
      <c r="P571" s="2"/>
      <c r="Q571" s="2"/>
    </row>
    <row r="572" spans="7:17" ht="15.75" customHeight="1">
      <c r="G572" s="2"/>
      <c r="H572" s="2"/>
      <c r="I572" s="2"/>
      <c r="L572" s="2"/>
      <c r="M572" s="2"/>
      <c r="N572" s="2"/>
      <c r="O572" s="2"/>
      <c r="P572" s="2"/>
      <c r="Q572" s="2"/>
    </row>
    <row r="573" spans="7:17" ht="15.75" customHeight="1">
      <c r="G573" s="2"/>
      <c r="H573" s="2"/>
      <c r="I573" s="2"/>
      <c r="L573" s="2"/>
      <c r="M573" s="2"/>
      <c r="N573" s="2"/>
      <c r="O573" s="2"/>
      <c r="P573" s="2"/>
      <c r="Q573" s="2"/>
    </row>
    <row r="574" spans="7:17" ht="15.75" customHeight="1">
      <c r="G574" s="2"/>
      <c r="H574" s="2"/>
      <c r="I574" s="2"/>
      <c r="L574" s="2"/>
      <c r="M574" s="2"/>
      <c r="N574" s="2"/>
      <c r="O574" s="2"/>
      <c r="P574" s="2"/>
      <c r="Q574" s="2"/>
    </row>
    <row r="575" spans="7:17" ht="15.75" customHeight="1">
      <c r="G575" s="2"/>
      <c r="H575" s="2"/>
      <c r="I575" s="2"/>
      <c r="L575" s="2"/>
      <c r="M575" s="2"/>
      <c r="N575" s="2"/>
      <c r="O575" s="2"/>
      <c r="P575" s="2"/>
      <c r="Q575" s="2"/>
    </row>
    <row r="576" spans="7:17" ht="15.75" customHeight="1">
      <c r="G576" s="2"/>
      <c r="H576" s="2"/>
      <c r="I576" s="2"/>
      <c r="L576" s="2"/>
      <c r="M576" s="2"/>
      <c r="N576" s="2"/>
      <c r="O576" s="2"/>
      <c r="P576" s="2"/>
      <c r="Q576" s="2"/>
    </row>
    <row r="577" spans="7:17" ht="15.75" customHeight="1">
      <c r="G577" s="2"/>
      <c r="H577" s="2"/>
      <c r="I577" s="2"/>
      <c r="L577" s="2"/>
      <c r="M577" s="2"/>
      <c r="N577" s="2"/>
      <c r="O577" s="2"/>
      <c r="P577" s="2"/>
      <c r="Q577" s="2"/>
    </row>
    <row r="578" spans="7:17" ht="15.75" customHeight="1">
      <c r="G578" s="2"/>
      <c r="H578" s="2"/>
      <c r="I578" s="2"/>
      <c r="L578" s="2"/>
      <c r="M578" s="2"/>
      <c r="N578" s="2"/>
      <c r="O578" s="2"/>
      <c r="P578" s="2"/>
      <c r="Q578" s="2"/>
    </row>
    <row r="579" spans="7:17" ht="15.75" customHeight="1">
      <c r="G579" s="2"/>
      <c r="H579" s="2"/>
      <c r="I579" s="2"/>
      <c r="L579" s="2"/>
      <c r="M579" s="2"/>
      <c r="N579" s="2"/>
      <c r="O579" s="2"/>
      <c r="P579" s="2"/>
      <c r="Q579" s="2"/>
    </row>
    <row r="580" spans="7:17" ht="15.75" customHeight="1">
      <c r="G580" s="2"/>
      <c r="H580" s="2"/>
      <c r="I580" s="2"/>
      <c r="L580" s="2"/>
      <c r="M580" s="2"/>
      <c r="N580" s="2"/>
      <c r="O580" s="2"/>
      <c r="P580" s="2"/>
      <c r="Q580" s="2"/>
    </row>
    <row r="581" spans="7:17" ht="15.75" customHeight="1">
      <c r="G581" s="2"/>
      <c r="H581" s="2"/>
      <c r="I581" s="2"/>
      <c r="L581" s="2"/>
      <c r="M581" s="2"/>
      <c r="N581" s="2"/>
      <c r="O581" s="2"/>
      <c r="P581" s="2"/>
      <c r="Q581" s="2"/>
    </row>
    <row r="582" spans="7:17" ht="15.75" customHeight="1">
      <c r="G582" s="2"/>
      <c r="H582" s="2"/>
      <c r="I582" s="2"/>
      <c r="L582" s="2"/>
      <c r="M582" s="2"/>
      <c r="N582" s="2"/>
      <c r="O582" s="2"/>
      <c r="P582" s="2"/>
      <c r="Q582" s="2"/>
    </row>
    <row r="583" spans="7:17" ht="15.75" customHeight="1">
      <c r="G583" s="2"/>
      <c r="H583" s="2"/>
      <c r="I583" s="2"/>
      <c r="L583" s="2"/>
      <c r="M583" s="2"/>
      <c r="N583" s="2"/>
      <c r="O583" s="2"/>
      <c r="P583" s="2"/>
      <c r="Q583" s="2"/>
    </row>
    <row r="584" spans="7:17" ht="15.75" customHeight="1">
      <c r="G584" s="2"/>
      <c r="H584" s="2"/>
      <c r="I584" s="2"/>
      <c r="L584" s="2"/>
      <c r="M584" s="2"/>
      <c r="N584" s="2"/>
      <c r="O584" s="2"/>
      <c r="P584" s="2"/>
      <c r="Q584" s="2"/>
    </row>
    <row r="585" spans="7:17" ht="15.75" customHeight="1">
      <c r="G585" s="2"/>
      <c r="H585" s="2"/>
      <c r="I585" s="2"/>
      <c r="L585" s="2"/>
      <c r="M585" s="2"/>
      <c r="N585" s="2"/>
      <c r="O585" s="2"/>
      <c r="P585" s="2"/>
      <c r="Q585" s="2"/>
    </row>
    <row r="586" spans="7:17" ht="15.75" customHeight="1">
      <c r="G586" s="2"/>
      <c r="H586" s="2"/>
      <c r="I586" s="2"/>
      <c r="L586" s="2"/>
      <c r="M586" s="2"/>
      <c r="N586" s="2"/>
      <c r="O586" s="2"/>
      <c r="P586" s="2"/>
      <c r="Q586" s="2"/>
    </row>
    <row r="587" spans="7:17" ht="15.75" customHeight="1">
      <c r="G587" s="2"/>
      <c r="H587" s="2"/>
      <c r="I587" s="2"/>
      <c r="L587" s="2"/>
      <c r="M587" s="2"/>
      <c r="N587" s="2"/>
      <c r="O587" s="2"/>
      <c r="P587" s="2"/>
      <c r="Q587" s="2"/>
    </row>
    <row r="588" spans="7:17" ht="15.75" customHeight="1">
      <c r="G588" s="2"/>
      <c r="H588" s="2"/>
      <c r="I588" s="2"/>
      <c r="L588" s="2"/>
      <c r="M588" s="2"/>
      <c r="N588" s="2"/>
      <c r="O588" s="2"/>
      <c r="P588" s="2"/>
      <c r="Q588" s="2"/>
    </row>
    <row r="589" spans="7:17" ht="15.75" customHeight="1">
      <c r="G589" s="2"/>
      <c r="H589" s="2"/>
      <c r="I589" s="2"/>
      <c r="L589" s="2"/>
      <c r="M589" s="2"/>
      <c r="N589" s="2"/>
      <c r="O589" s="2"/>
      <c r="P589" s="2"/>
      <c r="Q589" s="2"/>
    </row>
    <row r="590" spans="7:17" ht="15.75" customHeight="1">
      <c r="G590" s="2"/>
      <c r="H590" s="2"/>
      <c r="I590" s="2"/>
      <c r="L590" s="2"/>
      <c r="M590" s="2"/>
      <c r="N590" s="2"/>
      <c r="O590" s="2"/>
      <c r="P590" s="2"/>
      <c r="Q590" s="2"/>
    </row>
    <row r="591" spans="7:17" ht="15.75" customHeight="1">
      <c r="G591" s="2"/>
      <c r="H591" s="2"/>
      <c r="I591" s="2"/>
      <c r="L591" s="2"/>
      <c r="M591" s="2"/>
      <c r="N591" s="2"/>
      <c r="O591" s="2"/>
      <c r="P591" s="2"/>
      <c r="Q591" s="2"/>
    </row>
    <row r="592" spans="7:17" ht="15.75" customHeight="1">
      <c r="G592" s="2"/>
      <c r="H592" s="2"/>
      <c r="I592" s="2"/>
      <c r="L592" s="2"/>
      <c r="M592" s="2"/>
      <c r="N592" s="2"/>
      <c r="O592" s="2"/>
      <c r="P592" s="2"/>
      <c r="Q592" s="2"/>
    </row>
    <row r="593" spans="7:17" ht="15.75" customHeight="1">
      <c r="G593" s="2"/>
      <c r="H593" s="2"/>
      <c r="I593" s="2"/>
      <c r="L593" s="2"/>
      <c r="M593" s="2"/>
      <c r="N593" s="2"/>
      <c r="O593" s="2"/>
      <c r="P593" s="2"/>
      <c r="Q593" s="2"/>
    </row>
    <row r="594" spans="7:17" ht="15.75" customHeight="1">
      <c r="G594" s="2"/>
      <c r="H594" s="2"/>
      <c r="I594" s="2"/>
      <c r="L594" s="2"/>
      <c r="M594" s="2"/>
      <c r="N594" s="2"/>
      <c r="O594" s="2"/>
      <c r="P594" s="2"/>
      <c r="Q594" s="2"/>
    </row>
    <row r="595" spans="7:17" ht="15.75" customHeight="1">
      <c r="G595" s="2"/>
      <c r="H595" s="2"/>
      <c r="I595" s="2"/>
      <c r="L595" s="2"/>
      <c r="M595" s="2"/>
      <c r="N595" s="2"/>
      <c r="O595" s="2"/>
      <c r="P595" s="2"/>
      <c r="Q595" s="2"/>
    </row>
    <row r="596" spans="7:17" ht="15.75" customHeight="1">
      <c r="G596" s="2"/>
      <c r="H596" s="2"/>
      <c r="I596" s="2"/>
      <c r="L596" s="2"/>
      <c r="M596" s="2"/>
      <c r="N596" s="2"/>
      <c r="O596" s="2"/>
      <c r="P596" s="2"/>
      <c r="Q596" s="2"/>
    </row>
    <row r="597" spans="7:17" ht="15.75" customHeight="1">
      <c r="G597" s="2"/>
      <c r="H597" s="2"/>
      <c r="I597" s="2"/>
      <c r="L597" s="2"/>
      <c r="M597" s="2"/>
      <c r="N597" s="2"/>
      <c r="O597" s="2"/>
      <c r="P597" s="2"/>
      <c r="Q597" s="2"/>
    </row>
    <row r="598" spans="7:17" ht="15.75" customHeight="1">
      <c r="G598" s="2"/>
      <c r="H598" s="2"/>
      <c r="I598" s="2"/>
      <c r="L598" s="2"/>
      <c r="M598" s="2"/>
      <c r="N598" s="2"/>
      <c r="O598" s="2"/>
      <c r="P598" s="2"/>
      <c r="Q598" s="2"/>
    </row>
    <row r="599" spans="7:17" ht="15.75" customHeight="1">
      <c r="G599" s="2"/>
      <c r="H599" s="2"/>
      <c r="I599" s="2"/>
      <c r="L599" s="2"/>
      <c r="M599" s="2"/>
      <c r="N599" s="2"/>
      <c r="O599" s="2"/>
      <c r="P599" s="2"/>
      <c r="Q599" s="2"/>
    </row>
    <row r="600" spans="7:17" ht="15.75" customHeight="1">
      <c r="G600" s="2"/>
      <c r="H600" s="2"/>
      <c r="I600" s="2"/>
      <c r="L600" s="2"/>
      <c r="M600" s="2"/>
      <c r="N600" s="2"/>
      <c r="O600" s="2"/>
      <c r="P600" s="2"/>
      <c r="Q600" s="2"/>
    </row>
    <row r="601" spans="7:17" ht="15.75" customHeight="1">
      <c r="G601" s="2"/>
      <c r="H601" s="2"/>
      <c r="I601" s="2"/>
      <c r="L601" s="2"/>
      <c r="M601" s="2"/>
      <c r="N601" s="2"/>
      <c r="O601" s="2"/>
      <c r="P601" s="2"/>
      <c r="Q601" s="2"/>
    </row>
    <row r="602" spans="7:17" ht="15.75" customHeight="1">
      <c r="G602" s="2"/>
      <c r="H602" s="2"/>
      <c r="I602" s="2"/>
      <c r="L602" s="2"/>
      <c r="M602" s="2"/>
      <c r="N602" s="2"/>
      <c r="O602" s="2"/>
      <c r="P602" s="2"/>
      <c r="Q602" s="2"/>
    </row>
    <row r="603" spans="7:17" ht="15.75" customHeight="1">
      <c r="G603" s="2"/>
      <c r="H603" s="2"/>
      <c r="I603" s="2"/>
      <c r="L603" s="2"/>
      <c r="M603" s="2"/>
      <c r="N603" s="2"/>
      <c r="O603" s="2"/>
      <c r="P603" s="2"/>
      <c r="Q603" s="2"/>
    </row>
    <row r="604" spans="7:17" ht="15.75" customHeight="1">
      <c r="G604" s="2"/>
      <c r="H604" s="2"/>
      <c r="I604" s="2"/>
      <c r="L604" s="2"/>
      <c r="M604" s="2"/>
      <c r="N604" s="2"/>
      <c r="O604" s="2"/>
      <c r="P604" s="2"/>
      <c r="Q604" s="2"/>
    </row>
    <row r="605" spans="7:17" ht="15.75" customHeight="1">
      <c r="G605" s="2"/>
      <c r="H605" s="2"/>
      <c r="I605" s="2"/>
      <c r="L605" s="2"/>
      <c r="M605" s="2"/>
      <c r="N605" s="2"/>
      <c r="O605" s="2"/>
      <c r="P605" s="2"/>
      <c r="Q605" s="2"/>
    </row>
    <row r="606" spans="7:17" ht="15.75" customHeight="1">
      <c r="G606" s="2"/>
      <c r="H606" s="2"/>
      <c r="I606" s="2"/>
      <c r="L606" s="2"/>
      <c r="M606" s="2"/>
      <c r="N606" s="2"/>
      <c r="O606" s="2"/>
      <c r="P606" s="2"/>
      <c r="Q606" s="2"/>
    </row>
    <row r="607" spans="7:17" ht="15.75" customHeight="1">
      <c r="G607" s="2"/>
      <c r="H607" s="2"/>
      <c r="I607" s="2"/>
      <c r="L607" s="2"/>
      <c r="M607" s="2"/>
      <c r="N607" s="2"/>
      <c r="O607" s="2"/>
      <c r="P607" s="2"/>
      <c r="Q607" s="2"/>
    </row>
    <row r="608" spans="7:17" ht="15.75" customHeight="1">
      <c r="G608" s="2"/>
      <c r="H608" s="2"/>
      <c r="I608" s="2"/>
      <c r="L608" s="2"/>
      <c r="M608" s="2"/>
      <c r="N608" s="2"/>
      <c r="O608" s="2"/>
      <c r="P608" s="2"/>
      <c r="Q608" s="2"/>
    </row>
    <row r="609" spans="7:17" ht="15.75" customHeight="1">
      <c r="G609" s="2"/>
      <c r="H609" s="2"/>
      <c r="I609" s="2"/>
      <c r="L609" s="2"/>
      <c r="M609" s="2"/>
      <c r="N609" s="2"/>
      <c r="O609" s="2"/>
      <c r="P609" s="2"/>
      <c r="Q609" s="2"/>
    </row>
    <row r="610" spans="7:17" ht="15.75" customHeight="1">
      <c r="G610" s="2"/>
      <c r="H610" s="2"/>
      <c r="I610" s="2"/>
      <c r="L610" s="2"/>
      <c r="M610" s="2"/>
      <c r="N610" s="2"/>
      <c r="O610" s="2"/>
      <c r="P610" s="2"/>
      <c r="Q610" s="2"/>
    </row>
    <row r="611" spans="7:17" ht="15.75" customHeight="1">
      <c r="G611" s="2"/>
      <c r="H611" s="2"/>
      <c r="I611" s="2"/>
      <c r="L611" s="2"/>
      <c r="M611" s="2"/>
      <c r="N611" s="2"/>
      <c r="O611" s="2"/>
      <c r="P611" s="2"/>
      <c r="Q611" s="2"/>
    </row>
    <row r="612" spans="7:17" ht="15.75" customHeight="1">
      <c r="G612" s="2"/>
      <c r="H612" s="2"/>
      <c r="I612" s="2"/>
      <c r="L612" s="2"/>
      <c r="M612" s="2"/>
      <c r="N612" s="2"/>
      <c r="O612" s="2"/>
      <c r="P612" s="2"/>
      <c r="Q612" s="2"/>
    </row>
    <row r="613" spans="7:17" ht="15.75" customHeight="1">
      <c r="G613" s="2"/>
      <c r="H613" s="2"/>
      <c r="I613" s="2"/>
      <c r="L613" s="2"/>
      <c r="M613" s="2"/>
      <c r="N613" s="2"/>
      <c r="O613" s="2"/>
      <c r="P613" s="2"/>
      <c r="Q613" s="2"/>
    </row>
    <row r="614" spans="7:17" ht="15.75" customHeight="1">
      <c r="G614" s="2"/>
      <c r="H614" s="2"/>
      <c r="I614" s="2"/>
      <c r="L614" s="2"/>
      <c r="M614" s="2"/>
      <c r="N614" s="2"/>
      <c r="O614" s="2"/>
      <c r="P614" s="2"/>
      <c r="Q614" s="2"/>
    </row>
    <row r="615" spans="7:17" ht="15.75" customHeight="1">
      <c r="G615" s="2"/>
      <c r="H615" s="2"/>
      <c r="I615" s="2"/>
      <c r="L615" s="2"/>
      <c r="M615" s="2"/>
      <c r="N615" s="2"/>
      <c r="O615" s="2"/>
      <c r="P615" s="2"/>
      <c r="Q615" s="2"/>
    </row>
    <row r="616" spans="7:17" ht="15.75" customHeight="1">
      <c r="G616" s="2"/>
      <c r="H616" s="2"/>
      <c r="I616" s="2"/>
      <c r="L616" s="2"/>
      <c r="M616" s="2"/>
      <c r="N616" s="2"/>
      <c r="O616" s="2"/>
      <c r="P616" s="2"/>
      <c r="Q616" s="2"/>
    </row>
    <row r="617" spans="7:17" ht="15.75" customHeight="1">
      <c r="G617" s="2"/>
      <c r="H617" s="2"/>
      <c r="I617" s="2"/>
      <c r="L617" s="2"/>
      <c r="M617" s="2"/>
      <c r="N617" s="2"/>
      <c r="O617" s="2"/>
      <c r="P617" s="2"/>
      <c r="Q617" s="2"/>
    </row>
    <row r="618" spans="7:17" ht="15.75" customHeight="1">
      <c r="G618" s="2"/>
      <c r="H618" s="2"/>
      <c r="I618" s="2"/>
      <c r="L618" s="2"/>
      <c r="M618" s="2"/>
      <c r="N618" s="2"/>
      <c r="O618" s="2"/>
      <c r="P618" s="2"/>
      <c r="Q618" s="2"/>
    </row>
    <row r="619" spans="7:17" ht="15.75" customHeight="1">
      <c r="G619" s="2"/>
      <c r="H619" s="2"/>
      <c r="I619" s="2"/>
      <c r="L619" s="2"/>
      <c r="M619" s="2"/>
      <c r="N619" s="2"/>
      <c r="O619" s="2"/>
      <c r="P619" s="2"/>
      <c r="Q619" s="2"/>
    </row>
    <row r="620" spans="7:17" ht="15.75" customHeight="1">
      <c r="G620" s="2"/>
      <c r="H620" s="2"/>
      <c r="I620" s="2"/>
      <c r="L620" s="2"/>
      <c r="M620" s="2"/>
      <c r="N620" s="2"/>
      <c r="O620" s="2"/>
      <c r="P620" s="2"/>
      <c r="Q620" s="2"/>
    </row>
    <row r="621" spans="7:17" ht="15.75" customHeight="1">
      <c r="G621" s="2"/>
      <c r="H621" s="2"/>
      <c r="I621" s="2"/>
      <c r="L621" s="2"/>
      <c r="M621" s="2"/>
      <c r="N621" s="2"/>
      <c r="O621" s="2"/>
      <c r="P621" s="2"/>
      <c r="Q621" s="2"/>
    </row>
    <row r="622" spans="7:17" ht="15.75" customHeight="1">
      <c r="G622" s="2"/>
      <c r="H622" s="2"/>
      <c r="I622" s="2"/>
      <c r="L622" s="2"/>
      <c r="M622" s="2"/>
      <c r="N622" s="2"/>
      <c r="O622" s="2"/>
      <c r="P622" s="2"/>
      <c r="Q622" s="2"/>
    </row>
    <row r="623" spans="7:17" ht="15.75" customHeight="1">
      <c r="G623" s="2"/>
      <c r="H623" s="2"/>
      <c r="I623" s="2"/>
      <c r="L623" s="2"/>
      <c r="M623" s="2"/>
      <c r="N623" s="2"/>
      <c r="O623" s="2"/>
      <c r="P623" s="2"/>
      <c r="Q623" s="2"/>
    </row>
    <row r="624" spans="7:17" ht="15.75" customHeight="1">
      <c r="G624" s="2"/>
      <c r="H624" s="2"/>
      <c r="I624" s="2"/>
      <c r="L624" s="2"/>
      <c r="M624" s="2"/>
      <c r="N624" s="2"/>
      <c r="O624" s="2"/>
      <c r="P624" s="2"/>
      <c r="Q624" s="2"/>
    </row>
    <row r="625" spans="7:17" ht="15.75" customHeight="1">
      <c r="G625" s="2"/>
      <c r="H625" s="2"/>
      <c r="I625" s="2"/>
      <c r="L625" s="2"/>
      <c r="M625" s="2"/>
      <c r="N625" s="2"/>
      <c r="O625" s="2"/>
      <c r="P625" s="2"/>
      <c r="Q625" s="2"/>
    </row>
    <row r="626" spans="7:17" ht="15.75" customHeight="1">
      <c r="G626" s="2"/>
      <c r="H626" s="2"/>
      <c r="I626" s="2"/>
      <c r="L626" s="2"/>
      <c r="M626" s="2"/>
      <c r="N626" s="2"/>
      <c r="O626" s="2"/>
      <c r="P626" s="2"/>
      <c r="Q626" s="2"/>
    </row>
    <row r="627" spans="7:17" ht="15.75" customHeight="1">
      <c r="G627" s="2"/>
      <c r="H627" s="2"/>
      <c r="I627" s="2"/>
      <c r="L627" s="2"/>
      <c r="M627" s="2"/>
      <c r="N627" s="2"/>
      <c r="O627" s="2"/>
      <c r="P627" s="2"/>
      <c r="Q627" s="2"/>
    </row>
    <row r="628" spans="7:17" ht="15.75" customHeight="1">
      <c r="G628" s="2"/>
      <c r="H628" s="2"/>
      <c r="I628" s="2"/>
      <c r="L628" s="2"/>
      <c r="M628" s="2"/>
      <c r="N628" s="2"/>
      <c r="O628" s="2"/>
      <c r="P628" s="2"/>
      <c r="Q628" s="2"/>
    </row>
    <row r="629" spans="7:17" ht="15.75" customHeight="1">
      <c r="G629" s="2"/>
      <c r="H629" s="2"/>
      <c r="I629" s="2"/>
      <c r="L629" s="2"/>
      <c r="M629" s="2"/>
      <c r="N629" s="2"/>
      <c r="O629" s="2"/>
      <c r="P629" s="2"/>
      <c r="Q629" s="2"/>
    </row>
    <row r="630" spans="7:17" ht="15.75" customHeight="1">
      <c r="G630" s="2"/>
      <c r="H630" s="2"/>
      <c r="I630" s="2"/>
      <c r="L630" s="2"/>
      <c r="M630" s="2"/>
      <c r="N630" s="2"/>
      <c r="O630" s="2"/>
      <c r="P630" s="2"/>
      <c r="Q630" s="2"/>
    </row>
    <row r="631" spans="7:17" ht="15.75" customHeight="1">
      <c r="G631" s="2"/>
      <c r="H631" s="2"/>
      <c r="I631" s="2"/>
      <c r="L631" s="2"/>
      <c r="M631" s="2"/>
      <c r="N631" s="2"/>
      <c r="O631" s="2"/>
      <c r="P631" s="2"/>
      <c r="Q631" s="2"/>
    </row>
    <row r="632" spans="7:17" ht="15.75" customHeight="1">
      <c r="G632" s="2"/>
      <c r="H632" s="2"/>
      <c r="I632" s="2"/>
      <c r="L632" s="2"/>
      <c r="M632" s="2"/>
      <c r="N632" s="2"/>
      <c r="O632" s="2"/>
      <c r="P632" s="2"/>
      <c r="Q632" s="2"/>
    </row>
    <row r="633" spans="7:17" ht="15.75" customHeight="1">
      <c r="G633" s="2"/>
      <c r="H633" s="2"/>
      <c r="I633" s="2"/>
      <c r="L633" s="2"/>
      <c r="M633" s="2"/>
      <c r="N633" s="2"/>
      <c r="O633" s="2"/>
      <c r="P633" s="2"/>
      <c r="Q633" s="2"/>
    </row>
    <row r="634" spans="7:17" ht="15.75" customHeight="1">
      <c r="G634" s="2"/>
      <c r="H634" s="2"/>
      <c r="I634" s="2"/>
      <c r="L634" s="2"/>
      <c r="M634" s="2"/>
      <c r="N634" s="2"/>
      <c r="O634" s="2"/>
      <c r="P634" s="2"/>
      <c r="Q634" s="2"/>
    </row>
    <row r="635" spans="7:17" ht="15.75" customHeight="1">
      <c r="G635" s="2"/>
      <c r="H635" s="2"/>
      <c r="I635" s="2"/>
      <c r="L635" s="2"/>
      <c r="M635" s="2"/>
      <c r="N635" s="2"/>
      <c r="O635" s="2"/>
      <c r="P635" s="2"/>
      <c r="Q635" s="2"/>
    </row>
    <row r="636" spans="7:17" ht="15.75" customHeight="1">
      <c r="G636" s="2"/>
      <c r="H636" s="2"/>
      <c r="I636" s="2"/>
      <c r="L636" s="2"/>
      <c r="M636" s="2"/>
      <c r="N636" s="2"/>
      <c r="O636" s="2"/>
      <c r="P636" s="2"/>
      <c r="Q636" s="2"/>
    </row>
    <row r="637" spans="7:17" ht="15.75" customHeight="1">
      <c r="G637" s="2"/>
      <c r="H637" s="2"/>
      <c r="I637" s="2"/>
      <c r="L637" s="2"/>
      <c r="M637" s="2"/>
      <c r="N637" s="2"/>
      <c r="O637" s="2"/>
      <c r="P637" s="2"/>
      <c r="Q637" s="2"/>
    </row>
    <row r="638" spans="7:17" ht="15.75" customHeight="1">
      <c r="G638" s="2"/>
      <c r="H638" s="2"/>
      <c r="I638" s="2"/>
      <c r="L638" s="2"/>
      <c r="M638" s="2"/>
      <c r="N638" s="2"/>
      <c r="O638" s="2"/>
      <c r="P638" s="2"/>
      <c r="Q638" s="2"/>
    </row>
    <row r="639" spans="7:17" ht="15.75" customHeight="1">
      <c r="G639" s="2"/>
      <c r="H639" s="2"/>
      <c r="I639" s="2"/>
      <c r="L639" s="2"/>
      <c r="M639" s="2"/>
      <c r="N639" s="2"/>
      <c r="O639" s="2"/>
      <c r="P639" s="2"/>
      <c r="Q639" s="2"/>
    </row>
    <row r="640" spans="7:17" ht="15.75" customHeight="1">
      <c r="G640" s="2"/>
      <c r="H640" s="2"/>
      <c r="I640" s="2"/>
      <c r="L640" s="2"/>
      <c r="M640" s="2"/>
      <c r="N640" s="2"/>
      <c r="O640" s="2"/>
      <c r="P640" s="2"/>
      <c r="Q640" s="2"/>
    </row>
    <row r="641" spans="7:17" ht="15.75" customHeight="1">
      <c r="G641" s="2"/>
      <c r="H641" s="2"/>
      <c r="I641" s="2"/>
      <c r="L641" s="2"/>
      <c r="M641" s="2"/>
      <c r="N641" s="2"/>
      <c r="O641" s="2"/>
      <c r="P641" s="2"/>
      <c r="Q641" s="2"/>
    </row>
    <row r="642" spans="7:17" ht="15.75" customHeight="1">
      <c r="G642" s="2"/>
      <c r="H642" s="2"/>
      <c r="I642" s="2"/>
      <c r="L642" s="2"/>
      <c r="M642" s="2"/>
      <c r="N642" s="2"/>
      <c r="O642" s="2"/>
      <c r="P642" s="2"/>
      <c r="Q642" s="2"/>
    </row>
    <row r="643" spans="7:17" ht="15.75" customHeight="1">
      <c r="G643" s="2"/>
      <c r="H643" s="2"/>
      <c r="I643" s="2"/>
      <c r="L643" s="2"/>
      <c r="M643" s="2"/>
      <c r="N643" s="2"/>
      <c r="O643" s="2"/>
      <c r="P643" s="2"/>
      <c r="Q643" s="2"/>
    </row>
    <row r="644" spans="7:17" ht="15.75" customHeight="1">
      <c r="G644" s="2"/>
      <c r="H644" s="2"/>
      <c r="I644" s="2"/>
      <c r="L644" s="2"/>
      <c r="M644" s="2"/>
      <c r="N644" s="2"/>
      <c r="O644" s="2"/>
      <c r="P644" s="2"/>
      <c r="Q644" s="2"/>
    </row>
    <row r="645" spans="7:17" ht="15.75" customHeight="1">
      <c r="G645" s="2"/>
      <c r="H645" s="2"/>
      <c r="I645" s="2"/>
      <c r="L645" s="2"/>
      <c r="M645" s="2"/>
      <c r="N645" s="2"/>
      <c r="O645" s="2"/>
      <c r="P645" s="2"/>
      <c r="Q645" s="2"/>
    </row>
    <row r="646" spans="7:17" ht="15.75" customHeight="1">
      <c r="G646" s="2"/>
      <c r="H646" s="2"/>
      <c r="I646" s="2"/>
      <c r="L646" s="2"/>
      <c r="M646" s="2"/>
      <c r="N646" s="2"/>
      <c r="O646" s="2"/>
      <c r="P646" s="2"/>
      <c r="Q646" s="2"/>
    </row>
    <row r="647" spans="7:17" ht="15.75" customHeight="1">
      <c r="G647" s="2"/>
      <c r="H647" s="2"/>
      <c r="I647" s="2"/>
      <c r="L647" s="2"/>
      <c r="M647" s="2"/>
      <c r="N647" s="2"/>
      <c r="O647" s="2"/>
      <c r="P647" s="2"/>
      <c r="Q647" s="2"/>
    </row>
    <row r="648" spans="7:17" ht="15.75" customHeight="1">
      <c r="G648" s="2"/>
      <c r="H648" s="2"/>
      <c r="I648" s="2"/>
      <c r="L648" s="2"/>
      <c r="M648" s="2"/>
      <c r="N648" s="2"/>
      <c r="O648" s="2"/>
      <c r="P648" s="2"/>
      <c r="Q648" s="2"/>
    </row>
    <row r="649" spans="7:17" ht="15.75" customHeight="1">
      <c r="G649" s="2"/>
      <c r="H649" s="2"/>
      <c r="I649" s="2"/>
      <c r="L649" s="2"/>
      <c r="M649" s="2"/>
      <c r="N649" s="2"/>
      <c r="O649" s="2"/>
      <c r="P649" s="2"/>
      <c r="Q649" s="2"/>
    </row>
    <row r="650" spans="7:17" ht="15.75" customHeight="1">
      <c r="G650" s="2"/>
      <c r="H650" s="2"/>
      <c r="I650" s="2"/>
      <c r="L650" s="2"/>
      <c r="M650" s="2"/>
      <c r="N650" s="2"/>
      <c r="O650" s="2"/>
      <c r="P650" s="2"/>
      <c r="Q650" s="2"/>
    </row>
    <row r="651" spans="7:17" ht="15.75" customHeight="1">
      <c r="G651" s="2"/>
      <c r="H651" s="2"/>
      <c r="I651" s="2"/>
      <c r="L651" s="2"/>
      <c r="M651" s="2"/>
      <c r="N651" s="2"/>
      <c r="O651" s="2"/>
      <c r="P651" s="2"/>
      <c r="Q651" s="2"/>
    </row>
    <row r="652" spans="7:17" ht="15.75" customHeight="1">
      <c r="G652" s="2"/>
      <c r="H652" s="2"/>
      <c r="I652" s="2"/>
      <c r="L652" s="2"/>
      <c r="M652" s="2"/>
      <c r="N652" s="2"/>
      <c r="O652" s="2"/>
      <c r="P652" s="2"/>
      <c r="Q652" s="2"/>
    </row>
    <row r="653" spans="7:17" ht="15.75" customHeight="1">
      <c r="G653" s="2"/>
      <c r="H653" s="2"/>
      <c r="I653" s="2"/>
      <c r="L653" s="2"/>
      <c r="M653" s="2"/>
      <c r="N653" s="2"/>
      <c r="O653" s="2"/>
      <c r="P653" s="2"/>
      <c r="Q653" s="2"/>
    </row>
    <row r="654" spans="7:17" ht="15.75" customHeight="1">
      <c r="G654" s="2"/>
      <c r="H654" s="2"/>
      <c r="I654" s="2"/>
      <c r="L654" s="2"/>
      <c r="M654" s="2"/>
      <c r="N654" s="2"/>
      <c r="O654" s="2"/>
      <c r="P654" s="2"/>
      <c r="Q654" s="2"/>
    </row>
    <row r="655" spans="7:17" ht="15.75" customHeight="1">
      <c r="G655" s="2"/>
      <c r="H655" s="2"/>
      <c r="I655" s="2"/>
      <c r="L655" s="2"/>
      <c r="M655" s="2"/>
      <c r="N655" s="2"/>
      <c r="O655" s="2"/>
      <c r="P655" s="2"/>
      <c r="Q655" s="2"/>
    </row>
    <row r="656" spans="7:17" ht="15.75" customHeight="1">
      <c r="G656" s="2"/>
      <c r="H656" s="2"/>
      <c r="I656" s="2"/>
      <c r="L656" s="2"/>
      <c r="M656" s="2"/>
      <c r="N656" s="2"/>
      <c r="O656" s="2"/>
      <c r="P656" s="2"/>
      <c r="Q656" s="2"/>
    </row>
    <row r="657" spans="7:17" ht="15.75" customHeight="1">
      <c r="G657" s="2"/>
      <c r="H657" s="2"/>
      <c r="I657" s="2"/>
      <c r="L657" s="2"/>
      <c r="M657" s="2"/>
      <c r="N657" s="2"/>
      <c r="O657" s="2"/>
      <c r="P657" s="2"/>
      <c r="Q657" s="2"/>
    </row>
    <row r="658" spans="7:17" ht="15.75" customHeight="1">
      <c r="G658" s="2"/>
      <c r="H658" s="2"/>
      <c r="I658" s="2"/>
      <c r="L658" s="2"/>
      <c r="M658" s="2"/>
      <c r="N658" s="2"/>
      <c r="O658" s="2"/>
      <c r="P658" s="2"/>
      <c r="Q658" s="2"/>
    </row>
    <row r="659" spans="7:17" ht="15.75" customHeight="1">
      <c r="G659" s="2"/>
      <c r="H659" s="2"/>
      <c r="I659" s="2"/>
      <c r="L659" s="2"/>
      <c r="M659" s="2"/>
      <c r="N659" s="2"/>
      <c r="O659" s="2"/>
      <c r="P659" s="2"/>
      <c r="Q659" s="2"/>
    </row>
    <row r="660" spans="7:17" ht="15.75" customHeight="1">
      <c r="G660" s="2"/>
      <c r="H660" s="2"/>
      <c r="I660" s="2"/>
      <c r="L660" s="2"/>
      <c r="M660" s="2"/>
      <c r="N660" s="2"/>
      <c r="O660" s="2"/>
      <c r="P660" s="2"/>
      <c r="Q660" s="2"/>
    </row>
    <row r="661" spans="7:17" ht="15.75" customHeight="1">
      <c r="G661" s="2"/>
      <c r="H661" s="2"/>
      <c r="I661" s="2"/>
      <c r="L661" s="2"/>
      <c r="M661" s="2"/>
      <c r="N661" s="2"/>
      <c r="O661" s="2"/>
      <c r="P661" s="2"/>
      <c r="Q661" s="2"/>
    </row>
    <row r="662" spans="7:17" ht="15.75" customHeight="1">
      <c r="G662" s="2"/>
      <c r="H662" s="2"/>
      <c r="I662" s="2"/>
      <c r="L662" s="2"/>
      <c r="M662" s="2"/>
      <c r="N662" s="2"/>
      <c r="O662" s="2"/>
      <c r="P662" s="2"/>
      <c r="Q662" s="2"/>
    </row>
    <row r="663" spans="7:17" ht="15.75" customHeight="1">
      <c r="G663" s="2"/>
      <c r="H663" s="2"/>
      <c r="I663" s="2"/>
      <c r="L663" s="2"/>
      <c r="M663" s="2"/>
      <c r="N663" s="2"/>
      <c r="O663" s="2"/>
      <c r="P663" s="2"/>
      <c r="Q663" s="2"/>
    </row>
    <row r="664" spans="7:17" ht="15.75" customHeight="1">
      <c r="G664" s="2"/>
      <c r="H664" s="2"/>
      <c r="I664" s="2"/>
      <c r="L664" s="2"/>
      <c r="M664" s="2"/>
      <c r="N664" s="2"/>
      <c r="O664" s="2"/>
      <c r="P664" s="2"/>
      <c r="Q664" s="2"/>
    </row>
    <row r="665" spans="7:17" ht="15.75" customHeight="1">
      <c r="G665" s="2"/>
      <c r="H665" s="2"/>
      <c r="I665" s="2"/>
      <c r="L665" s="2"/>
      <c r="M665" s="2"/>
      <c r="N665" s="2"/>
      <c r="O665" s="2"/>
      <c r="P665" s="2"/>
      <c r="Q665" s="2"/>
    </row>
    <row r="666" spans="7:17" ht="15.75" customHeight="1">
      <c r="G666" s="2"/>
      <c r="H666" s="2"/>
      <c r="I666" s="2"/>
      <c r="L666" s="2"/>
      <c r="M666" s="2"/>
      <c r="N666" s="2"/>
      <c r="O666" s="2"/>
      <c r="P666" s="2"/>
      <c r="Q666" s="2"/>
    </row>
    <row r="667" spans="7:17" ht="15.75" customHeight="1">
      <c r="G667" s="2"/>
      <c r="H667" s="2"/>
      <c r="I667" s="2"/>
      <c r="L667" s="2"/>
      <c r="M667" s="2"/>
      <c r="N667" s="2"/>
      <c r="O667" s="2"/>
      <c r="P667" s="2"/>
      <c r="Q667" s="2"/>
    </row>
    <row r="668" spans="7:17" ht="15.75" customHeight="1">
      <c r="G668" s="2"/>
      <c r="H668" s="2"/>
      <c r="I668" s="2"/>
      <c r="L668" s="2"/>
      <c r="M668" s="2"/>
      <c r="N668" s="2"/>
      <c r="O668" s="2"/>
      <c r="P668" s="2"/>
      <c r="Q668" s="2"/>
    </row>
    <row r="669" spans="7:17" ht="15.75" customHeight="1">
      <c r="G669" s="2"/>
      <c r="H669" s="2"/>
      <c r="I669" s="2"/>
      <c r="L669" s="2"/>
      <c r="M669" s="2"/>
      <c r="N669" s="2"/>
      <c r="O669" s="2"/>
      <c r="P669" s="2"/>
      <c r="Q669" s="2"/>
    </row>
    <row r="670" spans="7:17" ht="15.75" customHeight="1">
      <c r="G670" s="2"/>
      <c r="H670" s="2"/>
      <c r="I670" s="2"/>
      <c r="L670" s="2"/>
      <c r="M670" s="2"/>
      <c r="N670" s="2"/>
      <c r="O670" s="2"/>
      <c r="P670" s="2"/>
      <c r="Q670" s="2"/>
    </row>
    <row r="671" spans="7:17" ht="15.75" customHeight="1">
      <c r="G671" s="2"/>
      <c r="H671" s="2"/>
      <c r="I671" s="2"/>
      <c r="L671" s="2"/>
      <c r="M671" s="2"/>
      <c r="N671" s="2"/>
      <c r="O671" s="2"/>
      <c r="P671" s="2"/>
      <c r="Q671" s="2"/>
    </row>
    <row r="672" spans="7:17" ht="15.75" customHeight="1">
      <c r="G672" s="2"/>
      <c r="H672" s="2"/>
      <c r="I672" s="2"/>
      <c r="L672" s="2"/>
      <c r="M672" s="2"/>
      <c r="N672" s="2"/>
      <c r="O672" s="2"/>
      <c r="P672" s="2"/>
      <c r="Q672" s="2"/>
    </row>
    <row r="673" spans="7:17" ht="15.75" customHeight="1">
      <c r="G673" s="2"/>
      <c r="H673" s="2"/>
      <c r="I673" s="2"/>
      <c r="L673" s="2"/>
      <c r="M673" s="2"/>
      <c r="N673" s="2"/>
      <c r="O673" s="2"/>
      <c r="P673" s="2"/>
      <c r="Q673" s="2"/>
    </row>
    <row r="674" spans="7:17" ht="15.75" customHeight="1">
      <c r="G674" s="2"/>
      <c r="H674" s="2"/>
      <c r="I674" s="2"/>
      <c r="L674" s="2"/>
      <c r="M674" s="2"/>
      <c r="N674" s="2"/>
      <c r="O674" s="2"/>
      <c r="P674" s="2"/>
      <c r="Q674" s="2"/>
    </row>
    <row r="675" spans="7:17" ht="15.75" customHeight="1">
      <c r="G675" s="2"/>
      <c r="H675" s="2"/>
      <c r="I675" s="2"/>
      <c r="L675" s="2"/>
      <c r="M675" s="2"/>
      <c r="N675" s="2"/>
      <c r="O675" s="2"/>
      <c r="P675" s="2"/>
      <c r="Q675" s="2"/>
    </row>
    <row r="676" spans="7:17" ht="15.75" customHeight="1">
      <c r="G676" s="2"/>
      <c r="H676" s="2"/>
      <c r="I676" s="2"/>
      <c r="L676" s="2"/>
      <c r="M676" s="2"/>
      <c r="N676" s="2"/>
      <c r="O676" s="2"/>
      <c r="P676" s="2"/>
      <c r="Q676" s="2"/>
    </row>
    <row r="677" spans="7:17" ht="15.75" customHeight="1">
      <c r="G677" s="2"/>
      <c r="H677" s="2"/>
      <c r="I677" s="2"/>
      <c r="L677" s="2"/>
      <c r="M677" s="2"/>
      <c r="N677" s="2"/>
      <c r="O677" s="2"/>
      <c r="P677" s="2"/>
      <c r="Q677" s="2"/>
    </row>
    <row r="678" spans="7:17" ht="15.75" customHeight="1">
      <c r="G678" s="2"/>
      <c r="H678" s="2"/>
      <c r="I678" s="2"/>
      <c r="L678" s="2"/>
      <c r="M678" s="2"/>
      <c r="N678" s="2"/>
      <c r="O678" s="2"/>
      <c r="P678" s="2"/>
      <c r="Q678" s="2"/>
    </row>
    <row r="679" spans="7:17" ht="15.75" customHeight="1">
      <c r="G679" s="2"/>
      <c r="H679" s="2"/>
      <c r="I679" s="2"/>
      <c r="L679" s="2"/>
      <c r="M679" s="2"/>
      <c r="N679" s="2"/>
      <c r="O679" s="2"/>
      <c r="P679" s="2"/>
      <c r="Q679" s="2"/>
    </row>
    <row r="680" spans="7:17" ht="15.75" customHeight="1">
      <c r="G680" s="2"/>
      <c r="H680" s="2"/>
      <c r="I680" s="2"/>
      <c r="L680" s="2"/>
      <c r="M680" s="2"/>
      <c r="N680" s="2"/>
      <c r="O680" s="2"/>
      <c r="P680" s="2"/>
      <c r="Q680" s="2"/>
    </row>
    <row r="681" spans="7:17" ht="15.75" customHeight="1">
      <c r="G681" s="2"/>
      <c r="H681" s="2"/>
      <c r="I681" s="2"/>
      <c r="L681" s="2"/>
      <c r="M681" s="2"/>
      <c r="N681" s="2"/>
      <c r="O681" s="2"/>
      <c r="P681" s="2"/>
      <c r="Q681" s="2"/>
    </row>
    <row r="682" spans="7:17" ht="15.75" customHeight="1">
      <c r="G682" s="2"/>
      <c r="H682" s="2"/>
      <c r="I682" s="2"/>
      <c r="L682" s="2"/>
      <c r="M682" s="2"/>
      <c r="N682" s="2"/>
      <c r="O682" s="2"/>
      <c r="P682" s="2"/>
      <c r="Q682" s="2"/>
    </row>
    <row r="683" spans="7:17" ht="15.75" customHeight="1">
      <c r="G683" s="2"/>
      <c r="H683" s="2"/>
      <c r="I683" s="2"/>
      <c r="L683" s="2"/>
      <c r="M683" s="2"/>
      <c r="N683" s="2"/>
      <c r="O683" s="2"/>
      <c r="P683" s="2"/>
      <c r="Q683" s="2"/>
    </row>
    <row r="684" spans="7:17" ht="15.75" customHeight="1">
      <c r="G684" s="2"/>
      <c r="H684" s="2"/>
      <c r="I684" s="2"/>
      <c r="L684" s="2"/>
      <c r="M684" s="2"/>
      <c r="N684" s="2"/>
      <c r="O684" s="2"/>
      <c r="P684" s="2"/>
      <c r="Q684" s="2"/>
    </row>
    <row r="685" spans="7:17" ht="15.75" customHeight="1">
      <c r="G685" s="2"/>
      <c r="H685" s="2"/>
      <c r="I685" s="2"/>
      <c r="L685" s="2"/>
      <c r="M685" s="2"/>
      <c r="N685" s="2"/>
      <c r="O685" s="2"/>
      <c r="P685" s="2"/>
      <c r="Q685" s="2"/>
    </row>
    <row r="686" spans="7:17" ht="15.75" customHeight="1">
      <c r="G686" s="2"/>
      <c r="H686" s="2"/>
      <c r="I686" s="2"/>
      <c r="L686" s="2"/>
      <c r="M686" s="2"/>
      <c r="N686" s="2"/>
      <c r="O686" s="2"/>
      <c r="P686" s="2"/>
      <c r="Q686" s="2"/>
    </row>
    <row r="687" spans="7:17" ht="15.75" customHeight="1">
      <c r="G687" s="2"/>
      <c r="H687" s="2"/>
      <c r="I687" s="2"/>
      <c r="L687" s="2"/>
      <c r="M687" s="2"/>
      <c r="N687" s="2"/>
      <c r="O687" s="2"/>
      <c r="P687" s="2"/>
      <c r="Q687" s="2"/>
    </row>
    <row r="688" spans="7:17" ht="15.75" customHeight="1">
      <c r="G688" s="2"/>
      <c r="H688" s="2"/>
      <c r="I688" s="2"/>
      <c r="L688" s="2"/>
      <c r="M688" s="2"/>
      <c r="N688" s="2"/>
      <c r="O688" s="2"/>
      <c r="P688" s="2"/>
      <c r="Q688" s="2"/>
    </row>
    <row r="689" spans="7:17" ht="15.75" customHeight="1">
      <c r="G689" s="2"/>
      <c r="H689" s="2"/>
      <c r="I689" s="2"/>
      <c r="L689" s="2"/>
      <c r="M689" s="2"/>
      <c r="N689" s="2"/>
      <c r="O689" s="2"/>
      <c r="P689" s="2"/>
      <c r="Q689" s="2"/>
    </row>
    <row r="690" spans="7:17" ht="15.75" customHeight="1">
      <c r="G690" s="2"/>
      <c r="H690" s="2"/>
      <c r="I690" s="2"/>
      <c r="L690" s="2"/>
      <c r="M690" s="2"/>
      <c r="N690" s="2"/>
      <c r="O690" s="2"/>
      <c r="P690" s="2"/>
      <c r="Q690" s="2"/>
    </row>
    <row r="691" spans="7:17" ht="15.75" customHeight="1">
      <c r="G691" s="2"/>
      <c r="H691" s="2"/>
      <c r="I691" s="2"/>
      <c r="L691" s="2"/>
      <c r="M691" s="2"/>
      <c r="N691" s="2"/>
      <c r="O691" s="2"/>
      <c r="P691" s="2"/>
      <c r="Q691" s="2"/>
    </row>
    <row r="692" spans="7:17" ht="15.75" customHeight="1">
      <c r="G692" s="2"/>
      <c r="H692" s="2"/>
      <c r="I692" s="2"/>
      <c r="L692" s="2"/>
      <c r="M692" s="2"/>
      <c r="N692" s="2"/>
      <c r="O692" s="2"/>
      <c r="P692" s="2"/>
      <c r="Q692" s="2"/>
    </row>
    <row r="693" spans="7:17" ht="15.75" customHeight="1">
      <c r="G693" s="2"/>
      <c r="H693" s="2"/>
      <c r="I693" s="2"/>
      <c r="L693" s="2"/>
      <c r="M693" s="2"/>
      <c r="N693" s="2"/>
      <c r="O693" s="2"/>
      <c r="P693" s="2"/>
      <c r="Q693" s="2"/>
    </row>
    <row r="694" spans="7:17" ht="15.75" customHeight="1">
      <c r="G694" s="2"/>
      <c r="H694" s="2"/>
      <c r="I694" s="2"/>
      <c r="L694" s="2"/>
      <c r="M694" s="2"/>
      <c r="N694" s="2"/>
      <c r="O694" s="2"/>
      <c r="P694" s="2"/>
      <c r="Q694" s="2"/>
    </row>
    <row r="695" spans="7:17" ht="15.75" customHeight="1">
      <c r="G695" s="2"/>
      <c r="H695" s="2"/>
      <c r="I695" s="2"/>
      <c r="L695" s="2"/>
      <c r="M695" s="2"/>
      <c r="N695" s="2"/>
      <c r="O695" s="2"/>
      <c r="P695" s="2"/>
      <c r="Q695" s="2"/>
    </row>
    <row r="696" spans="7:17" ht="15.75" customHeight="1">
      <c r="G696" s="2"/>
      <c r="H696" s="2"/>
      <c r="I696" s="2"/>
      <c r="L696" s="2"/>
      <c r="M696" s="2"/>
      <c r="N696" s="2"/>
      <c r="O696" s="2"/>
      <c r="P696" s="2"/>
      <c r="Q696" s="2"/>
    </row>
    <row r="697" spans="7:17" ht="15.75" customHeight="1">
      <c r="G697" s="2"/>
      <c r="H697" s="2"/>
      <c r="I697" s="2"/>
      <c r="L697" s="2"/>
      <c r="M697" s="2"/>
      <c r="N697" s="2"/>
      <c r="O697" s="2"/>
      <c r="P697" s="2"/>
      <c r="Q697" s="2"/>
    </row>
    <row r="698" spans="7:17" ht="15.75" customHeight="1">
      <c r="G698" s="2"/>
      <c r="H698" s="2"/>
      <c r="I698" s="2"/>
      <c r="L698" s="2"/>
      <c r="M698" s="2"/>
      <c r="N698" s="2"/>
      <c r="O698" s="2"/>
      <c r="P698" s="2"/>
      <c r="Q698" s="2"/>
    </row>
    <row r="699" spans="7:17" ht="15.75" customHeight="1">
      <c r="G699" s="2"/>
      <c r="H699" s="2"/>
      <c r="I699" s="2"/>
      <c r="L699" s="2"/>
      <c r="M699" s="2"/>
      <c r="N699" s="2"/>
      <c r="O699" s="2"/>
      <c r="P699" s="2"/>
      <c r="Q699" s="2"/>
    </row>
    <row r="700" spans="7:17" ht="15.75" customHeight="1">
      <c r="G700" s="2"/>
      <c r="H700" s="2"/>
      <c r="I700" s="2"/>
      <c r="L700" s="2"/>
      <c r="M700" s="2"/>
      <c r="N700" s="2"/>
      <c r="O700" s="2"/>
      <c r="P700" s="2"/>
      <c r="Q700" s="2"/>
    </row>
    <row r="701" spans="7:17" ht="15.75" customHeight="1">
      <c r="G701" s="2"/>
      <c r="H701" s="2"/>
      <c r="I701" s="2"/>
      <c r="L701" s="2"/>
      <c r="M701" s="2"/>
      <c r="N701" s="2"/>
      <c r="O701" s="2"/>
      <c r="P701" s="2"/>
      <c r="Q701" s="2"/>
    </row>
    <row r="702" spans="7:17" ht="15.75" customHeight="1">
      <c r="G702" s="2"/>
      <c r="H702" s="2"/>
      <c r="I702" s="2"/>
      <c r="L702" s="2"/>
      <c r="M702" s="2"/>
      <c r="N702" s="2"/>
      <c r="O702" s="2"/>
      <c r="P702" s="2"/>
      <c r="Q702" s="2"/>
    </row>
    <row r="703" spans="7:17" ht="15.75" customHeight="1">
      <c r="G703" s="2"/>
      <c r="H703" s="2"/>
      <c r="I703" s="2"/>
      <c r="L703" s="2"/>
      <c r="M703" s="2"/>
      <c r="N703" s="2"/>
      <c r="O703" s="2"/>
      <c r="P703" s="2"/>
      <c r="Q703" s="2"/>
    </row>
    <row r="704" spans="7:17" ht="15.75" customHeight="1">
      <c r="G704" s="2"/>
      <c r="H704" s="2"/>
      <c r="I704" s="2"/>
      <c r="L704" s="2"/>
      <c r="M704" s="2"/>
      <c r="N704" s="2"/>
      <c r="O704" s="2"/>
      <c r="P704" s="2"/>
      <c r="Q704" s="2"/>
    </row>
    <row r="705" spans="7:17" ht="15.75" customHeight="1">
      <c r="G705" s="2"/>
      <c r="H705" s="2"/>
      <c r="I705" s="2"/>
      <c r="L705" s="2"/>
      <c r="M705" s="2"/>
      <c r="N705" s="2"/>
      <c r="O705" s="2"/>
      <c r="P705" s="2"/>
      <c r="Q705" s="2"/>
    </row>
    <row r="706" spans="7:17" ht="15.75" customHeight="1">
      <c r="G706" s="2"/>
      <c r="H706" s="2"/>
      <c r="I706" s="2"/>
      <c r="L706" s="2"/>
      <c r="M706" s="2"/>
      <c r="N706" s="2"/>
      <c r="O706" s="2"/>
      <c r="P706" s="2"/>
      <c r="Q706" s="2"/>
    </row>
    <row r="707" spans="7:17" ht="15.75" customHeight="1">
      <c r="G707" s="2"/>
      <c r="H707" s="2"/>
      <c r="I707" s="2"/>
      <c r="L707" s="2"/>
      <c r="M707" s="2"/>
      <c r="N707" s="2"/>
      <c r="O707" s="2"/>
      <c r="P707" s="2"/>
      <c r="Q707" s="2"/>
    </row>
    <row r="708" spans="7:17" ht="15.75" customHeight="1">
      <c r="G708" s="2"/>
      <c r="H708" s="2"/>
      <c r="I708" s="2"/>
      <c r="L708" s="2"/>
      <c r="M708" s="2"/>
      <c r="N708" s="2"/>
      <c r="O708" s="2"/>
      <c r="P708" s="2"/>
      <c r="Q708" s="2"/>
    </row>
    <row r="709" spans="7:17" ht="15.75" customHeight="1">
      <c r="G709" s="2"/>
      <c r="H709" s="2"/>
      <c r="I709" s="2"/>
      <c r="L709" s="2"/>
      <c r="M709" s="2"/>
      <c r="N709" s="2"/>
      <c r="O709" s="2"/>
      <c r="P709" s="2"/>
      <c r="Q709" s="2"/>
    </row>
    <row r="710" spans="7:17" ht="15.75" customHeight="1">
      <c r="G710" s="2"/>
      <c r="H710" s="2"/>
      <c r="I710" s="2"/>
      <c r="L710" s="2"/>
      <c r="M710" s="2"/>
      <c r="N710" s="2"/>
      <c r="O710" s="2"/>
      <c r="P710" s="2"/>
      <c r="Q710" s="2"/>
    </row>
    <row r="711" spans="7:17" ht="15.75" customHeight="1">
      <c r="G711" s="2"/>
      <c r="H711" s="2"/>
      <c r="I711" s="2"/>
      <c r="L711" s="2"/>
      <c r="M711" s="2"/>
      <c r="N711" s="2"/>
      <c r="O711" s="2"/>
      <c r="P711" s="2"/>
      <c r="Q711" s="2"/>
    </row>
    <row r="712" spans="7:17" ht="15.75" customHeight="1">
      <c r="G712" s="2"/>
      <c r="H712" s="2"/>
      <c r="I712" s="2"/>
      <c r="L712" s="2"/>
      <c r="M712" s="2"/>
      <c r="N712" s="2"/>
      <c r="O712" s="2"/>
      <c r="P712" s="2"/>
      <c r="Q712" s="2"/>
    </row>
    <row r="713" spans="7:17" ht="15.75" customHeight="1">
      <c r="G713" s="2"/>
      <c r="H713" s="2"/>
      <c r="I713" s="2"/>
      <c r="L713" s="2"/>
      <c r="M713" s="2"/>
      <c r="N713" s="2"/>
      <c r="O713" s="2"/>
      <c r="P713" s="2"/>
      <c r="Q713" s="2"/>
    </row>
    <row r="714" spans="7:17" ht="15.75" customHeight="1">
      <c r="G714" s="2"/>
      <c r="H714" s="2"/>
      <c r="I714" s="2"/>
      <c r="L714" s="2"/>
      <c r="M714" s="2"/>
      <c r="N714" s="2"/>
      <c r="O714" s="2"/>
      <c r="P714" s="2"/>
      <c r="Q714" s="2"/>
    </row>
    <row r="715" spans="7:17" ht="15.75" customHeight="1">
      <c r="G715" s="2"/>
      <c r="H715" s="2"/>
      <c r="I715" s="2"/>
      <c r="L715" s="2"/>
      <c r="M715" s="2"/>
      <c r="N715" s="2"/>
      <c r="O715" s="2"/>
      <c r="P715" s="2"/>
      <c r="Q715" s="2"/>
    </row>
    <row r="716" spans="7:17" ht="15.75" customHeight="1">
      <c r="G716" s="2"/>
      <c r="H716" s="2"/>
      <c r="I716" s="2"/>
      <c r="L716" s="2"/>
      <c r="M716" s="2"/>
      <c r="N716" s="2"/>
      <c r="O716" s="2"/>
      <c r="P716" s="2"/>
      <c r="Q716" s="2"/>
    </row>
    <row r="717" spans="7:17" ht="15.75" customHeight="1">
      <c r="G717" s="2"/>
      <c r="H717" s="2"/>
      <c r="I717" s="2"/>
      <c r="L717" s="2"/>
      <c r="M717" s="2"/>
      <c r="N717" s="2"/>
      <c r="O717" s="2"/>
      <c r="P717" s="2"/>
      <c r="Q717" s="2"/>
    </row>
    <row r="718" spans="7:17" ht="15.75" customHeight="1">
      <c r="G718" s="2"/>
      <c r="H718" s="2"/>
      <c r="I718" s="2"/>
      <c r="L718" s="2"/>
      <c r="M718" s="2"/>
      <c r="N718" s="2"/>
      <c r="O718" s="2"/>
      <c r="P718" s="2"/>
      <c r="Q718" s="2"/>
    </row>
    <row r="719" spans="7:17" ht="15.75" customHeight="1">
      <c r="G719" s="2"/>
      <c r="H719" s="2"/>
      <c r="I719" s="2"/>
      <c r="L719" s="2"/>
      <c r="M719" s="2"/>
      <c r="N719" s="2"/>
      <c r="O719" s="2"/>
      <c r="P719" s="2"/>
      <c r="Q719" s="2"/>
    </row>
    <row r="720" spans="7:17" ht="15.75" customHeight="1">
      <c r="G720" s="2"/>
      <c r="H720" s="2"/>
      <c r="I720" s="2"/>
      <c r="L720" s="2"/>
      <c r="M720" s="2"/>
      <c r="N720" s="2"/>
      <c r="O720" s="2"/>
      <c r="P720" s="2"/>
      <c r="Q720" s="2"/>
    </row>
    <row r="721" spans="7:17" ht="15.75" customHeight="1">
      <c r="G721" s="2"/>
      <c r="H721" s="2"/>
      <c r="I721" s="2"/>
      <c r="L721" s="2"/>
      <c r="M721" s="2"/>
      <c r="N721" s="2"/>
      <c r="O721" s="2"/>
      <c r="P721" s="2"/>
      <c r="Q721" s="2"/>
    </row>
    <row r="722" spans="7:17" ht="15.75" customHeight="1">
      <c r="G722" s="2"/>
      <c r="H722" s="2"/>
      <c r="I722" s="2"/>
      <c r="L722" s="2"/>
      <c r="M722" s="2"/>
      <c r="N722" s="2"/>
      <c r="O722" s="2"/>
      <c r="P722" s="2"/>
      <c r="Q722" s="2"/>
    </row>
    <row r="723" spans="7:17" ht="15.75" customHeight="1">
      <c r="G723" s="2"/>
      <c r="H723" s="2"/>
      <c r="I723" s="2"/>
      <c r="L723" s="2"/>
      <c r="M723" s="2"/>
      <c r="N723" s="2"/>
      <c r="O723" s="2"/>
      <c r="P723" s="2"/>
      <c r="Q723" s="2"/>
    </row>
    <row r="724" spans="7:17" ht="15.75" customHeight="1">
      <c r="G724" s="2"/>
      <c r="H724" s="2"/>
      <c r="I724" s="2"/>
      <c r="L724" s="2"/>
      <c r="M724" s="2"/>
      <c r="N724" s="2"/>
      <c r="O724" s="2"/>
      <c r="P724" s="2"/>
      <c r="Q724" s="2"/>
    </row>
    <row r="725" spans="7:17" ht="15.75" customHeight="1">
      <c r="G725" s="2"/>
      <c r="H725" s="2"/>
      <c r="I725" s="2"/>
      <c r="L725" s="2"/>
      <c r="M725" s="2"/>
      <c r="N725" s="2"/>
      <c r="O725" s="2"/>
      <c r="P725" s="2"/>
      <c r="Q725" s="2"/>
    </row>
    <row r="726" spans="7:17" ht="15.75" customHeight="1">
      <c r="G726" s="2"/>
      <c r="H726" s="2"/>
      <c r="I726" s="2"/>
      <c r="L726" s="2"/>
      <c r="M726" s="2"/>
      <c r="N726" s="2"/>
      <c r="O726" s="2"/>
      <c r="P726" s="2"/>
      <c r="Q726" s="2"/>
    </row>
    <row r="727" spans="7:17" ht="15.75" customHeight="1">
      <c r="G727" s="2"/>
      <c r="H727" s="2"/>
      <c r="I727" s="2"/>
      <c r="L727" s="2"/>
      <c r="M727" s="2"/>
      <c r="N727" s="2"/>
      <c r="O727" s="2"/>
      <c r="P727" s="2"/>
      <c r="Q727" s="2"/>
    </row>
    <row r="728" spans="7:17" ht="15.75" customHeight="1">
      <c r="G728" s="2"/>
      <c r="H728" s="2"/>
      <c r="I728" s="2"/>
      <c r="L728" s="2"/>
      <c r="M728" s="2"/>
      <c r="N728" s="2"/>
      <c r="O728" s="2"/>
      <c r="P728" s="2"/>
      <c r="Q728" s="2"/>
    </row>
    <row r="729" spans="7:17" ht="15.75" customHeight="1">
      <c r="G729" s="2"/>
      <c r="H729" s="2"/>
      <c r="I729" s="2"/>
      <c r="L729" s="2"/>
      <c r="M729" s="2"/>
      <c r="N729" s="2"/>
      <c r="O729" s="2"/>
      <c r="P729" s="2"/>
      <c r="Q729" s="2"/>
    </row>
    <row r="730" spans="7:17" ht="15.75" customHeight="1">
      <c r="G730" s="2"/>
      <c r="H730" s="2"/>
      <c r="I730" s="2"/>
      <c r="L730" s="2"/>
      <c r="M730" s="2"/>
      <c r="N730" s="2"/>
      <c r="O730" s="2"/>
      <c r="P730" s="2"/>
      <c r="Q730" s="2"/>
    </row>
    <row r="731" spans="7:17" ht="15.75" customHeight="1">
      <c r="G731" s="2"/>
      <c r="H731" s="2"/>
      <c r="I731" s="2"/>
      <c r="L731" s="2"/>
      <c r="M731" s="2"/>
      <c r="N731" s="2"/>
      <c r="O731" s="2"/>
      <c r="P731" s="2"/>
      <c r="Q731" s="2"/>
    </row>
    <row r="732" spans="7:17" ht="15.75" customHeight="1">
      <c r="G732" s="2"/>
      <c r="H732" s="2"/>
      <c r="I732" s="2"/>
      <c r="L732" s="2"/>
      <c r="M732" s="2"/>
      <c r="N732" s="2"/>
      <c r="O732" s="2"/>
      <c r="P732" s="2"/>
      <c r="Q732" s="2"/>
    </row>
    <row r="733" spans="7:17" ht="15.75" customHeight="1">
      <c r="G733" s="2"/>
      <c r="H733" s="2"/>
      <c r="I733" s="2"/>
      <c r="L733" s="2"/>
      <c r="M733" s="2"/>
      <c r="N733" s="2"/>
      <c r="O733" s="2"/>
      <c r="P733" s="2"/>
      <c r="Q733" s="2"/>
    </row>
    <row r="734" spans="7:17" ht="15.75" customHeight="1">
      <c r="G734" s="2"/>
      <c r="H734" s="2"/>
      <c r="I734" s="2"/>
      <c r="L734" s="2"/>
      <c r="M734" s="2"/>
      <c r="N734" s="2"/>
      <c r="O734" s="2"/>
      <c r="P734" s="2"/>
      <c r="Q734" s="2"/>
    </row>
    <row r="735" spans="7:17" ht="15.75" customHeight="1">
      <c r="G735" s="2"/>
      <c r="H735" s="2"/>
      <c r="I735" s="2"/>
      <c r="L735" s="2"/>
      <c r="M735" s="2"/>
      <c r="N735" s="2"/>
      <c r="O735" s="2"/>
      <c r="P735" s="2"/>
      <c r="Q735" s="2"/>
    </row>
    <row r="736" spans="7:17" ht="15.75" customHeight="1">
      <c r="G736" s="2"/>
      <c r="H736" s="2"/>
      <c r="I736" s="2"/>
      <c r="L736" s="2"/>
      <c r="M736" s="2"/>
      <c r="N736" s="2"/>
      <c r="O736" s="2"/>
      <c r="P736" s="2"/>
      <c r="Q736" s="2"/>
    </row>
    <row r="737" spans="7:17" ht="15.75" customHeight="1">
      <c r="G737" s="2"/>
      <c r="H737" s="2"/>
      <c r="I737" s="2"/>
      <c r="L737" s="2"/>
      <c r="M737" s="2"/>
      <c r="N737" s="2"/>
      <c r="O737" s="2"/>
      <c r="P737" s="2"/>
      <c r="Q737" s="2"/>
    </row>
    <row r="738" spans="7:17" ht="15.75" customHeight="1">
      <c r="G738" s="2"/>
      <c r="H738" s="2"/>
      <c r="I738" s="2"/>
      <c r="L738" s="2"/>
      <c r="M738" s="2"/>
      <c r="N738" s="2"/>
      <c r="O738" s="2"/>
      <c r="P738" s="2"/>
      <c r="Q738" s="2"/>
    </row>
    <row r="739" spans="7:17" ht="15.75" customHeight="1">
      <c r="G739" s="2"/>
      <c r="H739" s="2"/>
      <c r="I739" s="2"/>
      <c r="L739" s="2"/>
      <c r="M739" s="2"/>
      <c r="N739" s="2"/>
      <c r="O739" s="2"/>
      <c r="P739" s="2"/>
      <c r="Q739" s="2"/>
    </row>
    <row r="740" spans="7:17" ht="15.75" customHeight="1">
      <c r="G740" s="2"/>
      <c r="H740" s="2"/>
      <c r="I740" s="2"/>
      <c r="L740" s="2"/>
      <c r="M740" s="2"/>
      <c r="N740" s="2"/>
      <c r="O740" s="2"/>
      <c r="P740" s="2"/>
      <c r="Q740" s="2"/>
    </row>
    <row r="741" spans="7:17" ht="15.75" customHeight="1">
      <c r="G741" s="2"/>
      <c r="H741" s="2"/>
      <c r="I741" s="2"/>
      <c r="L741" s="2"/>
      <c r="M741" s="2"/>
      <c r="N741" s="2"/>
      <c r="O741" s="2"/>
      <c r="P741" s="2"/>
      <c r="Q741" s="2"/>
    </row>
    <row r="742" spans="7:17" ht="15.75" customHeight="1">
      <c r="G742" s="2"/>
      <c r="H742" s="2"/>
      <c r="I742" s="2"/>
      <c r="L742" s="2"/>
      <c r="M742" s="2"/>
      <c r="N742" s="2"/>
      <c r="O742" s="2"/>
      <c r="P742" s="2"/>
      <c r="Q742" s="2"/>
    </row>
    <row r="743" spans="7:17" ht="15.75" customHeight="1">
      <c r="G743" s="2"/>
      <c r="H743" s="2"/>
      <c r="I743" s="2"/>
      <c r="L743" s="2"/>
      <c r="M743" s="2"/>
      <c r="N743" s="2"/>
      <c r="O743" s="2"/>
      <c r="P743" s="2"/>
      <c r="Q743" s="2"/>
    </row>
    <row r="744" spans="7:17" ht="15.75" customHeight="1">
      <c r="G744" s="2"/>
      <c r="H744" s="2"/>
      <c r="I744" s="2"/>
      <c r="L744" s="2"/>
      <c r="M744" s="2"/>
      <c r="N744" s="2"/>
      <c r="O744" s="2"/>
      <c r="P744" s="2"/>
      <c r="Q744" s="2"/>
    </row>
    <row r="745" spans="7:17" ht="15.75" customHeight="1">
      <c r="G745" s="2"/>
      <c r="H745" s="2"/>
      <c r="I745" s="2"/>
      <c r="L745" s="2"/>
      <c r="M745" s="2"/>
      <c r="N745" s="2"/>
      <c r="O745" s="2"/>
      <c r="P745" s="2"/>
      <c r="Q745" s="2"/>
    </row>
    <row r="746" spans="7:17" ht="15.75" customHeight="1">
      <c r="G746" s="2"/>
      <c r="H746" s="2"/>
      <c r="I746" s="2"/>
      <c r="L746" s="2"/>
      <c r="M746" s="2"/>
      <c r="N746" s="2"/>
      <c r="O746" s="2"/>
      <c r="P746" s="2"/>
      <c r="Q746" s="2"/>
    </row>
    <row r="747" spans="7:17" ht="15.75" customHeight="1">
      <c r="G747" s="2"/>
      <c r="H747" s="2"/>
      <c r="I747" s="2"/>
      <c r="L747" s="2"/>
      <c r="M747" s="2"/>
      <c r="N747" s="2"/>
      <c r="O747" s="2"/>
      <c r="P747" s="2"/>
      <c r="Q747" s="2"/>
    </row>
    <row r="748" spans="7:17" ht="15.75" customHeight="1">
      <c r="G748" s="2"/>
      <c r="H748" s="2"/>
      <c r="I748" s="2"/>
      <c r="L748" s="2"/>
      <c r="M748" s="2"/>
      <c r="N748" s="2"/>
      <c r="O748" s="2"/>
      <c r="P748" s="2"/>
      <c r="Q748" s="2"/>
    </row>
    <row r="749" spans="7:17" ht="15.75" customHeight="1">
      <c r="G749" s="2"/>
      <c r="H749" s="2"/>
      <c r="I749" s="2"/>
      <c r="L749" s="2"/>
      <c r="M749" s="2"/>
      <c r="N749" s="2"/>
      <c r="O749" s="2"/>
      <c r="P749" s="2"/>
      <c r="Q749" s="2"/>
    </row>
    <row r="750" spans="7:17" ht="15.75" customHeight="1">
      <c r="G750" s="2"/>
      <c r="H750" s="2"/>
      <c r="I750" s="2"/>
      <c r="L750" s="2"/>
      <c r="M750" s="2"/>
      <c r="N750" s="2"/>
      <c r="O750" s="2"/>
      <c r="P750" s="2"/>
      <c r="Q750" s="2"/>
    </row>
    <row r="751" spans="7:17" ht="15.75" customHeight="1">
      <c r="G751" s="2"/>
      <c r="H751" s="2"/>
      <c r="I751" s="2"/>
      <c r="L751" s="2"/>
      <c r="M751" s="2"/>
      <c r="N751" s="2"/>
      <c r="O751" s="2"/>
      <c r="P751" s="2"/>
      <c r="Q751" s="2"/>
    </row>
    <row r="752" spans="7:17" ht="15.75" customHeight="1">
      <c r="G752" s="2"/>
      <c r="H752" s="2"/>
      <c r="I752" s="2"/>
      <c r="L752" s="2"/>
      <c r="M752" s="2"/>
      <c r="N752" s="2"/>
      <c r="O752" s="2"/>
      <c r="P752" s="2"/>
      <c r="Q752" s="2"/>
    </row>
    <row r="753" spans="7:17" ht="15.75" customHeight="1">
      <c r="G753" s="2"/>
      <c r="H753" s="2"/>
      <c r="I753" s="2"/>
      <c r="L753" s="2"/>
      <c r="M753" s="2"/>
      <c r="N753" s="2"/>
      <c r="O753" s="2"/>
      <c r="P753" s="2"/>
      <c r="Q753" s="2"/>
    </row>
    <row r="754" spans="7:17" ht="15.75" customHeight="1">
      <c r="G754" s="2"/>
      <c r="H754" s="2"/>
      <c r="I754" s="2"/>
      <c r="L754" s="2"/>
      <c r="M754" s="2"/>
      <c r="N754" s="2"/>
      <c r="O754" s="2"/>
      <c r="P754" s="2"/>
      <c r="Q754" s="2"/>
    </row>
    <row r="755" spans="7:17" ht="15.75" customHeight="1">
      <c r="G755" s="2"/>
      <c r="H755" s="2"/>
      <c r="I755" s="2"/>
      <c r="L755" s="2"/>
      <c r="M755" s="2"/>
      <c r="N755" s="2"/>
      <c r="O755" s="2"/>
      <c r="P755" s="2"/>
      <c r="Q755" s="2"/>
    </row>
    <row r="756" spans="7:17" ht="15.75" customHeight="1">
      <c r="G756" s="2"/>
      <c r="H756" s="2"/>
      <c r="I756" s="2"/>
      <c r="L756" s="2"/>
      <c r="M756" s="2"/>
      <c r="N756" s="2"/>
      <c r="O756" s="2"/>
      <c r="P756" s="2"/>
      <c r="Q756" s="2"/>
    </row>
    <row r="757" spans="7:17" ht="15.75" customHeight="1">
      <c r="G757" s="2"/>
      <c r="H757" s="2"/>
      <c r="I757" s="2"/>
      <c r="L757" s="2"/>
      <c r="M757" s="2"/>
      <c r="N757" s="2"/>
      <c r="O757" s="2"/>
      <c r="P757" s="2"/>
      <c r="Q757" s="2"/>
    </row>
    <row r="758" spans="7:17" ht="15.75" customHeight="1">
      <c r="G758" s="2"/>
      <c r="H758" s="2"/>
      <c r="I758" s="2"/>
      <c r="L758" s="2"/>
      <c r="M758" s="2"/>
      <c r="N758" s="2"/>
      <c r="O758" s="2"/>
      <c r="P758" s="2"/>
      <c r="Q758" s="2"/>
    </row>
    <row r="759" spans="7:17" ht="15.75" customHeight="1">
      <c r="G759" s="2"/>
      <c r="H759" s="2"/>
      <c r="I759" s="2"/>
      <c r="L759" s="2"/>
      <c r="M759" s="2"/>
      <c r="N759" s="2"/>
      <c r="O759" s="2"/>
      <c r="P759" s="2"/>
      <c r="Q759" s="2"/>
    </row>
    <row r="760" spans="7:17" ht="15.75" customHeight="1">
      <c r="G760" s="2"/>
      <c r="H760" s="2"/>
      <c r="I760" s="2"/>
      <c r="L760" s="2"/>
      <c r="M760" s="2"/>
      <c r="N760" s="2"/>
      <c r="O760" s="2"/>
      <c r="P760" s="2"/>
      <c r="Q760" s="2"/>
    </row>
    <row r="761" spans="7:17" ht="15.75" customHeight="1">
      <c r="G761" s="2"/>
      <c r="H761" s="2"/>
      <c r="I761" s="2"/>
      <c r="L761" s="2"/>
      <c r="M761" s="2"/>
      <c r="N761" s="2"/>
      <c r="O761" s="2"/>
      <c r="P761" s="2"/>
      <c r="Q761" s="2"/>
    </row>
    <row r="762" spans="7:17" ht="15.75" customHeight="1">
      <c r="G762" s="2"/>
      <c r="H762" s="2"/>
      <c r="I762" s="2"/>
      <c r="L762" s="2"/>
      <c r="M762" s="2"/>
      <c r="N762" s="2"/>
      <c r="O762" s="2"/>
      <c r="P762" s="2"/>
      <c r="Q762" s="2"/>
    </row>
    <row r="763" spans="7:17" ht="15.75" customHeight="1">
      <c r="G763" s="2"/>
      <c r="H763" s="2"/>
      <c r="I763" s="2"/>
      <c r="L763" s="2"/>
      <c r="M763" s="2"/>
      <c r="N763" s="2"/>
      <c r="O763" s="2"/>
      <c r="P763" s="2"/>
      <c r="Q763" s="2"/>
    </row>
    <row r="764" spans="7:17" ht="15.75" customHeight="1">
      <c r="G764" s="2"/>
      <c r="H764" s="2"/>
      <c r="I764" s="2"/>
      <c r="L764" s="2"/>
      <c r="M764" s="2"/>
      <c r="N764" s="2"/>
      <c r="O764" s="2"/>
      <c r="P764" s="2"/>
      <c r="Q764" s="2"/>
    </row>
    <row r="765" spans="7:17" ht="15.75" customHeight="1">
      <c r="G765" s="2"/>
      <c r="H765" s="2"/>
      <c r="I765" s="2"/>
      <c r="L765" s="2"/>
      <c r="M765" s="2"/>
      <c r="N765" s="2"/>
      <c r="O765" s="2"/>
      <c r="P765" s="2"/>
      <c r="Q765" s="2"/>
    </row>
    <row r="766" spans="7:17" ht="15.75" customHeight="1">
      <c r="G766" s="2"/>
      <c r="H766" s="2"/>
      <c r="I766" s="2"/>
      <c r="L766" s="2"/>
      <c r="M766" s="2"/>
      <c r="N766" s="2"/>
      <c r="O766" s="2"/>
      <c r="P766" s="2"/>
      <c r="Q766" s="2"/>
    </row>
    <row r="767" spans="7:17" ht="15.75" customHeight="1">
      <c r="G767" s="2"/>
      <c r="H767" s="2"/>
      <c r="I767" s="2"/>
      <c r="L767" s="2"/>
      <c r="M767" s="2"/>
      <c r="N767" s="2"/>
      <c r="O767" s="2"/>
      <c r="P767" s="2"/>
      <c r="Q767" s="2"/>
    </row>
    <row r="768" spans="7:17" ht="15.75" customHeight="1">
      <c r="G768" s="2"/>
      <c r="H768" s="2"/>
      <c r="I768" s="2"/>
      <c r="L768" s="2"/>
      <c r="M768" s="2"/>
      <c r="N768" s="2"/>
      <c r="O768" s="2"/>
      <c r="P768" s="2"/>
      <c r="Q768" s="2"/>
    </row>
    <row r="769" spans="7:17" ht="15.75" customHeight="1">
      <c r="G769" s="2"/>
      <c r="H769" s="2"/>
      <c r="I769" s="2"/>
      <c r="L769" s="2"/>
      <c r="M769" s="2"/>
      <c r="N769" s="2"/>
      <c r="O769" s="2"/>
      <c r="P769" s="2"/>
      <c r="Q769" s="2"/>
    </row>
    <row r="770" spans="7:17" ht="15.75" customHeight="1">
      <c r="G770" s="2"/>
      <c r="H770" s="2"/>
      <c r="I770" s="2"/>
      <c r="L770" s="2"/>
      <c r="M770" s="2"/>
      <c r="N770" s="2"/>
      <c r="O770" s="2"/>
      <c r="P770" s="2"/>
      <c r="Q770" s="2"/>
    </row>
    <row r="771" spans="7:17" ht="15.75" customHeight="1">
      <c r="G771" s="2"/>
      <c r="H771" s="2"/>
      <c r="I771" s="2"/>
      <c r="L771" s="2"/>
      <c r="M771" s="2"/>
      <c r="N771" s="2"/>
      <c r="O771" s="2"/>
      <c r="P771" s="2"/>
      <c r="Q771" s="2"/>
    </row>
    <row r="772" spans="7:17" ht="15.75" customHeight="1">
      <c r="G772" s="2"/>
      <c r="H772" s="2"/>
      <c r="I772" s="2"/>
      <c r="L772" s="2"/>
      <c r="M772" s="2"/>
      <c r="N772" s="2"/>
      <c r="O772" s="2"/>
      <c r="P772" s="2"/>
      <c r="Q772" s="2"/>
    </row>
    <row r="773" spans="7:17" ht="15.75" customHeight="1">
      <c r="G773" s="2"/>
      <c r="H773" s="2"/>
      <c r="I773" s="2"/>
      <c r="L773" s="2"/>
      <c r="M773" s="2"/>
      <c r="N773" s="2"/>
      <c r="O773" s="2"/>
      <c r="P773" s="2"/>
      <c r="Q773" s="2"/>
    </row>
    <row r="774" spans="7:17" ht="15.75" customHeight="1">
      <c r="G774" s="2"/>
      <c r="H774" s="2"/>
      <c r="I774" s="2"/>
      <c r="L774" s="2"/>
      <c r="M774" s="2"/>
      <c r="N774" s="2"/>
      <c r="O774" s="2"/>
      <c r="P774" s="2"/>
      <c r="Q774" s="2"/>
    </row>
    <row r="775" spans="7:17" ht="15.75" customHeight="1">
      <c r="G775" s="2"/>
      <c r="H775" s="2"/>
      <c r="I775" s="2"/>
      <c r="L775" s="2"/>
      <c r="M775" s="2"/>
      <c r="N775" s="2"/>
      <c r="O775" s="2"/>
      <c r="P775" s="2"/>
      <c r="Q775" s="2"/>
    </row>
    <row r="776" spans="7:17" ht="15.75" customHeight="1">
      <c r="G776" s="2"/>
      <c r="H776" s="2"/>
      <c r="I776" s="2"/>
      <c r="L776" s="2"/>
      <c r="M776" s="2"/>
      <c r="N776" s="2"/>
      <c r="O776" s="2"/>
      <c r="P776" s="2"/>
      <c r="Q776" s="2"/>
    </row>
    <row r="777" spans="7:17" ht="15.75" customHeight="1">
      <c r="G777" s="2"/>
      <c r="H777" s="2"/>
      <c r="I777" s="2"/>
      <c r="L777" s="2"/>
      <c r="M777" s="2"/>
      <c r="N777" s="2"/>
      <c r="O777" s="2"/>
      <c r="P777" s="2"/>
      <c r="Q777" s="2"/>
    </row>
    <row r="778" spans="7:17" ht="15.75" customHeight="1">
      <c r="G778" s="2"/>
      <c r="H778" s="2"/>
      <c r="I778" s="2"/>
      <c r="L778" s="2"/>
      <c r="M778" s="2"/>
      <c r="N778" s="2"/>
      <c r="O778" s="2"/>
      <c r="P778" s="2"/>
      <c r="Q778" s="2"/>
    </row>
    <row r="779" spans="7:17" ht="15.75" customHeight="1">
      <c r="G779" s="2"/>
      <c r="H779" s="2"/>
      <c r="I779" s="2"/>
      <c r="L779" s="2"/>
      <c r="M779" s="2"/>
      <c r="N779" s="2"/>
      <c r="O779" s="2"/>
      <c r="P779" s="2"/>
      <c r="Q779" s="2"/>
    </row>
    <row r="780" spans="7:17" ht="15.75" customHeight="1">
      <c r="G780" s="2"/>
      <c r="H780" s="2"/>
      <c r="I780" s="2"/>
      <c r="L780" s="2"/>
      <c r="M780" s="2"/>
      <c r="N780" s="2"/>
      <c r="O780" s="2"/>
      <c r="P780" s="2"/>
      <c r="Q780" s="2"/>
    </row>
    <row r="781" spans="7:17" ht="15.75" customHeight="1">
      <c r="G781" s="2"/>
      <c r="H781" s="2"/>
      <c r="I781" s="2"/>
      <c r="L781" s="2"/>
      <c r="M781" s="2"/>
      <c r="N781" s="2"/>
      <c r="O781" s="2"/>
      <c r="P781" s="2"/>
      <c r="Q781" s="2"/>
    </row>
    <row r="782" spans="7:17" ht="15.75" customHeight="1">
      <c r="G782" s="2"/>
      <c r="H782" s="2"/>
      <c r="I782" s="2"/>
      <c r="L782" s="2"/>
      <c r="M782" s="2"/>
      <c r="N782" s="2"/>
      <c r="O782" s="2"/>
      <c r="P782" s="2"/>
      <c r="Q782" s="2"/>
    </row>
    <row r="783" spans="7:17" ht="15.75" customHeight="1">
      <c r="G783" s="2"/>
      <c r="H783" s="2"/>
      <c r="I783" s="2"/>
      <c r="L783" s="2"/>
      <c r="M783" s="2"/>
      <c r="N783" s="2"/>
      <c r="O783" s="2"/>
      <c r="P783" s="2"/>
      <c r="Q783" s="2"/>
    </row>
    <row r="784" spans="7:17" ht="15.75" customHeight="1">
      <c r="G784" s="2"/>
      <c r="H784" s="2"/>
      <c r="I784" s="2"/>
      <c r="L784" s="2"/>
      <c r="M784" s="2"/>
      <c r="N784" s="2"/>
      <c r="O784" s="2"/>
      <c r="P784" s="2"/>
      <c r="Q784" s="2"/>
    </row>
    <row r="785" spans="7:17" ht="15.75" customHeight="1">
      <c r="G785" s="2"/>
      <c r="H785" s="2"/>
      <c r="I785" s="2"/>
      <c r="L785" s="2"/>
      <c r="M785" s="2"/>
      <c r="N785" s="2"/>
      <c r="O785" s="2"/>
      <c r="P785" s="2"/>
      <c r="Q785" s="2"/>
    </row>
    <row r="786" spans="7:17" ht="15.75" customHeight="1">
      <c r="G786" s="2"/>
      <c r="H786" s="2"/>
      <c r="I786" s="2"/>
      <c r="L786" s="2"/>
      <c r="M786" s="2"/>
      <c r="N786" s="2"/>
      <c r="O786" s="2"/>
      <c r="P786" s="2"/>
      <c r="Q786" s="2"/>
    </row>
    <row r="787" spans="7:17" ht="15.75" customHeight="1">
      <c r="G787" s="2"/>
      <c r="H787" s="2"/>
      <c r="I787" s="2"/>
      <c r="L787" s="2"/>
      <c r="M787" s="2"/>
      <c r="N787" s="2"/>
      <c r="O787" s="2"/>
      <c r="P787" s="2"/>
      <c r="Q787" s="2"/>
    </row>
    <row r="788" spans="7:17" ht="15.75" customHeight="1">
      <c r="G788" s="2"/>
      <c r="H788" s="2"/>
      <c r="I788" s="2"/>
      <c r="L788" s="2"/>
      <c r="M788" s="2"/>
      <c r="N788" s="2"/>
      <c r="O788" s="2"/>
      <c r="P788" s="2"/>
      <c r="Q788" s="2"/>
    </row>
    <row r="789" spans="7:17" ht="15.75" customHeight="1">
      <c r="G789" s="2"/>
      <c r="H789" s="2"/>
      <c r="I789" s="2"/>
      <c r="L789" s="2"/>
      <c r="M789" s="2"/>
      <c r="N789" s="2"/>
      <c r="O789" s="2"/>
      <c r="P789" s="2"/>
      <c r="Q789" s="2"/>
    </row>
    <row r="790" spans="7:17" ht="15.75" customHeight="1">
      <c r="G790" s="2"/>
      <c r="H790" s="2"/>
      <c r="I790" s="2"/>
      <c r="L790" s="2"/>
      <c r="M790" s="2"/>
      <c r="N790" s="2"/>
      <c r="O790" s="2"/>
      <c r="P790" s="2"/>
      <c r="Q790" s="2"/>
    </row>
    <row r="791" spans="7:17" ht="15.75" customHeight="1">
      <c r="G791" s="2"/>
      <c r="H791" s="2"/>
      <c r="I791" s="2"/>
      <c r="L791" s="2"/>
      <c r="M791" s="2"/>
      <c r="N791" s="2"/>
      <c r="O791" s="2"/>
      <c r="P791" s="2"/>
      <c r="Q791" s="2"/>
    </row>
    <row r="792" spans="7:17" ht="15.75" customHeight="1">
      <c r="G792" s="2"/>
      <c r="H792" s="2"/>
      <c r="I792" s="2"/>
      <c r="L792" s="2"/>
      <c r="M792" s="2"/>
      <c r="N792" s="2"/>
      <c r="O792" s="2"/>
      <c r="P792" s="2"/>
      <c r="Q792" s="2"/>
    </row>
    <row r="793" spans="7:17" ht="15.75" customHeight="1">
      <c r="G793" s="2"/>
      <c r="H793" s="2"/>
      <c r="I793" s="2"/>
      <c r="L793" s="2"/>
      <c r="M793" s="2"/>
      <c r="N793" s="2"/>
      <c r="O793" s="2"/>
      <c r="P793" s="2"/>
      <c r="Q793" s="2"/>
    </row>
    <row r="794" spans="7:17" ht="15.75" customHeight="1">
      <c r="G794" s="2"/>
      <c r="H794" s="2"/>
      <c r="I794" s="2"/>
      <c r="L794" s="2"/>
      <c r="M794" s="2"/>
      <c r="N794" s="2"/>
      <c r="O794" s="2"/>
      <c r="P794" s="2"/>
      <c r="Q794" s="2"/>
    </row>
    <row r="795" spans="7:17" ht="15.75" customHeight="1">
      <c r="G795" s="2"/>
      <c r="H795" s="2"/>
      <c r="I795" s="2"/>
      <c r="L795" s="2"/>
      <c r="M795" s="2"/>
      <c r="N795" s="2"/>
      <c r="O795" s="2"/>
      <c r="P795" s="2"/>
      <c r="Q795" s="2"/>
    </row>
    <row r="796" spans="7:17" ht="15.75" customHeight="1">
      <c r="G796" s="2"/>
      <c r="H796" s="2"/>
      <c r="I796" s="2"/>
      <c r="L796" s="2"/>
      <c r="M796" s="2"/>
      <c r="N796" s="2"/>
      <c r="O796" s="2"/>
      <c r="P796" s="2"/>
      <c r="Q796" s="2"/>
    </row>
    <row r="797" spans="7:17" ht="15.75" customHeight="1">
      <c r="G797" s="2"/>
      <c r="H797" s="2"/>
      <c r="I797" s="2"/>
      <c r="L797" s="2"/>
      <c r="M797" s="2"/>
      <c r="N797" s="2"/>
      <c r="O797" s="2"/>
      <c r="P797" s="2"/>
      <c r="Q797" s="2"/>
    </row>
    <row r="798" spans="7:17" ht="15.75" customHeight="1">
      <c r="G798" s="2"/>
      <c r="H798" s="2"/>
      <c r="I798" s="2"/>
      <c r="L798" s="2"/>
      <c r="M798" s="2"/>
      <c r="N798" s="2"/>
      <c r="O798" s="2"/>
      <c r="P798" s="2"/>
      <c r="Q798" s="2"/>
    </row>
    <row r="799" spans="7:17" ht="15.75" customHeight="1">
      <c r="G799" s="2"/>
      <c r="H799" s="2"/>
      <c r="I799" s="2"/>
      <c r="L799" s="2"/>
      <c r="M799" s="2"/>
      <c r="N799" s="2"/>
      <c r="O799" s="2"/>
      <c r="P799" s="2"/>
      <c r="Q799" s="2"/>
    </row>
    <row r="800" spans="7:17" ht="15.75" customHeight="1">
      <c r="G800" s="2"/>
      <c r="H800" s="2"/>
      <c r="I800" s="2"/>
      <c r="L800" s="2"/>
      <c r="M800" s="2"/>
      <c r="N800" s="2"/>
      <c r="O800" s="2"/>
      <c r="P800" s="2"/>
      <c r="Q800" s="2"/>
    </row>
    <row r="801" spans="7:17" ht="15.75" customHeight="1">
      <c r="G801" s="2"/>
      <c r="H801" s="2"/>
      <c r="I801" s="2"/>
      <c r="L801" s="2"/>
      <c r="M801" s="2"/>
      <c r="N801" s="2"/>
      <c r="O801" s="2"/>
      <c r="P801" s="2"/>
      <c r="Q801" s="2"/>
    </row>
    <row r="802" spans="7:17" ht="15.75" customHeight="1">
      <c r="G802" s="2"/>
      <c r="H802" s="2"/>
      <c r="I802" s="2"/>
      <c r="L802" s="2"/>
      <c r="M802" s="2"/>
      <c r="N802" s="2"/>
      <c r="O802" s="2"/>
      <c r="P802" s="2"/>
      <c r="Q802" s="2"/>
    </row>
    <row r="803" spans="7:17" ht="15.75" customHeight="1">
      <c r="G803" s="2"/>
      <c r="H803" s="2"/>
      <c r="I803" s="2"/>
      <c r="L803" s="2"/>
      <c r="M803" s="2"/>
      <c r="N803" s="2"/>
      <c r="O803" s="2"/>
      <c r="P803" s="2"/>
      <c r="Q803" s="2"/>
    </row>
    <row r="804" spans="7:17" ht="15.75" customHeight="1">
      <c r="G804" s="2"/>
      <c r="H804" s="2"/>
      <c r="I804" s="2"/>
      <c r="L804" s="2"/>
      <c r="M804" s="2"/>
      <c r="N804" s="2"/>
      <c r="O804" s="2"/>
      <c r="P804" s="2"/>
      <c r="Q804" s="2"/>
    </row>
    <row r="805" spans="7:17" ht="15.75" customHeight="1">
      <c r="G805" s="2"/>
      <c r="H805" s="2"/>
      <c r="I805" s="2"/>
      <c r="L805" s="2"/>
      <c r="M805" s="2"/>
      <c r="N805" s="2"/>
      <c r="O805" s="2"/>
      <c r="P805" s="2"/>
      <c r="Q805" s="2"/>
    </row>
    <row r="806" spans="7:17" ht="15.75" customHeight="1">
      <c r="G806" s="2"/>
      <c r="H806" s="2"/>
      <c r="I806" s="2"/>
      <c r="L806" s="2"/>
      <c r="M806" s="2"/>
      <c r="N806" s="2"/>
      <c r="O806" s="2"/>
      <c r="P806" s="2"/>
      <c r="Q806" s="2"/>
    </row>
    <row r="807" spans="7:17" ht="15.75" customHeight="1">
      <c r="G807" s="2"/>
      <c r="H807" s="2"/>
      <c r="I807" s="2"/>
      <c r="L807" s="2"/>
      <c r="M807" s="2"/>
      <c r="N807" s="2"/>
      <c r="O807" s="2"/>
      <c r="P807" s="2"/>
      <c r="Q807" s="2"/>
    </row>
    <row r="808" spans="7:17" ht="15.75" customHeight="1">
      <c r="G808" s="2"/>
      <c r="H808" s="2"/>
      <c r="I808" s="2"/>
      <c r="L808" s="2"/>
      <c r="M808" s="2"/>
      <c r="N808" s="2"/>
      <c r="O808" s="2"/>
      <c r="P808" s="2"/>
      <c r="Q808" s="2"/>
    </row>
    <row r="809" spans="7:17" ht="15.75" customHeight="1">
      <c r="G809" s="2"/>
      <c r="H809" s="2"/>
      <c r="I809" s="2"/>
      <c r="L809" s="2"/>
      <c r="M809" s="2"/>
      <c r="N809" s="2"/>
      <c r="O809" s="2"/>
      <c r="P809" s="2"/>
      <c r="Q809" s="2"/>
    </row>
    <row r="810" spans="7:17" ht="15.75" customHeight="1">
      <c r="G810" s="2"/>
      <c r="H810" s="2"/>
      <c r="I810" s="2"/>
      <c r="L810" s="2"/>
      <c r="M810" s="2"/>
      <c r="N810" s="2"/>
      <c r="O810" s="2"/>
      <c r="P810" s="2"/>
      <c r="Q810" s="2"/>
    </row>
    <row r="811" spans="7:17" ht="15.75" customHeight="1">
      <c r="G811" s="2"/>
      <c r="H811" s="2"/>
      <c r="I811" s="2"/>
      <c r="L811" s="2"/>
      <c r="M811" s="2"/>
      <c r="N811" s="2"/>
      <c r="O811" s="2"/>
      <c r="P811" s="2"/>
      <c r="Q811" s="2"/>
    </row>
    <row r="812" spans="7:17" ht="15.75" customHeight="1">
      <c r="G812" s="2"/>
      <c r="H812" s="2"/>
      <c r="I812" s="2"/>
      <c r="L812" s="2"/>
      <c r="M812" s="2"/>
      <c r="N812" s="2"/>
      <c r="O812" s="2"/>
      <c r="P812" s="2"/>
      <c r="Q812" s="2"/>
    </row>
    <row r="813" spans="7:17" ht="15.75" customHeight="1">
      <c r="G813" s="2"/>
      <c r="H813" s="2"/>
      <c r="I813" s="2"/>
      <c r="L813" s="2"/>
      <c r="M813" s="2"/>
      <c r="N813" s="2"/>
      <c r="O813" s="2"/>
      <c r="P813" s="2"/>
      <c r="Q813" s="2"/>
    </row>
    <row r="814" spans="7:17" ht="15.75" customHeight="1">
      <c r="G814" s="2"/>
      <c r="H814" s="2"/>
      <c r="I814" s="2"/>
      <c r="L814" s="2"/>
      <c r="M814" s="2"/>
      <c r="N814" s="2"/>
      <c r="O814" s="2"/>
      <c r="P814" s="2"/>
      <c r="Q814" s="2"/>
    </row>
    <row r="815" spans="7:17" ht="15.75" customHeight="1">
      <c r="G815" s="2"/>
      <c r="H815" s="2"/>
      <c r="I815" s="2"/>
      <c r="L815" s="2"/>
      <c r="M815" s="2"/>
      <c r="N815" s="2"/>
      <c r="O815" s="2"/>
      <c r="P815" s="2"/>
      <c r="Q815" s="2"/>
    </row>
    <row r="816" spans="7:17" ht="15.75" customHeight="1">
      <c r="G816" s="2"/>
      <c r="H816" s="2"/>
      <c r="I816" s="2"/>
      <c r="L816" s="2"/>
      <c r="M816" s="2"/>
      <c r="N816" s="2"/>
      <c r="O816" s="2"/>
      <c r="P816" s="2"/>
      <c r="Q816" s="2"/>
    </row>
    <row r="817" spans="7:17" ht="15.75" customHeight="1">
      <c r="G817" s="2"/>
      <c r="H817" s="2"/>
      <c r="I817" s="2"/>
      <c r="L817" s="2"/>
      <c r="M817" s="2"/>
      <c r="N817" s="2"/>
      <c r="O817" s="2"/>
      <c r="P817" s="2"/>
      <c r="Q817" s="2"/>
    </row>
    <row r="818" spans="7:17" ht="15.75" customHeight="1">
      <c r="G818" s="2"/>
      <c r="H818" s="2"/>
      <c r="I818" s="2"/>
      <c r="L818" s="2"/>
      <c r="M818" s="2"/>
      <c r="N818" s="2"/>
      <c r="O818" s="2"/>
      <c r="P818" s="2"/>
      <c r="Q818" s="2"/>
    </row>
    <row r="819" spans="7:17" ht="15.75" customHeight="1">
      <c r="G819" s="2"/>
      <c r="H819" s="2"/>
      <c r="I819" s="2"/>
      <c r="L819" s="2"/>
      <c r="M819" s="2"/>
      <c r="N819" s="2"/>
      <c r="O819" s="2"/>
      <c r="P819" s="2"/>
      <c r="Q819" s="2"/>
    </row>
    <row r="820" spans="7:17" ht="15.75" customHeight="1">
      <c r="G820" s="2"/>
      <c r="H820" s="2"/>
      <c r="I820" s="2"/>
      <c r="L820" s="2"/>
      <c r="M820" s="2"/>
      <c r="N820" s="2"/>
      <c r="O820" s="2"/>
      <c r="P820" s="2"/>
      <c r="Q820" s="2"/>
    </row>
    <row r="821" spans="7:17" ht="15.75" customHeight="1">
      <c r="G821" s="2"/>
      <c r="H821" s="2"/>
      <c r="I821" s="2"/>
      <c r="L821" s="2"/>
      <c r="M821" s="2"/>
      <c r="N821" s="2"/>
      <c r="O821" s="2"/>
      <c r="P821" s="2"/>
      <c r="Q821" s="2"/>
    </row>
    <row r="822" spans="7:17" ht="15.75" customHeight="1">
      <c r="G822" s="2"/>
      <c r="H822" s="2"/>
      <c r="I822" s="2"/>
      <c r="L822" s="2"/>
      <c r="M822" s="2"/>
      <c r="N822" s="2"/>
      <c r="O822" s="2"/>
      <c r="P822" s="2"/>
      <c r="Q822" s="2"/>
    </row>
    <row r="823" spans="7:17" ht="15.75" customHeight="1">
      <c r="G823" s="2"/>
      <c r="H823" s="2"/>
      <c r="I823" s="2"/>
      <c r="L823" s="2"/>
      <c r="M823" s="2"/>
      <c r="N823" s="2"/>
      <c r="O823" s="2"/>
      <c r="P823" s="2"/>
      <c r="Q823" s="2"/>
    </row>
    <row r="824" spans="7:17" ht="15.75" customHeight="1">
      <c r="G824" s="2"/>
      <c r="H824" s="2"/>
      <c r="I824" s="2"/>
      <c r="L824" s="2"/>
      <c r="M824" s="2"/>
      <c r="N824" s="2"/>
      <c r="O824" s="2"/>
      <c r="P824" s="2"/>
      <c r="Q824" s="2"/>
    </row>
    <row r="825" spans="7:17" ht="15.75" customHeight="1">
      <c r="G825" s="2"/>
      <c r="H825" s="2"/>
      <c r="I825" s="2"/>
      <c r="L825" s="2"/>
      <c r="M825" s="2"/>
      <c r="N825" s="2"/>
      <c r="O825" s="2"/>
      <c r="P825" s="2"/>
      <c r="Q825" s="2"/>
    </row>
    <row r="826" spans="7:17" ht="15.75" customHeight="1">
      <c r="G826" s="2"/>
      <c r="H826" s="2"/>
      <c r="I826" s="2"/>
      <c r="L826" s="2"/>
      <c r="M826" s="2"/>
      <c r="N826" s="2"/>
      <c r="O826" s="2"/>
      <c r="P826" s="2"/>
      <c r="Q826" s="2"/>
    </row>
    <row r="827" spans="7:17" ht="15.75" customHeight="1">
      <c r="G827" s="2"/>
      <c r="H827" s="2"/>
      <c r="I827" s="2"/>
      <c r="L827" s="2"/>
      <c r="M827" s="2"/>
      <c r="N827" s="2"/>
      <c r="O827" s="2"/>
      <c r="P827" s="2"/>
      <c r="Q827" s="2"/>
    </row>
    <row r="828" spans="7:17" ht="15.75" customHeight="1">
      <c r="G828" s="2"/>
      <c r="H828" s="2"/>
      <c r="I828" s="2"/>
      <c r="L828" s="2"/>
      <c r="M828" s="2"/>
      <c r="N828" s="2"/>
      <c r="O828" s="2"/>
      <c r="P828" s="2"/>
      <c r="Q828" s="2"/>
    </row>
    <row r="829" spans="7:17" ht="15.75" customHeight="1">
      <c r="G829" s="2"/>
      <c r="H829" s="2"/>
      <c r="I829" s="2"/>
      <c r="L829" s="2"/>
      <c r="M829" s="2"/>
      <c r="N829" s="2"/>
      <c r="O829" s="2"/>
      <c r="P829" s="2"/>
      <c r="Q829" s="2"/>
    </row>
    <row r="830" spans="7:17" ht="15.75" customHeight="1">
      <c r="G830" s="2"/>
      <c r="H830" s="2"/>
      <c r="I830" s="2"/>
      <c r="L830" s="2"/>
      <c r="M830" s="2"/>
      <c r="N830" s="2"/>
      <c r="O830" s="2"/>
      <c r="P830" s="2"/>
      <c r="Q830" s="2"/>
    </row>
    <row r="831" spans="7:17" ht="15.75" customHeight="1">
      <c r="G831" s="2"/>
      <c r="H831" s="2"/>
      <c r="I831" s="2"/>
      <c r="L831" s="2"/>
      <c r="M831" s="2"/>
      <c r="N831" s="2"/>
      <c r="O831" s="2"/>
      <c r="P831" s="2"/>
      <c r="Q831" s="2"/>
    </row>
    <row r="832" spans="7:17" ht="15.75" customHeight="1">
      <c r="G832" s="2"/>
      <c r="H832" s="2"/>
      <c r="I832" s="2"/>
      <c r="L832" s="2"/>
      <c r="M832" s="2"/>
      <c r="N832" s="2"/>
      <c r="O832" s="2"/>
      <c r="P832" s="2"/>
      <c r="Q832" s="2"/>
    </row>
    <row r="833" spans="7:17" ht="15.75" customHeight="1">
      <c r="G833" s="2"/>
      <c r="H833" s="2"/>
      <c r="I833" s="2"/>
      <c r="L833" s="2"/>
      <c r="M833" s="2"/>
      <c r="N833" s="2"/>
      <c r="O833" s="2"/>
      <c r="P833" s="2"/>
      <c r="Q833" s="2"/>
    </row>
    <row r="834" spans="7:17" ht="15.75" customHeight="1">
      <c r="G834" s="2"/>
      <c r="H834" s="2"/>
      <c r="I834" s="2"/>
      <c r="L834" s="2"/>
      <c r="M834" s="2"/>
      <c r="N834" s="2"/>
      <c r="O834" s="2"/>
      <c r="P834" s="2"/>
      <c r="Q834" s="2"/>
    </row>
    <row r="835" spans="7:17" ht="15.75" customHeight="1">
      <c r="G835" s="2"/>
      <c r="H835" s="2"/>
      <c r="I835" s="2"/>
      <c r="L835" s="2"/>
      <c r="M835" s="2"/>
      <c r="N835" s="2"/>
      <c r="O835" s="2"/>
      <c r="P835" s="2"/>
      <c r="Q835" s="2"/>
    </row>
    <row r="836" spans="7:17" ht="15.75" customHeight="1">
      <c r="G836" s="2"/>
      <c r="H836" s="2"/>
      <c r="I836" s="2"/>
      <c r="L836" s="2"/>
      <c r="M836" s="2"/>
      <c r="N836" s="2"/>
      <c r="O836" s="2"/>
      <c r="P836" s="2"/>
      <c r="Q836" s="2"/>
    </row>
    <row r="837" spans="7:17" ht="15.75" customHeight="1">
      <c r="G837" s="2"/>
      <c r="H837" s="2"/>
      <c r="I837" s="2"/>
      <c r="L837" s="2"/>
      <c r="M837" s="2"/>
      <c r="N837" s="2"/>
      <c r="O837" s="2"/>
      <c r="P837" s="2"/>
      <c r="Q837" s="2"/>
    </row>
    <row r="838" spans="7:17" ht="15.75" customHeight="1">
      <c r="G838" s="2"/>
      <c r="H838" s="2"/>
      <c r="I838" s="2"/>
      <c r="L838" s="2"/>
      <c r="M838" s="2"/>
      <c r="N838" s="2"/>
      <c r="O838" s="2"/>
      <c r="P838" s="2"/>
      <c r="Q838" s="2"/>
    </row>
    <row r="839" spans="7:17" ht="15.75" customHeight="1">
      <c r="G839" s="2"/>
      <c r="H839" s="2"/>
      <c r="I839" s="2"/>
      <c r="L839" s="2"/>
      <c r="M839" s="2"/>
      <c r="N839" s="2"/>
      <c r="O839" s="2"/>
      <c r="P839" s="2"/>
      <c r="Q839" s="2"/>
    </row>
    <row r="840" spans="7:17" ht="15.75" customHeight="1">
      <c r="G840" s="2"/>
      <c r="H840" s="2"/>
      <c r="I840" s="2"/>
      <c r="L840" s="2"/>
      <c r="M840" s="2"/>
      <c r="N840" s="2"/>
      <c r="O840" s="2"/>
      <c r="P840" s="2"/>
      <c r="Q840" s="2"/>
    </row>
    <row r="841" spans="7:17" ht="15.75" customHeight="1">
      <c r="G841" s="2"/>
      <c r="H841" s="2"/>
      <c r="I841" s="2"/>
      <c r="L841" s="2"/>
      <c r="M841" s="2"/>
      <c r="N841" s="2"/>
      <c r="O841" s="2"/>
      <c r="P841" s="2"/>
      <c r="Q841" s="2"/>
    </row>
    <row r="842" spans="7:17" ht="15.75" customHeight="1">
      <c r="G842" s="2"/>
      <c r="H842" s="2"/>
      <c r="I842" s="2"/>
      <c r="L842" s="2"/>
      <c r="M842" s="2"/>
      <c r="N842" s="2"/>
      <c r="O842" s="2"/>
      <c r="P842" s="2"/>
      <c r="Q842" s="2"/>
    </row>
    <row r="843" spans="7:17" ht="15.75" customHeight="1">
      <c r="G843" s="2"/>
      <c r="H843" s="2"/>
      <c r="I843" s="2"/>
      <c r="L843" s="2"/>
      <c r="M843" s="2"/>
      <c r="N843" s="2"/>
      <c r="O843" s="2"/>
      <c r="P843" s="2"/>
      <c r="Q843" s="2"/>
    </row>
    <row r="844" spans="7:17" ht="15.75" customHeight="1">
      <c r="G844" s="2"/>
      <c r="H844" s="2"/>
      <c r="I844" s="2"/>
      <c r="L844" s="2"/>
      <c r="M844" s="2"/>
      <c r="N844" s="2"/>
      <c r="O844" s="2"/>
      <c r="P844" s="2"/>
      <c r="Q844" s="2"/>
    </row>
    <row r="845" spans="7:17" ht="15.75" customHeight="1">
      <c r="G845" s="2"/>
      <c r="H845" s="2"/>
      <c r="I845" s="2"/>
      <c r="L845" s="2"/>
      <c r="M845" s="2"/>
      <c r="N845" s="2"/>
      <c r="O845" s="2"/>
      <c r="P845" s="2"/>
      <c r="Q845" s="2"/>
    </row>
    <row r="846" spans="7:17" ht="15.75" customHeight="1">
      <c r="G846" s="2"/>
      <c r="H846" s="2"/>
      <c r="I846" s="2"/>
      <c r="L846" s="2"/>
      <c r="M846" s="2"/>
      <c r="N846" s="2"/>
      <c r="O846" s="2"/>
      <c r="P846" s="2"/>
      <c r="Q846" s="2"/>
    </row>
    <row r="847" spans="7:17" ht="15.75" customHeight="1">
      <c r="G847" s="2"/>
      <c r="H847" s="2"/>
      <c r="I847" s="2"/>
      <c r="L847" s="2"/>
      <c r="M847" s="2"/>
      <c r="N847" s="2"/>
      <c r="O847" s="2"/>
      <c r="P847" s="2"/>
      <c r="Q847" s="2"/>
    </row>
    <row r="848" spans="7:17" ht="15.75" customHeight="1">
      <c r="G848" s="2"/>
      <c r="H848" s="2"/>
      <c r="I848" s="2"/>
      <c r="L848" s="2"/>
      <c r="M848" s="2"/>
      <c r="N848" s="2"/>
      <c r="O848" s="2"/>
      <c r="P848" s="2"/>
      <c r="Q848" s="2"/>
    </row>
    <row r="849" spans="7:17" ht="15.75" customHeight="1">
      <c r="G849" s="2"/>
      <c r="H849" s="2"/>
      <c r="I849" s="2"/>
      <c r="L849" s="2"/>
      <c r="M849" s="2"/>
      <c r="N849" s="2"/>
      <c r="O849" s="2"/>
      <c r="P849" s="2"/>
      <c r="Q849" s="2"/>
    </row>
    <row r="850" spans="7:17" ht="15.75" customHeight="1">
      <c r="G850" s="2"/>
      <c r="H850" s="2"/>
      <c r="I850" s="2"/>
      <c r="L850" s="2"/>
      <c r="M850" s="2"/>
      <c r="N850" s="2"/>
      <c r="O850" s="2"/>
      <c r="P850" s="2"/>
      <c r="Q850" s="2"/>
    </row>
    <row r="851" spans="7:17" ht="15.75" customHeight="1">
      <c r="G851" s="2"/>
      <c r="H851" s="2"/>
      <c r="I851" s="2"/>
      <c r="L851" s="2"/>
      <c r="M851" s="2"/>
      <c r="N851" s="2"/>
      <c r="O851" s="2"/>
      <c r="P851" s="2"/>
      <c r="Q851" s="2"/>
    </row>
    <row r="852" spans="7:17" ht="15.75" customHeight="1">
      <c r="G852" s="2"/>
      <c r="H852" s="2"/>
      <c r="I852" s="2"/>
      <c r="L852" s="2"/>
      <c r="M852" s="2"/>
      <c r="N852" s="2"/>
      <c r="O852" s="2"/>
      <c r="P852" s="2"/>
      <c r="Q852" s="2"/>
    </row>
    <row r="853" spans="7:17" ht="15.75" customHeight="1">
      <c r="G853" s="2"/>
      <c r="H853" s="2"/>
      <c r="I853" s="2"/>
      <c r="L853" s="2"/>
      <c r="M853" s="2"/>
      <c r="N853" s="2"/>
      <c r="O853" s="2"/>
      <c r="P853" s="2"/>
      <c r="Q853" s="2"/>
    </row>
    <row r="854" spans="7:17" ht="15.75" customHeight="1">
      <c r="G854" s="2"/>
      <c r="H854" s="2"/>
      <c r="I854" s="2"/>
      <c r="L854" s="2"/>
      <c r="M854" s="2"/>
      <c r="N854" s="2"/>
      <c r="O854" s="2"/>
      <c r="P854" s="2"/>
      <c r="Q854" s="2"/>
    </row>
    <row r="855" spans="7:17" ht="15.75" customHeight="1">
      <c r="G855" s="2"/>
      <c r="H855" s="2"/>
      <c r="I855" s="2"/>
      <c r="L855" s="2"/>
      <c r="M855" s="2"/>
      <c r="N855" s="2"/>
      <c r="O855" s="2"/>
      <c r="P855" s="2"/>
      <c r="Q855" s="2"/>
    </row>
    <row r="856" spans="7:17" ht="15.75" customHeight="1">
      <c r="G856" s="2"/>
      <c r="H856" s="2"/>
      <c r="I856" s="2"/>
      <c r="L856" s="2"/>
      <c r="M856" s="2"/>
      <c r="N856" s="2"/>
      <c r="O856" s="2"/>
      <c r="P856" s="2"/>
      <c r="Q856" s="2"/>
    </row>
    <row r="857" spans="7:17" ht="15.75" customHeight="1">
      <c r="G857" s="2"/>
      <c r="H857" s="2"/>
      <c r="I857" s="2"/>
      <c r="L857" s="2"/>
      <c r="M857" s="2"/>
      <c r="N857" s="2"/>
      <c r="O857" s="2"/>
      <c r="P857" s="2"/>
      <c r="Q857" s="2"/>
    </row>
    <row r="858" spans="7:17" ht="15.75" customHeight="1">
      <c r="G858" s="2"/>
      <c r="H858" s="2"/>
      <c r="I858" s="2"/>
      <c r="L858" s="2"/>
      <c r="M858" s="2"/>
      <c r="N858" s="2"/>
      <c r="O858" s="2"/>
      <c r="P858" s="2"/>
      <c r="Q858" s="2"/>
    </row>
    <row r="859" spans="7:17" ht="15.75" customHeight="1">
      <c r="G859" s="2"/>
      <c r="H859" s="2"/>
      <c r="I859" s="2"/>
      <c r="L859" s="2"/>
      <c r="M859" s="2"/>
      <c r="N859" s="2"/>
      <c r="O859" s="2"/>
      <c r="P859" s="2"/>
      <c r="Q859" s="2"/>
    </row>
    <row r="860" spans="7:17" ht="15.75" customHeight="1">
      <c r="G860" s="2"/>
      <c r="H860" s="2"/>
      <c r="I860" s="2"/>
      <c r="L860" s="2"/>
      <c r="M860" s="2"/>
      <c r="N860" s="2"/>
      <c r="O860" s="2"/>
      <c r="P860" s="2"/>
      <c r="Q860" s="2"/>
    </row>
    <row r="861" spans="7:17" ht="15.75" customHeight="1">
      <c r="G861" s="2"/>
      <c r="H861" s="2"/>
      <c r="I861" s="2"/>
      <c r="L861" s="2"/>
      <c r="M861" s="2"/>
      <c r="N861" s="2"/>
      <c r="O861" s="2"/>
      <c r="P861" s="2"/>
      <c r="Q861" s="2"/>
    </row>
    <row r="862" spans="7:17" ht="15.75" customHeight="1">
      <c r="G862" s="2"/>
      <c r="H862" s="2"/>
      <c r="I862" s="2"/>
      <c r="L862" s="2"/>
      <c r="M862" s="2"/>
      <c r="N862" s="2"/>
      <c r="O862" s="2"/>
      <c r="P862" s="2"/>
      <c r="Q862" s="2"/>
    </row>
    <row r="863" spans="7:17" ht="15.75" customHeight="1">
      <c r="G863" s="2"/>
      <c r="H863" s="2"/>
      <c r="I863" s="2"/>
      <c r="L863" s="2"/>
      <c r="M863" s="2"/>
      <c r="N863" s="2"/>
      <c r="O863" s="2"/>
      <c r="P863" s="2"/>
      <c r="Q863" s="2"/>
    </row>
    <row r="864" spans="7:17" ht="15.75" customHeight="1">
      <c r="G864" s="2"/>
      <c r="H864" s="2"/>
      <c r="I864" s="2"/>
      <c r="L864" s="2"/>
      <c r="M864" s="2"/>
      <c r="N864" s="2"/>
      <c r="O864" s="2"/>
      <c r="P864" s="2"/>
      <c r="Q864" s="2"/>
    </row>
    <row r="865" spans="7:17" ht="15.75" customHeight="1">
      <c r="G865" s="2"/>
      <c r="H865" s="2"/>
      <c r="I865" s="2"/>
      <c r="L865" s="2"/>
      <c r="M865" s="2"/>
      <c r="N865" s="2"/>
      <c r="O865" s="2"/>
      <c r="P865" s="2"/>
      <c r="Q865" s="2"/>
    </row>
    <row r="866" spans="7:17" ht="15.75" customHeight="1">
      <c r="G866" s="2"/>
      <c r="H866" s="2"/>
      <c r="I866" s="2"/>
      <c r="L866" s="2"/>
      <c r="M866" s="2"/>
      <c r="N866" s="2"/>
      <c r="O866" s="2"/>
      <c r="P866" s="2"/>
      <c r="Q866" s="2"/>
    </row>
    <row r="867" spans="7:17" ht="15.75" customHeight="1">
      <c r="G867" s="2"/>
      <c r="H867" s="2"/>
      <c r="I867" s="2"/>
      <c r="L867" s="2"/>
      <c r="M867" s="2"/>
      <c r="N867" s="2"/>
      <c r="O867" s="2"/>
      <c r="P867" s="2"/>
      <c r="Q867" s="2"/>
    </row>
    <row r="868" spans="7:17" ht="15.75" customHeight="1">
      <c r="G868" s="2"/>
      <c r="H868" s="2"/>
      <c r="I868" s="2"/>
      <c r="L868" s="2"/>
      <c r="M868" s="2"/>
      <c r="N868" s="2"/>
      <c r="O868" s="2"/>
      <c r="P868" s="2"/>
      <c r="Q868" s="2"/>
    </row>
    <row r="869" spans="7:17" ht="15.75" customHeight="1">
      <c r="G869" s="2"/>
      <c r="H869" s="2"/>
      <c r="I869" s="2"/>
      <c r="L869" s="2"/>
      <c r="M869" s="2"/>
      <c r="N869" s="2"/>
      <c r="O869" s="2"/>
      <c r="P869" s="2"/>
      <c r="Q869" s="2"/>
    </row>
    <row r="870" spans="7:17" ht="15.75" customHeight="1">
      <c r="G870" s="2"/>
      <c r="H870" s="2"/>
      <c r="I870" s="2"/>
      <c r="L870" s="2"/>
      <c r="M870" s="2"/>
      <c r="N870" s="2"/>
      <c r="O870" s="2"/>
      <c r="P870" s="2"/>
      <c r="Q870" s="2"/>
    </row>
    <row r="871" spans="7:17" ht="15.75" customHeight="1">
      <c r="G871" s="2"/>
      <c r="H871" s="2"/>
      <c r="I871" s="2"/>
      <c r="L871" s="2"/>
      <c r="M871" s="2"/>
      <c r="N871" s="2"/>
      <c r="O871" s="2"/>
      <c r="P871" s="2"/>
      <c r="Q871" s="2"/>
    </row>
    <row r="872" spans="7:17" ht="15.75" customHeight="1">
      <c r="G872" s="2"/>
      <c r="H872" s="2"/>
      <c r="I872" s="2"/>
      <c r="L872" s="2"/>
      <c r="M872" s="2"/>
      <c r="N872" s="2"/>
      <c r="O872" s="2"/>
      <c r="P872" s="2"/>
      <c r="Q872" s="2"/>
    </row>
    <row r="873" spans="7:17" ht="15.75" customHeight="1">
      <c r="G873" s="2"/>
      <c r="H873" s="2"/>
      <c r="I873" s="2"/>
      <c r="L873" s="2"/>
      <c r="M873" s="2"/>
      <c r="N873" s="2"/>
      <c r="O873" s="2"/>
      <c r="P873" s="2"/>
      <c r="Q873" s="2"/>
    </row>
    <row r="874" spans="7:17" ht="15.75" customHeight="1">
      <c r="G874" s="2"/>
      <c r="H874" s="2"/>
      <c r="I874" s="2"/>
      <c r="L874" s="2"/>
      <c r="M874" s="2"/>
      <c r="N874" s="2"/>
      <c r="O874" s="2"/>
      <c r="P874" s="2"/>
      <c r="Q874" s="2"/>
    </row>
    <row r="875" spans="7:17" ht="15.75" customHeight="1">
      <c r="G875" s="2"/>
      <c r="H875" s="2"/>
      <c r="I875" s="2"/>
      <c r="L875" s="2"/>
      <c r="M875" s="2"/>
      <c r="N875" s="2"/>
      <c r="O875" s="2"/>
      <c r="P875" s="2"/>
      <c r="Q875" s="2"/>
    </row>
    <row r="876" spans="7:17" ht="15.75" customHeight="1">
      <c r="G876" s="2"/>
      <c r="H876" s="2"/>
      <c r="I876" s="2"/>
      <c r="L876" s="2"/>
      <c r="M876" s="2"/>
      <c r="N876" s="2"/>
      <c r="O876" s="2"/>
      <c r="P876" s="2"/>
      <c r="Q876" s="2"/>
    </row>
    <row r="877" spans="7:17" ht="15.75" customHeight="1">
      <c r="G877" s="2"/>
      <c r="H877" s="2"/>
      <c r="I877" s="2"/>
      <c r="L877" s="2"/>
      <c r="M877" s="2"/>
      <c r="N877" s="2"/>
      <c r="O877" s="2"/>
      <c r="P877" s="2"/>
      <c r="Q877" s="2"/>
    </row>
    <row r="878" spans="7:17" ht="15.75" customHeight="1">
      <c r="G878" s="2"/>
      <c r="H878" s="2"/>
      <c r="I878" s="2"/>
      <c r="L878" s="2"/>
      <c r="M878" s="2"/>
      <c r="N878" s="2"/>
      <c r="O878" s="2"/>
      <c r="P878" s="2"/>
      <c r="Q878" s="2"/>
    </row>
    <row r="879" spans="7:17" ht="15.75" customHeight="1">
      <c r="G879" s="2"/>
      <c r="H879" s="2"/>
      <c r="I879" s="2"/>
      <c r="L879" s="2"/>
      <c r="M879" s="2"/>
      <c r="N879" s="2"/>
      <c r="O879" s="2"/>
      <c r="P879" s="2"/>
      <c r="Q879" s="2"/>
    </row>
    <row r="880" spans="7:17" ht="15.75" customHeight="1">
      <c r="G880" s="2"/>
      <c r="H880" s="2"/>
      <c r="I880" s="2"/>
      <c r="L880" s="2"/>
      <c r="M880" s="2"/>
      <c r="N880" s="2"/>
      <c r="O880" s="2"/>
      <c r="P880" s="2"/>
      <c r="Q880" s="2"/>
    </row>
    <row r="881" spans="7:17" ht="15.75" customHeight="1">
      <c r="G881" s="2"/>
      <c r="H881" s="2"/>
      <c r="I881" s="2"/>
      <c r="L881" s="2"/>
      <c r="M881" s="2"/>
      <c r="N881" s="2"/>
      <c r="O881" s="2"/>
      <c r="P881" s="2"/>
      <c r="Q881" s="2"/>
    </row>
    <row r="882" spans="7:17" ht="15.75" customHeight="1">
      <c r="G882" s="2"/>
      <c r="H882" s="2"/>
      <c r="I882" s="2"/>
      <c r="L882" s="2"/>
      <c r="M882" s="2"/>
      <c r="N882" s="2"/>
      <c r="O882" s="2"/>
      <c r="P882" s="2"/>
      <c r="Q882" s="2"/>
    </row>
    <row r="883" spans="7:17" ht="15.75" customHeight="1">
      <c r="G883" s="2"/>
      <c r="H883" s="2"/>
      <c r="I883" s="2"/>
      <c r="L883" s="2"/>
      <c r="M883" s="2"/>
      <c r="N883" s="2"/>
      <c r="O883" s="2"/>
      <c r="P883" s="2"/>
      <c r="Q883" s="2"/>
    </row>
    <row r="884" spans="7:17" ht="15.75" customHeight="1">
      <c r="G884" s="2"/>
      <c r="H884" s="2"/>
      <c r="I884" s="2"/>
      <c r="L884" s="2"/>
      <c r="M884" s="2"/>
      <c r="N884" s="2"/>
      <c r="O884" s="2"/>
      <c r="P884" s="2"/>
      <c r="Q884" s="2"/>
    </row>
    <row r="885" spans="7:17" ht="15.75" customHeight="1">
      <c r="G885" s="2"/>
      <c r="H885" s="2"/>
      <c r="I885" s="2"/>
      <c r="L885" s="2"/>
      <c r="M885" s="2"/>
      <c r="N885" s="2"/>
      <c r="O885" s="2"/>
      <c r="P885" s="2"/>
      <c r="Q885" s="2"/>
    </row>
    <row r="886" spans="7:17" ht="15.75" customHeight="1">
      <c r="G886" s="2"/>
      <c r="H886" s="2"/>
      <c r="I886" s="2"/>
      <c r="L886" s="2"/>
      <c r="M886" s="2"/>
      <c r="N886" s="2"/>
      <c r="O886" s="2"/>
      <c r="P886" s="2"/>
      <c r="Q886" s="2"/>
    </row>
    <row r="887" spans="7:17" ht="15.75" customHeight="1">
      <c r="G887" s="2"/>
      <c r="H887" s="2"/>
      <c r="I887" s="2"/>
      <c r="L887" s="2"/>
      <c r="M887" s="2"/>
      <c r="N887" s="2"/>
      <c r="O887" s="2"/>
      <c r="P887" s="2"/>
      <c r="Q887" s="2"/>
    </row>
    <row r="888" spans="7:17" ht="15.75" customHeight="1">
      <c r="G888" s="2"/>
      <c r="H888" s="2"/>
      <c r="I888" s="2"/>
      <c r="L888" s="2"/>
      <c r="M888" s="2"/>
      <c r="N888" s="2"/>
      <c r="O888" s="2"/>
      <c r="P888" s="2"/>
      <c r="Q888" s="2"/>
    </row>
    <row r="889" spans="7:17" ht="15.75" customHeight="1">
      <c r="G889" s="2"/>
      <c r="H889" s="2"/>
      <c r="I889" s="2"/>
      <c r="L889" s="2"/>
      <c r="M889" s="2"/>
      <c r="N889" s="2"/>
      <c r="O889" s="2"/>
      <c r="P889" s="2"/>
      <c r="Q889" s="2"/>
    </row>
    <row r="890" spans="7:17" ht="15.75" customHeight="1">
      <c r="G890" s="2"/>
      <c r="H890" s="2"/>
      <c r="I890" s="2"/>
      <c r="L890" s="2"/>
      <c r="M890" s="2"/>
      <c r="N890" s="2"/>
      <c r="O890" s="2"/>
      <c r="P890" s="2"/>
      <c r="Q890" s="2"/>
    </row>
    <row r="891" spans="7:17" ht="15.75" customHeight="1">
      <c r="G891" s="2"/>
      <c r="H891" s="2"/>
      <c r="I891" s="2"/>
      <c r="L891" s="2"/>
      <c r="M891" s="2"/>
      <c r="N891" s="2"/>
      <c r="O891" s="2"/>
      <c r="P891" s="2"/>
      <c r="Q891" s="2"/>
    </row>
    <row r="892" spans="7:17" ht="15.75" customHeight="1">
      <c r="G892" s="2"/>
      <c r="H892" s="2"/>
      <c r="I892" s="2"/>
      <c r="L892" s="2"/>
      <c r="M892" s="2"/>
      <c r="N892" s="2"/>
      <c r="O892" s="2"/>
      <c r="P892" s="2"/>
      <c r="Q892" s="2"/>
    </row>
    <row r="893" spans="7:17" ht="15.75" customHeight="1">
      <c r="G893" s="2"/>
      <c r="H893" s="2"/>
      <c r="I893" s="2"/>
      <c r="L893" s="2"/>
      <c r="M893" s="2"/>
      <c r="N893" s="2"/>
      <c r="O893" s="2"/>
      <c r="P893" s="2"/>
      <c r="Q893" s="2"/>
    </row>
    <row r="894" spans="7:17" ht="15.75" customHeight="1">
      <c r="G894" s="2"/>
      <c r="H894" s="2"/>
      <c r="I894" s="2"/>
      <c r="L894" s="2"/>
      <c r="M894" s="2"/>
      <c r="N894" s="2"/>
      <c r="O894" s="2"/>
      <c r="P894" s="2"/>
      <c r="Q894" s="2"/>
    </row>
    <row r="895" spans="7:17" ht="15.75" customHeight="1">
      <c r="G895" s="2"/>
      <c r="H895" s="2"/>
      <c r="I895" s="2"/>
      <c r="L895" s="2"/>
      <c r="M895" s="2"/>
      <c r="N895" s="2"/>
      <c r="O895" s="2"/>
      <c r="P895" s="2"/>
      <c r="Q895" s="2"/>
    </row>
    <row r="896" spans="7:17" ht="15.75" customHeight="1">
      <c r="G896" s="2"/>
      <c r="H896" s="2"/>
      <c r="I896" s="2"/>
      <c r="L896" s="2"/>
      <c r="M896" s="2"/>
      <c r="N896" s="2"/>
      <c r="O896" s="2"/>
      <c r="P896" s="2"/>
      <c r="Q896" s="2"/>
    </row>
    <row r="897" spans="7:17" ht="15.75" customHeight="1">
      <c r="G897" s="2"/>
      <c r="H897" s="2"/>
      <c r="I897" s="2"/>
      <c r="L897" s="2"/>
      <c r="M897" s="2"/>
      <c r="N897" s="2"/>
      <c r="O897" s="2"/>
      <c r="P897" s="2"/>
      <c r="Q897" s="2"/>
    </row>
    <row r="898" spans="7:17" ht="15.75" customHeight="1">
      <c r="G898" s="2"/>
      <c r="H898" s="2"/>
      <c r="I898" s="2"/>
      <c r="L898" s="2"/>
      <c r="M898" s="2"/>
      <c r="N898" s="2"/>
      <c r="O898" s="2"/>
      <c r="P898" s="2"/>
      <c r="Q898" s="2"/>
    </row>
    <row r="899" spans="7:17" ht="15.75" customHeight="1">
      <c r="G899" s="2"/>
      <c r="H899" s="2"/>
      <c r="I899" s="2"/>
      <c r="L899" s="2"/>
      <c r="M899" s="2"/>
      <c r="N899" s="2"/>
      <c r="O899" s="2"/>
      <c r="P899" s="2"/>
      <c r="Q899" s="2"/>
    </row>
    <row r="900" spans="7:17" ht="15.75" customHeight="1">
      <c r="G900" s="2"/>
      <c r="H900" s="2"/>
      <c r="I900" s="2"/>
      <c r="L900" s="2"/>
      <c r="M900" s="2"/>
      <c r="N900" s="2"/>
      <c r="O900" s="2"/>
      <c r="P900" s="2"/>
      <c r="Q900" s="2"/>
    </row>
    <row r="901" spans="7:17" ht="15.75" customHeight="1">
      <c r="G901" s="2"/>
      <c r="H901" s="2"/>
      <c r="I901" s="2"/>
      <c r="L901" s="2"/>
      <c r="M901" s="2"/>
      <c r="N901" s="2"/>
      <c r="O901" s="2"/>
      <c r="P901" s="2"/>
      <c r="Q901" s="2"/>
    </row>
    <row r="902" spans="7:17" ht="15.75" customHeight="1">
      <c r="G902" s="2"/>
      <c r="H902" s="2"/>
      <c r="I902" s="2"/>
      <c r="L902" s="2"/>
      <c r="M902" s="2"/>
      <c r="N902" s="2"/>
      <c r="O902" s="2"/>
      <c r="P902" s="2"/>
      <c r="Q902" s="2"/>
    </row>
    <row r="903" spans="7:17" ht="15.75" customHeight="1">
      <c r="G903" s="2"/>
      <c r="H903" s="2"/>
      <c r="I903" s="2"/>
      <c r="L903" s="2"/>
      <c r="M903" s="2"/>
      <c r="N903" s="2"/>
      <c r="O903" s="2"/>
      <c r="P903" s="2"/>
      <c r="Q903" s="2"/>
    </row>
    <row r="904" spans="7:17" ht="15.75" customHeight="1">
      <c r="G904" s="2"/>
      <c r="H904" s="2"/>
      <c r="I904" s="2"/>
      <c r="L904" s="2"/>
      <c r="M904" s="2"/>
      <c r="N904" s="2"/>
      <c r="O904" s="2"/>
      <c r="P904" s="2"/>
      <c r="Q904" s="2"/>
    </row>
    <row r="905" spans="7:17" ht="15.75" customHeight="1">
      <c r="G905" s="2"/>
      <c r="H905" s="2"/>
      <c r="I905" s="2"/>
      <c r="L905" s="2"/>
      <c r="M905" s="2"/>
      <c r="N905" s="2"/>
      <c r="O905" s="2"/>
      <c r="P905" s="2"/>
      <c r="Q905" s="2"/>
    </row>
    <row r="906" spans="7:17" ht="15.75" customHeight="1">
      <c r="G906" s="2"/>
      <c r="H906" s="2"/>
      <c r="I906" s="2"/>
      <c r="L906" s="2"/>
      <c r="M906" s="2"/>
      <c r="N906" s="2"/>
      <c r="O906" s="2"/>
      <c r="P906" s="2"/>
      <c r="Q906" s="2"/>
    </row>
    <row r="907" spans="7:17" ht="15.75" customHeight="1">
      <c r="G907" s="2"/>
      <c r="H907" s="2"/>
      <c r="I907" s="2"/>
      <c r="L907" s="2"/>
      <c r="M907" s="2"/>
      <c r="N907" s="2"/>
      <c r="O907" s="2"/>
      <c r="P907" s="2"/>
      <c r="Q907" s="2"/>
    </row>
    <row r="908" spans="7:17" ht="15.75" customHeight="1">
      <c r="G908" s="2"/>
      <c r="H908" s="2"/>
      <c r="I908" s="2"/>
      <c r="L908" s="2"/>
      <c r="M908" s="2"/>
      <c r="N908" s="2"/>
      <c r="O908" s="2"/>
      <c r="P908" s="2"/>
      <c r="Q908" s="2"/>
    </row>
    <row r="909" spans="7:17" ht="15.75" customHeight="1">
      <c r="G909" s="2"/>
      <c r="H909" s="2"/>
      <c r="I909" s="2"/>
      <c r="L909" s="2"/>
      <c r="M909" s="2"/>
      <c r="N909" s="2"/>
      <c r="O909" s="2"/>
      <c r="P909" s="2"/>
      <c r="Q909" s="2"/>
    </row>
    <row r="910" spans="7:17" ht="15.75" customHeight="1">
      <c r="G910" s="2"/>
      <c r="H910" s="2"/>
      <c r="I910" s="2"/>
      <c r="L910" s="2"/>
      <c r="M910" s="2"/>
      <c r="N910" s="2"/>
      <c r="O910" s="2"/>
      <c r="P910" s="2"/>
      <c r="Q910" s="2"/>
    </row>
    <row r="911" spans="7:17" ht="15.75" customHeight="1">
      <c r="G911" s="2"/>
      <c r="H911" s="2"/>
      <c r="I911" s="2"/>
      <c r="L911" s="2"/>
      <c r="M911" s="2"/>
      <c r="N911" s="2"/>
      <c r="O911" s="2"/>
      <c r="P911" s="2"/>
      <c r="Q911" s="2"/>
    </row>
    <row r="912" spans="7:17" ht="15.75" customHeight="1">
      <c r="G912" s="2"/>
      <c r="H912" s="2"/>
      <c r="I912" s="2"/>
      <c r="L912" s="2"/>
      <c r="M912" s="2"/>
      <c r="N912" s="2"/>
      <c r="O912" s="2"/>
      <c r="P912" s="2"/>
      <c r="Q912" s="2"/>
    </row>
    <row r="913" spans="7:17" ht="15.75" customHeight="1">
      <c r="G913" s="2"/>
      <c r="H913" s="2"/>
      <c r="I913" s="2"/>
      <c r="L913" s="2"/>
      <c r="M913" s="2"/>
      <c r="N913" s="2"/>
      <c r="O913" s="2"/>
      <c r="P913" s="2"/>
      <c r="Q913" s="2"/>
    </row>
    <row r="914" spans="7:17" ht="15.75" customHeight="1">
      <c r="G914" s="2"/>
      <c r="H914" s="2"/>
      <c r="I914" s="2"/>
      <c r="L914" s="2"/>
      <c r="M914" s="2"/>
      <c r="N914" s="2"/>
      <c r="O914" s="2"/>
      <c r="P914" s="2"/>
      <c r="Q914" s="2"/>
    </row>
    <row r="915" spans="7:17" ht="15.75" customHeight="1">
      <c r="G915" s="2"/>
      <c r="H915" s="2"/>
      <c r="I915" s="2"/>
      <c r="L915" s="2"/>
      <c r="M915" s="2"/>
      <c r="N915" s="2"/>
      <c r="O915" s="2"/>
      <c r="P915" s="2"/>
      <c r="Q915" s="2"/>
    </row>
    <row r="916" spans="7:17" ht="15.75" customHeight="1">
      <c r="G916" s="2"/>
      <c r="H916" s="2"/>
      <c r="I916" s="2"/>
      <c r="L916" s="2"/>
      <c r="M916" s="2"/>
      <c r="N916" s="2"/>
      <c r="O916" s="2"/>
      <c r="P916" s="2"/>
      <c r="Q916" s="2"/>
    </row>
    <row r="917" spans="7:17" ht="15.75" customHeight="1">
      <c r="G917" s="2"/>
      <c r="H917" s="2"/>
      <c r="I917" s="2"/>
      <c r="L917" s="2"/>
      <c r="M917" s="2"/>
      <c r="N917" s="2"/>
      <c r="O917" s="2"/>
      <c r="P917" s="2"/>
      <c r="Q917" s="2"/>
    </row>
    <row r="918" spans="7:17" ht="15.75" customHeight="1">
      <c r="G918" s="2"/>
      <c r="H918" s="2"/>
      <c r="I918" s="2"/>
      <c r="L918" s="2"/>
      <c r="M918" s="2"/>
      <c r="N918" s="2"/>
      <c r="O918" s="2"/>
      <c r="P918" s="2"/>
      <c r="Q918" s="2"/>
    </row>
    <row r="919" spans="7:17" ht="15.75" customHeight="1">
      <c r="G919" s="2"/>
      <c r="H919" s="2"/>
      <c r="I919" s="2"/>
      <c r="L919" s="2"/>
      <c r="M919" s="2"/>
      <c r="N919" s="2"/>
      <c r="O919" s="2"/>
      <c r="P919" s="2"/>
      <c r="Q919" s="2"/>
    </row>
    <row r="920" spans="7:17" ht="15.75" customHeight="1">
      <c r="G920" s="2"/>
      <c r="H920" s="2"/>
      <c r="I920" s="2"/>
      <c r="L920" s="2"/>
      <c r="M920" s="2"/>
      <c r="N920" s="2"/>
      <c r="O920" s="2"/>
      <c r="P920" s="2"/>
      <c r="Q920" s="2"/>
    </row>
    <row r="921" spans="7:17" ht="15.75" customHeight="1">
      <c r="G921" s="2"/>
      <c r="H921" s="2"/>
      <c r="I921" s="2"/>
      <c r="L921" s="2"/>
      <c r="M921" s="2"/>
      <c r="N921" s="2"/>
      <c r="O921" s="2"/>
      <c r="P921" s="2"/>
      <c r="Q921" s="2"/>
    </row>
    <row r="922" spans="7:17" ht="15.75" customHeight="1">
      <c r="G922" s="2"/>
      <c r="H922" s="2"/>
      <c r="I922" s="2"/>
      <c r="L922" s="2"/>
      <c r="M922" s="2"/>
      <c r="N922" s="2"/>
      <c r="O922" s="2"/>
      <c r="P922" s="2"/>
      <c r="Q922" s="2"/>
    </row>
    <row r="923" spans="7:17" ht="15.75" customHeight="1">
      <c r="G923" s="2"/>
      <c r="H923" s="2"/>
      <c r="I923" s="2"/>
      <c r="L923" s="2"/>
      <c r="M923" s="2"/>
      <c r="N923" s="2"/>
      <c r="O923" s="2"/>
      <c r="P923" s="2"/>
      <c r="Q923" s="2"/>
    </row>
    <row r="924" spans="7:17" ht="15.75" customHeight="1">
      <c r="G924" s="2"/>
      <c r="H924" s="2"/>
      <c r="I924" s="2"/>
      <c r="L924" s="2"/>
      <c r="M924" s="2"/>
      <c r="N924" s="2"/>
      <c r="O924" s="2"/>
      <c r="P924" s="2"/>
      <c r="Q924" s="2"/>
    </row>
    <row r="925" spans="7:17" ht="15.75" customHeight="1">
      <c r="G925" s="2"/>
      <c r="H925" s="2"/>
      <c r="I925" s="2"/>
      <c r="L925" s="2"/>
      <c r="M925" s="2"/>
      <c r="N925" s="2"/>
      <c r="O925" s="2"/>
      <c r="P925" s="2"/>
      <c r="Q925" s="2"/>
    </row>
    <row r="926" spans="7:17" ht="15.75" customHeight="1">
      <c r="G926" s="2"/>
      <c r="H926" s="2"/>
      <c r="I926" s="2"/>
      <c r="L926" s="2"/>
      <c r="M926" s="2"/>
      <c r="N926" s="2"/>
      <c r="O926" s="2"/>
      <c r="P926" s="2"/>
      <c r="Q926" s="2"/>
    </row>
    <row r="927" spans="7:17" ht="15.75" customHeight="1">
      <c r="G927" s="2"/>
      <c r="H927" s="2"/>
      <c r="I927" s="2"/>
      <c r="L927" s="2"/>
      <c r="M927" s="2"/>
      <c r="N927" s="2"/>
      <c r="O927" s="2"/>
      <c r="P927" s="2"/>
      <c r="Q927" s="2"/>
    </row>
    <row r="928" spans="7:17" ht="15.75" customHeight="1">
      <c r="G928" s="2"/>
      <c r="H928" s="2"/>
      <c r="I928" s="2"/>
      <c r="L928" s="2"/>
      <c r="M928" s="2"/>
      <c r="N928" s="2"/>
      <c r="O928" s="2"/>
      <c r="P928" s="2"/>
      <c r="Q928" s="2"/>
    </row>
    <row r="929" spans="7:17" ht="15.75" customHeight="1">
      <c r="G929" s="2"/>
      <c r="H929" s="2"/>
      <c r="I929" s="2"/>
      <c r="L929" s="2"/>
      <c r="M929" s="2"/>
      <c r="N929" s="2"/>
      <c r="O929" s="2"/>
      <c r="P929" s="2"/>
      <c r="Q929" s="2"/>
    </row>
    <row r="930" spans="7:17" ht="15.75" customHeight="1">
      <c r="G930" s="2"/>
      <c r="H930" s="2"/>
      <c r="I930" s="2"/>
      <c r="L930" s="2"/>
      <c r="M930" s="2"/>
      <c r="N930" s="2"/>
      <c r="O930" s="2"/>
      <c r="P930" s="2"/>
      <c r="Q930" s="2"/>
    </row>
    <row r="931" spans="7:17" ht="15.75" customHeight="1">
      <c r="G931" s="2"/>
      <c r="H931" s="2"/>
      <c r="I931" s="2"/>
      <c r="L931" s="2"/>
      <c r="M931" s="2"/>
      <c r="N931" s="2"/>
      <c r="O931" s="2"/>
      <c r="P931" s="2"/>
      <c r="Q931" s="2"/>
    </row>
    <row r="932" spans="7:17" ht="15.75" customHeight="1">
      <c r="G932" s="2"/>
      <c r="H932" s="2"/>
      <c r="I932" s="2"/>
      <c r="L932" s="2"/>
      <c r="M932" s="2"/>
      <c r="N932" s="2"/>
      <c r="O932" s="2"/>
      <c r="P932" s="2"/>
      <c r="Q932" s="2"/>
    </row>
    <row r="933" spans="7:17" ht="15.75" customHeight="1">
      <c r="G933" s="2"/>
      <c r="H933" s="2"/>
      <c r="I933" s="2"/>
      <c r="L933" s="2"/>
      <c r="M933" s="2"/>
      <c r="N933" s="2"/>
      <c r="O933" s="2"/>
      <c r="P933" s="2"/>
      <c r="Q933" s="2"/>
    </row>
    <row r="934" spans="7:17" ht="15.75" customHeight="1">
      <c r="G934" s="2"/>
      <c r="H934" s="2"/>
      <c r="I934" s="2"/>
      <c r="L934" s="2"/>
      <c r="M934" s="2"/>
      <c r="N934" s="2"/>
      <c r="O934" s="2"/>
      <c r="P934" s="2"/>
      <c r="Q934" s="2"/>
    </row>
    <row r="935" spans="7:17" ht="15.75" customHeight="1">
      <c r="G935" s="2"/>
      <c r="H935" s="2"/>
      <c r="I935" s="2"/>
      <c r="L935" s="2"/>
      <c r="M935" s="2"/>
      <c r="N935" s="2"/>
      <c r="O935" s="2"/>
      <c r="P935" s="2"/>
      <c r="Q935" s="2"/>
    </row>
    <row r="936" spans="7:17" ht="15.75" customHeight="1">
      <c r="G936" s="2"/>
      <c r="H936" s="2"/>
      <c r="I936" s="2"/>
      <c r="L936" s="2"/>
      <c r="M936" s="2"/>
      <c r="N936" s="2"/>
      <c r="O936" s="2"/>
      <c r="P936" s="2"/>
      <c r="Q936" s="2"/>
    </row>
    <row r="937" spans="7:17" ht="15.75" customHeight="1">
      <c r="G937" s="2"/>
      <c r="H937" s="2"/>
      <c r="I937" s="2"/>
      <c r="L937" s="2"/>
      <c r="M937" s="2"/>
      <c r="N937" s="2"/>
      <c r="O937" s="2"/>
      <c r="P937" s="2"/>
      <c r="Q937" s="2"/>
    </row>
    <row r="938" spans="7:17" ht="15.75" customHeight="1">
      <c r="G938" s="2"/>
      <c r="H938" s="2"/>
      <c r="I938" s="2"/>
      <c r="L938" s="2"/>
      <c r="M938" s="2"/>
      <c r="N938" s="2"/>
      <c r="O938" s="2"/>
      <c r="P938" s="2"/>
      <c r="Q938" s="2"/>
    </row>
    <row r="939" spans="7:17" ht="15.75" customHeight="1">
      <c r="G939" s="2"/>
      <c r="H939" s="2"/>
      <c r="I939" s="2"/>
      <c r="L939" s="2"/>
      <c r="M939" s="2"/>
      <c r="N939" s="2"/>
      <c r="O939" s="2"/>
      <c r="P939" s="2"/>
      <c r="Q939" s="2"/>
    </row>
    <row r="940" spans="7:17" ht="15.75" customHeight="1">
      <c r="G940" s="2"/>
      <c r="H940" s="2"/>
      <c r="I940" s="2"/>
      <c r="L940" s="2"/>
      <c r="M940" s="2"/>
      <c r="N940" s="2"/>
      <c r="O940" s="2"/>
      <c r="P940" s="2"/>
      <c r="Q940" s="2"/>
    </row>
    <row r="941" spans="7:17" ht="15.75" customHeight="1">
      <c r="G941" s="2"/>
      <c r="H941" s="2"/>
      <c r="I941" s="2"/>
      <c r="L941" s="2"/>
      <c r="M941" s="2"/>
      <c r="N941" s="2"/>
      <c r="O941" s="2"/>
      <c r="P941" s="2"/>
      <c r="Q941" s="2"/>
    </row>
    <row r="942" spans="7:17" ht="15.75" customHeight="1">
      <c r="G942" s="2"/>
      <c r="H942" s="2"/>
      <c r="I942" s="2"/>
      <c r="L942" s="2"/>
      <c r="M942" s="2"/>
      <c r="N942" s="2"/>
      <c r="O942" s="2"/>
      <c r="P942" s="2"/>
      <c r="Q942" s="2"/>
    </row>
    <row r="943" spans="7:17" ht="15.75" customHeight="1">
      <c r="G943" s="2"/>
      <c r="H943" s="2"/>
      <c r="I943" s="2"/>
      <c r="L943" s="2"/>
      <c r="M943" s="2"/>
      <c r="N943" s="2"/>
      <c r="O943" s="2"/>
      <c r="P943" s="2"/>
      <c r="Q943" s="2"/>
    </row>
    <row r="944" spans="7:17" ht="15.75" customHeight="1">
      <c r="G944" s="2"/>
      <c r="H944" s="2"/>
      <c r="I944" s="2"/>
      <c r="L944" s="2"/>
      <c r="M944" s="2"/>
      <c r="N944" s="2"/>
      <c r="O944" s="2"/>
      <c r="P944" s="2"/>
      <c r="Q944" s="2"/>
    </row>
    <row r="945" spans="7:17" ht="15.75" customHeight="1">
      <c r="G945" s="2"/>
      <c r="H945" s="2"/>
      <c r="I945" s="2"/>
      <c r="L945" s="2"/>
      <c r="M945" s="2"/>
      <c r="N945" s="2"/>
      <c r="O945" s="2"/>
      <c r="P945" s="2"/>
      <c r="Q945" s="2"/>
    </row>
    <row r="946" spans="7:17" ht="15.75" customHeight="1">
      <c r="G946" s="2"/>
      <c r="H946" s="2"/>
      <c r="I946" s="2"/>
      <c r="L946" s="2"/>
      <c r="M946" s="2"/>
      <c r="N946" s="2"/>
      <c r="O946" s="2"/>
      <c r="P946" s="2"/>
      <c r="Q946" s="2"/>
    </row>
    <row r="947" spans="7:17" ht="15.75" customHeight="1">
      <c r="G947" s="2"/>
      <c r="H947" s="2"/>
      <c r="I947" s="2"/>
      <c r="L947" s="2"/>
      <c r="M947" s="2"/>
      <c r="N947" s="2"/>
      <c r="O947" s="2"/>
      <c r="P947" s="2"/>
      <c r="Q947" s="2"/>
    </row>
    <row r="948" spans="7:17" ht="15.75" customHeight="1">
      <c r="G948" s="2"/>
      <c r="H948" s="2"/>
      <c r="I948" s="2"/>
      <c r="L948" s="2"/>
      <c r="M948" s="2"/>
      <c r="N948" s="2"/>
      <c r="O948" s="2"/>
      <c r="P948" s="2"/>
      <c r="Q948" s="2"/>
    </row>
    <row r="949" spans="7:17" ht="15.75" customHeight="1">
      <c r="G949" s="2"/>
      <c r="H949" s="2"/>
      <c r="I949" s="2"/>
      <c r="L949" s="2"/>
      <c r="M949" s="2"/>
      <c r="N949" s="2"/>
      <c r="O949" s="2"/>
      <c r="P949" s="2"/>
      <c r="Q949" s="2"/>
    </row>
    <row r="950" spans="7:17" ht="15.75" customHeight="1">
      <c r="G950" s="2"/>
      <c r="H950" s="2"/>
      <c r="I950" s="2"/>
      <c r="L950" s="2"/>
      <c r="M950" s="2"/>
      <c r="N950" s="2"/>
      <c r="O950" s="2"/>
      <c r="P950" s="2"/>
      <c r="Q950" s="2"/>
    </row>
    <row r="951" spans="7:17" ht="15.75" customHeight="1">
      <c r="G951" s="2"/>
      <c r="H951" s="2"/>
      <c r="I951" s="2"/>
      <c r="L951" s="2"/>
      <c r="M951" s="2"/>
      <c r="N951" s="2"/>
      <c r="O951" s="2"/>
      <c r="P951" s="2"/>
      <c r="Q951" s="2"/>
    </row>
    <row r="952" spans="7:17" ht="15.75" customHeight="1">
      <c r="G952" s="2"/>
      <c r="H952" s="2"/>
      <c r="I952" s="2"/>
      <c r="L952" s="2"/>
      <c r="M952" s="2"/>
      <c r="N952" s="2"/>
      <c r="O952" s="2"/>
      <c r="P952" s="2"/>
      <c r="Q952" s="2"/>
    </row>
    <row r="953" spans="7:17" ht="15.75" customHeight="1">
      <c r="G953" s="2"/>
      <c r="H953" s="2"/>
      <c r="I953" s="2"/>
      <c r="L953" s="2"/>
      <c r="M953" s="2"/>
      <c r="N953" s="2"/>
      <c r="O953" s="2"/>
      <c r="P953" s="2"/>
      <c r="Q953" s="2"/>
    </row>
    <row r="954" spans="7:17" ht="15.75" customHeight="1">
      <c r="G954" s="2"/>
      <c r="H954" s="2"/>
      <c r="I954" s="2"/>
      <c r="L954" s="2"/>
      <c r="M954" s="2"/>
      <c r="N954" s="2"/>
      <c r="O954" s="2"/>
      <c r="P954" s="2"/>
      <c r="Q954" s="2"/>
    </row>
    <row r="955" spans="7:17" ht="15.75" customHeight="1">
      <c r="G955" s="2"/>
      <c r="H955" s="2"/>
      <c r="I955" s="2"/>
      <c r="L955" s="2"/>
      <c r="M955" s="2"/>
      <c r="N955" s="2"/>
      <c r="O955" s="2"/>
      <c r="P955" s="2"/>
      <c r="Q955" s="2"/>
    </row>
    <row r="956" spans="7:17" ht="15.75" customHeight="1">
      <c r="G956" s="2"/>
      <c r="H956" s="2"/>
      <c r="I956" s="2"/>
      <c r="L956" s="2"/>
      <c r="M956" s="2"/>
      <c r="N956" s="2"/>
      <c r="O956" s="2"/>
      <c r="P956" s="2"/>
      <c r="Q956" s="2"/>
    </row>
    <row r="957" spans="7:17" ht="15.75" customHeight="1">
      <c r="G957" s="2"/>
      <c r="H957" s="2"/>
      <c r="I957" s="2"/>
      <c r="L957" s="2"/>
      <c r="M957" s="2"/>
      <c r="N957" s="2"/>
      <c r="O957" s="2"/>
      <c r="P957" s="2"/>
      <c r="Q957" s="2"/>
    </row>
    <row r="958" spans="7:17" ht="15.75" customHeight="1">
      <c r="G958" s="2"/>
      <c r="H958" s="2"/>
      <c r="I958" s="2"/>
      <c r="L958" s="2"/>
      <c r="M958" s="2"/>
      <c r="N958" s="2"/>
      <c r="O958" s="2"/>
      <c r="P958" s="2"/>
      <c r="Q958" s="2"/>
    </row>
    <row r="959" spans="7:17" ht="15.75" customHeight="1">
      <c r="G959" s="2"/>
      <c r="H959" s="2"/>
      <c r="I959" s="2"/>
      <c r="L959" s="2"/>
      <c r="M959" s="2"/>
      <c r="N959" s="2"/>
      <c r="O959" s="2"/>
      <c r="P959" s="2"/>
      <c r="Q959" s="2"/>
    </row>
    <row r="960" spans="7:17" ht="15.75" customHeight="1">
      <c r="G960" s="2"/>
      <c r="H960" s="2"/>
      <c r="I960" s="2"/>
      <c r="L960" s="2"/>
      <c r="M960" s="2"/>
      <c r="N960" s="2"/>
      <c r="O960" s="2"/>
      <c r="P960" s="2"/>
      <c r="Q960" s="2"/>
    </row>
    <row r="961" spans="7:17" ht="15.75" customHeight="1">
      <c r="G961" s="2"/>
      <c r="H961" s="2"/>
      <c r="I961" s="2"/>
      <c r="L961" s="2"/>
      <c r="M961" s="2"/>
      <c r="N961" s="2"/>
      <c r="O961" s="2"/>
      <c r="P961" s="2"/>
      <c r="Q961" s="2"/>
    </row>
    <row r="962" spans="7:17" ht="15.75" customHeight="1">
      <c r="G962" s="2"/>
      <c r="H962" s="2"/>
      <c r="I962" s="2"/>
      <c r="L962" s="2"/>
      <c r="M962" s="2"/>
      <c r="N962" s="2"/>
      <c r="O962" s="2"/>
      <c r="P962" s="2"/>
      <c r="Q962" s="2"/>
    </row>
    <row r="963" spans="7:17" ht="15.75" customHeight="1">
      <c r="G963" s="2"/>
      <c r="H963" s="2"/>
      <c r="I963" s="2"/>
      <c r="L963" s="2"/>
      <c r="M963" s="2"/>
      <c r="N963" s="2"/>
      <c r="O963" s="2"/>
      <c r="P963" s="2"/>
      <c r="Q963" s="2"/>
    </row>
    <row r="964" spans="7:17" ht="15.75" customHeight="1">
      <c r="G964" s="2"/>
      <c r="H964" s="2"/>
      <c r="I964" s="2"/>
      <c r="L964" s="2"/>
      <c r="M964" s="2"/>
      <c r="N964" s="2"/>
      <c r="O964" s="2"/>
      <c r="P964" s="2"/>
      <c r="Q964" s="2"/>
    </row>
    <row r="965" spans="7:17" ht="15.75" customHeight="1">
      <c r="G965" s="2"/>
      <c r="H965" s="2"/>
      <c r="I965" s="2"/>
      <c r="L965" s="2"/>
      <c r="M965" s="2"/>
      <c r="N965" s="2"/>
      <c r="O965" s="2"/>
      <c r="P965" s="2"/>
      <c r="Q965" s="2"/>
    </row>
    <row r="966" spans="7:17" ht="15.75" customHeight="1">
      <c r="G966" s="2"/>
      <c r="H966" s="2"/>
      <c r="I966" s="2"/>
      <c r="L966" s="2"/>
      <c r="M966" s="2"/>
      <c r="N966" s="2"/>
      <c r="O966" s="2"/>
      <c r="P966" s="2"/>
      <c r="Q966" s="2"/>
    </row>
    <row r="967" spans="7:17" ht="15.75" customHeight="1">
      <c r="G967" s="2"/>
      <c r="H967" s="2"/>
      <c r="I967" s="2"/>
      <c r="L967" s="2"/>
      <c r="M967" s="2"/>
      <c r="N967" s="2"/>
      <c r="O967" s="2"/>
      <c r="P967" s="2"/>
      <c r="Q967" s="2"/>
    </row>
    <row r="968" spans="7:17" ht="15.75" customHeight="1">
      <c r="G968" s="2"/>
      <c r="H968" s="2"/>
      <c r="I968" s="2"/>
      <c r="L968" s="2"/>
      <c r="M968" s="2"/>
      <c r="N968" s="2"/>
      <c r="O968" s="2"/>
      <c r="P968" s="2"/>
      <c r="Q968" s="2"/>
    </row>
    <row r="969" spans="7:17" ht="15.75" customHeight="1">
      <c r="G969" s="2"/>
      <c r="H969" s="2"/>
      <c r="I969" s="2"/>
      <c r="L969" s="2"/>
      <c r="M969" s="2"/>
      <c r="N969" s="2"/>
      <c r="O969" s="2"/>
      <c r="P969" s="2"/>
      <c r="Q969" s="2"/>
    </row>
    <row r="970" spans="7:17" ht="15.75" customHeight="1">
      <c r="G970" s="2"/>
      <c r="H970" s="2"/>
      <c r="I970" s="2"/>
      <c r="L970" s="2"/>
      <c r="M970" s="2"/>
      <c r="N970" s="2"/>
      <c r="O970" s="2"/>
      <c r="P970" s="2"/>
      <c r="Q970" s="2"/>
    </row>
    <row r="971" spans="7:17" ht="15.75" customHeight="1">
      <c r="G971" s="2"/>
      <c r="H971" s="2"/>
      <c r="I971" s="2"/>
      <c r="L971" s="2"/>
      <c r="M971" s="2"/>
      <c r="N971" s="2"/>
      <c r="O971" s="2"/>
      <c r="P971" s="2"/>
      <c r="Q971" s="2"/>
    </row>
    <row r="972" spans="7:17" ht="15.75" customHeight="1">
      <c r="G972" s="2"/>
      <c r="H972" s="2"/>
      <c r="I972" s="2"/>
      <c r="L972" s="2"/>
      <c r="M972" s="2"/>
      <c r="N972" s="2"/>
      <c r="O972" s="2"/>
      <c r="P972" s="2"/>
      <c r="Q972" s="2"/>
    </row>
    <row r="973" spans="7:17" ht="15.75" customHeight="1">
      <c r="G973" s="2"/>
      <c r="H973" s="2"/>
      <c r="I973" s="2"/>
      <c r="L973" s="2"/>
      <c r="M973" s="2"/>
      <c r="N973" s="2"/>
      <c r="O973" s="2"/>
      <c r="P973" s="2"/>
      <c r="Q973" s="2"/>
    </row>
    <row r="974" spans="7:17" ht="15.75" customHeight="1">
      <c r="G974" s="2"/>
      <c r="H974" s="2"/>
      <c r="I974" s="2"/>
      <c r="L974" s="2"/>
      <c r="M974" s="2"/>
      <c r="N974" s="2"/>
      <c r="O974" s="2"/>
      <c r="P974" s="2"/>
      <c r="Q974" s="2"/>
    </row>
    <row r="975" spans="7:17" ht="15.75" customHeight="1">
      <c r="G975" s="2"/>
      <c r="H975" s="2"/>
      <c r="I975" s="2"/>
      <c r="L975" s="2"/>
      <c r="M975" s="2"/>
      <c r="N975" s="2"/>
      <c r="O975" s="2"/>
      <c r="P975" s="2"/>
      <c r="Q975" s="2"/>
    </row>
    <row r="976" spans="7:17" ht="15.75" customHeight="1">
      <c r="G976" s="2"/>
      <c r="H976" s="2"/>
      <c r="I976" s="2"/>
      <c r="L976" s="2"/>
      <c r="M976" s="2"/>
      <c r="N976" s="2"/>
      <c r="O976" s="2"/>
      <c r="P976" s="2"/>
      <c r="Q976" s="2"/>
    </row>
    <row r="977" spans="7:17" ht="15.75" customHeight="1">
      <c r="G977" s="2"/>
      <c r="H977" s="2"/>
      <c r="I977" s="2"/>
      <c r="L977" s="2"/>
      <c r="M977" s="2"/>
      <c r="N977" s="2"/>
      <c r="O977" s="2"/>
      <c r="P977" s="2"/>
      <c r="Q977" s="2"/>
    </row>
    <row r="978" spans="7:17" ht="15.75" customHeight="1">
      <c r="G978" s="2"/>
      <c r="H978" s="2"/>
      <c r="I978" s="2"/>
      <c r="L978" s="2"/>
      <c r="M978" s="2"/>
      <c r="N978" s="2"/>
      <c r="O978" s="2"/>
      <c r="P978" s="2"/>
      <c r="Q978" s="2"/>
    </row>
    <row r="979" spans="7:17" ht="15.75" customHeight="1">
      <c r="G979" s="2"/>
      <c r="H979" s="2"/>
      <c r="I979" s="2"/>
      <c r="L979" s="2"/>
      <c r="M979" s="2"/>
      <c r="N979" s="2"/>
      <c r="O979" s="2"/>
      <c r="P979" s="2"/>
      <c r="Q979" s="2"/>
    </row>
    <row r="980" spans="7:17" ht="15.75" customHeight="1">
      <c r="G980" s="2"/>
      <c r="H980" s="2"/>
      <c r="I980" s="2"/>
      <c r="L980" s="2"/>
      <c r="M980" s="2"/>
      <c r="N980" s="2"/>
      <c r="O980" s="2"/>
      <c r="P980" s="2"/>
      <c r="Q980" s="2"/>
    </row>
    <row r="981" spans="7:17" ht="15.75" customHeight="1">
      <c r="G981" s="2"/>
      <c r="H981" s="2"/>
      <c r="I981" s="2"/>
      <c r="L981" s="2"/>
      <c r="M981" s="2"/>
      <c r="N981" s="2"/>
      <c r="O981" s="2"/>
      <c r="P981" s="2"/>
      <c r="Q981" s="2"/>
    </row>
    <row r="982" spans="7:17" ht="15.75" customHeight="1">
      <c r="G982" s="2"/>
      <c r="H982" s="2"/>
      <c r="I982" s="2"/>
      <c r="L982" s="2"/>
      <c r="M982" s="2"/>
      <c r="N982" s="2"/>
      <c r="O982" s="2"/>
      <c r="P982" s="2"/>
      <c r="Q982" s="2"/>
    </row>
    <row r="983" spans="7:17" ht="15.75" customHeight="1">
      <c r="G983" s="2"/>
      <c r="H983" s="2"/>
      <c r="I983" s="2"/>
      <c r="L983" s="2"/>
      <c r="M983" s="2"/>
      <c r="N983" s="2"/>
      <c r="O983" s="2"/>
      <c r="P983" s="2"/>
      <c r="Q983" s="2"/>
    </row>
    <row r="984" spans="7:17" ht="15.75" customHeight="1">
      <c r="G984" s="2"/>
      <c r="H984" s="2"/>
      <c r="I984" s="2"/>
      <c r="L984" s="2"/>
      <c r="M984" s="2"/>
      <c r="N984" s="2"/>
      <c r="O984" s="2"/>
      <c r="P984" s="2"/>
      <c r="Q984" s="2"/>
    </row>
    <row r="985" spans="7:17" ht="15.75" customHeight="1">
      <c r="G985" s="2"/>
      <c r="H985" s="2"/>
      <c r="I985" s="2"/>
      <c r="L985" s="2"/>
      <c r="M985" s="2"/>
      <c r="N985" s="2"/>
      <c r="O985" s="2"/>
      <c r="P985" s="2"/>
      <c r="Q985" s="2"/>
    </row>
    <row r="986" spans="7:17" ht="15.75" customHeight="1">
      <c r="G986" s="2"/>
      <c r="H986" s="2"/>
      <c r="I986" s="2"/>
      <c r="L986" s="2"/>
      <c r="M986" s="2"/>
      <c r="N986" s="2"/>
      <c r="O986" s="2"/>
      <c r="P986" s="2"/>
      <c r="Q986" s="2"/>
    </row>
    <row r="987" spans="7:17" ht="15.75" customHeight="1">
      <c r="G987" s="2"/>
      <c r="H987" s="2"/>
      <c r="I987" s="2"/>
      <c r="L987" s="2"/>
      <c r="M987" s="2"/>
      <c r="N987" s="2"/>
      <c r="O987" s="2"/>
      <c r="P987" s="2"/>
      <c r="Q987" s="2"/>
    </row>
    <row r="988" spans="7:17" ht="15.75" customHeight="1">
      <c r="G988" s="2"/>
      <c r="H988" s="2"/>
      <c r="I988" s="2"/>
      <c r="L988" s="2"/>
      <c r="M988" s="2"/>
      <c r="N988" s="2"/>
      <c r="O988" s="2"/>
      <c r="P988" s="2"/>
      <c r="Q988" s="2"/>
    </row>
    <row r="989" spans="7:17" ht="15.75" customHeight="1">
      <c r="G989" s="2"/>
      <c r="H989" s="2"/>
      <c r="I989" s="2"/>
      <c r="L989" s="2"/>
      <c r="M989" s="2"/>
      <c r="N989" s="2"/>
      <c r="O989" s="2"/>
      <c r="P989" s="2"/>
      <c r="Q989" s="2"/>
    </row>
    <row r="990" spans="7:17" ht="15.75" customHeight="1">
      <c r="G990" s="2"/>
      <c r="H990" s="2"/>
      <c r="I990" s="2"/>
      <c r="L990" s="2"/>
      <c r="M990" s="2"/>
      <c r="N990" s="2"/>
      <c r="O990" s="2"/>
      <c r="P990" s="2"/>
      <c r="Q990" s="2"/>
    </row>
    <row r="991" spans="7:17" ht="15.75" customHeight="1">
      <c r="G991" s="2"/>
      <c r="H991" s="2"/>
      <c r="I991" s="2"/>
      <c r="L991" s="2"/>
      <c r="M991" s="2"/>
      <c r="N991" s="2"/>
      <c r="O991" s="2"/>
      <c r="P991" s="2"/>
      <c r="Q991" s="2"/>
    </row>
    <row r="992" spans="7:17" ht="15.75" customHeight="1">
      <c r="G992" s="2"/>
      <c r="H992" s="2"/>
      <c r="I992" s="2"/>
      <c r="L992" s="2"/>
      <c r="M992" s="2"/>
      <c r="N992" s="2"/>
      <c r="O992" s="2"/>
      <c r="P992" s="2"/>
      <c r="Q992" s="2"/>
    </row>
    <row r="993" spans="7:17" ht="15.75" customHeight="1">
      <c r="G993" s="2"/>
      <c r="H993" s="2"/>
      <c r="I993" s="2"/>
      <c r="L993" s="2"/>
      <c r="M993" s="2"/>
      <c r="N993" s="2"/>
      <c r="O993" s="2"/>
      <c r="P993" s="2"/>
      <c r="Q993" s="2"/>
    </row>
    <row r="994" spans="7:17" ht="15.75" customHeight="1">
      <c r="G994" s="2"/>
      <c r="H994" s="2"/>
      <c r="I994" s="2"/>
      <c r="L994" s="2"/>
      <c r="M994" s="2"/>
      <c r="N994" s="2"/>
      <c r="O994" s="2"/>
      <c r="P994" s="2"/>
      <c r="Q994" s="2"/>
    </row>
    <row r="995" spans="7:17" ht="15.75" customHeight="1">
      <c r="G995" s="2"/>
      <c r="H995" s="2"/>
      <c r="I995" s="2"/>
      <c r="L995" s="2"/>
      <c r="M995" s="2"/>
      <c r="N995" s="2"/>
      <c r="O995" s="2"/>
      <c r="P995" s="2"/>
      <c r="Q995" s="2"/>
    </row>
    <row r="996" spans="7:17" ht="15.75" customHeight="1">
      <c r="G996" s="2"/>
      <c r="H996" s="2"/>
      <c r="I996" s="2"/>
      <c r="L996" s="2"/>
      <c r="M996" s="2"/>
      <c r="N996" s="2"/>
      <c r="O996" s="2"/>
      <c r="P996" s="2"/>
      <c r="Q996" s="2"/>
    </row>
    <row r="997" spans="7:17" ht="15.75" customHeight="1">
      <c r="G997" s="2"/>
      <c r="H997" s="2"/>
      <c r="I997" s="2"/>
      <c r="L997" s="2"/>
      <c r="M997" s="2"/>
      <c r="N997" s="2"/>
      <c r="O997" s="2"/>
      <c r="P997" s="2"/>
      <c r="Q997" s="2"/>
    </row>
    <row r="998" spans="7:17" ht="15.75" customHeight="1">
      <c r="G998" s="2"/>
      <c r="H998" s="2"/>
      <c r="I998" s="2"/>
      <c r="L998" s="2"/>
      <c r="M998" s="2"/>
      <c r="N998" s="2"/>
      <c r="O998" s="2"/>
      <c r="P998" s="2"/>
      <c r="Q998" s="2"/>
    </row>
    <row r="999" spans="7:17" ht="15.75" customHeight="1">
      <c r="G999" s="2"/>
      <c r="H999" s="2"/>
      <c r="I999" s="2"/>
      <c r="L999" s="2"/>
      <c r="M999" s="2"/>
      <c r="N999" s="2"/>
      <c r="O999" s="2"/>
      <c r="P999" s="2"/>
      <c r="Q999" s="2"/>
    </row>
    <row r="1000" spans="7:17" ht="15.75" customHeight="1">
      <c r="G1000" s="2"/>
      <c r="H1000" s="2"/>
      <c r="I1000" s="2"/>
      <c r="L1000" s="2"/>
      <c r="M1000" s="2"/>
      <c r="N1000" s="2"/>
      <c r="O1000" s="2"/>
      <c r="P1000" s="2"/>
      <c r="Q1000" s="2"/>
    </row>
  </sheetData>
  <mergeCells count="32">
    <mergeCell ref="O80:Q80"/>
    <mergeCell ref="O126:P126"/>
    <mergeCell ref="O130:P130"/>
    <mergeCell ref="E142:G142"/>
    <mergeCell ref="E143:G143"/>
    <mergeCell ref="O81:P81"/>
    <mergeCell ref="O82:P82"/>
    <mergeCell ref="O83:P83"/>
    <mergeCell ref="O101:P101"/>
    <mergeCell ref="O102:P102"/>
    <mergeCell ref="O106:P106"/>
    <mergeCell ref="O125:P125"/>
    <mergeCell ref="O75:P75"/>
    <mergeCell ref="O76:P76"/>
    <mergeCell ref="O77:P77"/>
    <mergeCell ref="O78:Q78"/>
    <mergeCell ref="O79:P79"/>
    <mergeCell ref="O59:P59"/>
    <mergeCell ref="O60:P60"/>
    <mergeCell ref="O64:P64"/>
    <mergeCell ref="O73:Q73"/>
    <mergeCell ref="O74:Q74"/>
    <mergeCell ref="A8:B8"/>
    <mergeCell ref="O32:P32"/>
    <mergeCell ref="O33:P33"/>
    <mergeCell ref="O47:P47"/>
    <mergeCell ref="O48:P48"/>
    <mergeCell ref="A1:I1"/>
    <mergeCell ref="C2:G2"/>
    <mergeCell ref="J3:K3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O1000"/>
  <sheetViews>
    <sheetView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6.28515625" customWidth="1"/>
    <col min="10" max="10" width="11.85546875" customWidth="1"/>
    <col min="11" max="11" width="9.42578125" customWidth="1"/>
    <col min="12" max="12" width="18.57031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1375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1376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1377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1378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1379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105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21</v>
      </c>
      <c r="B12" s="48" t="s">
        <v>1380</v>
      </c>
      <c r="C12" s="48"/>
      <c r="D12" s="48"/>
      <c r="E12" s="48" t="s">
        <v>1381</v>
      </c>
      <c r="F12" s="48"/>
      <c r="G12" s="117" t="s">
        <v>1382</v>
      </c>
      <c r="H12" s="118" t="s">
        <v>30</v>
      </c>
      <c r="I12" s="281">
        <v>62000</v>
      </c>
      <c r="J12" s="119" t="s">
        <v>90</v>
      </c>
      <c r="K12" s="120" t="s">
        <v>1383</v>
      </c>
      <c r="L12" s="48" t="s">
        <v>32</v>
      </c>
      <c r="N12" s="282">
        <f>I12+I13</f>
        <v>92000</v>
      </c>
      <c r="O12" s="3"/>
    </row>
    <row r="13" spans="1:15">
      <c r="A13" s="48">
        <v>24</v>
      </c>
      <c r="B13" s="120" t="s">
        <v>551</v>
      </c>
      <c r="C13" s="48"/>
      <c r="D13" s="120" t="s">
        <v>866</v>
      </c>
      <c r="E13" s="120" t="s">
        <v>552</v>
      </c>
      <c r="F13" s="48"/>
      <c r="G13" s="120" t="s">
        <v>553</v>
      </c>
      <c r="H13" s="118" t="s">
        <v>30</v>
      </c>
      <c r="I13" s="281">
        <v>30000</v>
      </c>
      <c r="J13" s="48" t="s">
        <v>90</v>
      </c>
      <c r="K13" s="120"/>
      <c r="L13" s="48" t="s">
        <v>32</v>
      </c>
    </row>
    <row r="14" spans="1:15">
      <c r="A14" s="48">
        <v>28</v>
      </c>
      <c r="B14" s="255" t="s">
        <v>1254</v>
      </c>
      <c r="C14" s="120"/>
      <c r="D14" s="120"/>
      <c r="E14" s="120" t="s">
        <v>56</v>
      </c>
      <c r="F14" s="48"/>
      <c r="G14" s="120" t="s">
        <v>1384</v>
      </c>
      <c r="H14" s="118" t="s">
        <v>30</v>
      </c>
      <c r="I14" s="51">
        <v>6000</v>
      </c>
      <c r="J14" s="283">
        <v>1200</v>
      </c>
      <c r="K14" s="120" t="s">
        <v>31</v>
      </c>
      <c r="L14" s="120" t="s">
        <v>32</v>
      </c>
      <c r="M14" s="126">
        <f>6000/5</f>
        <v>1200</v>
      </c>
    </row>
    <row r="15" spans="1:15">
      <c r="A15" s="48">
        <v>28</v>
      </c>
      <c r="B15" s="120" t="s">
        <v>1385</v>
      </c>
      <c r="C15" s="48"/>
      <c r="D15" s="120"/>
      <c r="E15" s="120" t="s">
        <v>484</v>
      </c>
      <c r="F15" s="48"/>
      <c r="G15" s="120"/>
      <c r="H15" s="120" t="s">
        <v>1386</v>
      </c>
      <c r="I15" s="284">
        <v>31.5</v>
      </c>
      <c r="J15" s="49">
        <v>2520</v>
      </c>
      <c r="K15" s="120"/>
      <c r="L15" s="120"/>
    </row>
    <row r="16" spans="1:15">
      <c r="A16" s="256"/>
      <c r="B16" s="255"/>
      <c r="C16" s="120"/>
      <c r="D16" s="257"/>
      <c r="E16" s="258"/>
      <c r="F16" s="257"/>
      <c r="G16" s="258"/>
      <c r="H16" s="259"/>
      <c r="I16" s="260"/>
      <c r="J16" s="258"/>
      <c r="K16" s="258"/>
      <c r="L16" s="258"/>
    </row>
    <row r="17" spans="1:15">
      <c r="A17" s="48"/>
      <c r="B17" s="120"/>
      <c r="C17" s="48"/>
      <c r="D17" s="120"/>
      <c r="E17" s="120"/>
      <c r="F17" s="48"/>
      <c r="G17" s="120"/>
      <c r="H17" s="120"/>
      <c r="I17" s="51"/>
      <c r="J17" s="48"/>
      <c r="K17" s="120"/>
      <c r="L17" s="120"/>
      <c r="O17" s="3"/>
    </row>
    <row r="18" spans="1:15">
      <c r="A18" s="256"/>
      <c r="B18" s="261"/>
      <c r="C18" s="48"/>
      <c r="D18" s="262"/>
      <c r="E18" s="261"/>
      <c r="F18" s="256"/>
      <c r="G18" s="262"/>
      <c r="H18" s="262"/>
      <c r="I18" s="263"/>
      <c r="J18" s="256"/>
      <c r="K18" s="264"/>
      <c r="L18" s="262"/>
    </row>
    <row r="19" spans="1:15">
      <c r="A19" s="48"/>
      <c r="B19" s="48"/>
      <c r="C19" s="48"/>
      <c r="D19" s="48"/>
      <c r="E19" s="48"/>
      <c r="F19" s="48"/>
      <c r="G19" s="48"/>
      <c r="H19" s="48"/>
      <c r="I19" s="51"/>
      <c r="J19" s="48"/>
      <c r="K19" s="114"/>
      <c r="L19" s="48"/>
    </row>
    <row r="20" spans="1:15">
      <c r="A20" s="265"/>
      <c r="B20" s="265"/>
      <c r="C20" s="265"/>
      <c r="D20" s="265"/>
      <c r="E20" s="265"/>
      <c r="F20" s="265"/>
      <c r="G20" s="265"/>
      <c r="H20" s="265"/>
      <c r="I20" s="266"/>
      <c r="J20" s="267"/>
      <c r="K20" s="268"/>
      <c r="L20" s="265"/>
    </row>
    <row r="21" spans="1:15" ht="15.75" customHeight="1">
      <c r="I21" s="83"/>
      <c r="J21" s="83"/>
    </row>
    <row r="22" spans="1:15" ht="15.75" customHeight="1">
      <c r="J22" s="137" t="s">
        <v>508</v>
      </c>
    </row>
    <row r="23" spans="1:15" ht="15.75" customHeight="1">
      <c r="J23" s="83" t="s">
        <v>511</v>
      </c>
    </row>
    <row r="24" spans="1:15" ht="15.75" customHeight="1">
      <c r="B24" s="126" t="s">
        <v>509</v>
      </c>
      <c r="E24" s="126" t="s">
        <v>510</v>
      </c>
      <c r="J24" s="83" t="s">
        <v>513</v>
      </c>
    </row>
    <row r="25" spans="1:15" ht="15.75" customHeight="1">
      <c r="J25" s="83" t="s">
        <v>946</v>
      </c>
    </row>
    <row r="26" spans="1:15" ht="15.75" customHeight="1">
      <c r="J26" s="83" t="s">
        <v>947</v>
      </c>
    </row>
    <row r="27" spans="1:15" ht="15.75" customHeight="1">
      <c r="B27" s="139" t="s">
        <v>516</v>
      </c>
      <c r="E27" s="737" t="s">
        <v>517</v>
      </c>
      <c r="F27" s="711"/>
      <c r="G27" s="711"/>
      <c r="H27" s="711"/>
      <c r="J27" s="83" t="s">
        <v>950</v>
      </c>
    </row>
    <row r="28" spans="1:15" ht="15.75" customHeight="1">
      <c r="B28" s="4" t="s">
        <v>980</v>
      </c>
      <c r="E28" s="732" t="s">
        <v>1258</v>
      </c>
      <c r="F28" s="711"/>
      <c r="G28" s="711"/>
      <c r="H28" s="711"/>
      <c r="J28" s="83" t="s">
        <v>564</v>
      </c>
    </row>
    <row r="29" spans="1:15" ht="15.75" customHeight="1">
      <c r="J29" s="83" t="s">
        <v>525</v>
      </c>
    </row>
    <row r="30" spans="1:15" ht="15.75" customHeight="1">
      <c r="J30" s="10" t="s">
        <v>565</v>
      </c>
    </row>
    <row r="31" spans="1:15" ht="15.75" customHeight="1">
      <c r="J31" s="10" t="s">
        <v>953</v>
      </c>
    </row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27:H27"/>
    <mergeCell ref="E28:H28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36C09"/>
  </sheetPr>
  <dimension ref="A1:P1000"/>
  <sheetViews>
    <sheetView topLeftCell="A15"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2" width="9.140625" customWidth="1"/>
    <col min="13" max="15" width="15.140625" customWidth="1"/>
    <col min="16" max="16" width="16.85546875" customWidth="1"/>
    <col min="17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  <c r="L1" s="2"/>
      <c r="M1" s="2"/>
      <c r="N1" s="2"/>
      <c r="O1" s="2"/>
    </row>
    <row r="2" spans="1:15" ht="18">
      <c r="A2" s="4"/>
      <c r="B2" s="5"/>
      <c r="C2" s="712" t="s">
        <v>1387</v>
      </c>
      <c r="D2" s="711"/>
      <c r="E2" s="711"/>
      <c r="F2" s="711"/>
      <c r="G2" s="711"/>
      <c r="H2" s="6"/>
      <c r="I2" s="140"/>
      <c r="J2" s="8"/>
      <c r="K2" s="285"/>
      <c r="L2" s="2"/>
      <c r="M2" s="2"/>
      <c r="N2" s="2"/>
      <c r="O2" s="2"/>
    </row>
    <row r="3" spans="1:15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  <c r="L3" s="2"/>
      <c r="M3" s="2"/>
      <c r="N3" s="2"/>
      <c r="O3" s="2"/>
    </row>
    <row r="4" spans="1:15">
      <c r="A4" s="4"/>
      <c r="B4" s="5"/>
      <c r="C4" s="10"/>
      <c r="D4" s="5"/>
      <c r="E4" s="5"/>
      <c r="G4" s="10"/>
      <c r="H4" s="6"/>
      <c r="I4" s="141"/>
      <c r="J4" s="1" t="s">
        <v>569</v>
      </c>
      <c r="K4" s="214"/>
      <c r="L4" s="2"/>
      <c r="M4" s="2"/>
      <c r="N4" s="2"/>
      <c r="O4" s="2"/>
    </row>
    <row r="5" spans="1:15">
      <c r="A5" s="4"/>
      <c r="B5" s="5"/>
      <c r="C5" s="10"/>
      <c r="D5" s="5"/>
      <c r="E5" s="5"/>
      <c r="G5" s="10"/>
      <c r="H5" s="6"/>
      <c r="I5" s="141"/>
      <c r="J5" s="1" t="s">
        <v>4</v>
      </c>
      <c r="K5" s="214"/>
      <c r="L5" s="2"/>
      <c r="M5" s="2"/>
      <c r="N5" s="2"/>
      <c r="O5" s="2"/>
    </row>
    <row r="6" spans="1:15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  <c r="L6" s="2"/>
      <c r="M6" s="2"/>
      <c r="N6" s="2"/>
      <c r="O6" s="2"/>
    </row>
    <row r="7" spans="1:15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  <c r="L7" s="2"/>
      <c r="M7" s="2"/>
      <c r="N7" s="2"/>
      <c r="O7" s="2"/>
    </row>
    <row r="8" spans="1:15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  <c r="L8" s="2"/>
      <c r="M8" s="2"/>
      <c r="N8" s="2"/>
      <c r="O8" s="2"/>
    </row>
    <row r="9" spans="1:15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  <c r="L9" s="2"/>
      <c r="M9" s="2"/>
      <c r="N9" s="2"/>
      <c r="O9" s="2"/>
    </row>
    <row r="10" spans="1:15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  <c r="L10" s="2"/>
      <c r="M10" s="2"/>
      <c r="N10" s="2"/>
      <c r="O10" s="2"/>
    </row>
    <row r="11" spans="1:15">
      <c r="A11" s="286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2"/>
      <c r="M11" s="2"/>
      <c r="N11" s="2"/>
      <c r="O11" s="2"/>
    </row>
    <row r="12" spans="1:15">
      <c r="A12" s="48">
        <v>4</v>
      </c>
      <c r="B12" s="48" t="s">
        <v>1388</v>
      </c>
      <c r="C12" s="48" t="s">
        <v>27</v>
      </c>
      <c r="D12" s="48" t="s">
        <v>211</v>
      </c>
      <c r="E12" s="48" t="s">
        <v>245</v>
      </c>
      <c r="F12" s="48"/>
      <c r="G12" s="218" t="s">
        <v>30</v>
      </c>
      <c r="H12" s="287">
        <v>3000</v>
      </c>
      <c r="I12" s="119">
        <v>600</v>
      </c>
      <c r="J12" s="48" t="s">
        <v>31</v>
      </c>
      <c r="K12" s="48" t="s">
        <v>32</v>
      </c>
      <c r="L12" s="2"/>
      <c r="M12" s="2">
        <v>600</v>
      </c>
      <c r="N12" s="2"/>
      <c r="O12" s="2"/>
    </row>
    <row r="13" spans="1:15">
      <c r="A13" s="48">
        <v>4</v>
      </c>
      <c r="B13" s="48" t="s">
        <v>1389</v>
      </c>
      <c r="C13" s="48" t="s">
        <v>27</v>
      </c>
      <c r="D13" s="48" t="s">
        <v>256</v>
      </c>
      <c r="E13" s="48" t="s">
        <v>245</v>
      </c>
      <c r="F13" s="48"/>
      <c r="G13" s="218" t="s">
        <v>30</v>
      </c>
      <c r="H13" s="287">
        <v>300</v>
      </c>
      <c r="I13" s="119">
        <v>60</v>
      </c>
      <c r="J13" s="48" t="s">
        <v>31</v>
      </c>
      <c r="K13" s="48" t="s">
        <v>32</v>
      </c>
      <c r="L13" s="2"/>
      <c r="M13" s="2">
        <v>60</v>
      </c>
      <c r="N13" s="2"/>
      <c r="O13" s="2"/>
    </row>
    <row r="14" spans="1:15">
      <c r="A14" s="48">
        <v>4</v>
      </c>
      <c r="B14" s="48" t="s">
        <v>1390</v>
      </c>
      <c r="C14" s="48" t="s">
        <v>27</v>
      </c>
      <c r="D14" s="48" t="s">
        <v>1391</v>
      </c>
      <c r="E14" s="48" t="s">
        <v>73</v>
      </c>
      <c r="F14" s="48"/>
      <c r="G14" s="48" t="s">
        <v>1392</v>
      </c>
      <c r="H14" s="51">
        <v>10</v>
      </c>
      <c r="I14" s="119">
        <v>100</v>
      </c>
      <c r="J14" s="48" t="s">
        <v>31</v>
      </c>
      <c r="K14" s="48" t="s">
        <v>32</v>
      </c>
      <c r="L14" s="2"/>
      <c r="M14" s="2"/>
      <c r="N14" s="2"/>
      <c r="O14" s="2"/>
    </row>
    <row r="15" spans="1:15">
      <c r="A15" s="48">
        <v>4</v>
      </c>
      <c r="B15" s="48" t="s">
        <v>1393</v>
      </c>
      <c r="C15" s="48" t="s">
        <v>27</v>
      </c>
      <c r="D15" s="48" t="s">
        <v>1394</v>
      </c>
      <c r="E15" s="48" t="s">
        <v>223</v>
      </c>
      <c r="F15" s="48"/>
      <c r="G15" s="218" t="s">
        <v>30</v>
      </c>
      <c r="H15" s="287">
        <v>200</v>
      </c>
      <c r="I15" s="119">
        <v>40</v>
      </c>
      <c r="J15" s="48" t="s">
        <v>31</v>
      </c>
      <c r="K15" s="48" t="s">
        <v>32</v>
      </c>
      <c r="L15" s="2"/>
      <c r="M15" s="2">
        <v>40</v>
      </c>
      <c r="N15" s="2"/>
      <c r="O15" s="2"/>
    </row>
    <row r="16" spans="1:15">
      <c r="A16" s="48">
        <v>4</v>
      </c>
      <c r="B16" s="48" t="s">
        <v>1393</v>
      </c>
      <c r="C16" s="48" t="s">
        <v>27</v>
      </c>
      <c r="D16" s="48" t="s">
        <v>1394</v>
      </c>
      <c r="E16" s="48" t="s">
        <v>223</v>
      </c>
      <c r="F16" s="48"/>
      <c r="G16" s="48" t="s">
        <v>1392</v>
      </c>
      <c r="H16" s="51">
        <v>5</v>
      </c>
      <c r="I16" s="49">
        <v>50</v>
      </c>
      <c r="J16" s="48" t="s">
        <v>31</v>
      </c>
      <c r="K16" s="48" t="s">
        <v>32</v>
      </c>
      <c r="L16" s="2"/>
      <c r="M16" s="2"/>
      <c r="N16" s="2"/>
      <c r="O16" s="2"/>
    </row>
    <row r="17" spans="1:15">
      <c r="A17" s="48">
        <v>4</v>
      </c>
      <c r="B17" s="48" t="s">
        <v>1395</v>
      </c>
      <c r="C17" s="48" t="s">
        <v>27</v>
      </c>
      <c r="D17" s="48" t="s">
        <v>1396</v>
      </c>
      <c r="E17" s="48" t="s">
        <v>245</v>
      </c>
      <c r="F17" s="48"/>
      <c r="G17" s="218" t="s">
        <v>30</v>
      </c>
      <c r="H17" s="287">
        <v>250</v>
      </c>
      <c r="I17" s="119">
        <v>50</v>
      </c>
      <c r="J17" s="48" t="s">
        <v>31</v>
      </c>
      <c r="K17" s="48" t="s">
        <v>32</v>
      </c>
      <c r="L17" s="2"/>
      <c r="M17" s="2">
        <v>50</v>
      </c>
      <c r="N17" s="2"/>
      <c r="O17" s="2"/>
    </row>
    <row r="18" spans="1:15">
      <c r="A18" s="48">
        <v>4</v>
      </c>
      <c r="B18" s="48" t="s">
        <v>1397</v>
      </c>
      <c r="C18" s="48" t="s">
        <v>27</v>
      </c>
      <c r="D18" s="48" t="s">
        <v>477</v>
      </c>
      <c r="E18" s="48" t="s">
        <v>73</v>
      </c>
      <c r="F18" s="48"/>
      <c r="G18" s="218" t="s">
        <v>30</v>
      </c>
      <c r="H18" s="287">
        <v>500</v>
      </c>
      <c r="I18" s="119">
        <v>100</v>
      </c>
      <c r="J18" s="48" t="s">
        <v>31</v>
      </c>
      <c r="K18" s="48" t="s">
        <v>32</v>
      </c>
      <c r="L18" s="2"/>
      <c r="M18" s="2">
        <v>100</v>
      </c>
      <c r="N18" s="2"/>
      <c r="O18" s="2"/>
    </row>
    <row r="19" spans="1:15">
      <c r="A19" s="48">
        <v>4</v>
      </c>
      <c r="B19" s="48" t="s">
        <v>1398</v>
      </c>
      <c r="C19" s="48" t="s">
        <v>27</v>
      </c>
      <c r="D19" s="48" t="s">
        <v>666</v>
      </c>
      <c r="E19" s="48" t="s">
        <v>36</v>
      </c>
      <c r="F19" s="48"/>
      <c r="G19" s="218" t="s">
        <v>30</v>
      </c>
      <c r="H19" s="287">
        <v>300</v>
      </c>
      <c r="I19" s="119">
        <v>60</v>
      </c>
      <c r="J19" s="48" t="s">
        <v>31</v>
      </c>
      <c r="K19" s="48" t="s">
        <v>32</v>
      </c>
      <c r="L19" s="2"/>
      <c r="M19" s="2">
        <v>50</v>
      </c>
      <c r="N19" s="2"/>
      <c r="O19" s="2"/>
    </row>
    <row r="20" spans="1:15">
      <c r="A20" s="48">
        <v>4</v>
      </c>
      <c r="B20" s="48" t="s">
        <v>1399</v>
      </c>
      <c r="C20" s="48" t="s">
        <v>27</v>
      </c>
      <c r="D20" s="48" t="s">
        <v>264</v>
      </c>
      <c r="E20" s="48" t="s">
        <v>245</v>
      </c>
      <c r="F20" s="48"/>
      <c r="G20" s="218" t="s">
        <v>30</v>
      </c>
      <c r="H20" s="287">
        <v>250</v>
      </c>
      <c r="I20" s="119">
        <v>50</v>
      </c>
      <c r="J20" s="48" t="s">
        <v>31</v>
      </c>
      <c r="K20" s="48" t="s">
        <v>32</v>
      </c>
      <c r="L20" s="2"/>
      <c r="M20" s="2">
        <v>50</v>
      </c>
      <c r="N20" s="2"/>
      <c r="O20" s="2"/>
    </row>
    <row r="21" spans="1:15" ht="15.75" customHeight="1">
      <c r="A21" s="48">
        <v>4</v>
      </c>
      <c r="B21" s="48" t="s">
        <v>1400</v>
      </c>
      <c r="C21" s="48" t="s">
        <v>27</v>
      </c>
      <c r="D21" s="48" t="s">
        <v>1401</v>
      </c>
      <c r="E21" s="48" t="s">
        <v>44</v>
      </c>
      <c r="F21" s="48"/>
      <c r="G21" s="48" t="s">
        <v>1392</v>
      </c>
      <c r="H21" s="51">
        <v>10</v>
      </c>
      <c r="I21" s="119">
        <v>100</v>
      </c>
      <c r="J21" s="48" t="s">
        <v>31</v>
      </c>
      <c r="K21" s="48" t="s">
        <v>32</v>
      </c>
      <c r="L21" s="2"/>
      <c r="M21" s="2"/>
      <c r="N21" s="2"/>
      <c r="O21" s="2"/>
    </row>
    <row r="22" spans="1:15" ht="15.75" customHeight="1">
      <c r="A22" s="48">
        <v>4</v>
      </c>
      <c r="B22" s="48" t="s">
        <v>1402</v>
      </c>
      <c r="C22" s="48" t="s">
        <v>27</v>
      </c>
      <c r="D22" s="48" t="s">
        <v>96</v>
      </c>
      <c r="E22" s="48" t="s">
        <v>44</v>
      </c>
      <c r="F22" s="48"/>
      <c r="G22" s="218" t="s">
        <v>30</v>
      </c>
      <c r="H22" s="287">
        <v>750</v>
      </c>
      <c r="I22" s="119">
        <v>150</v>
      </c>
      <c r="J22" s="48" t="s">
        <v>31</v>
      </c>
      <c r="K22" s="48" t="s">
        <v>32</v>
      </c>
      <c r="L22" s="2"/>
      <c r="M22" s="2">
        <v>150</v>
      </c>
      <c r="N22" s="2"/>
      <c r="O22" s="2"/>
    </row>
    <row r="23" spans="1:15" ht="15.75" customHeight="1">
      <c r="A23" s="48">
        <v>4</v>
      </c>
      <c r="B23" s="48" t="s">
        <v>1403</v>
      </c>
      <c r="C23" s="48" t="s">
        <v>27</v>
      </c>
      <c r="D23" s="48" t="s">
        <v>1404</v>
      </c>
      <c r="E23" s="48" t="s">
        <v>245</v>
      </c>
      <c r="F23" s="48"/>
      <c r="G23" s="48" t="s">
        <v>1392</v>
      </c>
      <c r="H23" s="51">
        <v>10</v>
      </c>
      <c r="I23" s="119">
        <v>100</v>
      </c>
      <c r="J23" s="48" t="s">
        <v>31</v>
      </c>
      <c r="K23" s="48" t="s">
        <v>32</v>
      </c>
      <c r="L23" s="2"/>
      <c r="M23" s="2"/>
      <c r="N23" s="2"/>
      <c r="O23" s="2"/>
    </row>
    <row r="24" spans="1:15" ht="15.75" customHeight="1">
      <c r="A24" s="48">
        <v>4</v>
      </c>
      <c r="B24" s="48" t="s">
        <v>1356</v>
      </c>
      <c r="C24" s="48" t="s">
        <v>27</v>
      </c>
      <c r="D24" s="48" t="s">
        <v>96</v>
      </c>
      <c r="E24" s="48" t="s">
        <v>44</v>
      </c>
      <c r="F24" s="48"/>
      <c r="G24" s="218" t="s">
        <v>30</v>
      </c>
      <c r="H24" s="287">
        <v>1000</v>
      </c>
      <c r="I24" s="119">
        <v>200</v>
      </c>
      <c r="J24" s="48" t="s">
        <v>31</v>
      </c>
      <c r="K24" s="48" t="s">
        <v>32</v>
      </c>
      <c r="L24" s="2"/>
      <c r="M24" s="2">
        <v>200</v>
      </c>
      <c r="N24" s="2"/>
      <c r="O24" s="2"/>
    </row>
    <row r="25" spans="1:15" ht="15.75" customHeight="1">
      <c r="A25" s="48">
        <v>4</v>
      </c>
      <c r="B25" s="48" t="s">
        <v>1405</v>
      </c>
      <c r="C25" s="48" t="s">
        <v>39</v>
      </c>
      <c r="D25" s="48" t="s">
        <v>1406</v>
      </c>
      <c r="E25" s="48" t="s">
        <v>84</v>
      </c>
      <c r="F25" s="48"/>
      <c r="G25" s="48" t="s">
        <v>30</v>
      </c>
      <c r="H25" s="51">
        <v>400</v>
      </c>
      <c r="I25" s="119" t="s">
        <v>90</v>
      </c>
      <c r="J25" s="48" t="s">
        <v>31</v>
      </c>
      <c r="K25" s="48" t="s">
        <v>32</v>
      </c>
      <c r="L25" s="2"/>
      <c r="M25" s="2">
        <v>150</v>
      </c>
      <c r="N25" s="2"/>
      <c r="O25" s="2"/>
    </row>
    <row r="26" spans="1:15" ht="15.75" customHeight="1">
      <c r="A26" s="48">
        <v>4</v>
      </c>
      <c r="B26" s="48" t="s">
        <v>1206</v>
      </c>
      <c r="C26" s="48" t="s">
        <v>27</v>
      </c>
      <c r="D26" s="48" t="s">
        <v>35</v>
      </c>
      <c r="E26" s="48" t="s">
        <v>36</v>
      </c>
      <c r="F26" s="48"/>
      <c r="G26" s="218" t="s">
        <v>30</v>
      </c>
      <c r="H26" s="287">
        <v>6000</v>
      </c>
      <c r="I26" s="119">
        <v>1200</v>
      </c>
      <c r="J26" s="48" t="s">
        <v>31</v>
      </c>
      <c r="K26" s="48" t="s">
        <v>32</v>
      </c>
      <c r="L26" s="2"/>
      <c r="M26" s="2">
        <v>1200</v>
      </c>
      <c r="N26" s="2"/>
      <c r="O26" s="2"/>
    </row>
    <row r="27" spans="1:15" ht="15.75" customHeight="1">
      <c r="A27" s="48">
        <v>4</v>
      </c>
      <c r="B27" s="48" t="s">
        <v>1407</v>
      </c>
      <c r="C27" s="48" t="s">
        <v>27</v>
      </c>
      <c r="D27" s="48" t="s">
        <v>100</v>
      </c>
      <c r="E27" s="48" t="s">
        <v>86</v>
      </c>
      <c r="F27" s="48"/>
      <c r="G27" s="218" t="s">
        <v>30</v>
      </c>
      <c r="H27" s="287">
        <v>300</v>
      </c>
      <c r="I27" s="119">
        <v>60</v>
      </c>
      <c r="J27" s="48" t="s">
        <v>31</v>
      </c>
      <c r="K27" s="48" t="s">
        <v>32</v>
      </c>
      <c r="L27" s="2"/>
      <c r="M27" s="2">
        <v>60</v>
      </c>
      <c r="N27" s="2"/>
      <c r="O27" s="2"/>
    </row>
    <row r="28" spans="1:15" ht="15.75" customHeight="1">
      <c r="A28" s="48">
        <v>4</v>
      </c>
      <c r="B28" s="48" t="s">
        <v>1408</v>
      </c>
      <c r="C28" s="48" t="s">
        <v>39</v>
      </c>
      <c r="D28" s="48"/>
      <c r="E28" s="48" t="s">
        <v>36</v>
      </c>
      <c r="F28" s="48"/>
      <c r="G28" s="48" t="s">
        <v>1392</v>
      </c>
      <c r="H28" s="51">
        <v>175</v>
      </c>
      <c r="I28" s="119">
        <v>875</v>
      </c>
      <c r="J28" s="48" t="s">
        <v>31</v>
      </c>
      <c r="K28" s="48" t="s">
        <v>32</v>
      </c>
      <c r="L28" s="2"/>
      <c r="M28" s="2"/>
      <c r="N28" s="2"/>
      <c r="O28" s="2"/>
    </row>
    <row r="29" spans="1:15" ht="15.75" customHeight="1">
      <c r="A29" s="48">
        <v>4</v>
      </c>
      <c r="B29" s="48" t="s">
        <v>1409</v>
      </c>
      <c r="C29" s="48" t="s">
        <v>27</v>
      </c>
      <c r="D29" s="48" t="s">
        <v>910</v>
      </c>
      <c r="E29" s="48" t="s">
        <v>36</v>
      </c>
      <c r="F29" s="48"/>
      <c r="G29" s="48" t="s">
        <v>30</v>
      </c>
      <c r="H29" s="51">
        <v>500</v>
      </c>
      <c r="I29" s="119" t="s">
        <v>90</v>
      </c>
      <c r="J29" s="48" t="s">
        <v>31</v>
      </c>
      <c r="K29" s="48" t="s">
        <v>32</v>
      </c>
      <c r="L29" s="2"/>
      <c r="M29" s="2">
        <v>100</v>
      </c>
      <c r="N29" s="2"/>
      <c r="O29" s="2"/>
    </row>
    <row r="30" spans="1:15" ht="15.75" customHeight="1">
      <c r="A30" s="48">
        <v>4</v>
      </c>
      <c r="B30" s="48" t="s">
        <v>1409</v>
      </c>
      <c r="C30" s="48" t="s">
        <v>27</v>
      </c>
      <c r="D30" s="48" t="s">
        <v>910</v>
      </c>
      <c r="E30" s="48" t="s">
        <v>36</v>
      </c>
      <c r="F30" s="48"/>
      <c r="G30" s="218" t="s">
        <v>30</v>
      </c>
      <c r="H30" s="287">
        <v>1500</v>
      </c>
      <c r="I30" s="119">
        <v>300</v>
      </c>
      <c r="J30" s="48" t="s">
        <v>31</v>
      </c>
      <c r="K30" s="48" t="s">
        <v>32</v>
      </c>
      <c r="L30" s="2"/>
      <c r="M30" s="2"/>
      <c r="N30" s="2"/>
      <c r="O30" s="2"/>
    </row>
    <row r="31" spans="1:15" ht="15.75" customHeight="1">
      <c r="A31" s="48">
        <v>4</v>
      </c>
      <c r="B31" s="48" t="s">
        <v>1409</v>
      </c>
      <c r="C31" s="48" t="s">
        <v>27</v>
      </c>
      <c r="D31" s="48" t="s">
        <v>910</v>
      </c>
      <c r="E31" s="48" t="s">
        <v>36</v>
      </c>
      <c r="F31" s="48"/>
      <c r="G31" s="48" t="s">
        <v>1392</v>
      </c>
      <c r="H31" s="51">
        <v>70</v>
      </c>
      <c r="I31" s="119">
        <v>350</v>
      </c>
      <c r="J31" s="48" t="s">
        <v>31</v>
      </c>
      <c r="K31" s="48" t="s">
        <v>32</v>
      </c>
      <c r="L31" s="2"/>
      <c r="M31" s="2"/>
      <c r="N31" s="2"/>
      <c r="O31" s="2"/>
    </row>
    <row r="32" spans="1:15" ht="15.75" customHeight="1">
      <c r="A32" s="48">
        <v>4</v>
      </c>
      <c r="B32" s="48" t="s">
        <v>1410</v>
      </c>
      <c r="C32" s="48" t="s">
        <v>27</v>
      </c>
      <c r="D32" s="48" t="s">
        <v>607</v>
      </c>
      <c r="E32" s="48" t="s">
        <v>36</v>
      </c>
      <c r="F32" s="48"/>
      <c r="G32" s="218" t="s">
        <v>30</v>
      </c>
      <c r="H32" s="287">
        <v>1000</v>
      </c>
      <c r="I32" s="119">
        <v>200</v>
      </c>
      <c r="J32" s="48" t="s">
        <v>31</v>
      </c>
      <c r="K32" s="48" t="s">
        <v>32</v>
      </c>
      <c r="L32" s="2"/>
      <c r="M32" s="2">
        <v>200</v>
      </c>
      <c r="N32" s="2"/>
      <c r="O32" s="2"/>
    </row>
    <row r="33" spans="1:15" ht="15.75" customHeight="1">
      <c r="A33" s="48">
        <v>4</v>
      </c>
      <c r="B33" s="48" t="s">
        <v>1411</v>
      </c>
      <c r="C33" s="48" t="s">
        <v>39</v>
      </c>
      <c r="D33" s="48" t="s">
        <v>1412</v>
      </c>
      <c r="E33" s="48" t="s">
        <v>102</v>
      </c>
      <c r="F33" s="48"/>
      <c r="G33" s="218" t="s">
        <v>30</v>
      </c>
      <c r="H33" s="287">
        <v>2000</v>
      </c>
      <c r="I33" s="119">
        <v>400</v>
      </c>
      <c r="J33" s="48" t="s">
        <v>31</v>
      </c>
      <c r="K33" s="48" t="s">
        <v>32</v>
      </c>
      <c r="L33" s="2"/>
      <c r="M33" s="2">
        <v>1600</v>
      </c>
      <c r="N33" s="2"/>
      <c r="O33" s="2"/>
    </row>
    <row r="34" spans="1:15" ht="15.75" customHeight="1">
      <c r="A34" s="48">
        <v>4</v>
      </c>
      <c r="B34" s="48" t="s">
        <v>1413</v>
      </c>
      <c r="C34" s="48" t="s">
        <v>27</v>
      </c>
      <c r="D34" s="48" t="s">
        <v>281</v>
      </c>
      <c r="E34" s="48" t="s">
        <v>44</v>
      </c>
      <c r="F34" s="48"/>
      <c r="G34" s="218" t="s">
        <v>30</v>
      </c>
      <c r="H34" s="287">
        <v>1500</v>
      </c>
      <c r="I34" s="119">
        <v>300</v>
      </c>
      <c r="J34" s="48" t="s">
        <v>31</v>
      </c>
      <c r="K34" s="48" t="s">
        <v>32</v>
      </c>
      <c r="L34" s="2"/>
      <c r="M34" s="2">
        <v>300</v>
      </c>
      <c r="N34" s="2"/>
      <c r="O34" s="2"/>
    </row>
    <row r="35" spans="1:15" ht="15.75" customHeight="1">
      <c r="A35" s="48">
        <v>4</v>
      </c>
      <c r="B35" s="48" t="s">
        <v>1414</v>
      </c>
      <c r="C35" s="48" t="s">
        <v>27</v>
      </c>
      <c r="D35" s="48" t="s">
        <v>1415</v>
      </c>
      <c r="E35" s="48" t="s">
        <v>79</v>
      </c>
      <c r="F35" s="48"/>
      <c r="G35" s="218" t="s">
        <v>30</v>
      </c>
      <c r="H35" s="287">
        <v>250</v>
      </c>
      <c r="I35" s="119">
        <v>50</v>
      </c>
      <c r="J35" s="48" t="s">
        <v>31</v>
      </c>
      <c r="K35" s="48" t="s">
        <v>32</v>
      </c>
      <c r="L35" s="2"/>
      <c r="M35" s="2">
        <v>150</v>
      </c>
      <c r="N35" s="2"/>
      <c r="O35" s="2"/>
    </row>
    <row r="36" spans="1:15" ht="15.75" customHeight="1">
      <c r="A36" s="48">
        <v>4</v>
      </c>
      <c r="B36" s="48" t="s">
        <v>1416</v>
      </c>
      <c r="C36" s="48" t="s">
        <v>27</v>
      </c>
      <c r="D36" s="48" t="s">
        <v>657</v>
      </c>
      <c r="E36" s="48" t="s">
        <v>84</v>
      </c>
      <c r="F36" s="48"/>
      <c r="G36" s="218" t="s">
        <v>30</v>
      </c>
      <c r="H36" s="287">
        <v>3000</v>
      </c>
      <c r="I36" s="119">
        <v>600</v>
      </c>
      <c r="J36" s="48" t="s">
        <v>31</v>
      </c>
      <c r="K36" s="48" t="s">
        <v>32</v>
      </c>
      <c r="L36" s="2"/>
      <c r="M36" s="2">
        <v>600</v>
      </c>
      <c r="N36" s="2"/>
      <c r="O36" s="2"/>
    </row>
    <row r="37" spans="1:15" ht="15.75" customHeight="1">
      <c r="A37" s="48">
        <v>4</v>
      </c>
      <c r="B37" s="48" t="s">
        <v>1417</v>
      </c>
      <c r="C37" s="48" t="s">
        <v>27</v>
      </c>
      <c r="D37" s="48" t="s">
        <v>256</v>
      </c>
      <c r="E37" s="48" t="s">
        <v>245</v>
      </c>
      <c r="F37" s="48"/>
      <c r="G37" s="218" t="s">
        <v>30</v>
      </c>
      <c r="H37" s="287">
        <v>2300</v>
      </c>
      <c r="I37" s="119">
        <v>460</v>
      </c>
      <c r="J37" s="48" t="s">
        <v>31</v>
      </c>
      <c r="K37" s="48" t="s">
        <v>32</v>
      </c>
      <c r="L37" s="2"/>
      <c r="M37" s="2">
        <v>300</v>
      </c>
      <c r="N37" s="2"/>
      <c r="O37" s="2"/>
    </row>
    <row r="38" spans="1:15" ht="15.75" customHeight="1">
      <c r="A38" s="48">
        <v>4</v>
      </c>
      <c r="B38" s="48" t="s">
        <v>1418</v>
      </c>
      <c r="C38" s="48" t="s">
        <v>27</v>
      </c>
      <c r="D38" s="48" t="s">
        <v>1419</v>
      </c>
      <c r="E38" s="48" t="s">
        <v>73</v>
      </c>
      <c r="F38" s="48"/>
      <c r="G38" s="48" t="s">
        <v>30</v>
      </c>
      <c r="H38" s="51">
        <v>500</v>
      </c>
      <c r="I38" s="119" t="s">
        <v>90</v>
      </c>
      <c r="J38" s="48" t="s">
        <v>31</v>
      </c>
      <c r="K38" s="48" t="s">
        <v>32</v>
      </c>
      <c r="L38" s="2"/>
      <c r="M38" s="2">
        <v>100</v>
      </c>
      <c r="N38" s="2"/>
      <c r="O38" s="2"/>
    </row>
    <row r="39" spans="1:15" ht="15.75" customHeight="1">
      <c r="A39" s="48">
        <v>4</v>
      </c>
      <c r="B39" s="48" t="s">
        <v>1420</v>
      </c>
      <c r="C39" s="48" t="s">
        <v>27</v>
      </c>
      <c r="D39" s="48" t="s">
        <v>1421</v>
      </c>
      <c r="E39" s="48" t="s">
        <v>102</v>
      </c>
      <c r="F39" s="48"/>
      <c r="G39" s="218" t="s">
        <v>30</v>
      </c>
      <c r="H39" s="287">
        <v>1000</v>
      </c>
      <c r="I39" s="119">
        <v>200</v>
      </c>
      <c r="J39" s="48" t="s">
        <v>31</v>
      </c>
      <c r="K39" s="48" t="s">
        <v>32</v>
      </c>
      <c r="L39" s="2"/>
      <c r="M39" s="2">
        <v>300</v>
      </c>
      <c r="N39" s="2"/>
      <c r="O39" s="2"/>
    </row>
    <row r="40" spans="1:15" ht="15.75" customHeight="1">
      <c r="A40" s="48">
        <v>4</v>
      </c>
      <c r="B40" s="48" t="s">
        <v>1422</v>
      </c>
      <c r="C40" s="48" t="s">
        <v>27</v>
      </c>
      <c r="D40" s="48" t="s">
        <v>1423</v>
      </c>
      <c r="E40" s="48" t="s">
        <v>310</v>
      </c>
      <c r="F40" s="48"/>
      <c r="G40" s="218" t="s">
        <v>30</v>
      </c>
      <c r="H40" s="287">
        <v>2500</v>
      </c>
      <c r="I40" s="119">
        <v>500</v>
      </c>
      <c r="J40" s="48" t="s">
        <v>31</v>
      </c>
      <c r="K40" s="48" t="s">
        <v>32</v>
      </c>
      <c r="L40" s="2"/>
      <c r="M40" s="2">
        <v>300</v>
      </c>
      <c r="N40" s="2"/>
      <c r="O40" s="2"/>
    </row>
    <row r="41" spans="1:15" ht="15.75" customHeight="1">
      <c r="A41" s="48">
        <v>4</v>
      </c>
      <c r="B41" s="48" t="s">
        <v>1424</v>
      </c>
      <c r="C41" s="48" t="s">
        <v>27</v>
      </c>
      <c r="D41" s="48" t="s">
        <v>104</v>
      </c>
      <c r="E41" s="48" t="s">
        <v>36</v>
      </c>
      <c r="F41" s="48"/>
      <c r="G41" s="218" t="s">
        <v>30</v>
      </c>
      <c r="H41" s="287">
        <v>2000</v>
      </c>
      <c r="I41" s="119">
        <v>400</v>
      </c>
      <c r="J41" s="48" t="s">
        <v>31</v>
      </c>
      <c r="K41" s="48" t="s">
        <v>32</v>
      </c>
      <c r="L41" s="2"/>
      <c r="M41" s="2">
        <v>250</v>
      </c>
      <c r="N41" s="2"/>
      <c r="O41" s="2"/>
    </row>
    <row r="42" spans="1:15" ht="15.75" customHeight="1">
      <c r="A42" s="48">
        <v>4</v>
      </c>
      <c r="B42" s="48" t="s">
        <v>42</v>
      </c>
      <c r="C42" s="48" t="s">
        <v>27</v>
      </c>
      <c r="D42" s="48" t="s">
        <v>43</v>
      </c>
      <c r="E42" s="48" t="s">
        <v>44</v>
      </c>
      <c r="F42" s="48"/>
      <c r="G42" s="218" t="s">
        <v>30</v>
      </c>
      <c r="H42" s="287">
        <v>2500</v>
      </c>
      <c r="I42" s="119">
        <v>500</v>
      </c>
      <c r="J42" s="48" t="s">
        <v>31</v>
      </c>
      <c r="K42" s="48" t="s">
        <v>32</v>
      </c>
      <c r="L42" s="2"/>
      <c r="M42" s="2">
        <v>500</v>
      </c>
      <c r="N42" s="2"/>
      <c r="O42" s="2"/>
    </row>
    <row r="43" spans="1:15" ht="15.75" customHeight="1">
      <c r="A43" s="48">
        <v>4</v>
      </c>
      <c r="B43" s="48" t="s">
        <v>1425</v>
      </c>
      <c r="C43" s="48" t="s">
        <v>27</v>
      </c>
      <c r="D43" s="48" t="s">
        <v>266</v>
      </c>
      <c r="E43" s="48" t="s">
        <v>79</v>
      </c>
      <c r="F43" s="48"/>
      <c r="G43" s="218" t="s">
        <v>30</v>
      </c>
      <c r="H43" s="287">
        <v>5000</v>
      </c>
      <c r="I43" s="119">
        <v>1000</v>
      </c>
      <c r="J43" s="48" t="s">
        <v>31</v>
      </c>
      <c r="K43" s="48" t="s">
        <v>32</v>
      </c>
      <c r="L43" s="2"/>
      <c r="M43" s="2">
        <v>1000</v>
      </c>
      <c r="N43" s="2"/>
      <c r="O43" s="2"/>
    </row>
    <row r="44" spans="1:15" ht="15.75" customHeight="1">
      <c r="A44" s="48">
        <v>4</v>
      </c>
      <c r="B44" s="48" t="s">
        <v>1426</v>
      </c>
      <c r="C44" s="48" t="s">
        <v>39</v>
      </c>
      <c r="D44" s="48" t="s">
        <v>128</v>
      </c>
      <c r="E44" s="48" t="s">
        <v>36</v>
      </c>
      <c r="F44" s="48"/>
      <c r="G44" s="218" t="s">
        <v>30</v>
      </c>
      <c r="H44" s="287">
        <v>100</v>
      </c>
      <c r="I44" s="119">
        <v>20</v>
      </c>
      <c r="J44" s="48" t="s">
        <v>31</v>
      </c>
      <c r="K44" s="48" t="s">
        <v>32</v>
      </c>
      <c r="L44" s="2"/>
      <c r="M44" s="2">
        <v>20</v>
      </c>
      <c r="N44" s="2"/>
      <c r="O44" s="2"/>
    </row>
    <row r="45" spans="1:15" ht="15.75" customHeight="1">
      <c r="A45" s="48">
        <v>4</v>
      </c>
      <c r="B45" s="48" t="s">
        <v>1427</v>
      </c>
      <c r="C45" s="48" t="s">
        <v>27</v>
      </c>
      <c r="D45" s="48" t="s">
        <v>434</v>
      </c>
      <c r="E45" s="48" t="s">
        <v>36</v>
      </c>
      <c r="F45" s="48"/>
      <c r="G45" s="218" t="s">
        <v>30</v>
      </c>
      <c r="H45" s="287">
        <v>6000</v>
      </c>
      <c r="I45" s="119">
        <v>1200</v>
      </c>
      <c r="J45" s="48" t="s">
        <v>31</v>
      </c>
      <c r="K45" s="48" t="s">
        <v>32</v>
      </c>
      <c r="L45" s="2"/>
      <c r="M45" s="2">
        <v>1000</v>
      </c>
      <c r="N45" s="2"/>
      <c r="O45" s="2"/>
    </row>
    <row r="46" spans="1:15" ht="15.75" customHeight="1">
      <c r="A46" s="48">
        <v>4</v>
      </c>
      <c r="B46" s="58" t="s">
        <v>1428</v>
      </c>
      <c r="C46" s="58" t="s">
        <v>27</v>
      </c>
      <c r="D46" s="58" t="s">
        <v>35</v>
      </c>
      <c r="E46" s="58" t="s">
        <v>36</v>
      </c>
      <c r="F46" s="58"/>
      <c r="G46" s="288" t="s">
        <v>30</v>
      </c>
      <c r="H46" s="289">
        <v>1000</v>
      </c>
      <c r="I46" s="160">
        <v>200</v>
      </c>
      <c r="J46" s="48" t="s">
        <v>31</v>
      </c>
      <c r="K46" s="48" t="s">
        <v>32</v>
      </c>
      <c r="L46" s="2"/>
      <c r="M46" s="2">
        <v>250</v>
      </c>
      <c r="N46" s="2"/>
      <c r="O46" s="2"/>
    </row>
    <row r="47" spans="1:15" ht="15.75" customHeight="1">
      <c r="A47" s="62">
        <v>5</v>
      </c>
      <c r="B47" s="62" t="s">
        <v>1429</v>
      </c>
      <c r="C47" s="62" t="s">
        <v>27</v>
      </c>
      <c r="D47" s="62" t="s">
        <v>100</v>
      </c>
      <c r="E47" s="62" t="s">
        <v>86</v>
      </c>
      <c r="F47" s="62"/>
      <c r="G47" s="290" t="s">
        <v>30</v>
      </c>
      <c r="H47" s="291">
        <v>2000</v>
      </c>
      <c r="I47" s="159">
        <v>400</v>
      </c>
      <c r="J47" s="48" t="s">
        <v>31</v>
      </c>
      <c r="K47" s="48" t="s">
        <v>32</v>
      </c>
      <c r="L47" s="2"/>
      <c r="M47" s="2">
        <v>400</v>
      </c>
      <c r="N47" s="2"/>
      <c r="O47" s="2"/>
    </row>
    <row r="48" spans="1:15" ht="15.75" customHeight="1">
      <c r="A48" s="62">
        <v>5</v>
      </c>
      <c r="B48" s="48" t="s">
        <v>1430</v>
      </c>
      <c r="C48" s="48" t="s">
        <v>27</v>
      </c>
      <c r="D48" s="48" t="s">
        <v>1431</v>
      </c>
      <c r="E48" s="48" t="s">
        <v>44</v>
      </c>
      <c r="F48" s="48"/>
      <c r="G48" s="218" t="s">
        <v>30</v>
      </c>
      <c r="H48" s="287">
        <v>1000</v>
      </c>
      <c r="I48" s="119">
        <v>200</v>
      </c>
      <c r="J48" s="48" t="s">
        <v>31</v>
      </c>
      <c r="K48" s="48" t="s">
        <v>32</v>
      </c>
      <c r="L48" s="2"/>
      <c r="M48" s="2">
        <v>200</v>
      </c>
      <c r="N48" s="2"/>
      <c r="O48" s="2"/>
    </row>
    <row r="49" spans="1:16" ht="15.75" customHeight="1">
      <c r="A49" s="62">
        <v>5</v>
      </c>
      <c r="B49" s="48" t="s">
        <v>1403</v>
      </c>
      <c r="C49" s="48" t="s">
        <v>27</v>
      </c>
      <c r="D49" s="48" t="s">
        <v>1404</v>
      </c>
      <c r="E49" s="48" t="s">
        <v>245</v>
      </c>
      <c r="F49" s="48"/>
      <c r="G49" s="48" t="s">
        <v>1392</v>
      </c>
      <c r="H49" s="51">
        <v>5</v>
      </c>
      <c r="I49" s="119">
        <v>50</v>
      </c>
      <c r="J49" s="48" t="s">
        <v>31</v>
      </c>
      <c r="K49" s="48" t="s">
        <v>32</v>
      </c>
      <c r="L49" s="2"/>
      <c r="M49" s="2"/>
      <c r="N49" s="2"/>
      <c r="O49" s="2"/>
    </row>
    <row r="50" spans="1:16" ht="15.75" customHeight="1">
      <c r="A50" s="62">
        <v>5</v>
      </c>
      <c r="B50" s="48" t="s">
        <v>1432</v>
      </c>
      <c r="C50" s="48" t="s">
        <v>27</v>
      </c>
      <c r="D50" s="48" t="s">
        <v>110</v>
      </c>
      <c r="E50" s="48" t="s">
        <v>36</v>
      </c>
      <c r="F50" s="48"/>
      <c r="G50" s="218" t="s">
        <v>30</v>
      </c>
      <c r="H50" s="287">
        <v>500</v>
      </c>
      <c r="I50" s="119">
        <v>100</v>
      </c>
      <c r="J50" s="48" t="s">
        <v>31</v>
      </c>
      <c r="K50" s="48" t="s">
        <v>32</v>
      </c>
      <c r="L50" s="2"/>
      <c r="M50" s="2">
        <v>150</v>
      </c>
      <c r="N50" s="2"/>
      <c r="O50" s="2"/>
    </row>
    <row r="51" spans="1:16" ht="15.75" customHeight="1">
      <c r="A51" s="62">
        <v>5</v>
      </c>
      <c r="B51" s="48" t="s">
        <v>1433</v>
      </c>
      <c r="C51" s="48" t="s">
        <v>27</v>
      </c>
      <c r="D51" s="48" t="s">
        <v>98</v>
      </c>
      <c r="E51" s="48" t="s">
        <v>36</v>
      </c>
      <c r="F51" s="48"/>
      <c r="G51" s="48" t="s">
        <v>30</v>
      </c>
      <c r="H51" s="51">
        <v>500</v>
      </c>
      <c r="I51" s="119" t="s">
        <v>90</v>
      </c>
      <c r="J51" s="48" t="s">
        <v>31</v>
      </c>
      <c r="K51" s="48" t="s">
        <v>32</v>
      </c>
      <c r="L51" s="2"/>
      <c r="M51" s="2">
        <v>100</v>
      </c>
      <c r="N51" s="2"/>
      <c r="O51" s="2"/>
    </row>
    <row r="52" spans="1:16" ht="15.75" customHeight="1">
      <c r="A52" s="62">
        <v>5</v>
      </c>
      <c r="B52" s="48" t="s">
        <v>1434</v>
      </c>
      <c r="C52" s="48" t="s">
        <v>27</v>
      </c>
      <c r="D52" s="48" t="s">
        <v>728</v>
      </c>
      <c r="E52" s="48" t="s">
        <v>86</v>
      </c>
      <c r="F52" s="48"/>
      <c r="G52" s="218" t="s">
        <v>30</v>
      </c>
      <c r="H52" s="287">
        <v>500</v>
      </c>
      <c r="I52" s="119">
        <v>100</v>
      </c>
      <c r="J52" s="48" t="s">
        <v>31</v>
      </c>
      <c r="K52" s="48" t="s">
        <v>32</v>
      </c>
      <c r="L52" s="2"/>
      <c r="M52" s="2">
        <v>100</v>
      </c>
      <c r="N52" s="2"/>
      <c r="O52" s="2"/>
    </row>
    <row r="53" spans="1:16" ht="15.75" customHeight="1">
      <c r="A53" s="62">
        <v>5</v>
      </c>
      <c r="B53" s="48" t="s">
        <v>1435</v>
      </c>
      <c r="C53" s="48" t="s">
        <v>27</v>
      </c>
      <c r="D53" s="48" t="s">
        <v>434</v>
      </c>
      <c r="E53" s="48" t="s">
        <v>36</v>
      </c>
      <c r="F53" s="48"/>
      <c r="G53" s="218" t="s">
        <v>30</v>
      </c>
      <c r="H53" s="287">
        <v>3000</v>
      </c>
      <c r="I53" s="119">
        <v>600</v>
      </c>
      <c r="J53" s="48" t="s">
        <v>31</v>
      </c>
      <c r="K53" s="48" t="s">
        <v>32</v>
      </c>
      <c r="L53" s="2"/>
      <c r="M53" s="2">
        <v>3000</v>
      </c>
      <c r="N53" s="2"/>
      <c r="O53" s="2"/>
    </row>
    <row r="54" spans="1:16" ht="15.75" customHeight="1">
      <c r="A54" s="62">
        <v>5</v>
      </c>
      <c r="B54" s="48" t="s">
        <v>1436</v>
      </c>
      <c r="C54" s="48" t="s">
        <v>39</v>
      </c>
      <c r="D54" s="48" t="s">
        <v>110</v>
      </c>
      <c r="E54" s="48" t="s">
        <v>36</v>
      </c>
      <c r="F54" s="48"/>
      <c r="G54" s="218" t="s">
        <v>30</v>
      </c>
      <c r="H54" s="287">
        <v>3000</v>
      </c>
      <c r="I54" s="119">
        <v>600</v>
      </c>
      <c r="J54" s="48" t="s">
        <v>31</v>
      </c>
      <c r="K54" s="48" t="s">
        <v>32</v>
      </c>
      <c r="L54" s="2"/>
      <c r="M54" s="2">
        <v>600</v>
      </c>
      <c r="N54" s="2"/>
      <c r="O54" s="2"/>
    </row>
    <row r="55" spans="1:16" ht="15.75" customHeight="1">
      <c r="A55" s="62">
        <v>5</v>
      </c>
      <c r="B55" s="48" t="s">
        <v>1437</v>
      </c>
      <c r="C55" s="48" t="s">
        <v>39</v>
      </c>
      <c r="D55" s="48" t="s">
        <v>657</v>
      </c>
      <c r="E55" s="48" t="s">
        <v>84</v>
      </c>
      <c r="F55" s="48"/>
      <c r="G55" s="218" t="s">
        <v>30</v>
      </c>
      <c r="H55" s="287">
        <v>100</v>
      </c>
      <c r="I55" s="119">
        <v>20</v>
      </c>
      <c r="J55" s="48" t="s">
        <v>31</v>
      </c>
      <c r="K55" s="48" t="s">
        <v>32</v>
      </c>
      <c r="L55" s="2"/>
      <c r="M55" s="2"/>
      <c r="N55" s="2"/>
      <c r="O55" s="2"/>
    </row>
    <row r="56" spans="1:16" ht="15.75" customHeight="1">
      <c r="A56" s="62">
        <v>5</v>
      </c>
      <c r="B56" s="48" t="s">
        <v>1438</v>
      </c>
      <c r="C56" s="48" t="s">
        <v>27</v>
      </c>
      <c r="D56" s="48" t="s">
        <v>1439</v>
      </c>
      <c r="E56" s="48" t="s">
        <v>54</v>
      </c>
      <c r="F56" s="48"/>
      <c r="G56" s="218" t="s">
        <v>30</v>
      </c>
      <c r="H56" s="287">
        <v>2000</v>
      </c>
      <c r="I56" s="119">
        <v>400</v>
      </c>
      <c r="J56" s="48" t="s">
        <v>31</v>
      </c>
      <c r="K56" s="48" t="s">
        <v>32</v>
      </c>
      <c r="L56" s="2"/>
      <c r="M56" s="2">
        <v>400</v>
      </c>
      <c r="N56" s="2"/>
      <c r="O56" s="2"/>
    </row>
    <row r="57" spans="1:16" ht="15.75" customHeight="1">
      <c r="A57" s="62">
        <v>5</v>
      </c>
      <c r="B57" s="48" t="s">
        <v>1440</v>
      </c>
      <c r="C57" s="48" t="s">
        <v>27</v>
      </c>
      <c r="D57" s="48" t="s">
        <v>289</v>
      </c>
      <c r="E57" s="48" t="s">
        <v>36</v>
      </c>
      <c r="F57" s="48"/>
      <c r="G57" s="48" t="s">
        <v>30</v>
      </c>
      <c r="H57" s="51">
        <v>500</v>
      </c>
      <c r="I57" s="119" t="s">
        <v>90</v>
      </c>
      <c r="J57" s="48" t="s">
        <v>31</v>
      </c>
      <c r="K57" s="48" t="s">
        <v>32</v>
      </c>
      <c r="L57" s="2"/>
      <c r="M57" s="2">
        <v>250</v>
      </c>
      <c r="N57" s="2"/>
      <c r="O57" s="2"/>
    </row>
    <row r="58" spans="1:16" ht="15.75" customHeight="1">
      <c r="A58" s="62">
        <v>5</v>
      </c>
      <c r="B58" s="48" t="s">
        <v>1440</v>
      </c>
      <c r="C58" s="48" t="s">
        <v>27</v>
      </c>
      <c r="D58" s="48" t="s">
        <v>289</v>
      </c>
      <c r="E58" s="48" t="s">
        <v>36</v>
      </c>
      <c r="F58" s="48"/>
      <c r="G58" s="218" t="s">
        <v>30</v>
      </c>
      <c r="H58" s="287">
        <v>1000</v>
      </c>
      <c r="I58" s="119">
        <v>200</v>
      </c>
      <c r="J58" s="48" t="s">
        <v>31</v>
      </c>
      <c r="K58" s="48" t="s">
        <v>32</v>
      </c>
      <c r="L58" s="2"/>
      <c r="M58" s="2"/>
      <c r="N58" s="2"/>
      <c r="O58" s="2"/>
    </row>
    <row r="59" spans="1:16" ht="15.75" customHeight="1">
      <c r="A59" s="62">
        <v>5</v>
      </c>
      <c r="B59" s="48" t="s">
        <v>1441</v>
      </c>
      <c r="C59" s="48" t="s">
        <v>27</v>
      </c>
      <c r="D59" s="48" t="s">
        <v>289</v>
      </c>
      <c r="E59" s="48" t="s">
        <v>36</v>
      </c>
      <c r="F59" s="48"/>
      <c r="G59" s="48" t="s">
        <v>30</v>
      </c>
      <c r="H59" s="51">
        <v>500</v>
      </c>
      <c r="I59" s="119" t="s">
        <v>90</v>
      </c>
      <c r="J59" s="48" t="s">
        <v>31</v>
      </c>
      <c r="K59" s="48" t="s">
        <v>32</v>
      </c>
      <c r="L59" s="2"/>
      <c r="M59" s="2">
        <v>50</v>
      </c>
      <c r="N59" s="2"/>
      <c r="O59" s="2"/>
    </row>
    <row r="60" spans="1:16" ht="15.75" customHeight="1">
      <c r="A60" s="62">
        <v>5</v>
      </c>
      <c r="B60" s="48" t="s">
        <v>1441</v>
      </c>
      <c r="C60" s="48" t="s">
        <v>27</v>
      </c>
      <c r="D60" s="48" t="s">
        <v>289</v>
      </c>
      <c r="E60" s="48" t="s">
        <v>36</v>
      </c>
      <c r="F60" s="48"/>
      <c r="G60" s="218" t="s">
        <v>30</v>
      </c>
      <c r="H60" s="287">
        <v>1000</v>
      </c>
      <c r="I60" s="119">
        <v>200</v>
      </c>
      <c r="J60" s="48" t="s">
        <v>31</v>
      </c>
      <c r="K60" s="48" t="s">
        <v>32</v>
      </c>
      <c r="L60" s="2"/>
      <c r="M60" s="2"/>
      <c r="N60" s="2"/>
      <c r="O60" s="752" t="s">
        <v>1442</v>
      </c>
      <c r="P60" s="719"/>
    </row>
    <row r="61" spans="1:16" ht="15.75" customHeight="1">
      <c r="A61" s="62">
        <v>5</v>
      </c>
      <c r="B61" s="48" t="s">
        <v>1443</v>
      </c>
      <c r="C61" s="48" t="s">
        <v>27</v>
      </c>
      <c r="D61" s="48" t="s">
        <v>289</v>
      </c>
      <c r="E61" s="48" t="s">
        <v>36</v>
      </c>
      <c r="F61" s="48"/>
      <c r="G61" s="48" t="s">
        <v>30</v>
      </c>
      <c r="H61" s="51">
        <v>500</v>
      </c>
      <c r="I61" s="119" t="s">
        <v>90</v>
      </c>
      <c r="J61" s="48" t="s">
        <v>31</v>
      </c>
      <c r="K61" s="48" t="s">
        <v>32</v>
      </c>
      <c r="L61" s="2"/>
      <c r="M61" s="2">
        <v>400</v>
      </c>
      <c r="N61" s="2"/>
      <c r="O61" s="772" t="s">
        <v>25</v>
      </c>
      <c r="P61" s="719"/>
    </row>
    <row r="62" spans="1:16" ht="15.75" customHeight="1">
      <c r="A62" s="62">
        <v>5</v>
      </c>
      <c r="B62" s="48" t="s">
        <v>1443</v>
      </c>
      <c r="C62" s="48" t="s">
        <v>27</v>
      </c>
      <c r="D62" s="48" t="s">
        <v>289</v>
      </c>
      <c r="E62" s="48" t="s">
        <v>36</v>
      </c>
      <c r="F62" s="48"/>
      <c r="G62" s="218" t="s">
        <v>30</v>
      </c>
      <c r="H62" s="287">
        <v>1500</v>
      </c>
      <c r="I62" s="119">
        <v>300</v>
      </c>
      <c r="J62" s="48" t="s">
        <v>31</v>
      </c>
      <c r="K62" s="48" t="s">
        <v>32</v>
      </c>
      <c r="L62" s="2"/>
      <c r="M62" s="2"/>
      <c r="N62" s="55"/>
      <c r="O62" s="48" t="s">
        <v>33</v>
      </c>
      <c r="P62" s="51">
        <v>64800</v>
      </c>
    </row>
    <row r="63" spans="1:16" ht="15.75" customHeight="1">
      <c r="A63" s="62">
        <v>5</v>
      </c>
      <c r="B63" s="48" t="s">
        <v>1444</v>
      </c>
      <c r="C63" s="48" t="s">
        <v>27</v>
      </c>
      <c r="D63" s="48" t="s">
        <v>104</v>
      </c>
      <c r="E63" s="48" t="s">
        <v>36</v>
      </c>
      <c r="F63" s="48"/>
      <c r="G63" s="218" t="s">
        <v>30</v>
      </c>
      <c r="H63" s="287">
        <v>2000</v>
      </c>
      <c r="I63" s="119">
        <v>400</v>
      </c>
      <c r="J63" s="48" t="s">
        <v>31</v>
      </c>
      <c r="K63" s="48" t="s">
        <v>32</v>
      </c>
      <c r="L63" s="2"/>
      <c r="M63" s="2">
        <v>300</v>
      </c>
      <c r="N63" s="55"/>
      <c r="O63" s="48" t="s">
        <v>37</v>
      </c>
      <c r="P63" s="51">
        <v>3400</v>
      </c>
    </row>
    <row r="64" spans="1:16" ht="15.75" customHeight="1">
      <c r="A64" s="62">
        <v>5</v>
      </c>
      <c r="B64" s="62" t="s">
        <v>1445</v>
      </c>
      <c r="C64" s="62" t="s">
        <v>27</v>
      </c>
      <c r="D64" s="62" t="s">
        <v>100</v>
      </c>
      <c r="E64" s="62" t="s">
        <v>86</v>
      </c>
      <c r="F64" s="62"/>
      <c r="G64" s="290" t="s">
        <v>30</v>
      </c>
      <c r="H64" s="291">
        <v>1700</v>
      </c>
      <c r="I64" s="159">
        <v>340</v>
      </c>
      <c r="J64" s="48" t="s">
        <v>31</v>
      </c>
      <c r="K64" s="48" t="s">
        <v>32</v>
      </c>
      <c r="L64" s="2"/>
      <c r="M64" s="2">
        <v>340</v>
      </c>
      <c r="N64" s="55"/>
      <c r="O64" s="48" t="s">
        <v>282</v>
      </c>
      <c r="P64" s="51">
        <v>68200</v>
      </c>
    </row>
    <row r="65" spans="1:16" ht="15.75" customHeight="1">
      <c r="A65" s="62">
        <v>5</v>
      </c>
      <c r="B65" s="62" t="s">
        <v>1446</v>
      </c>
      <c r="C65" s="62" t="s">
        <v>27</v>
      </c>
      <c r="D65" s="62" t="s">
        <v>623</v>
      </c>
      <c r="E65" s="62" t="s">
        <v>44</v>
      </c>
      <c r="F65" s="62"/>
      <c r="G65" s="290" t="s">
        <v>30</v>
      </c>
      <c r="H65" s="291">
        <v>500</v>
      </c>
      <c r="I65" s="159">
        <v>100</v>
      </c>
      <c r="J65" s="48" t="s">
        <v>31</v>
      </c>
      <c r="K65" s="48" t="s">
        <v>32</v>
      </c>
      <c r="L65" s="2"/>
      <c r="M65" s="2">
        <v>100</v>
      </c>
      <c r="N65" s="2"/>
      <c r="O65" s="772" t="s">
        <v>286</v>
      </c>
      <c r="P65" s="719"/>
    </row>
    <row r="66" spans="1:16" ht="15.75" customHeight="1">
      <c r="A66" s="62">
        <v>5</v>
      </c>
      <c r="B66" s="58" t="s">
        <v>1447</v>
      </c>
      <c r="C66" s="58" t="s">
        <v>27</v>
      </c>
      <c r="D66" s="58" t="s">
        <v>84</v>
      </c>
      <c r="E66" s="58" t="s">
        <v>84</v>
      </c>
      <c r="F66" s="58"/>
      <c r="G66" s="288" t="s">
        <v>30</v>
      </c>
      <c r="H66" s="289">
        <v>500</v>
      </c>
      <c r="I66" s="160">
        <v>100</v>
      </c>
      <c r="J66" s="48" t="s">
        <v>31</v>
      </c>
      <c r="K66" s="48" t="s">
        <v>32</v>
      </c>
      <c r="L66" s="2"/>
      <c r="M66" s="2">
        <v>100</v>
      </c>
      <c r="N66" s="55"/>
      <c r="O66" s="48" t="s">
        <v>580</v>
      </c>
      <c r="P66" s="48">
        <v>285</v>
      </c>
    </row>
    <row r="67" spans="1:16" ht="15.75" customHeight="1">
      <c r="A67" s="62">
        <v>6</v>
      </c>
      <c r="B67" s="62" t="s">
        <v>1448</v>
      </c>
      <c r="C67" s="62" t="s">
        <v>27</v>
      </c>
      <c r="D67" s="62" t="s">
        <v>666</v>
      </c>
      <c r="E67" s="62" t="s">
        <v>36</v>
      </c>
      <c r="F67" s="62"/>
      <c r="G67" s="62" t="s">
        <v>30</v>
      </c>
      <c r="H67" s="63">
        <v>500</v>
      </c>
      <c r="I67" s="159" t="s">
        <v>90</v>
      </c>
      <c r="J67" s="48" t="s">
        <v>31</v>
      </c>
      <c r="K67" s="48" t="s">
        <v>32</v>
      </c>
      <c r="L67" s="2"/>
      <c r="M67" s="2">
        <v>36</v>
      </c>
      <c r="N67" s="2"/>
      <c r="O67" s="2"/>
    </row>
    <row r="68" spans="1:16" ht="15.75" customHeight="1">
      <c r="A68" s="62">
        <v>6</v>
      </c>
      <c r="B68" s="62" t="s">
        <v>1449</v>
      </c>
      <c r="C68" s="62" t="s">
        <v>27</v>
      </c>
      <c r="D68" s="62" t="s">
        <v>659</v>
      </c>
      <c r="E68" s="62" t="s">
        <v>86</v>
      </c>
      <c r="F68" s="62"/>
      <c r="G68" s="62" t="s">
        <v>30</v>
      </c>
      <c r="H68" s="63">
        <v>3600</v>
      </c>
      <c r="I68" s="159">
        <v>720</v>
      </c>
      <c r="J68" s="48" t="s">
        <v>31</v>
      </c>
      <c r="K68" s="48" t="s">
        <v>32</v>
      </c>
      <c r="L68" s="2"/>
      <c r="M68" s="2">
        <v>600</v>
      </c>
      <c r="N68" s="2"/>
      <c r="O68" s="2"/>
    </row>
    <row r="69" spans="1:16" ht="15.75" customHeight="1">
      <c r="A69" s="62">
        <v>6</v>
      </c>
      <c r="B69" s="62" t="s">
        <v>1450</v>
      </c>
      <c r="C69" s="62" t="s">
        <v>27</v>
      </c>
      <c r="D69" s="62" t="s">
        <v>65</v>
      </c>
      <c r="E69" s="62" t="s">
        <v>36</v>
      </c>
      <c r="F69" s="62"/>
      <c r="G69" s="62" t="s">
        <v>30</v>
      </c>
      <c r="H69" s="63">
        <v>3500</v>
      </c>
      <c r="I69" s="159">
        <v>700</v>
      </c>
      <c r="J69" s="48" t="s">
        <v>31</v>
      </c>
      <c r="K69" s="48" t="s">
        <v>32</v>
      </c>
      <c r="L69" s="2"/>
      <c r="M69" s="2">
        <v>600</v>
      </c>
      <c r="N69" s="2"/>
      <c r="O69" s="2"/>
    </row>
    <row r="70" spans="1:16" ht="15.75" customHeight="1">
      <c r="A70" s="62">
        <v>6</v>
      </c>
      <c r="B70" s="62" t="s">
        <v>1451</v>
      </c>
      <c r="C70" s="62" t="s">
        <v>27</v>
      </c>
      <c r="D70" s="62" t="s">
        <v>483</v>
      </c>
      <c r="E70" s="62" t="s">
        <v>484</v>
      </c>
      <c r="F70" s="62"/>
      <c r="G70" s="62" t="s">
        <v>30</v>
      </c>
      <c r="H70" s="63">
        <v>1000</v>
      </c>
      <c r="I70" s="159">
        <v>200</v>
      </c>
      <c r="J70" s="48" t="s">
        <v>31</v>
      </c>
      <c r="K70" s="48" t="s">
        <v>32</v>
      </c>
      <c r="L70" s="2"/>
      <c r="M70" s="2">
        <v>150</v>
      </c>
      <c r="N70" s="2"/>
      <c r="O70" s="2"/>
    </row>
    <row r="71" spans="1:16" ht="15.75" customHeight="1">
      <c r="A71" s="62">
        <v>6</v>
      </c>
      <c r="B71" s="62" t="s">
        <v>1452</v>
      </c>
      <c r="C71" s="62" t="s">
        <v>27</v>
      </c>
      <c r="D71" s="62" t="s">
        <v>1453</v>
      </c>
      <c r="E71" s="62" t="s">
        <v>245</v>
      </c>
      <c r="F71" s="62"/>
      <c r="G71" s="62" t="s">
        <v>30</v>
      </c>
      <c r="H71" s="63">
        <v>600</v>
      </c>
      <c r="I71" s="159">
        <v>120</v>
      </c>
      <c r="J71" s="48" t="s">
        <v>31</v>
      </c>
      <c r="K71" s="48" t="s">
        <v>32</v>
      </c>
      <c r="L71" s="2"/>
      <c r="M71" s="2">
        <v>75</v>
      </c>
      <c r="N71" s="2"/>
      <c r="O71" s="2"/>
    </row>
    <row r="72" spans="1:16" ht="15.75" customHeight="1">
      <c r="A72" s="62">
        <v>6</v>
      </c>
      <c r="B72" s="62" t="s">
        <v>287</v>
      </c>
      <c r="C72" s="62" t="s">
        <v>27</v>
      </c>
      <c r="D72" s="62" t="s">
        <v>43</v>
      </c>
      <c r="E72" s="62" t="s">
        <v>44</v>
      </c>
      <c r="F72" s="62"/>
      <c r="G72" s="62" t="s">
        <v>30</v>
      </c>
      <c r="H72" s="63">
        <v>6000</v>
      </c>
      <c r="I72" s="159">
        <v>1200</v>
      </c>
      <c r="J72" s="48" t="s">
        <v>31</v>
      </c>
      <c r="K72" s="48" t="s">
        <v>32</v>
      </c>
      <c r="L72" s="2"/>
      <c r="M72" s="2">
        <v>1200</v>
      </c>
      <c r="N72" s="2"/>
      <c r="O72" s="2"/>
    </row>
    <row r="73" spans="1:16" ht="15.75" customHeight="1">
      <c r="A73" s="62">
        <v>6</v>
      </c>
      <c r="B73" s="62" t="s">
        <v>1454</v>
      </c>
      <c r="C73" s="62" t="s">
        <v>27</v>
      </c>
      <c r="D73" s="62" t="s">
        <v>434</v>
      </c>
      <c r="E73" s="62" t="s">
        <v>36</v>
      </c>
      <c r="F73" s="62"/>
      <c r="G73" s="62" t="s">
        <v>30</v>
      </c>
      <c r="H73" s="63">
        <v>500</v>
      </c>
      <c r="I73" s="159" t="s">
        <v>90</v>
      </c>
      <c r="J73" s="48" t="s">
        <v>31</v>
      </c>
      <c r="K73" s="48" t="s">
        <v>32</v>
      </c>
      <c r="L73" s="2"/>
      <c r="M73" s="2">
        <v>150</v>
      </c>
      <c r="N73" s="2"/>
      <c r="O73" s="2"/>
    </row>
    <row r="74" spans="1:16" ht="15.75" customHeight="1">
      <c r="A74" s="62">
        <v>6</v>
      </c>
      <c r="B74" s="62" t="s">
        <v>1454</v>
      </c>
      <c r="C74" s="62" t="s">
        <v>27</v>
      </c>
      <c r="D74" s="62" t="s">
        <v>434</v>
      </c>
      <c r="E74" s="62" t="s">
        <v>36</v>
      </c>
      <c r="F74" s="62"/>
      <c r="G74" s="62" t="s">
        <v>30</v>
      </c>
      <c r="H74" s="63">
        <v>1000</v>
      </c>
      <c r="I74" s="159">
        <v>200</v>
      </c>
      <c r="J74" s="48" t="s">
        <v>31</v>
      </c>
      <c r="K74" s="48" t="s">
        <v>32</v>
      </c>
      <c r="L74" s="2"/>
      <c r="M74" s="2"/>
      <c r="N74" s="2"/>
      <c r="O74" s="2"/>
    </row>
    <row r="75" spans="1:16" ht="15.75" customHeight="1">
      <c r="A75" s="62">
        <v>6</v>
      </c>
      <c r="B75" s="62" t="s">
        <v>1455</v>
      </c>
      <c r="C75" s="62" t="s">
        <v>27</v>
      </c>
      <c r="D75" s="62" t="s">
        <v>1431</v>
      </c>
      <c r="E75" s="62" t="s">
        <v>44</v>
      </c>
      <c r="F75" s="62"/>
      <c r="G75" s="62" t="s">
        <v>30</v>
      </c>
      <c r="H75" s="63">
        <v>500</v>
      </c>
      <c r="I75" s="159">
        <v>100</v>
      </c>
      <c r="J75" s="48" t="s">
        <v>31</v>
      </c>
      <c r="K75" s="48" t="s">
        <v>32</v>
      </c>
      <c r="L75" s="2"/>
      <c r="M75" s="2">
        <v>100</v>
      </c>
      <c r="N75" s="2"/>
      <c r="O75" s="2"/>
    </row>
    <row r="76" spans="1:16" ht="15.75" customHeight="1">
      <c r="A76" s="62">
        <v>6</v>
      </c>
      <c r="B76" s="62" t="s">
        <v>1456</v>
      </c>
      <c r="C76" s="62" t="s">
        <v>27</v>
      </c>
      <c r="D76" s="62" t="s">
        <v>1457</v>
      </c>
      <c r="E76" s="62" t="s">
        <v>148</v>
      </c>
      <c r="F76" s="62"/>
      <c r="G76" s="62" t="s">
        <v>30</v>
      </c>
      <c r="H76" s="63">
        <v>500</v>
      </c>
      <c r="I76" s="159">
        <v>100</v>
      </c>
      <c r="J76" s="48" t="s">
        <v>31</v>
      </c>
      <c r="K76" s="48" t="s">
        <v>32</v>
      </c>
      <c r="L76" s="2"/>
      <c r="M76" s="2">
        <v>100</v>
      </c>
      <c r="N76" s="2"/>
      <c r="O76" s="2"/>
    </row>
    <row r="77" spans="1:16" ht="15.75" customHeight="1">
      <c r="A77" s="62">
        <v>6</v>
      </c>
      <c r="B77" s="62" t="s">
        <v>1458</v>
      </c>
      <c r="C77" s="62" t="s">
        <v>27</v>
      </c>
      <c r="D77" s="62" t="s">
        <v>607</v>
      </c>
      <c r="E77" s="62" t="s">
        <v>36</v>
      </c>
      <c r="F77" s="62"/>
      <c r="G77" s="62" t="s">
        <v>30</v>
      </c>
      <c r="H77" s="63">
        <v>500</v>
      </c>
      <c r="I77" s="159" t="s">
        <v>90</v>
      </c>
      <c r="J77" s="48" t="s">
        <v>31</v>
      </c>
      <c r="K77" s="48" t="s">
        <v>32</v>
      </c>
      <c r="L77" s="2"/>
      <c r="M77" s="2">
        <v>48</v>
      </c>
      <c r="N77" s="2"/>
      <c r="O77" s="2"/>
    </row>
    <row r="78" spans="1:16" ht="15.75" customHeight="1">
      <c r="A78" s="62">
        <v>6</v>
      </c>
      <c r="B78" s="58" t="s">
        <v>1459</v>
      </c>
      <c r="C78" s="58" t="s">
        <v>27</v>
      </c>
      <c r="D78" s="58" t="s">
        <v>1460</v>
      </c>
      <c r="E78" s="58" t="s">
        <v>191</v>
      </c>
      <c r="F78" s="58"/>
      <c r="G78" s="58" t="s">
        <v>30</v>
      </c>
      <c r="H78" s="59">
        <v>1000</v>
      </c>
      <c r="I78" s="160">
        <v>200</v>
      </c>
      <c r="J78" s="48" t="s">
        <v>31</v>
      </c>
      <c r="K78" s="48" t="s">
        <v>32</v>
      </c>
      <c r="L78" s="2"/>
      <c r="M78" s="2">
        <v>200</v>
      </c>
      <c r="N78" s="2"/>
      <c r="O78" s="2"/>
    </row>
    <row r="79" spans="1:16" ht="15.75" customHeight="1">
      <c r="A79" s="62">
        <v>7</v>
      </c>
      <c r="B79" s="62" t="s">
        <v>924</v>
      </c>
      <c r="C79" s="62" t="s">
        <v>39</v>
      </c>
      <c r="D79" s="62" t="s">
        <v>760</v>
      </c>
      <c r="E79" s="62" t="s">
        <v>51</v>
      </c>
      <c r="F79" s="62"/>
      <c r="G79" s="62" t="s">
        <v>30</v>
      </c>
      <c r="H79" s="63">
        <v>10000</v>
      </c>
      <c r="I79" s="159">
        <v>2000</v>
      </c>
      <c r="J79" s="48" t="s">
        <v>31</v>
      </c>
      <c r="K79" s="48" t="s">
        <v>32</v>
      </c>
      <c r="L79" s="2"/>
      <c r="M79" s="2">
        <v>2000</v>
      </c>
      <c r="N79" s="2"/>
      <c r="O79" s="2"/>
    </row>
    <row r="80" spans="1:16" ht="15.75" customHeight="1">
      <c r="A80" s="62">
        <v>7</v>
      </c>
      <c r="B80" s="62" t="s">
        <v>42</v>
      </c>
      <c r="C80" s="62" t="s">
        <v>27</v>
      </c>
      <c r="D80" s="62" t="s">
        <v>43</v>
      </c>
      <c r="E80" s="62" t="s">
        <v>44</v>
      </c>
      <c r="F80" s="62"/>
      <c r="G80" s="62" t="s">
        <v>30</v>
      </c>
      <c r="H80" s="63">
        <v>1000</v>
      </c>
      <c r="I80" s="159">
        <v>200</v>
      </c>
      <c r="J80" s="48" t="s">
        <v>31</v>
      </c>
      <c r="K80" s="48" t="s">
        <v>32</v>
      </c>
      <c r="L80" s="2"/>
      <c r="M80" s="2">
        <v>300</v>
      </c>
      <c r="N80" s="2"/>
      <c r="O80" s="2"/>
    </row>
    <row r="81" spans="1:16" ht="15.75" customHeight="1">
      <c r="A81" s="62">
        <v>7</v>
      </c>
      <c r="B81" s="62" t="s">
        <v>1461</v>
      </c>
      <c r="C81" s="62" t="s">
        <v>39</v>
      </c>
      <c r="D81" s="62" t="s">
        <v>1462</v>
      </c>
      <c r="E81" s="62" t="s">
        <v>1291</v>
      </c>
      <c r="F81" s="62"/>
      <c r="G81" s="62" t="s">
        <v>30</v>
      </c>
      <c r="H81" s="63">
        <v>500</v>
      </c>
      <c r="I81" s="159">
        <v>100</v>
      </c>
      <c r="J81" s="48" t="s">
        <v>31</v>
      </c>
      <c r="K81" s="48" t="s">
        <v>32</v>
      </c>
      <c r="L81" s="2"/>
      <c r="M81" s="2">
        <v>100</v>
      </c>
      <c r="N81" s="2"/>
      <c r="O81" s="2"/>
    </row>
    <row r="82" spans="1:16" ht="15.75" customHeight="1">
      <c r="A82" s="62">
        <v>7</v>
      </c>
      <c r="B82" s="62" t="s">
        <v>1461</v>
      </c>
      <c r="C82" s="62" t="s">
        <v>39</v>
      </c>
      <c r="D82" s="62" t="s">
        <v>1462</v>
      </c>
      <c r="E82" s="62" t="s">
        <v>1291</v>
      </c>
      <c r="F82" s="62"/>
      <c r="G82" s="62" t="s">
        <v>1392</v>
      </c>
      <c r="H82" s="63">
        <v>20</v>
      </c>
      <c r="I82" s="159">
        <v>100</v>
      </c>
      <c r="J82" s="48" t="s">
        <v>31</v>
      </c>
      <c r="K82" s="48" t="s">
        <v>32</v>
      </c>
      <c r="L82" s="2"/>
      <c r="M82" s="2"/>
      <c r="N82" s="2"/>
      <c r="O82" s="2"/>
    </row>
    <row r="83" spans="1:16" ht="15.75" customHeight="1">
      <c r="A83" s="62">
        <v>7</v>
      </c>
      <c r="B83" s="62" t="s">
        <v>1463</v>
      </c>
      <c r="C83" s="62" t="s">
        <v>27</v>
      </c>
      <c r="D83" s="62" t="s">
        <v>156</v>
      </c>
      <c r="E83" s="62" t="s">
        <v>102</v>
      </c>
      <c r="F83" s="62"/>
      <c r="G83" s="62" t="s">
        <v>30</v>
      </c>
      <c r="H83" s="63">
        <v>700</v>
      </c>
      <c r="I83" s="159">
        <v>140</v>
      </c>
      <c r="J83" s="48" t="s">
        <v>31</v>
      </c>
      <c r="K83" s="48" t="s">
        <v>32</v>
      </c>
      <c r="L83" s="2"/>
      <c r="M83" s="2">
        <v>150</v>
      </c>
      <c r="N83" s="2"/>
      <c r="O83" s="2"/>
    </row>
    <row r="84" spans="1:16" ht="15.75" customHeight="1">
      <c r="A84" s="62">
        <v>7</v>
      </c>
      <c r="B84" s="62" t="s">
        <v>1463</v>
      </c>
      <c r="C84" s="62" t="s">
        <v>27</v>
      </c>
      <c r="D84" s="62" t="s">
        <v>156</v>
      </c>
      <c r="E84" s="62" t="s">
        <v>102</v>
      </c>
      <c r="F84" s="58"/>
      <c r="G84" s="58" t="s">
        <v>1392</v>
      </c>
      <c r="H84" s="59">
        <v>20</v>
      </c>
      <c r="I84" s="160">
        <v>200</v>
      </c>
      <c r="J84" s="48" t="s">
        <v>31</v>
      </c>
      <c r="K84" s="48" t="s">
        <v>32</v>
      </c>
      <c r="L84" s="2"/>
      <c r="M84" s="2"/>
      <c r="N84" s="2"/>
      <c r="O84" s="2"/>
    </row>
    <row r="85" spans="1:16" ht="15.75" customHeight="1">
      <c r="A85" s="62">
        <v>8</v>
      </c>
      <c r="B85" s="62" t="s">
        <v>1464</v>
      </c>
      <c r="C85" s="62" t="s">
        <v>27</v>
      </c>
      <c r="D85" s="62" t="s">
        <v>1465</v>
      </c>
      <c r="E85" s="62" t="s">
        <v>44</v>
      </c>
      <c r="F85" s="62"/>
      <c r="G85" s="62" t="s">
        <v>30</v>
      </c>
      <c r="H85" s="63">
        <v>2000</v>
      </c>
      <c r="I85" s="159">
        <v>400</v>
      </c>
      <c r="J85" s="48" t="s">
        <v>31</v>
      </c>
      <c r="K85" s="48" t="s">
        <v>32</v>
      </c>
      <c r="L85" s="2"/>
      <c r="M85" s="2">
        <v>600</v>
      </c>
      <c r="N85" s="2"/>
      <c r="O85" s="2"/>
    </row>
    <row r="86" spans="1:16" ht="15.75" customHeight="1">
      <c r="A86" s="62">
        <v>8</v>
      </c>
      <c r="B86" s="62" t="s">
        <v>1358</v>
      </c>
      <c r="C86" s="62" t="s">
        <v>27</v>
      </c>
      <c r="D86" s="62" t="s">
        <v>1359</v>
      </c>
      <c r="E86" s="62" t="s">
        <v>51</v>
      </c>
      <c r="F86" s="62"/>
      <c r="G86" s="62" t="s">
        <v>30</v>
      </c>
      <c r="H86" s="63">
        <v>2000</v>
      </c>
      <c r="I86" s="159">
        <v>400</v>
      </c>
      <c r="J86" s="48" t="s">
        <v>31</v>
      </c>
      <c r="K86" s="48" t="s">
        <v>32</v>
      </c>
      <c r="L86" s="2"/>
      <c r="M86" s="2">
        <v>400</v>
      </c>
      <c r="N86" s="2"/>
      <c r="O86" s="2"/>
    </row>
    <row r="87" spans="1:16" ht="15.75" customHeight="1">
      <c r="A87" s="62">
        <v>8</v>
      </c>
      <c r="B87" s="62" t="s">
        <v>1358</v>
      </c>
      <c r="C87" s="62" t="s">
        <v>27</v>
      </c>
      <c r="D87" s="62" t="s">
        <v>1359</v>
      </c>
      <c r="E87" s="62" t="s">
        <v>51</v>
      </c>
      <c r="F87" s="62"/>
      <c r="G87" s="62" t="s">
        <v>1392</v>
      </c>
      <c r="H87" s="63">
        <v>50</v>
      </c>
      <c r="I87" s="159">
        <v>250</v>
      </c>
      <c r="J87" s="48" t="s">
        <v>31</v>
      </c>
      <c r="K87" s="48" t="s">
        <v>32</v>
      </c>
      <c r="L87" s="2"/>
      <c r="M87" s="2"/>
      <c r="N87" s="2"/>
      <c r="O87" s="2"/>
    </row>
    <row r="88" spans="1:16" ht="15.75" customHeight="1">
      <c r="A88" s="62">
        <v>8</v>
      </c>
      <c r="B88" s="62" t="s">
        <v>1466</v>
      </c>
      <c r="C88" s="62" t="s">
        <v>27</v>
      </c>
      <c r="D88" s="62" t="s">
        <v>365</v>
      </c>
      <c r="E88" s="62" t="s">
        <v>54</v>
      </c>
      <c r="F88" s="62"/>
      <c r="G88" s="62" t="s">
        <v>30</v>
      </c>
      <c r="H88" s="63">
        <v>3000</v>
      </c>
      <c r="I88" s="159">
        <v>600</v>
      </c>
      <c r="J88" s="48" t="s">
        <v>31</v>
      </c>
      <c r="K88" s="48" t="s">
        <v>32</v>
      </c>
      <c r="L88" s="2"/>
      <c r="M88" s="2">
        <v>700</v>
      </c>
      <c r="N88" s="2"/>
      <c r="O88" s="2"/>
    </row>
    <row r="89" spans="1:16" ht="15.75" customHeight="1">
      <c r="A89" s="62">
        <v>8</v>
      </c>
      <c r="B89" s="62" t="s">
        <v>1467</v>
      </c>
      <c r="C89" s="62" t="s">
        <v>27</v>
      </c>
      <c r="D89" s="62" t="s">
        <v>1468</v>
      </c>
      <c r="E89" s="62" t="s">
        <v>191</v>
      </c>
      <c r="F89" s="62"/>
      <c r="G89" s="62" t="s">
        <v>30</v>
      </c>
      <c r="H89" s="63">
        <v>100</v>
      </c>
      <c r="I89" s="159">
        <v>40</v>
      </c>
      <c r="J89" s="48" t="s">
        <v>31</v>
      </c>
      <c r="K89" s="48" t="s">
        <v>32</v>
      </c>
      <c r="L89" s="2"/>
      <c r="M89" s="2">
        <v>40</v>
      </c>
      <c r="N89" s="2"/>
      <c r="O89" s="2"/>
    </row>
    <row r="90" spans="1:16" ht="15.75" customHeight="1">
      <c r="A90" s="62">
        <v>8</v>
      </c>
      <c r="B90" s="62" t="s">
        <v>1469</v>
      </c>
      <c r="C90" s="62" t="s">
        <v>27</v>
      </c>
      <c r="D90" s="62" t="s">
        <v>659</v>
      </c>
      <c r="E90" s="62" t="s">
        <v>86</v>
      </c>
      <c r="F90" s="62"/>
      <c r="G90" s="62" t="s">
        <v>30</v>
      </c>
      <c r="H90" s="63">
        <v>2000</v>
      </c>
      <c r="I90" s="159">
        <v>400</v>
      </c>
      <c r="J90" s="48" t="s">
        <v>31</v>
      </c>
      <c r="K90" s="48" t="s">
        <v>32</v>
      </c>
      <c r="L90" s="2"/>
      <c r="M90" s="2">
        <v>300</v>
      </c>
      <c r="N90" s="2"/>
      <c r="O90" s="2"/>
    </row>
    <row r="91" spans="1:16" ht="15.75" customHeight="1">
      <c r="A91" s="62">
        <v>8</v>
      </c>
      <c r="B91" s="62" t="s">
        <v>1469</v>
      </c>
      <c r="C91" s="62" t="s">
        <v>27</v>
      </c>
      <c r="D91" s="62" t="s">
        <v>659</v>
      </c>
      <c r="E91" s="62" t="s">
        <v>86</v>
      </c>
      <c r="F91" s="62"/>
      <c r="G91" s="62" t="s">
        <v>1392</v>
      </c>
      <c r="H91" s="63">
        <v>10</v>
      </c>
      <c r="I91" s="159">
        <v>100</v>
      </c>
      <c r="J91" s="48" t="s">
        <v>31</v>
      </c>
      <c r="K91" s="48" t="s">
        <v>32</v>
      </c>
      <c r="L91" s="2"/>
      <c r="M91" s="2"/>
      <c r="N91" s="2"/>
      <c r="O91" s="2"/>
    </row>
    <row r="92" spans="1:16" ht="15.75" customHeight="1">
      <c r="A92" s="62">
        <v>8</v>
      </c>
      <c r="B92" s="62" t="s">
        <v>1470</v>
      </c>
      <c r="C92" s="62" t="s">
        <v>27</v>
      </c>
      <c r="D92" s="62" t="s">
        <v>230</v>
      </c>
      <c r="E92" s="62" t="s">
        <v>86</v>
      </c>
      <c r="F92" s="62"/>
      <c r="G92" s="62" t="s">
        <v>30</v>
      </c>
      <c r="H92" s="63">
        <v>600</v>
      </c>
      <c r="I92" s="159">
        <v>120</v>
      </c>
      <c r="J92" s="48" t="s">
        <v>31</v>
      </c>
      <c r="K92" s="48" t="s">
        <v>32</v>
      </c>
      <c r="L92" s="2"/>
      <c r="M92" s="2">
        <v>150</v>
      </c>
      <c r="N92" s="2"/>
      <c r="O92" s="2"/>
    </row>
    <row r="93" spans="1:16" ht="15.75" customHeight="1">
      <c r="A93" s="62">
        <v>8</v>
      </c>
      <c r="B93" s="62" t="s">
        <v>1471</v>
      </c>
      <c r="C93" s="62" t="s">
        <v>27</v>
      </c>
      <c r="D93" s="62" t="s">
        <v>1472</v>
      </c>
      <c r="E93" s="62" t="s">
        <v>145</v>
      </c>
      <c r="F93" s="62"/>
      <c r="G93" s="62" t="s">
        <v>30</v>
      </c>
      <c r="H93" s="63">
        <v>400</v>
      </c>
      <c r="I93" s="159">
        <v>80</v>
      </c>
      <c r="J93" s="48" t="s">
        <v>31</v>
      </c>
      <c r="K93" s="48" t="s">
        <v>32</v>
      </c>
      <c r="L93" s="2"/>
      <c r="M93" s="2">
        <v>100</v>
      </c>
      <c r="N93" s="2"/>
      <c r="O93" s="773" t="s">
        <v>1473</v>
      </c>
      <c r="P93" s="719"/>
    </row>
    <row r="94" spans="1:16" ht="15.75" customHeight="1">
      <c r="A94" s="62">
        <v>8</v>
      </c>
      <c r="B94" s="62" t="s">
        <v>1474</v>
      </c>
      <c r="C94" s="62" t="s">
        <v>27</v>
      </c>
      <c r="D94" s="62" t="s">
        <v>100</v>
      </c>
      <c r="E94" s="62" t="s">
        <v>358</v>
      </c>
      <c r="F94" s="62"/>
      <c r="G94" s="62" t="s">
        <v>30</v>
      </c>
      <c r="H94" s="63">
        <v>3100</v>
      </c>
      <c r="I94" s="159">
        <v>620</v>
      </c>
      <c r="J94" s="48" t="s">
        <v>31</v>
      </c>
      <c r="K94" s="48" t="s">
        <v>32</v>
      </c>
      <c r="L94" s="2"/>
      <c r="M94" s="2">
        <v>600</v>
      </c>
      <c r="N94" s="2"/>
      <c r="O94" s="723" t="s">
        <v>25</v>
      </c>
      <c r="P94" s="719"/>
    </row>
    <row r="95" spans="1:16" ht="15.75" customHeight="1">
      <c r="A95" s="62">
        <v>8</v>
      </c>
      <c r="B95" s="62" t="s">
        <v>1475</v>
      </c>
      <c r="C95" s="62" t="s">
        <v>27</v>
      </c>
      <c r="D95" s="62" t="s">
        <v>1431</v>
      </c>
      <c r="E95" s="62" t="s">
        <v>44</v>
      </c>
      <c r="F95" s="62"/>
      <c r="G95" s="62" t="s">
        <v>30</v>
      </c>
      <c r="H95" s="63">
        <v>500</v>
      </c>
      <c r="I95" s="159" t="s">
        <v>90</v>
      </c>
      <c r="J95" s="48" t="s">
        <v>31</v>
      </c>
      <c r="K95" s="48" t="s">
        <v>32</v>
      </c>
      <c r="L95" s="2"/>
      <c r="M95" s="2">
        <v>500</v>
      </c>
      <c r="N95" s="2"/>
      <c r="O95" s="48" t="s">
        <v>33</v>
      </c>
      <c r="P95" s="51">
        <v>49100</v>
      </c>
    </row>
    <row r="96" spans="1:16" ht="15.75" customHeight="1">
      <c r="A96" s="62">
        <v>8</v>
      </c>
      <c r="B96" s="62" t="s">
        <v>1475</v>
      </c>
      <c r="C96" s="62" t="s">
        <v>27</v>
      </c>
      <c r="D96" s="62" t="s">
        <v>1431</v>
      </c>
      <c r="E96" s="62" t="s">
        <v>44</v>
      </c>
      <c r="F96" s="62"/>
      <c r="G96" s="62" t="s">
        <v>30</v>
      </c>
      <c r="H96" s="63">
        <v>2500</v>
      </c>
      <c r="I96" s="159">
        <v>500</v>
      </c>
      <c r="J96" s="48" t="s">
        <v>31</v>
      </c>
      <c r="K96" s="48" t="s">
        <v>32</v>
      </c>
      <c r="L96" s="2"/>
      <c r="M96" s="2"/>
      <c r="N96" s="2"/>
      <c r="O96" s="48" t="s">
        <v>37</v>
      </c>
      <c r="P96" s="51">
        <v>8760</v>
      </c>
    </row>
    <row r="97" spans="1:16" ht="15.75" customHeight="1">
      <c r="A97" s="62">
        <v>8</v>
      </c>
      <c r="B97" s="62" t="s">
        <v>1476</v>
      </c>
      <c r="C97" s="62" t="s">
        <v>27</v>
      </c>
      <c r="D97" s="62" t="s">
        <v>297</v>
      </c>
      <c r="E97" s="62" t="s">
        <v>44</v>
      </c>
      <c r="F97" s="62"/>
      <c r="G97" s="62" t="s">
        <v>30</v>
      </c>
      <c r="H97" s="63">
        <v>3500</v>
      </c>
      <c r="I97" s="159">
        <v>700</v>
      </c>
      <c r="J97" s="48" t="s">
        <v>31</v>
      </c>
      <c r="K97" s="48" t="s">
        <v>32</v>
      </c>
      <c r="L97" s="2"/>
      <c r="M97" s="2">
        <v>1200</v>
      </c>
      <c r="N97" s="2"/>
      <c r="O97" s="48" t="s">
        <v>282</v>
      </c>
      <c r="P97" s="51">
        <f>P95+P96</f>
        <v>57860</v>
      </c>
    </row>
    <row r="98" spans="1:16" ht="15.75" customHeight="1">
      <c r="A98" s="62">
        <v>8</v>
      </c>
      <c r="B98" s="62" t="s">
        <v>1476</v>
      </c>
      <c r="C98" s="62" t="s">
        <v>27</v>
      </c>
      <c r="D98" s="62" t="s">
        <v>297</v>
      </c>
      <c r="E98" s="62" t="s">
        <v>44</v>
      </c>
      <c r="F98" s="58"/>
      <c r="G98" s="58" t="s">
        <v>1392</v>
      </c>
      <c r="H98" s="59">
        <v>10</v>
      </c>
      <c r="I98" s="160">
        <v>100</v>
      </c>
      <c r="J98" s="48" t="s">
        <v>31</v>
      </c>
      <c r="K98" s="48" t="s">
        <v>32</v>
      </c>
      <c r="L98" s="2"/>
      <c r="M98" s="2"/>
      <c r="N98" s="2"/>
      <c r="O98" s="772" t="s">
        <v>286</v>
      </c>
      <c r="P98" s="719"/>
    </row>
    <row r="99" spans="1:16" ht="15.75" customHeight="1">
      <c r="A99" s="62">
        <v>9</v>
      </c>
      <c r="B99" s="62" t="s">
        <v>1477</v>
      </c>
      <c r="C99" s="62" t="s">
        <v>39</v>
      </c>
      <c r="D99" s="62" t="s">
        <v>1087</v>
      </c>
      <c r="E99" s="62" t="s">
        <v>84</v>
      </c>
      <c r="F99" s="62"/>
      <c r="G99" s="290" t="s">
        <v>30</v>
      </c>
      <c r="H99" s="291">
        <v>1000</v>
      </c>
      <c r="I99" s="159">
        <v>200</v>
      </c>
      <c r="J99" s="48" t="s">
        <v>31</v>
      </c>
      <c r="K99" s="48" t="s">
        <v>32</v>
      </c>
      <c r="L99" s="2"/>
      <c r="M99" s="2">
        <v>200</v>
      </c>
      <c r="N99" s="2"/>
      <c r="O99" s="48" t="s">
        <v>580</v>
      </c>
      <c r="P99" s="48">
        <v>110</v>
      </c>
    </row>
    <row r="100" spans="1:16" ht="15.75" customHeight="1">
      <c r="A100" s="62">
        <v>9</v>
      </c>
      <c r="B100" s="62" t="s">
        <v>1478</v>
      </c>
      <c r="C100" s="62" t="s">
        <v>39</v>
      </c>
      <c r="D100" s="62" t="s">
        <v>1479</v>
      </c>
      <c r="E100" s="62" t="s">
        <v>86</v>
      </c>
      <c r="F100" s="62"/>
      <c r="G100" s="290" t="s">
        <v>30</v>
      </c>
      <c r="H100" s="291">
        <v>700</v>
      </c>
      <c r="I100" s="159">
        <v>140</v>
      </c>
      <c r="J100" s="48" t="s">
        <v>31</v>
      </c>
      <c r="K100" s="48" t="s">
        <v>32</v>
      </c>
      <c r="L100" s="2"/>
      <c r="M100" s="2">
        <v>100</v>
      </c>
      <c r="N100" s="2"/>
      <c r="O100" s="2"/>
      <c r="P100" s="2"/>
    </row>
    <row r="101" spans="1:16" ht="15.75" customHeight="1">
      <c r="A101" s="62">
        <v>9</v>
      </c>
      <c r="B101" s="62" t="s">
        <v>1478</v>
      </c>
      <c r="C101" s="62" t="s">
        <v>39</v>
      </c>
      <c r="D101" s="62" t="s">
        <v>1479</v>
      </c>
      <c r="E101" s="62" t="s">
        <v>86</v>
      </c>
      <c r="F101" s="62"/>
      <c r="G101" s="290" t="s">
        <v>1392</v>
      </c>
      <c r="H101" s="291">
        <v>25</v>
      </c>
      <c r="I101" s="159">
        <v>250</v>
      </c>
      <c r="J101" s="48" t="s">
        <v>31</v>
      </c>
      <c r="K101" s="48" t="s">
        <v>32</v>
      </c>
      <c r="L101" s="2"/>
      <c r="M101" s="2"/>
      <c r="N101" s="2"/>
      <c r="O101" s="2"/>
      <c r="P101" s="2"/>
    </row>
    <row r="102" spans="1:16" ht="15.75" customHeight="1">
      <c r="A102" s="62">
        <v>9</v>
      </c>
      <c r="B102" s="62" t="s">
        <v>1480</v>
      </c>
      <c r="C102" s="62" t="s">
        <v>27</v>
      </c>
      <c r="D102" s="62" t="s">
        <v>100</v>
      </c>
      <c r="E102" s="62" t="s">
        <v>89</v>
      </c>
      <c r="F102" s="62"/>
      <c r="G102" s="290" t="s">
        <v>30</v>
      </c>
      <c r="H102" s="291">
        <v>300</v>
      </c>
      <c r="I102" s="159">
        <v>60</v>
      </c>
      <c r="J102" s="48" t="s">
        <v>31</v>
      </c>
      <c r="K102" s="48" t="s">
        <v>32</v>
      </c>
      <c r="L102" s="2"/>
      <c r="M102" s="2">
        <v>60</v>
      </c>
      <c r="N102" s="2"/>
      <c r="O102" s="2"/>
      <c r="P102" s="2"/>
    </row>
    <row r="103" spans="1:16" ht="15.75" customHeight="1">
      <c r="A103" s="62">
        <v>9</v>
      </c>
      <c r="B103" s="62" t="s">
        <v>1480</v>
      </c>
      <c r="C103" s="62" t="s">
        <v>27</v>
      </c>
      <c r="D103" s="62" t="s">
        <v>100</v>
      </c>
      <c r="E103" s="62" t="s">
        <v>89</v>
      </c>
      <c r="F103" s="62"/>
      <c r="G103" s="62" t="s">
        <v>1392</v>
      </c>
      <c r="H103" s="63">
        <v>10</v>
      </c>
      <c r="I103" s="159">
        <v>100</v>
      </c>
      <c r="J103" s="48" t="s">
        <v>31</v>
      </c>
      <c r="K103" s="48" t="s">
        <v>32</v>
      </c>
      <c r="L103" s="2"/>
      <c r="M103" s="2"/>
      <c r="N103" s="2"/>
      <c r="O103" s="2"/>
      <c r="P103" s="2"/>
    </row>
    <row r="104" spans="1:16" ht="15.75" customHeight="1">
      <c r="A104" s="62">
        <v>9</v>
      </c>
      <c r="B104" s="62" t="s">
        <v>1481</v>
      </c>
      <c r="C104" s="62" t="s">
        <v>27</v>
      </c>
      <c r="D104" s="62" t="s">
        <v>234</v>
      </c>
      <c r="E104" s="62" t="s">
        <v>84</v>
      </c>
      <c r="F104" s="62"/>
      <c r="G104" s="290" t="s">
        <v>30</v>
      </c>
      <c r="H104" s="291">
        <v>300</v>
      </c>
      <c r="I104" s="159">
        <v>60</v>
      </c>
      <c r="J104" s="48" t="s">
        <v>31</v>
      </c>
      <c r="K104" s="48" t="s">
        <v>32</v>
      </c>
      <c r="L104" s="2"/>
      <c r="M104" s="2">
        <v>60</v>
      </c>
      <c r="N104" s="2"/>
      <c r="O104" s="2"/>
      <c r="P104" s="2"/>
    </row>
    <row r="105" spans="1:16" ht="15.75" customHeight="1">
      <c r="A105" s="62">
        <v>9</v>
      </c>
      <c r="B105" s="62" t="s">
        <v>1482</v>
      </c>
      <c r="C105" s="62" t="s">
        <v>39</v>
      </c>
      <c r="D105" s="62" t="s">
        <v>108</v>
      </c>
      <c r="E105" s="62" t="s">
        <v>84</v>
      </c>
      <c r="F105" s="62"/>
      <c r="G105" s="290" t="s">
        <v>30</v>
      </c>
      <c r="H105" s="291">
        <v>2000</v>
      </c>
      <c r="I105" s="159">
        <v>400</v>
      </c>
      <c r="J105" s="48" t="s">
        <v>31</v>
      </c>
      <c r="K105" s="48" t="s">
        <v>32</v>
      </c>
      <c r="L105" s="2"/>
      <c r="M105" s="2">
        <v>400</v>
      </c>
      <c r="N105" s="2"/>
      <c r="O105" s="2"/>
      <c r="P105" s="2"/>
    </row>
    <row r="106" spans="1:16" ht="15.75" customHeight="1">
      <c r="A106" s="62">
        <v>9</v>
      </c>
      <c r="B106" s="62" t="s">
        <v>1483</v>
      </c>
      <c r="C106" s="62" t="s">
        <v>27</v>
      </c>
      <c r="D106" s="62" t="s">
        <v>153</v>
      </c>
      <c r="E106" s="62" t="s">
        <v>36</v>
      </c>
      <c r="F106" s="62"/>
      <c r="G106" s="290" t="s">
        <v>30</v>
      </c>
      <c r="H106" s="291">
        <v>2000</v>
      </c>
      <c r="I106" s="159">
        <v>400</v>
      </c>
      <c r="J106" s="48" t="s">
        <v>31</v>
      </c>
      <c r="K106" s="48" t="s">
        <v>32</v>
      </c>
      <c r="L106" s="2"/>
      <c r="M106" s="2">
        <v>400</v>
      </c>
      <c r="N106" s="2"/>
      <c r="O106" s="2"/>
      <c r="P106" s="2"/>
    </row>
    <row r="107" spans="1:16" ht="15.75" customHeight="1">
      <c r="A107" s="62">
        <v>9</v>
      </c>
      <c r="B107" s="62" t="s">
        <v>1484</v>
      </c>
      <c r="C107" s="62" t="s">
        <v>27</v>
      </c>
      <c r="D107" s="62" t="s">
        <v>230</v>
      </c>
      <c r="E107" s="62" t="s">
        <v>86</v>
      </c>
      <c r="F107" s="62"/>
      <c r="G107" s="290" t="s">
        <v>30</v>
      </c>
      <c r="H107" s="291">
        <v>3500</v>
      </c>
      <c r="I107" s="159">
        <v>700</v>
      </c>
      <c r="J107" s="48" t="s">
        <v>31</v>
      </c>
      <c r="K107" s="48" t="s">
        <v>32</v>
      </c>
      <c r="L107" s="2"/>
      <c r="M107" s="2">
        <v>700</v>
      </c>
      <c r="N107" s="2"/>
      <c r="O107" s="2"/>
      <c r="P107" s="2"/>
    </row>
    <row r="108" spans="1:16" ht="15.75" customHeight="1">
      <c r="A108" s="62">
        <v>9</v>
      </c>
      <c r="B108" s="62" t="s">
        <v>1484</v>
      </c>
      <c r="C108" s="62" t="s">
        <v>27</v>
      </c>
      <c r="D108" s="62" t="s">
        <v>230</v>
      </c>
      <c r="E108" s="62" t="s">
        <v>86</v>
      </c>
      <c r="F108" s="62"/>
      <c r="G108" s="62" t="s">
        <v>1392</v>
      </c>
      <c r="H108" s="63">
        <v>60</v>
      </c>
      <c r="I108" s="159">
        <v>600</v>
      </c>
      <c r="J108" s="48" t="s">
        <v>31</v>
      </c>
      <c r="K108" s="48" t="s">
        <v>32</v>
      </c>
      <c r="L108" s="2"/>
      <c r="M108" s="2"/>
      <c r="N108" s="2"/>
      <c r="O108" s="2"/>
      <c r="P108" s="2"/>
    </row>
    <row r="109" spans="1:16" ht="15.75" customHeight="1">
      <c r="A109" s="62">
        <v>9</v>
      </c>
      <c r="B109" s="62" t="s">
        <v>1485</v>
      </c>
      <c r="C109" s="62" t="s">
        <v>27</v>
      </c>
      <c r="D109" s="62" t="s">
        <v>347</v>
      </c>
      <c r="E109" s="62" t="s">
        <v>245</v>
      </c>
      <c r="F109" s="62"/>
      <c r="G109" s="62" t="s">
        <v>1392</v>
      </c>
      <c r="H109" s="63">
        <v>10</v>
      </c>
      <c r="I109" s="159">
        <v>100</v>
      </c>
      <c r="J109" s="48" t="s">
        <v>31</v>
      </c>
      <c r="K109" s="48" t="s">
        <v>32</v>
      </c>
      <c r="L109" s="2"/>
      <c r="M109" s="2"/>
      <c r="N109" s="2"/>
      <c r="O109" s="2"/>
      <c r="P109" s="2"/>
    </row>
    <row r="110" spans="1:16" ht="15.75" customHeight="1">
      <c r="A110" s="62">
        <v>9</v>
      </c>
      <c r="B110" s="62" t="s">
        <v>1485</v>
      </c>
      <c r="C110" s="62" t="s">
        <v>27</v>
      </c>
      <c r="D110" s="62" t="s">
        <v>347</v>
      </c>
      <c r="E110" s="62" t="s">
        <v>245</v>
      </c>
      <c r="F110" s="62"/>
      <c r="G110" s="62" t="s">
        <v>348</v>
      </c>
      <c r="H110" s="63">
        <v>100</v>
      </c>
      <c r="I110" s="159">
        <v>300</v>
      </c>
      <c r="J110" s="48" t="s">
        <v>31</v>
      </c>
      <c r="K110" s="48" t="s">
        <v>32</v>
      </c>
      <c r="L110" s="2"/>
      <c r="M110" s="2"/>
      <c r="N110" s="2"/>
      <c r="O110" s="2"/>
      <c r="P110" s="2"/>
    </row>
    <row r="111" spans="1:16" ht="15.75" customHeight="1">
      <c r="A111" s="62">
        <v>9</v>
      </c>
      <c r="B111" s="62" t="s">
        <v>1486</v>
      </c>
      <c r="C111" s="62" t="s">
        <v>27</v>
      </c>
      <c r="D111" s="62" t="s">
        <v>1465</v>
      </c>
      <c r="E111" s="62" t="s">
        <v>44</v>
      </c>
      <c r="F111" s="62"/>
      <c r="G111" s="62" t="s">
        <v>1392</v>
      </c>
      <c r="H111" s="63">
        <v>20</v>
      </c>
      <c r="I111" s="159">
        <v>200</v>
      </c>
      <c r="J111" s="48" t="s">
        <v>31</v>
      </c>
      <c r="K111" s="48" t="s">
        <v>32</v>
      </c>
      <c r="L111" s="2"/>
      <c r="M111" s="2"/>
      <c r="N111" s="2"/>
      <c r="O111" s="2"/>
      <c r="P111" s="2"/>
    </row>
    <row r="112" spans="1:16" ht="15.75" customHeight="1">
      <c r="A112" s="62">
        <v>9</v>
      </c>
      <c r="B112" s="62" t="s">
        <v>1487</v>
      </c>
      <c r="C112" s="62" t="s">
        <v>27</v>
      </c>
      <c r="D112" s="62" t="s">
        <v>266</v>
      </c>
      <c r="E112" s="62" t="s">
        <v>68</v>
      </c>
      <c r="F112" s="62"/>
      <c r="G112" s="290" t="s">
        <v>30</v>
      </c>
      <c r="H112" s="291">
        <v>2000</v>
      </c>
      <c r="I112" s="159">
        <v>400</v>
      </c>
      <c r="J112" s="48" t="s">
        <v>31</v>
      </c>
      <c r="K112" s="48" t="s">
        <v>32</v>
      </c>
      <c r="L112" s="2"/>
      <c r="M112" s="2">
        <v>400</v>
      </c>
      <c r="N112" s="2"/>
      <c r="O112" s="2"/>
      <c r="P112" s="2"/>
    </row>
    <row r="113" spans="1:16" ht="15.75" customHeight="1">
      <c r="A113" s="62">
        <v>9</v>
      </c>
      <c r="B113" s="62" t="s">
        <v>1488</v>
      </c>
      <c r="C113" s="62" t="s">
        <v>39</v>
      </c>
      <c r="D113" s="62" t="s">
        <v>1489</v>
      </c>
      <c r="E113" s="62" t="s">
        <v>86</v>
      </c>
      <c r="F113" s="62"/>
      <c r="G113" s="290" t="s">
        <v>30</v>
      </c>
      <c r="H113" s="291">
        <v>500</v>
      </c>
      <c r="I113" s="159">
        <v>100</v>
      </c>
      <c r="J113" s="48" t="s">
        <v>31</v>
      </c>
      <c r="K113" s="48" t="s">
        <v>32</v>
      </c>
      <c r="L113" s="2"/>
      <c r="M113" s="2">
        <v>100</v>
      </c>
      <c r="N113" s="2"/>
      <c r="O113" s="2"/>
      <c r="P113" s="2"/>
    </row>
    <row r="114" spans="1:16" ht="15.75" customHeight="1">
      <c r="A114" s="62">
        <v>9</v>
      </c>
      <c r="B114" s="62" t="s">
        <v>1490</v>
      </c>
      <c r="C114" s="62" t="s">
        <v>27</v>
      </c>
      <c r="D114" s="62" t="s">
        <v>104</v>
      </c>
      <c r="E114" s="62" t="s">
        <v>36</v>
      </c>
      <c r="F114" s="62"/>
      <c r="G114" s="290" t="s">
        <v>30</v>
      </c>
      <c r="H114" s="291">
        <v>2500</v>
      </c>
      <c r="I114" s="159">
        <v>500</v>
      </c>
      <c r="J114" s="48" t="s">
        <v>31</v>
      </c>
      <c r="K114" s="48" t="s">
        <v>32</v>
      </c>
      <c r="L114" s="2"/>
      <c r="M114" s="2">
        <v>1000</v>
      </c>
      <c r="N114" s="2"/>
      <c r="O114" s="2"/>
      <c r="P114" s="2"/>
    </row>
    <row r="115" spans="1:16" ht="15.75" customHeight="1">
      <c r="A115" s="62">
        <v>9</v>
      </c>
      <c r="B115" s="62" t="s">
        <v>1490</v>
      </c>
      <c r="C115" s="62" t="s">
        <v>27</v>
      </c>
      <c r="D115" s="62" t="s">
        <v>104</v>
      </c>
      <c r="E115" s="62" t="s">
        <v>36</v>
      </c>
      <c r="F115" s="58"/>
      <c r="G115" s="58" t="s">
        <v>30</v>
      </c>
      <c r="H115" s="59">
        <v>500</v>
      </c>
      <c r="I115" s="160" t="s">
        <v>90</v>
      </c>
      <c r="J115" s="48" t="s">
        <v>31</v>
      </c>
      <c r="K115" s="48" t="s">
        <v>32</v>
      </c>
      <c r="L115" s="2"/>
      <c r="M115" s="2"/>
      <c r="N115" s="2"/>
      <c r="O115" s="2"/>
      <c r="P115" s="2"/>
    </row>
    <row r="116" spans="1:16" ht="15.75" customHeight="1">
      <c r="A116" s="62">
        <v>10</v>
      </c>
      <c r="B116" s="62" t="s">
        <v>1491</v>
      </c>
      <c r="C116" s="62" t="s">
        <v>27</v>
      </c>
      <c r="D116" s="62" t="s">
        <v>422</v>
      </c>
      <c r="E116" s="62" t="s">
        <v>245</v>
      </c>
      <c r="F116" s="62"/>
      <c r="G116" s="290" t="s">
        <v>30</v>
      </c>
      <c r="H116" s="291">
        <v>500</v>
      </c>
      <c r="I116" s="159">
        <v>100</v>
      </c>
      <c r="J116" s="48" t="s">
        <v>31</v>
      </c>
      <c r="K116" s="48" t="s">
        <v>32</v>
      </c>
      <c r="L116" s="2"/>
      <c r="M116" s="2">
        <v>150</v>
      </c>
      <c r="N116" s="2"/>
      <c r="O116" s="2"/>
      <c r="P116" s="2"/>
    </row>
    <row r="117" spans="1:16" ht="15.75" customHeight="1">
      <c r="A117" s="62">
        <v>10</v>
      </c>
      <c r="B117" s="62" t="s">
        <v>1492</v>
      </c>
      <c r="C117" s="62" t="s">
        <v>27</v>
      </c>
      <c r="D117" s="62" t="s">
        <v>100</v>
      </c>
      <c r="E117" s="62" t="s">
        <v>86</v>
      </c>
      <c r="F117" s="62"/>
      <c r="G117" s="290" t="s">
        <v>30</v>
      </c>
      <c r="H117" s="291">
        <v>800</v>
      </c>
      <c r="I117" s="159">
        <v>160</v>
      </c>
      <c r="J117" s="48" t="s">
        <v>31</v>
      </c>
      <c r="K117" s="48" t="s">
        <v>32</v>
      </c>
      <c r="L117" s="2"/>
      <c r="M117" s="2">
        <v>150</v>
      </c>
      <c r="N117" s="2"/>
      <c r="O117" s="2"/>
      <c r="P117" s="2"/>
    </row>
    <row r="118" spans="1:16" ht="15.75" customHeight="1">
      <c r="A118" s="62">
        <v>10</v>
      </c>
      <c r="B118" s="62" t="s">
        <v>1493</v>
      </c>
      <c r="C118" s="62" t="s">
        <v>39</v>
      </c>
      <c r="D118" s="62" t="s">
        <v>657</v>
      </c>
      <c r="E118" s="62" t="s">
        <v>73</v>
      </c>
      <c r="F118" s="62"/>
      <c r="G118" s="290" t="s">
        <v>30</v>
      </c>
      <c r="H118" s="291">
        <v>100</v>
      </c>
      <c r="I118" s="159">
        <v>20</v>
      </c>
      <c r="J118" s="48" t="s">
        <v>31</v>
      </c>
      <c r="K118" s="48" t="s">
        <v>32</v>
      </c>
      <c r="L118" s="2"/>
      <c r="M118" s="2">
        <v>10</v>
      </c>
      <c r="N118" s="2"/>
      <c r="O118" s="2"/>
      <c r="P118" s="2"/>
    </row>
    <row r="119" spans="1:16" ht="15.75" customHeight="1">
      <c r="A119" s="62">
        <v>10</v>
      </c>
      <c r="B119" s="58" t="s">
        <v>1494</v>
      </c>
      <c r="C119" s="58" t="s">
        <v>27</v>
      </c>
      <c r="D119" s="58" t="s">
        <v>483</v>
      </c>
      <c r="E119" s="58" t="s">
        <v>484</v>
      </c>
      <c r="F119" s="58"/>
      <c r="G119" s="288" t="s">
        <v>30</v>
      </c>
      <c r="H119" s="289">
        <v>300</v>
      </c>
      <c r="I119" s="160">
        <v>60</v>
      </c>
      <c r="J119" s="48" t="s">
        <v>31</v>
      </c>
      <c r="K119" s="48" t="s">
        <v>32</v>
      </c>
      <c r="L119" s="2"/>
      <c r="M119" s="2">
        <v>50</v>
      </c>
      <c r="N119" s="2"/>
      <c r="O119" s="2"/>
      <c r="P119" s="2"/>
    </row>
    <row r="120" spans="1:16" ht="15.75" customHeight="1">
      <c r="A120" s="62">
        <v>11</v>
      </c>
      <c r="B120" s="62" t="s">
        <v>1495</v>
      </c>
      <c r="C120" s="62" t="s">
        <v>27</v>
      </c>
      <c r="D120" s="62" t="s">
        <v>1496</v>
      </c>
      <c r="E120" s="62" t="s">
        <v>245</v>
      </c>
      <c r="F120" s="62"/>
      <c r="G120" s="290" t="s">
        <v>30</v>
      </c>
      <c r="H120" s="291">
        <v>350</v>
      </c>
      <c r="I120" s="159">
        <v>70</v>
      </c>
      <c r="J120" s="48" t="s">
        <v>31</v>
      </c>
      <c r="K120" s="48" t="s">
        <v>32</v>
      </c>
      <c r="L120" s="2"/>
      <c r="M120" s="2">
        <v>70</v>
      </c>
      <c r="N120" s="2"/>
      <c r="O120" s="2"/>
      <c r="P120" s="2"/>
    </row>
    <row r="121" spans="1:16" ht="15.75" customHeight="1">
      <c r="A121" s="62">
        <v>11</v>
      </c>
      <c r="B121" s="62" t="s">
        <v>1497</v>
      </c>
      <c r="C121" s="62" t="s">
        <v>27</v>
      </c>
      <c r="D121" s="62" t="s">
        <v>483</v>
      </c>
      <c r="E121" s="62" t="s">
        <v>484</v>
      </c>
      <c r="F121" s="62"/>
      <c r="G121" s="290" t="s">
        <v>30</v>
      </c>
      <c r="H121" s="291">
        <v>600</v>
      </c>
      <c r="I121" s="159">
        <v>120</v>
      </c>
      <c r="J121" s="48" t="s">
        <v>31</v>
      </c>
      <c r="K121" s="48" t="s">
        <v>32</v>
      </c>
      <c r="L121" s="2"/>
      <c r="M121" s="2">
        <v>100</v>
      </c>
      <c r="N121" s="2"/>
      <c r="O121" s="2"/>
      <c r="P121" s="2"/>
    </row>
    <row r="122" spans="1:16" ht="15.75" customHeight="1">
      <c r="A122" s="62">
        <v>11</v>
      </c>
      <c r="B122" s="62" t="s">
        <v>1498</v>
      </c>
      <c r="C122" s="62" t="s">
        <v>39</v>
      </c>
      <c r="D122" s="62" t="s">
        <v>1431</v>
      </c>
      <c r="E122" s="62" t="s">
        <v>44</v>
      </c>
      <c r="F122" s="62"/>
      <c r="G122" s="290" t="s">
        <v>30</v>
      </c>
      <c r="H122" s="291">
        <v>500</v>
      </c>
      <c r="I122" s="159">
        <v>100</v>
      </c>
      <c r="J122" s="48" t="s">
        <v>31</v>
      </c>
      <c r="K122" s="48" t="s">
        <v>32</v>
      </c>
      <c r="L122" s="2"/>
      <c r="M122" s="2">
        <v>100</v>
      </c>
      <c r="N122" s="2"/>
      <c r="O122" s="2"/>
      <c r="P122" s="2"/>
    </row>
    <row r="123" spans="1:16" ht="15.75" customHeight="1">
      <c r="A123" s="62">
        <v>11</v>
      </c>
      <c r="B123" s="62" t="s">
        <v>1499</v>
      </c>
      <c r="C123" s="62" t="s">
        <v>27</v>
      </c>
      <c r="D123" s="62" t="s">
        <v>1500</v>
      </c>
      <c r="E123" s="62" t="s">
        <v>148</v>
      </c>
      <c r="F123" s="62"/>
      <c r="G123" s="290" t="s">
        <v>30</v>
      </c>
      <c r="H123" s="291">
        <v>1000</v>
      </c>
      <c r="I123" s="159">
        <v>200</v>
      </c>
      <c r="J123" s="48" t="s">
        <v>31</v>
      </c>
      <c r="K123" s="48" t="s">
        <v>32</v>
      </c>
      <c r="L123" s="2"/>
      <c r="M123" s="2">
        <v>150</v>
      </c>
      <c r="N123" s="2"/>
      <c r="O123" s="2"/>
      <c r="P123" s="2"/>
    </row>
    <row r="124" spans="1:16" ht="15.75" customHeight="1">
      <c r="A124" s="62">
        <v>11</v>
      </c>
      <c r="B124" s="62" t="s">
        <v>1501</v>
      </c>
      <c r="C124" s="62" t="s">
        <v>27</v>
      </c>
      <c r="D124" s="62" t="s">
        <v>100</v>
      </c>
      <c r="E124" s="62" t="s">
        <v>191</v>
      </c>
      <c r="F124" s="62"/>
      <c r="G124" s="290" t="s">
        <v>30</v>
      </c>
      <c r="H124" s="291">
        <v>500</v>
      </c>
      <c r="I124" s="159">
        <v>100</v>
      </c>
      <c r="J124" s="48" t="s">
        <v>31</v>
      </c>
      <c r="K124" s="48" t="s">
        <v>32</v>
      </c>
      <c r="L124" s="2"/>
      <c r="M124" s="2">
        <v>100</v>
      </c>
      <c r="N124" s="2"/>
      <c r="O124" s="2"/>
      <c r="P124" s="2"/>
    </row>
    <row r="125" spans="1:16" ht="15.75" customHeight="1">
      <c r="A125" s="62">
        <v>11</v>
      </c>
      <c r="B125" s="62" t="s">
        <v>1502</v>
      </c>
      <c r="C125" s="62" t="s">
        <v>27</v>
      </c>
      <c r="D125" s="62" t="s">
        <v>1503</v>
      </c>
      <c r="E125" s="62" t="s">
        <v>145</v>
      </c>
      <c r="F125" s="62"/>
      <c r="G125" s="290" t="s">
        <v>30</v>
      </c>
      <c r="H125" s="291">
        <v>2000</v>
      </c>
      <c r="I125" s="159">
        <v>400</v>
      </c>
      <c r="J125" s="48" t="s">
        <v>31</v>
      </c>
      <c r="K125" s="48" t="s">
        <v>32</v>
      </c>
      <c r="L125" s="2"/>
      <c r="M125" s="2">
        <v>400</v>
      </c>
      <c r="N125" s="2"/>
      <c r="O125" s="2"/>
      <c r="P125" s="2"/>
    </row>
    <row r="126" spans="1:16" ht="15.75" customHeight="1">
      <c r="A126" s="62">
        <v>11</v>
      </c>
      <c r="B126" s="62" t="s">
        <v>1504</v>
      </c>
      <c r="C126" s="62" t="s">
        <v>27</v>
      </c>
      <c r="D126" s="62" t="s">
        <v>1431</v>
      </c>
      <c r="E126" s="62" t="s">
        <v>44</v>
      </c>
      <c r="F126" s="62"/>
      <c r="G126" s="290" t="s">
        <v>30</v>
      </c>
      <c r="H126" s="291">
        <v>2000</v>
      </c>
      <c r="I126" s="159">
        <v>400</v>
      </c>
      <c r="J126" s="48" t="s">
        <v>31</v>
      </c>
      <c r="K126" s="48" t="s">
        <v>32</v>
      </c>
      <c r="L126" s="2"/>
      <c r="M126" s="2">
        <v>400</v>
      </c>
      <c r="N126" s="2"/>
      <c r="O126" s="2"/>
      <c r="P126" s="2"/>
    </row>
    <row r="127" spans="1:16" ht="15.75" customHeight="1">
      <c r="A127" s="62">
        <v>11</v>
      </c>
      <c r="B127" s="62" t="s">
        <v>1206</v>
      </c>
      <c r="C127" s="62" t="s">
        <v>27</v>
      </c>
      <c r="D127" s="62" t="s">
        <v>100</v>
      </c>
      <c r="E127" s="62" t="s">
        <v>36</v>
      </c>
      <c r="F127" s="62"/>
      <c r="G127" s="290" t="s">
        <v>30</v>
      </c>
      <c r="H127" s="291">
        <v>1500</v>
      </c>
      <c r="I127" s="159">
        <v>300</v>
      </c>
      <c r="J127" s="48" t="s">
        <v>31</v>
      </c>
      <c r="K127" s="48" t="s">
        <v>32</v>
      </c>
      <c r="L127" s="2"/>
      <c r="M127" s="2">
        <v>500</v>
      </c>
      <c r="N127" s="2"/>
      <c r="O127" s="2"/>
      <c r="P127" s="2"/>
    </row>
    <row r="128" spans="1:16" ht="15.75" customHeight="1">
      <c r="A128" s="62">
        <v>11</v>
      </c>
      <c r="B128" s="62" t="s">
        <v>1505</v>
      </c>
      <c r="C128" s="62" t="s">
        <v>27</v>
      </c>
      <c r="D128" s="62" t="s">
        <v>1496</v>
      </c>
      <c r="E128" s="62" t="s">
        <v>245</v>
      </c>
      <c r="F128" s="62"/>
      <c r="G128" s="290" t="s">
        <v>30</v>
      </c>
      <c r="H128" s="291">
        <v>500</v>
      </c>
      <c r="I128" s="159">
        <v>100</v>
      </c>
      <c r="J128" s="48" t="s">
        <v>31</v>
      </c>
      <c r="K128" s="48" t="s">
        <v>32</v>
      </c>
      <c r="L128" s="2"/>
      <c r="M128" s="2">
        <v>100</v>
      </c>
      <c r="N128" s="2"/>
      <c r="O128" s="2"/>
      <c r="P128" s="2"/>
    </row>
    <row r="129" spans="1:16" ht="15.75" customHeight="1">
      <c r="A129" s="62">
        <v>11</v>
      </c>
      <c r="B129" s="62" t="s">
        <v>1471</v>
      </c>
      <c r="C129" s="62" t="s">
        <v>27</v>
      </c>
      <c r="D129" s="62" t="s">
        <v>1506</v>
      </c>
      <c r="E129" s="62" t="s">
        <v>54</v>
      </c>
      <c r="F129" s="62"/>
      <c r="G129" s="290" t="s">
        <v>30</v>
      </c>
      <c r="H129" s="291">
        <v>500</v>
      </c>
      <c r="I129" s="159">
        <v>100</v>
      </c>
      <c r="J129" s="48" t="s">
        <v>31</v>
      </c>
      <c r="K129" s="48" t="s">
        <v>32</v>
      </c>
      <c r="L129" s="2"/>
      <c r="M129" s="2">
        <v>100</v>
      </c>
      <c r="N129" s="2"/>
      <c r="O129" s="2"/>
      <c r="P129" s="2"/>
    </row>
    <row r="130" spans="1:16" ht="15.75" customHeight="1">
      <c r="A130" s="62">
        <v>11</v>
      </c>
      <c r="B130" s="62" t="s">
        <v>1507</v>
      </c>
      <c r="C130" s="62" t="s">
        <v>27</v>
      </c>
      <c r="D130" s="62" t="s">
        <v>137</v>
      </c>
      <c r="E130" s="62" t="s">
        <v>84</v>
      </c>
      <c r="F130" s="62"/>
      <c r="G130" s="290" t="s">
        <v>30</v>
      </c>
      <c r="H130" s="291">
        <v>500</v>
      </c>
      <c r="I130" s="159">
        <v>100</v>
      </c>
      <c r="J130" s="48" t="s">
        <v>31</v>
      </c>
      <c r="K130" s="48" t="s">
        <v>32</v>
      </c>
      <c r="L130" s="2"/>
      <c r="M130" s="2">
        <v>150</v>
      </c>
      <c r="N130" s="2"/>
      <c r="O130" s="2"/>
      <c r="P130" s="2"/>
    </row>
    <row r="131" spans="1:16" ht="15.75" customHeight="1">
      <c r="A131" s="62">
        <v>11</v>
      </c>
      <c r="B131" s="62" t="s">
        <v>1508</v>
      </c>
      <c r="C131" s="62" t="s">
        <v>27</v>
      </c>
      <c r="D131" s="62" t="s">
        <v>253</v>
      </c>
      <c r="E131" s="62" t="s">
        <v>54</v>
      </c>
      <c r="F131" s="62"/>
      <c r="G131" s="290" t="s">
        <v>30</v>
      </c>
      <c r="H131" s="291">
        <v>1650</v>
      </c>
      <c r="I131" s="159">
        <v>330</v>
      </c>
      <c r="J131" s="48" t="s">
        <v>31</v>
      </c>
      <c r="K131" s="48" t="s">
        <v>32</v>
      </c>
      <c r="L131" s="2"/>
      <c r="M131" s="2">
        <v>300</v>
      </c>
      <c r="N131" s="2"/>
      <c r="O131" s="2"/>
      <c r="P131" s="2"/>
    </row>
    <row r="132" spans="1:16" ht="15.75" customHeight="1">
      <c r="A132" s="62">
        <v>11</v>
      </c>
      <c r="B132" s="62" t="s">
        <v>1509</v>
      </c>
      <c r="C132" s="62" t="s">
        <v>27</v>
      </c>
      <c r="D132" s="62" t="s">
        <v>100</v>
      </c>
      <c r="E132" s="62" t="s">
        <v>54</v>
      </c>
      <c r="F132" s="62"/>
      <c r="G132" s="290" t="s">
        <v>30</v>
      </c>
      <c r="H132" s="291">
        <v>4000</v>
      </c>
      <c r="I132" s="159">
        <v>800</v>
      </c>
      <c r="J132" s="48" t="s">
        <v>31</v>
      </c>
      <c r="K132" s="48" t="s">
        <v>32</v>
      </c>
      <c r="L132" s="2"/>
      <c r="M132" s="2">
        <v>600</v>
      </c>
      <c r="N132" s="2"/>
      <c r="O132" s="2"/>
      <c r="P132" s="2"/>
    </row>
    <row r="133" spans="1:16" ht="15.75" customHeight="1">
      <c r="A133" s="62">
        <v>11</v>
      </c>
      <c r="B133" s="62" t="s">
        <v>1509</v>
      </c>
      <c r="C133" s="62" t="s">
        <v>27</v>
      </c>
      <c r="D133" s="62" t="s">
        <v>100</v>
      </c>
      <c r="E133" s="62" t="s">
        <v>54</v>
      </c>
      <c r="F133" s="62"/>
      <c r="G133" s="62" t="s">
        <v>1392</v>
      </c>
      <c r="H133" s="63">
        <v>8</v>
      </c>
      <c r="I133" s="159">
        <v>80</v>
      </c>
      <c r="J133" s="48" t="s">
        <v>31</v>
      </c>
      <c r="K133" s="48" t="s">
        <v>32</v>
      </c>
      <c r="L133" s="2"/>
      <c r="M133" s="2"/>
      <c r="N133" s="2"/>
      <c r="O133" s="2"/>
      <c r="P133" s="2"/>
    </row>
    <row r="134" spans="1:16" ht="15.75" customHeight="1">
      <c r="A134" s="62">
        <v>11</v>
      </c>
      <c r="B134" s="62" t="s">
        <v>1510</v>
      </c>
      <c r="C134" s="62" t="s">
        <v>27</v>
      </c>
      <c r="D134" s="62" t="s">
        <v>108</v>
      </c>
      <c r="E134" s="62" t="s">
        <v>44</v>
      </c>
      <c r="F134" s="62"/>
      <c r="G134" s="290" t="s">
        <v>30</v>
      </c>
      <c r="H134" s="291">
        <v>700</v>
      </c>
      <c r="I134" s="159">
        <v>140</v>
      </c>
      <c r="J134" s="48" t="s">
        <v>31</v>
      </c>
      <c r="K134" s="48" t="s">
        <v>32</v>
      </c>
      <c r="L134" s="2"/>
      <c r="M134" s="2">
        <v>150</v>
      </c>
      <c r="N134" s="2"/>
      <c r="O134" s="2"/>
      <c r="P134" s="2"/>
    </row>
    <row r="135" spans="1:16" ht="15.75" customHeight="1">
      <c r="A135" s="62">
        <v>11</v>
      </c>
      <c r="B135" s="62" t="s">
        <v>1510</v>
      </c>
      <c r="C135" s="62" t="s">
        <v>27</v>
      </c>
      <c r="D135" s="62" t="s">
        <v>108</v>
      </c>
      <c r="E135" s="62" t="s">
        <v>44</v>
      </c>
      <c r="F135" s="58"/>
      <c r="G135" s="58" t="s">
        <v>1392</v>
      </c>
      <c r="H135" s="59">
        <v>10</v>
      </c>
      <c r="I135" s="160">
        <v>100</v>
      </c>
      <c r="J135" s="48" t="s">
        <v>31</v>
      </c>
      <c r="K135" s="48" t="s">
        <v>32</v>
      </c>
      <c r="L135" s="2"/>
      <c r="M135" s="2"/>
      <c r="N135" s="2"/>
      <c r="O135" s="2"/>
      <c r="P135" s="2"/>
    </row>
    <row r="136" spans="1:16" ht="15.75" customHeight="1">
      <c r="A136" s="62">
        <v>12</v>
      </c>
      <c r="B136" s="62" t="s">
        <v>1511</v>
      </c>
      <c r="C136" s="62" t="s">
        <v>27</v>
      </c>
      <c r="D136" s="62"/>
      <c r="E136" s="62" t="s">
        <v>169</v>
      </c>
      <c r="F136" s="62"/>
      <c r="G136" s="62" t="s">
        <v>1392</v>
      </c>
      <c r="H136" s="63">
        <v>20</v>
      </c>
      <c r="I136" s="159">
        <v>200</v>
      </c>
      <c r="J136" s="48" t="s">
        <v>31</v>
      </c>
      <c r="K136" s="48" t="s">
        <v>32</v>
      </c>
      <c r="L136" s="2"/>
      <c r="M136" s="2"/>
      <c r="N136" s="2"/>
      <c r="O136" s="2"/>
      <c r="P136" s="2"/>
    </row>
    <row r="137" spans="1:16" ht="15.75" customHeight="1">
      <c r="A137" s="62">
        <v>12</v>
      </c>
      <c r="B137" s="62" t="s">
        <v>1512</v>
      </c>
      <c r="C137" s="62" t="s">
        <v>27</v>
      </c>
      <c r="D137" s="62" t="s">
        <v>56</v>
      </c>
      <c r="E137" s="62" t="s">
        <v>89</v>
      </c>
      <c r="F137" s="62"/>
      <c r="G137" s="62" t="s">
        <v>30</v>
      </c>
      <c r="H137" s="63">
        <v>500</v>
      </c>
      <c r="I137" s="159" t="s">
        <v>90</v>
      </c>
      <c r="J137" s="48" t="s">
        <v>31</v>
      </c>
      <c r="K137" s="48" t="s">
        <v>32</v>
      </c>
      <c r="L137" s="2"/>
      <c r="M137" s="2">
        <v>100</v>
      </c>
      <c r="N137" s="2"/>
      <c r="O137" s="753" t="s">
        <v>1513</v>
      </c>
      <c r="P137" s="719"/>
    </row>
    <row r="138" spans="1:16" ht="15.75" customHeight="1">
      <c r="A138" s="62">
        <v>12</v>
      </c>
      <c r="B138" s="62" t="s">
        <v>1402</v>
      </c>
      <c r="C138" s="62" t="s">
        <v>27</v>
      </c>
      <c r="D138" s="62" t="s">
        <v>96</v>
      </c>
      <c r="E138" s="62" t="s">
        <v>44</v>
      </c>
      <c r="F138" s="62"/>
      <c r="G138" s="290" t="s">
        <v>30</v>
      </c>
      <c r="H138" s="291">
        <v>1000</v>
      </c>
      <c r="I138" s="159">
        <v>200</v>
      </c>
      <c r="J138" s="48" t="s">
        <v>31</v>
      </c>
      <c r="K138" s="48" t="s">
        <v>32</v>
      </c>
      <c r="L138" s="2"/>
      <c r="M138" s="2">
        <v>150</v>
      </c>
      <c r="N138" s="2"/>
      <c r="O138" s="723" t="s">
        <v>25</v>
      </c>
      <c r="P138" s="719"/>
    </row>
    <row r="139" spans="1:16" ht="15.75" customHeight="1">
      <c r="A139" s="62">
        <v>12</v>
      </c>
      <c r="B139" s="58" t="s">
        <v>1514</v>
      </c>
      <c r="C139" s="58" t="s">
        <v>27</v>
      </c>
      <c r="D139" s="58" t="s">
        <v>281</v>
      </c>
      <c r="E139" s="58" t="s">
        <v>44</v>
      </c>
      <c r="F139" s="58"/>
      <c r="G139" s="288" t="s">
        <v>30</v>
      </c>
      <c r="H139" s="289">
        <v>1000</v>
      </c>
      <c r="I139" s="160">
        <v>200</v>
      </c>
      <c r="J139" s="48" t="s">
        <v>31</v>
      </c>
      <c r="K139" s="48" t="s">
        <v>32</v>
      </c>
      <c r="L139" s="2"/>
      <c r="M139" s="2">
        <v>300</v>
      </c>
      <c r="N139" s="55"/>
      <c r="O139" s="48" t="s">
        <v>33</v>
      </c>
      <c r="P139" s="51">
        <v>50025</v>
      </c>
    </row>
    <row r="140" spans="1:16" ht="15.75" customHeight="1">
      <c r="A140" s="62">
        <v>13</v>
      </c>
      <c r="B140" s="62" t="s">
        <v>1515</v>
      </c>
      <c r="C140" s="62" t="s">
        <v>27</v>
      </c>
      <c r="D140" s="62" t="s">
        <v>1406</v>
      </c>
      <c r="E140" s="62" t="s">
        <v>84</v>
      </c>
      <c r="F140" s="62"/>
      <c r="G140" s="290" t="s">
        <v>30</v>
      </c>
      <c r="H140" s="291">
        <v>200</v>
      </c>
      <c r="I140" s="159">
        <v>40</v>
      </c>
      <c r="J140" s="48" t="s">
        <v>31</v>
      </c>
      <c r="K140" s="48" t="s">
        <v>32</v>
      </c>
      <c r="L140" s="2"/>
      <c r="M140" s="2">
        <v>50</v>
      </c>
      <c r="N140" s="55"/>
      <c r="O140" s="48" t="s">
        <v>37</v>
      </c>
      <c r="P140" s="51">
        <v>1000</v>
      </c>
    </row>
    <row r="141" spans="1:16" ht="15.75" customHeight="1">
      <c r="A141" s="62">
        <v>13</v>
      </c>
      <c r="B141" s="62" t="s">
        <v>1516</v>
      </c>
      <c r="C141" s="62" t="s">
        <v>27</v>
      </c>
      <c r="D141" s="62" t="s">
        <v>1517</v>
      </c>
      <c r="E141" s="62" t="s">
        <v>36</v>
      </c>
      <c r="F141" s="62"/>
      <c r="G141" s="290" t="s">
        <v>30</v>
      </c>
      <c r="H141" s="291">
        <v>1000</v>
      </c>
      <c r="I141" s="159">
        <v>200</v>
      </c>
      <c r="J141" s="48" t="s">
        <v>31</v>
      </c>
      <c r="K141" s="48" t="s">
        <v>32</v>
      </c>
      <c r="L141" s="2"/>
      <c r="M141" s="2">
        <v>150</v>
      </c>
      <c r="N141" s="2"/>
      <c r="O141" s="48" t="s">
        <v>282</v>
      </c>
      <c r="P141" s="51">
        <v>51025</v>
      </c>
    </row>
    <row r="142" spans="1:16" ht="15.75" customHeight="1">
      <c r="A142" s="62">
        <v>13</v>
      </c>
      <c r="B142" s="62" t="s">
        <v>1518</v>
      </c>
      <c r="C142" s="62" t="s">
        <v>27</v>
      </c>
      <c r="D142" s="62" t="s">
        <v>128</v>
      </c>
      <c r="E142" s="62" t="s">
        <v>44</v>
      </c>
      <c r="F142" s="62"/>
      <c r="G142" s="290" t="s">
        <v>30</v>
      </c>
      <c r="H142" s="291">
        <v>500</v>
      </c>
      <c r="I142" s="159">
        <v>100</v>
      </c>
      <c r="J142" s="48" t="s">
        <v>31</v>
      </c>
      <c r="K142" s="48" t="s">
        <v>32</v>
      </c>
      <c r="L142" s="2"/>
      <c r="M142" s="2">
        <v>100</v>
      </c>
      <c r="N142" s="2"/>
      <c r="O142" s="723" t="s">
        <v>286</v>
      </c>
      <c r="P142" s="719"/>
    </row>
    <row r="143" spans="1:16" ht="15.75" customHeight="1">
      <c r="A143" s="62">
        <v>13</v>
      </c>
      <c r="B143" s="62" t="s">
        <v>599</v>
      </c>
      <c r="C143" s="62" t="s">
        <v>27</v>
      </c>
      <c r="D143" s="62" t="s">
        <v>600</v>
      </c>
      <c r="E143" s="62" t="s">
        <v>209</v>
      </c>
      <c r="F143" s="62"/>
      <c r="G143" s="290" t="s">
        <v>30</v>
      </c>
      <c r="H143" s="291">
        <v>8500</v>
      </c>
      <c r="I143" s="159">
        <v>1700</v>
      </c>
      <c r="J143" s="48" t="s">
        <v>31</v>
      </c>
      <c r="K143" s="48" t="s">
        <v>32</v>
      </c>
      <c r="L143" s="2"/>
      <c r="M143" s="2">
        <v>1000</v>
      </c>
      <c r="N143" s="55"/>
      <c r="O143" s="48" t="s">
        <v>580</v>
      </c>
      <c r="P143" s="48">
        <v>138</v>
      </c>
    </row>
    <row r="144" spans="1:16" ht="15.75" customHeight="1">
      <c r="A144" s="62">
        <v>13</v>
      </c>
      <c r="B144" s="62" t="s">
        <v>45</v>
      </c>
      <c r="C144" s="62" t="s">
        <v>27</v>
      </c>
      <c r="D144" s="62" t="s">
        <v>46</v>
      </c>
      <c r="E144" s="62" t="s">
        <v>47</v>
      </c>
      <c r="F144" s="62"/>
      <c r="G144" s="290" t="s">
        <v>30</v>
      </c>
      <c r="H144" s="291">
        <v>3000</v>
      </c>
      <c r="I144" s="159">
        <v>600</v>
      </c>
      <c r="J144" s="48" t="s">
        <v>31</v>
      </c>
      <c r="K144" s="48" t="s">
        <v>32</v>
      </c>
      <c r="L144" s="2"/>
      <c r="M144" s="2">
        <v>800</v>
      </c>
      <c r="N144" s="2"/>
      <c r="O144" s="48" t="s">
        <v>348</v>
      </c>
      <c r="P144" s="48">
        <v>100</v>
      </c>
    </row>
    <row r="145" spans="1:16" ht="15.75" customHeight="1">
      <c r="A145" s="62">
        <v>13</v>
      </c>
      <c r="B145" s="58" t="s">
        <v>181</v>
      </c>
      <c r="C145" s="58" t="s">
        <v>27</v>
      </c>
      <c r="D145" s="58" t="s">
        <v>180</v>
      </c>
      <c r="E145" s="58" t="s">
        <v>36</v>
      </c>
      <c r="F145" s="58"/>
      <c r="G145" s="288" t="s">
        <v>30</v>
      </c>
      <c r="H145" s="289">
        <v>2000</v>
      </c>
      <c r="I145" s="160">
        <v>400</v>
      </c>
      <c r="J145" s="48" t="s">
        <v>31</v>
      </c>
      <c r="K145" s="48" t="s">
        <v>32</v>
      </c>
      <c r="L145" s="2"/>
      <c r="M145" s="2">
        <v>1000</v>
      </c>
      <c r="N145" s="2"/>
      <c r="O145" s="48" t="s">
        <v>282</v>
      </c>
      <c r="P145" s="48">
        <v>238</v>
      </c>
    </row>
    <row r="146" spans="1:16" ht="15.75" customHeight="1">
      <c r="A146" s="62">
        <v>15</v>
      </c>
      <c r="B146" s="292" t="s">
        <v>1519</v>
      </c>
      <c r="C146" s="292" t="s">
        <v>27</v>
      </c>
      <c r="D146" s="292" t="s">
        <v>1520</v>
      </c>
      <c r="E146" s="292" t="s">
        <v>51</v>
      </c>
      <c r="F146" s="292"/>
      <c r="G146" s="292" t="s">
        <v>30</v>
      </c>
      <c r="H146" s="293">
        <v>5000</v>
      </c>
      <c r="I146" s="159" t="s">
        <v>90</v>
      </c>
      <c r="J146" s="48" t="s">
        <v>31</v>
      </c>
      <c r="K146" s="48" t="s">
        <v>32</v>
      </c>
      <c r="L146" s="2"/>
      <c r="M146" s="2">
        <v>1000</v>
      </c>
      <c r="N146" s="2"/>
      <c r="O146" s="2"/>
      <c r="P146" s="2"/>
    </row>
    <row r="147" spans="1:16" ht="15.75" customHeight="1">
      <c r="A147" s="62">
        <v>15</v>
      </c>
      <c r="B147" s="292" t="s">
        <v>1521</v>
      </c>
      <c r="C147" s="292" t="s">
        <v>27</v>
      </c>
      <c r="D147" s="292" t="s">
        <v>1520</v>
      </c>
      <c r="E147" s="292" t="s">
        <v>51</v>
      </c>
      <c r="F147" s="292"/>
      <c r="G147" s="292" t="s">
        <v>30</v>
      </c>
      <c r="H147" s="293">
        <v>1500</v>
      </c>
      <c r="I147" s="159" t="s">
        <v>90</v>
      </c>
      <c r="J147" s="48" t="s">
        <v>31</v>
      </c>
      <c r="K147" s="48" t="s">
        <v>32</v>
      </c>
      <c r="L147" s="2"/>
      <c r="M147" s="2">
        <v>300</v>
      </c>
      <c r="N147" s="2"/>
      <c r="O147" s="2"/>
      <c r="P147" s="2"/>
    </row>
    <row r="148" spans="1:16" ht="15.75" customHeight="1">
      <c r="A148" s="62">
        <v>15</v>
      </c>
      <c r="B148" s="292" t="s">
        <v>1522</v>
      </c>
      <c r="C148" s="292" t="s">
        <v>27</v>
      </c>
      <c r="D148" s="292" t="s">
        <v>1520</v>
      </c>
      <c r="E148" s="292" t="s">
        <v>51</v>
      </c>
      <c r="F148" s="292"/>
      <c r="G148" s="292" t="s">
        <v>30</v>
      </c>
      <c r="H148" s="293">
        <v>5000</v>
      </c>
      <c r="I148" s="159" t="s">
        <v>90</v>
      </c>
      <c r="J148" s="48" t="s">
        <v>31</v>
      </c>
      <c r="K148" s="48" t="s">
        <v>32</v>
      </c>
      <c r="L148" s="2"/>
      <c r="M148" s="2">
        <v>1000</v>
      </c>
      <c r="N148" s="2"/>
      <c r="O148" s="2"/>
      <c r="P148" s="2"/>
    </row>
    <row r="149" spans="1:16" ht="15.75" customHeight="1">
      <c r="A149" s="62">
        <v>15</v>
      </c>
      <c r="B149" s="292" t="s">
        <v>1523</v>
      </c>
      <c r="C149" s="292" t="s">
        <v>27</v>
      </c>
      <c r="D149" s="292" t="s">
        <v>1520</v>
      </c>
      <c r="E149" s="292" t="s">
        <v>51</v>
      </c>
      <c r="F149" s="292"/>
      <c r="G149" s="292" t="s">
        <v>30</v>
      </c>
      <c r="H149" s="293">
        <v>1000</v>
      </c>
      <c r="I149" s="159" t="s">
        <v>90</v>
      </c>
      <c r="J149" s="48" t="s">
        <v>31</v>
      </c>
      <c r="K149" s="48" t="s">
        <v>32</v>
      </c>
      <c r="L149" s="2"/>
      <c r="M149" s="2">
        <v>200</v>
      </c>
      <c r="N149" s="2"/>
      <c r="O149" s="55">
        <f>SUM(H146:H169)</f>
        <v>44000</v>
      </c>
      <c r="P149" s="2"/>
    </row>
    <row r="150" spans="1:16" ht="15.75" customHeight="1">
      <c r="A150" s="62">
        <v>15</v>
      </c>
      <c r="B150" s="292" t="s">
        <v>1524</v>
      </c>
      <c r="C150" s="292" t="s">
        <v>27</v>
      </c>
      <c r="D150" s="292" t="s">
        <v>845</v>
      </c>
      <c r="E150" s="292" t="s">
        <v>51</v>
      </c>
      <c r="F150" s="292"/>
      <c r="G150" s="292" t="s">
        <v>30</v>
      </c>
      <c r="H150" s="293">
        <v>1500</v>
      </c>
      <c r="I150" s="159" t="s">
        <v>90</v>
      </c>
      <c r="J150" s="48" t="s">
        <v>31</v>
      </c>
      <c r="K150" s="48" t="s">
        <v>32</v>
      </c>
      <c r="L150" s="2"/>
      <c r="M150" s="2">
        <v>300</v>
      </c>
      <c r="N150" s="2"/>
      <c r="O150" s="2"/>
      <c r="P150" s="2"/>
    </row>
    <row r="151" spans="1:16" ht="15.75" customHeight="1">
      <c r="A151" s="62">
        <v>15</v>
      </c>
      <c r="B151" s="292" t="s">
        <v>1525</v>
      </c>
      <c r="C151" s="292" t="s">
        <v>27</v>
      </c>
      <c r="D151" s="292" t="s">
        <v>721</v>
      </c>
      <c r="E151" s="292" t="s">
        <v>51</v>
      </c>
      <c r="F151" s="292"/>
      <c r="G151" s="292" t="s">
        <v>30</v>
      </c>
      <c r="H151" s="293">
        <v>3000</v>
      </c>
      <c r="I151" s="159" t="s">
        <v>90</v>
      </c>
      <c r="J151" s="48" t="s">
        <v>31</v>
      </c>
      <c r="K151" s="48" t="s">
        <v>32</v>
      </c>
      <c r="L151" s="2"/>
      <c r="M151" s="2">
        <v>600</v>
      </c>
      <c r="N151" s="2"/>
      <c r="O151" s="2"/>
      <c r="P151" s="2"/>
    </row>
    <row r="152" spans="1:16" ht="15.75" customHeight="1">
      <c r="A152" s="62">
        <v>15</v>
      </c>
      <c r="B152" s="292" t="s">
        <v>1526</v>
      </c>
      <c r="C152" s="292" t="s">
        <v>27</v>
      </c>
      <c r="D152" s="292" t="s">
        <v>721</v>
      </c>
      <c r="E152" s="292" t="s">
        <v>51</v>
      </c>
      <c r="F152" s="292"/>
      <c r="G152" s="292" t="s">
        <v>30</v>
      </c>
      <c r="H152" s="293">
        <v>1500</v>
      </c>
      <c r="I152" s="159" t="s">
        <v>90</v>
      </c>
      <c r="J152" s="48" t="s">
        <v>31</v>
      </c>
      <c r="K152" s="48" t="s">
        <v>32</v>
      </c>
      <c r="L152" s="2"/>
      <c r="M152" s="2">
        <v>300</v>
      </c>
      <c r="N152" s="2"/>
      <c r="O152" s="2"/>
      <c r="P152" s="2"/>
    </row>
    <row r="153" spans="1:16" ht="15.75" customHeight="1">
      <c r="A153" s="62">
        <v>15</v>
      </c>
      <c r="B153" s="292" t="s">
        <v>1527</v>
      </c>
      <c r="C153" s="292" t="s">
        <v>27</v>
      </c>
      <c r="D153" s="292" t="s">
        <v>721</v>
      </c>
      <c r="E153" s="292" t="s">
        <v>51</v>
      </c>
      <c r="F153" s="292"/>
      <c r="G153" s="292" t="s">
        <v>30</v>
      </c>
      <c r="H153" s="293">
        <v>1500</v>
      </c>
      <c r="I153" s="159" t="s">
        <v>90</v>
      </c>
      <c r="J153" s="48" t="s">
        <v>31</v>
      </c>
      <c r="K153" s="48" t="s">
        <v>32</v>
      </c>
      <c r="L153" s="2"/>
      <c r="M153" s="2">
        <v>300</v>
      </c>
      <c r="N153" s="2"/>
      <c r="O153" s="2"/>
      <c r="P153" s="2"/>
    </row>
    <row r="154" spans="1:16" ht="15.75" customHeight="1">
      <c r="A154" s="62">
        <v>15</v>
      </c>
      <c r="B154" s="292" t="s">
        <v>1528</v>
      </c>
      <c r="C154" s="292" t="s">
        <v>27</v>
      </c>
      <c r="D154" s="292" t="s">
        <v>721</v>
      </c>
      <c r="E154" s="292" t="s">
        <v>51</v>
      </c>
      <c r="F154" s="292"/>
      <c r="G154" s="292" t="s">
        <v>30</v>
      </c>
      <c r="H154" s="293">
        <v>1500</v>
      </c>
      <c r="I154" s="159" t="s">
        <v>90</v>
      </c>
      <c r="J154" s="48" t="s">
        <v>31</v>
      </c>
      <c r="K154" s="48" t="s">
        <v>32</v>
      </c>
      <c r="L154" s="2"/>
      <c r="M154" s="2">
        <v>300</v>
      </c>
      <c r="N154" s="2"/>
      <c r="O154" s="2"/>
      <c r="P154" s="2"/>
    </row>
    <row r="155" spans="1:16" ht="15.75" customHeight="1">
      <c r="A155" s="62">
        <v>15</v>
      </c>
      <c r="B155" s="292" t="s">
        <v>1529</v>
      </c>
      <c r="C155" s="292" t="s">
        <v>27</v>
      </c>
      <c r="D155" s="292" t="s">
        <v>721</v>
      </c>
      <c r="E155" s="292" t="s">
        <v>51</v>
      </c>
      <c r="F155" s="292"/>
      <c r="G155" s="292" t="s">
        <v>30</v>
      </c>
      <c r="H155" s="293">
        <v>1500</v>
      </c>
      <c r="I155" s="159" t="s">
        <v>90</v>
      </c>
      <c r="J155" s="48" t="s">
        <v>31</v>
      </c>
      <c r="K155" s="48" t="s">
        <v>32</v>
      </c>
      <c r="L155" s="2"/>
      <c r="M155" s="2">
        <v>300</v>
      </c>
      <c r="N155" s="2"/>
      <c r="O155" s="2"/>
      <c r="P155" s="2"/>
    </row>
    <row r="156" spans="1:16" ht="15.75" customHeight="1">
      <c r="A156" s="62">
        <v>15</v>
      </c>
      <c r="B156" s="292" t="s">
        <v>1530</v>
      </c>
      <c r="C156" s="292" t="s">
        <v>39</v>
      </c>
      <c r="D156" s="292" t="s">
        <v>721</v>
      </c>
      <c r="E156" s="292" t="s">
        <v>51</v>
      </c>
      <c r="F156" s="292"/>
      <c r="G156" s="292" t="s">
        <v>30</v>
      </c>
      <c r="H156" s="293">
        <v>3000</v>
      </c>
      <c r="I156" s="159" t="s">
        <v>90</v>
      </c>
      <c r="J156" s="48" t="s">
        <v>31</v>
      </c>
      <c r="K156" s="48" t="s">
        <v>32</v>
      </c>
      <c r="L156" s="2"/>
      <c r="M156" s="2">
        <v>600</v>
      </c>
      <c r="N156" s="2"/>
      <c r="O156" s="2"/>
      <c r="P156" s="2"/>
    </row>
    <row r="157" spans="1:16" ht="15.75" customHeight="1">
      <c r="A157" s="62">
        <v>15</v>
      </c>
      <c r="B157" s="292" t="s">
        <v>1531</v>
      </c>
      <c r="C157" s="292" t="s">
        <v>27</v>
      </c>
      <c r="D157" s="292" t="s">
        <v>721</v>
      </c>
      <c r="E157" s="292" t="s">
        <v>51</v>
      </c>
      <c r="F157" s="292"/>
      <c r="G157" s="292" t="s">
        <v>30</v>
      </c>
      <c r="H157" s="293">
        <v>500</v>
      </c>
      <c r="I157" s="159" t="s">
        <v>90</v>
      </c>
      <c r="J157" s="48" t="s">
        <v>31</v>
      </c>
      <c r="K157" s="48" t="s">
        <v>32</v>
      </c>
      <c r="L157" s="2"/>
      <c r="M157" s="2">
        <v>100</v>
      </c>
      <c r="N157" s="2"/>
      <c r="O157" s="2"/>
      <c r="P157" s="2"/>
    </row>
    <row r="158" spans="1:16" ht="15.75" customHeight="1">
      <c r="A158" s="62">
        <v>15</v>
      </c>
      <c r="B158" s="292" t="s">
        <v>1532</v>
      </c>
      <c r="C158" s="292" t="s">
        <v>27</v>
      </c>
      <c r="D158" s="292" t="s">
        <v>389</v>
      </c>
      <c r="E158" s="292" t="s">
        <v>51</v>
      </c>
      <c r="F158" s="292"/>
      <c r="G158" s="292" t="s">
        <v>30</v>
      </c>
      <c r="H158" s="293">
        <v>1000</v>
      </c>
      <c r="I158" s="159" t="s">
        <v>90</v>
      </c>
      <c r="J158" s="48" t="s">
        <v>31</v>
      </c>
      <c r="K158" s="48" t="s">
        <v>32</v>
      </c>
      <c r="L158" s="2"/>
      <c r="M158" s="2">
        <v>200</v>
      </c>
      <c r="N158" s="2"/>
      <c r="O158" s="2"/>
      <c r="P158" s="2"/>
    </row>
    <row r="159" spans="1:16" ht="15.75" customHeight="1">
      <c r="A159" s="62">
        <v>15</v>
      </c>
      <c r="B159" s="292" t="s">
        <v>1533</v>
      </c>
      <c r="C159" s="292" t="s">
        <v>27</v>
      </c>
      <c r="D159" s="292" t="s">
        <v>389</v>
      </c>
      <c r="E159" s="292" t="s">
        <v>51</v>
      </c>
      <c r="F159" s="292"/>
      <c r="G159" s="292" t="s">
        <v>30</v>
      </c>
      <c r="H159" s="293">
        <v>2000</v>
      </c>
      <c r="I159" s="159" t="s">
        <v>90</v>
      </c>
      <c r="J159" s="48" t="s">
        <v>31</v>
      </c>
      <c r="K159" s="48" t="s">
        <v>32</v>
      </c>
      <c r="L159" s="2"/>
      <c r="M159" s="2">
        <v>400</v>
      </c>
      <c r="N159" s="2"/>
      <c r="O159" s="2"/>
      <c r="P159" s="2"/>
    </row>
    <row r="160" spans="1:16" ht="15.75" customHeight="1">
      <c r="A160" s="62">
        <v>15</v>
      </c>
      <c r="B160" s="292" t="s">
        <v>1534</v>
      </c>
      <c r="C160" s="292" t="s">
        <v>39</v>
      </c>
      <c r="D160" s="292" t="s">
        <v>389</v>
      </c>
      <c r="E160" s="292" t="s">
        <v>51</v>
      </c>
      <c r="F160" s="292"/>
      <c r="G160" s="292" t="s">
        <v>30</v>
      </c>
      <c r="H160" s="293">
        <v>500</v>
      </c>
      <c r="I160" s="159" t="s">
        <v>90</v>
      </c>
      <c r="J160" s="48" t="s">
        <v>31</v>
      </c>
      <c r="K160" s="48" t="s">
        <v>32</v>
      </c>
      <c r="L160" s="2"/>
      <c r="M160" s="2">
        <v>100</v>
      </c>
      <c r="N160" s="2"/>
      <c r="O160" s="2"/>
      <c r="P160" s="2"/>
    </row>
    <row r="161" spans="1:16" ht="15.75" customHeight="1">
      <c r="A161" s="62">
        <v>15</v>
      </c>
      <c r="B161" s="292" t="s">
        <v>1535</v>
      </c>
      <c r="C161" s="292" t="s">
        <v>27</v>
      </c>
      <c r="D161" s="292" t="s">
        <v>389</v>
      </c>
      <c r="E161" s="292" t="s">
        <v>51</v>
      </c>
      <c r="F161" s="292"/>
      <c r="G161" s="292" t="s">
        <v>30</v>
      </c>
      <c r="H161" s="293">
        <v>1500</v>
      </c>
      <c r="I161" s="159" t="s">
        <v>90</v>
      </c>
      <c r="J161" s="48" t="s">
        <v>31</v>
      </c>
      <c r="K161" s="48" t="s">
        <v>32</v>
      </c>
      <c r="L161" s="2"/>
      <c r="M161" s="2">
        <v>300</v>
      </c>
      <c r="N161" s="2"/>
      <c r="O161" s="2"/>
      <c r="P161" s="2"/>
    </row>
    <row r="162" spans="1:16" ht="15.75" customHeight="1">
      <c r="A162" s="62">
        <v>15</v>
      </c>
      <c r="B162" s="292" t="s">
        <v>1536</v>
      </c>
      <c r="C162" s="292" t="s">
        <v>27</v>
      </c>
      <c r="D162" s="292" t="s">
        <v>389</v>
      </c>
      <c r="E162" s="292" t="s">
        <v>51</v>
      </c>
      <c r="F162" s="292"/>
      <c r="G162" s="292" t="s">
        <v>30</v>
      </c>
      <c r="H162" s="293">
        <v>1500</v>
      </c>
      <c r="I162" s="159" t="s">
        <v>90</v>
      </c>
      <c r="J162" s="48" t="s">
        <v>31</v>
      </c>
      <c r="K162" s="48" t="s">
        <v>32</v>
      </c>
      <c r="L162" s="2"/>
      <c r="M162" s="2">
        <v>300</v>
      </c>
      <c r="N162" s="2"/>
      <c r="O162" s="2"/>
      <c r="P162" s="2"/>
    </row>
    <row r="163" spans="1:16" ht="15.75" customHeight="1">
      <c r="A163" s="62">
        <v>15</v>
      </c>
      <c r="B163" s="292" t="s">
        <v>1537</v>
      </c>
      <c r="C163" s="292" t="s">
        <v>27</v>
      </c>
      <c r="D163" s="292" t="s">
        <v>389</v>
      </c>
      <c r="E163" s="292" t="s">
        <v>51</v>
      </c>
      <c r="F163" s="292"/>
      <c r="G163" s="292" t="s">
        <v>30</v>
      </c>
      <c r="H163" s="293">
        <v>1500</v>
      </c>
      <c r="I163" s="159" t="s">
        <v>90</v>
      </c>
      <c r="J163" s="48" t="s">
        <v>31</v>
      </c>
      <c r="K163" s="48" t="s">
        <v>32</v>
      </c>
      <c r="L163" s="2"/>
      <c r="M163" s="2">
        <v>300</v>
      </c>
      <c r="N163" s="2"/>
      <c r="O163" s="2"/>
      <c r="P163" s="2"/>
    </row>
    <row r="164" spans="1:16" ht="15.75" customHeight="1">
      <c r="A164" s="62">
        <v>15</v>
      </c>
      <c r="B164" s="292" t="s">
        <v>1538</v>
      </c>
      <c r="C164" s="292" t="s">
        <v>27</v>
      </c>
      <c r="D164" s="292" t="s">
        <v>389</v>
      </c>
      <c r="E164" s="292" t="s">
        <v>51</v>
      </c>
      <c r="F164" s="292"/>
      <c r="G164" s="292" t="s">
        <v>30</v>
      </c>
      <c r="H164" s="293">
        <v>500</v>
      </c>
      <c r="I164" s="159" t="s">
        <v>90</v>
      </c>
      <c r="J164" s="48" t="s">
        <v>31</v>
      </c>
      <c r="K164" s="48" t="s">
        <v>32</v>
      </c>
      <c r="L164" s="2"/>
      <c r="M164" s="2">
        <v>100</v>
      </c>
      <c r="N164" s="2"/>
      <c r="O164" s="2"/>
      <c r="P164" s="2"/>
    </row>
    <row r="165" spans="1:16" ht="15.75" customHeight="1">
      <c r="A165" s="62">
        <v>15</v>
      </c>
      <c r="B165" s="292" t="s">
        <v>1539</v>
      </c>
      <c r="C165" s="292" t="s">
        <v>27</v>
      </c>
      <c r="D165" s="292" t="s">
        <v>389</v>
      </c>
      <c r="E165" s="292" t="s">
        <v>51</v>
      </c>
      <c r="F165" s="292"/>
      <c r="G165" s="292" t="s">
        <v>30</v>
      </c>
      <c r="H165" s="293">
        <v>1500</v>
      </c>
      <c r="I165" s="159" t="s">
        <v>90</v>
      </c>
      <c r="J165" s="48" t="s">
        <v>31</v>
      </c>
      <c r="K165" s="48" t="s">
        <v>32</v>
      </c>
      <c r="L165" s="2"/>
      <c r="M165" s="2">
        <v>300</v>
      </c>
      <c r="N165" s="2"/>
      <c r="O165" s="2"/>
      <c r="P165" s="2"/>
    </row>
    <row r="166" spans="1:16" ht="15.75" customHeight="1">
      <c r="A166" s="62">
        <v>15</v>
      </c>
      <c r="B166" s="292" t="s">
        <v>1540</v>
      </c>
      <c r="C166" s="292" t="s">
        <v>27</v>
      </c>
      <c r="D166" s="292" t="s">
        <v>389</v>
      </c>
      <c r="E166" s="292" t="s">
        <v>51</v>
      </c>
      <c r="F166" s="292"/>
      <c r="G166" s="292" t="s">
        <v>30</v>
      </c>
      <c r="H166" s="293">
        <v>1500</v>
      </c>
      <c r="I166" s="159" t="s">
        <v>90</v>
      </c>
      <c r="J166" s="48" t="s">
        <v>31</v>
      </c>
      <c r="K166" s="48" t="s">
        <v>32</v>
      </c>
      <c r="L166" s="2"/>
      <c r="M166" s="2">
        <v>300</v>
      </c>
      <c r="N166" s="2"/>
      <c r="O166" s="2"/>
      <c r="P166" s="2"/>
    </row>
    <row r="167" spans="1:16" ht="15.75" customHeight="1">
      <c r="A167" s="62">
        <v>15</v>
      </c>
      <c r="B167" s="292" t="s">
        <v>1541</v>
      </c>
      <c r="C167" s="292" t="s">
        <v>27</v>
      </c>
      <c r="D167" s="292" t="s">
        <v>389</v>
      </c>
      <c r="E167" s="292" t="s">
        <v>51</v>
      </c>
      <c r="F167" s="292"/>
      <c r="G167" s="292" t="s">
        <v>30</v>
      </c>
      <c r="H167" s="293">
        <v>5000</v>
      </c>
      <c r="I167" s="159" t="s">
        <v>90</v>
      </c>
      <c r="J167" s="48" t="s">
        <v>31</v>
      </c>
      <c r="K167" s="48" t="s">
        <v>32</v>
      </c>
      <c r="L167" s="2"/>
      <c r="M167" s="2">
        <v>1000</v>
      </c>
      <c r="N167" s="2"/>
      <c r="O167" s="2"/>
      <c r="P167" s="2"/>
    </row>
    <row r="168" spans="1:16" ht="15.75" customHeight="1">
      <c r="A168" s="62">
        <v>15</v>
      </c>
      <c r="B168" s="292" t="s">
        <v>1542</v>
      </c>
      <c r="C168" s="292" t="s">
        <v>27</v>
      </c>
      <c r="D168" s="292" t="s">
        <v>878</v>
      </c>
      <c r="E168" s="292" t="s">
        <v>51</v>
      </c>
      <c r="F168" s="292"/>
      <c r="G168" s="292" t="s">
        <v>30</v>
      </c>
      <c r="H168" s="293">
        <v>500</v>
      </c>
      <c r="I168" s="159" t="s">
        <v>90</v>
      </c>
      <c r="J168" s="48" t="s">
        <v>31</v>
      </c>
      <c r="K168" s="48" t="s">
        <v>32</v>
      </c>
      <c r="L168" s="2"/>
      <c r="M168" s="2">
        <v>100</v>
      </c>
      <c r="N168" s="2"/>
      <c r="O168" s="2"/>
      <c r="P168" s="2"/>
    </row>
    <row r="169" spans="1:16" ht="15.75" customHeight="1">
      <c r="A169" s="62">
        <v>15</v>
      </c>
      <c r="B169" s="175" t="s">
        <v>1543</v>
      </c>
      <c r="C169" s="175" t="s">
        <v>27</v>
      </c>
      <c r="D169" s="175" t="s">
        <v>878</v>
      </c>
      <c r="E169" s="175" t="s">
        <v>51</v>
      </c>
      <c r="F169" s="175"/>
      <c r="G169" s="175" t="s">
        <v>30</v>
      </c>
      <c r="H169" s="176">
        <v>500</v>
      </c>
      <c r="I169" s="160" t="s">
        <v>90</v>
      </c>
      <c r="J169" s="48" t="s">
        <v>31</v>
      </c>
      <c r="K169" s="48" t="s">
        <v>32</v>
      </c>
      <c r="L169" s="2"/>
      <c r="M169" s="2">
        <v>100</v>
      </c>
      <c r="N169" s="2"/>
      <c r="O169" s="2"/>
      <c r="P169" s="2"/>
    </row>
    <row r="170" spans="1:16" ht="15.75" customHeight="1">
      <c r="A170" s="62">
        <v>16</v>
      </c>
      <c r="B170" s="62" t="s">
        <v>1544</v>
      </c>
      <c r="C170" s="62" t="s">
        <v>27</v>
      </c>
      <c r="D170" s="294" t="s">
        <v>934</v>
      </c>
      <c r="E170" s="62" t="s">
        <v>44</v>
      </c>
      <c r="F170" s="62"/>
      <c r="G170" s="62" t="s">
        <v>30</v>
      </c>
      <c r="H170" s="63">
        <v>1000</v>
      </c>
      <c r="I170" s="159" t="s">
        <v>90</v>
      </c>
      <c r="J170" s="48" t="s">
        <v>31</v>
      </c>
      <c r="K170" s="48" t="s">
        <v>32</v>
      </c>
      <c r="L170" s="2"/>
      <c r="M170" s="2">
        <v>200</v>
      </c>
      <c r="N170" s="2"/>
      <c r="O170" s="771" t="s">
        <v>1545</v>
      </c>
      <c r="P170" s="719"/>
    </row>
    <row r="171" spans="1:16" ht="15.75" customHeight="1">
      <c r="A171" s="62">
        <v>16</v>
      </c>
      <c r="B171" s="62" t="s">
        <v>1546</v>
      </c>
      <c r="C171" s="62" t="s">
        <v>39</v>
      </c>
      <c r="D171" s="62" t="s">
        <v>1547</v>
      </c>
      <c r="E171" s="62" t="s">
        <v>245</v>
      </c>
      <c r="F171" s="62"/>
      <c r="G171" s="62" t="s">
        <v>1392</v>
      </c>
      <c r="H171" s="63">
        <v>110</v>
      </c>
      <c r="I171" s="159">
        <v>550</v>
      </c>
      <c r="J171" s="48" t="s">
        <v>31</v>
      </c>
      <c r="K171" s="48" t="s">
        <v>32</v>
      </c>
      <c r="L171" s="2"/>
      <c r="M171" s="2"/>
      <c r="N171" s="2"/>
      <c r="O171" s="723" t="s">
        <v>25</v>
      </c>
      <c r="P171" s="719"/>
    </row>
    <row r="172" spans="1:16" ht="15.75" customHeight="1">
      <c r="A172" s="62">
        <v>16</v>
      </c>
      <c r="B172" s="58" t="s">
        <v>1548</v>
      </c>
      <c r="C172" s="58" t="s">
        <v>27</v>
      </c>
      <c r="D172" s="58" t="s">
        <v>81</v>
      </c>
      <c r="E172" s="58" t="s">
        <v>73</v>
      </c>
      <c r="F172" s="58"/>
      <c r="G172" s="58" t="s">
        <v>348</v>
      </c>
      <c r="H172" s="59">
        <v>50</v>
      </c>
      <c r="I172" s="160">
        <v>150</v>
      </c>
      <c r="J172" s="48" t="s">
        <v>31</v>
      </c>
      <c r="K172" s="48" t="s">
        <v>32</v>
      </c>
      <c r="L172" s="2"/>
      <c r="M172" s="2"/>
      <c r="N172" s="55"/>
      <c r="O172" s="48" t="s">
        <v>33</v>
      </c>
      <c r="P172" s="51">
        <v>27700</v>
      </c>
    </row>
    <row r="173" spans="1:16" ht="15.75" customHeight="1">
      <c r="A173" s="62">
        <v>17</v>
      </c>
      <c r="B173" s="62" t="s">
        <v>1549</v>
      </c>
      <c r="C173" s="62" t="s">
        <v>39</v>
      </c>
      <c r="D173" s="62" t="s">
        <v>1550</v>
      </c>
      <c r="E173" s="62" t="s">
        <v>54</v>
      </c>
      <c r="F173" s="62"/>
      <c r="G173" s="62" t="s">
        <v>30</v>
      </c>
      <c r="H173" s="63">
        <v>4700</v>
      </c>
      <c r="I173" s="159">
        <v>940</v>
      </c>
      <c r="J173" s="48" t="s">
        <v>31</v>
      </c>
      <c r="K173" s="48" t="s">
        <v>32</v>
      </c>
      <c r="L173" s="2"/>
      <c r="M173" s="2">
        <v>1100</v>
      </c>
      <c r="N173" s="55"/>
      <c r="O173" s="48" t="s">
        <v>37</v>
      </c>
      <c r="P173" s="51">
        <v>48500</v>
      </c>
    </row>
    <row r="174" spans="1:16" ht="15.75" customHeight="1">
      <c r="A174" s="62">
        <v>17</v>
      </c>
      <c r="B174" s="62" t="s">
        <v>1551</v>
      </c>
      <c r="C174" s="62" t="s">
        <v>27</v>
      </c>
      <c r="D174" s="62" t="s">
        <v>108</v>
      </c>
      <c r="E174" s="62" t="s">
        <v>44</v>
      </c>
      <c r="F174" s="62"/>
      <c r="G174" s="62" t="s">
        <v>30</v>
      </c>
      <c r="H174" s="63">
        <v>500</v>
      </c>
      <c r="I174" s="159" t="s">
        <v>90</v>
      </c>
      <c r="J174" s="48" t="s">
        <v>31</v>
      </c>
      <c r="K174" s="48" t="s">
        <v>32</v>
      </c>
      <c r="L174" s="2"/>
      <c r="M174" s="2">
        <v>1000</v>
      </c>
      <c r="N174" s="55"/>
      <c r="O174" s="54" t="s">
        <v>282</v>
      </c>
      <c r="P174" s="67">
        <v>76200</v>
      </c>
    </row>
    <row r="175" spans="1:16" ht="15.75" customHeight="1">
      <c r="A175" s="62">
        <v>17</v>
      </c>
      <c r="B175" s="62" t="s">
        <v>1551</v>
      </c>
      <c r="C175" s="62" t="s">
        <v>27</v>
      </c>
      <c r="D175" s="62" t="s">
        <v>108</v>
      </c>
      <c r="E175" s="62" t="s">
        <v>44</v>
      </c>
      <c r="F175" s="58"/>
      <c r="G175" s="58" t="s">
        <v>30</v>
      </c>
      <c r="H175" s="59">
        <v>3000</v>
      </c>
      <c r="I175" s="160">
        <v>600</v>
      </c>
      <c r="J175" s="48" t="s">
        <v>31</v>
      </c>
      <c r="K175" s="48" t="s">
        <v>32</v>
      </c>
      <c r="L175" s="2"/>
      <c r="M175" s="2"/>
      <c r="N175" s="2"/>
      <c r="O175" s="723" t="s">
        <v>286</v>
      </c>
      <c r="P175" s="719"/>
    </row>
    <row r="176" spans="1:16" ht="15.75" customHeight="1">
      <c r="A176" s="62">
        <v>18</v>
      </c>
      <c r="B176" s="62" t="s">
        <v>704</v>
      </c>
      <c r="C176" s="62" t="s">
        <v>39</v>
      </c>
      <c r="D176" s="62" t="s">
        <v>43</v>
      </c>
      <c r="E176" s="62" t="s">
        <v>44</v>
      </c>
      <c r="F176" s="62"/>
      <c r="G176" s="62" t="s">
        <v>30</v>
      </c>
      <c r="H176" s="63">
        <v>5000</v>
      </c>
      <c r="I176" s="159">
        <v>1000</v>
      </c>
      <c r="J176" s="48" t="s">
        <v>31</v>
      </c>
      <c r="K176" s="48" t="s">
        <v>32</v>
      </c>
      <c r="L176" s="2"/>
      <c r="M176" s="2">
        <v>1200</v>
      </c>
      <c r="N176" s="2"/>
      <c r="O176" s="48" t="s">
        <v>580</v>
      </c>
      <c r="P176" s="48">
        <v>119</v>
      </c>
    </row>
    <row r="177" spans="1:16" ht="15.75" customHeight="1">
      <c r="A177" s="62">
        <v>18</v>
      </c>
      <c r="B177" s="58" t="s">
        <v>1552</v>
      </c>
      <c r="C177" s="58" t="s">
        <v>27</v>
      </c>
      <c r="D177" s="58" t="s">
        <v>110</v>
      </c>
      <c r="E177" s="58" t="s">
        <v>36</v>
      </c>
      <c r="F177" s="58"/>
      <c r="G177" s="58" t="s">
        <v>30</v>
      </c>
      <c r="H177" s="59">
        <v>10000</v>
      </c>
      <c r="I177" s="160">
        <v>2000</v>
      </c>
      <c r="J177" s="48" t="s">
        <v>31</v>
      </c>
      <c r="K177" s="48" t="s">
        <v>32</v>
      </c>
      <c r="L177" s="2"/>
      <c r="M177" s="2">
        <v>2500</v>
      </c>
      <c r="N177" s="2"/>
      <c r="O177" s="48" t="s">
        <v>348</v>
      </c>
      <c r="P177" s="48">
        <v>50</v>
      </c>
    </row>
    <row r="178" spans="1:16" ht="15.75" customHeight="1">
      <c r="A178" s="62">
        <v>19</v>
      </c>
      <c r="B178" s="62" t="s">
        <v>1553</v>
      </c>
      <c r="C178" s="62" t="s">
        <v>27</v>
      </c>
      <c r="D178" s="62" t="s">
        <v>173</v>
      </c>
      <c r="E178" s="62" t="s">
        <v>84</v>
      </c>
      <c r="F178" s="62"/>
      <c r="G178" s="62" t="s">
        <v>30</v>
      </c>
      <c r="H178" s="63">
        <v>5000</v>
      </c>
      <c r="I178" s="159">
        <v>1000</v>
      </c>
      <c r="J178" s="48" t="s">
        <v>31</v>
      </c>
      <c r="K178" s="48" t="s">
        <v>32</v>
      </c>
      <c r="L178" s="2"/>
      <c r="M178" s="2">
        <v>1000</v>
      </c>
      <c r="N178" s="2"/>
      <c r="O178" s="54" t="s">
        <v>282</v>
      </c>
      <c r="P178" s="54">
        <v>169</v>
      </c>
    </row>
    <row r="179" spans="1:16" ht="15.75" customHeight="1">
      <c r="A179" s="58">
        <v>20</v>
      </c>
      <c r="B179" s="58" t="s">
        <v>1554</v>
      </c>
      <c r="C179" s="58" t="s">
        <v>27</v>
      </c>
      <c r="D179" s="58" t="s">
        <v>1555</v>
      </c>
      <c r="E179" s="58" t="s">
        <v>60</v>
      </c>
      <c r="F179" s="58"/>
      <c r="G179" s="58" t="s">
        <v>30</v>
      </c>
      <c r="H179" s="59">
        <v>10000</v>
      </c>
      <c r="I179" s="160">
        <v>2000</v>
      </c>
      <c r="J179" s="48" t="s">
        <v>31</v>
      </c>
      <c r="K179" s="48" t="s">
        <v>32</v>
      </c>
      <c r="L179" s="2"/>
      <c r="M179" s="2">
        <f>10000/5</f>
        <v>2000</v>
      </c>
      <c r="N179" s="2"/>
      <c r="O179" s="2"/>
      <c r="P179" s="2"/>
    </row>
    <row r="180" spans="1:16" ht="15.75" customHeight="1">
      <c r="A180" s="62">
        <v>26</v>
      </c>
      <c r="B180" s="62" t="s">
        <v>1556</v>
      </c>
      <c r="C180" s="62" t="s">
        <v>27</v>
      </c>
      <c r="D180" s="62" t="s">
        <v>100</v>
      </c>
      <c r="E180" s="62" t="s">
        <v>79</v>
      </c>
      <c r="F180" s="62"/>
      <c r="G180" s="62" t="s">
        <v>30</v>
      </c>
      <c r="H180" s="63">
        <v>1000</v>
      </c>
      <c r="I180" s="159" t="s">
        <v>90</v>
      </c>
      <c r="J180" s="48" t="s">
        <v>31</v>
      </c>
      <c r="K180" s="48" t="s">
        <v>32</v>
      </c>
      <c r="L180" s="2"/>
      <c r="M180" s="2"/>
      <c r="N180" s="2"/>
      <c r="O180" s="2"/>
      <c r="P180" s="2"/>
    </row>
    <row r="181" spans="1:16" ht="15.75" customHeight="1">
      <c r="A181" s="62">
        <v>27</v>
      </c>
      <c r="B181" s="62" t="s">
        <v>1557</v>
      </c>
      <c r="C181" s="62" t="s">
        <v>27</v>
      </c>
      <c r="D181" s="62" t="s">
        <v>1558</v>
      </c>
      <c r="E181" s="62" t="s">
        <v>68</v>
      </c>
      <c r="F181" s="62"/>
      <c r="G181" s="62" t="s">
        <v>30</v>
      </c>
      <c r="H181" s="63">
        <v>2000</v>
      </c>
      <c r="I181" s="159" t="s">
        <v>90</v>
      </c>
      <c r="J181" s="48" t="s">
        <v>31</v>
      </c>
      <c r="K181" s="48" t="s">
        <v>32</v>
      </c>
      <c r="L181" s="2" t="s">
        <v>769</v>
      </c>
      <c r="M181" s="2"/>
      <c r="N181" s="2"/>
      <c r="O181" s="2"/>
      <c r="P181" s="2"/>
    </row>
    <row r="182" spans="1:16" ht="15.75" customHeight="1">
      <c r="A182" s="62">
        <v>27</v>
      </c>
      <c r="B182" s="62" t="s">
        <v>1559</v>
      </c>
      <c r="C182" s="62" t="s">
        <v>27</v>
      </c>
      <c r="D182" s="62" t="s">
        <v>65</v>
      </c>
      <c r="E182" s="62" t="s">
        <v>36</v>
      </c>
      <c r="F182" s="62"/>
      <c r="G182" s="62" t="s">
        <v>30</v>
      </c>
      <c r="H182" s="63">
        <v>500</v>
      </c>
      <c r="I182" s="159" t="s">
        <v>90</v>
      </c>
      <c r="J182" s="48" t="s">
        <v>31</v>
      </c>
      <c r="K182" s="48" t="s">
        <v>32</v>
      </c>
      <c r="L182" s="2"/>
      <c r="M182" s="2"/>
      <c r="N182" s="2"/>
      <c r="O182" s="2"/>
      <c r="P182" s="2"/>
    </row>
    <row r="183" spans="1:16" ht="15.75" customHeight="1">
      <c r="A183" s="62">
        <v>28</v>
      </c>
      <c r="B183" s="62" t="s">
        <v>1560</v>
      </c>
      <c r="C183" s="62" t="s">
        <v>39</v>
      </c>
      <c r="D183" s="62" t="s">
        <v>1295</v>
      </c>
      <c r="E183" s="62" t="s">
        <v>44</v>
      </c>
      <c r="F183" s="62"/>
      <c r="G183" s="62" t="s">
        <v>1392</v>
      </c>
      <c r="H183" s="63">
        <v>50</v>
      </c>
      <c r="I183" s="159" t="s">
        <v>90</v>
      </c>
      <c r="J183" s="48" t="s">
        <v>31</v>
      </c>
      <c r="K183" s="48" t="s">
        <v>32</v>
      </c>
      <c r="L183" s="2"/>
      <c r="M183" s="2"/>
      <c r="N183" s="2"/>
      <c r="O183" s="2"/>
      <c r="P183" s="2"/>
    </row>
    <row r="184" spans="1:16" ht="15.75" customHeight="1">
      <c r="A184" s="62">
        <v>28</v>
      </c>
      <c r="B184" s="62" t="s">
        <v>1561</v>
      </c>
      <c r="C184" s="62" t="s">
        <v>27</v>
      </c>
      <c r="D184" s="62" t="s">
        <v>148</v>
      </c>
      <c r="E184" s="62" t="s">
        <v>148</v>
      </c>
      <c r="F184" s="62"/>
      <c r="G184" s="62" t="s">
        <v>1392</v>
      </c>
      <c r="H184" s="63">
        <v>50</v>
      </c>
      <c r="I184" s="159" t="s">
        <v>90</v>
      </c>
      <c r="J184" s="48" t="s">
        <v>31</v>
      </c>
      <c r="K184" s="48" t="s">
        <v>32</v>
      </c>
      <c r="L184" s="2"/>
      <c r="M184" s="2"/>
      <c r="N184" s="2"/>
      <c r="O184" s="2"/>
      <c r="P184" s="2"/>
    </row>
    <row r="185" spans="1:16" ht="15.75" customHeight="1">
      <c r="A185" s="62">
        <v>28</v>
      </c>
      <c r="B185" s="62" t="s">
        <v>1562</v>
      </c>
      <c r="C185" s="62" t="s">
        <v>27</v>
      </c>
      <c r="D185" s="62" t="s">
        <v>1295</v>
      </c>
      <c r="E185" s="62" t="s">
        <v>44</v>
      </c>
      <c r="F185" s="62"/>
      <c r="G185" s="62" t="s">
        <v>1392</v>
      </c>
      <c r="H185" s="63">
        <v>50</v>
      </c>
      <c r="I185" s="159" t="s">
        <v>90</v>
      </c>
      <c r="J185" s="48" t="s">
        <v>31</v>
      </c>
      <c r="K185" s="48" t="s">
        <v>32</v>
      </c>
      <c r="L185" s="2"/>
      <c r="M185" s="2"/>
      <c r="N185" s="2"/>
      <c r="O185" s="2"/>
      <c r="P185" s="2"/>
    </row>
    <row r="186" spans="1:16" ht="15.75" customHeight="1">
      <c r="A186" s="62">
        <v>28</v>
      </c>
      <c r="B186" s="62" t="s">
        <v>1563</v>
      </c>
      <c r="C186" s="62" t="s">
        <v>27</v>
      </c>
      <c r="D186" s="62" t="s">
        <v>148</v>
      </c>
      <c r="E186" s="62" t="s">
        <v>148</v>
      </c>
      <c r="F186" s="62"/>
      <c r="G186" s="62" t="s">
        <v>1392</v>
      </c>
      <c r="H186" s="63">
        <v>50</v>
      </c>
      <c r="I186" s="159" t="s">
        <v>90</v>
      </c>
      <c r="J186" s="48" t="s">
        <v>31</v>
      </c>
      <c r="K186" s="48" t="s">
        <v>32</v>
      </c>
      <c r="L186" s="2"/>
      <c r="M186" s="2"/>
      <c r="N186" s="2"/>
      <c r="O186" s="2"/>
      <c r="P186" s="2"/>
    </row>
    <row r="187" spans="1:16" ht="15.75" customHeight="1">
      <c r="A187" s="62"/>
      <c r="B187" s="62"/>
      <c r="C187" s="62"/>
      <c r="D187" s="62"/>
      <c r="E187" s="62"/>
      <c r="F187" s="62"/>
      <c r="G187" s="62"/>
      <c r="H187" s="63"/>
      <c r="I187" s="159"/>
      <c r="J187" s="62"/>
      <c r="K187" s="62"/>
      <c r="L187" s="2"/>
      <c r="M187" s="2"/>
      <c r="N187" s="2"/>
      <c r="O187" s="2"/>
      <c r="P187" s="2"/>
    </row>
    <row r="188" spans="1:16" ht="15.75" customHeight="1">
      <c r="A188" s="48"/>
      <c r="B188" s="48"/>
      <c r="C188" s="48"/>
      <c r="D188" s="48"/>
      <c r="E188" s="48"/>
      <c r="F188" s="48"/>
      <c r="G188" s="48"/>
      <c r="H188" s="51"/>
      <c r="I188" s="119"/>
      <c r="J188" s="48"/>
      <c r="K188" s="48"/>
      <c r="L188" s="2"/>
      <c r="M188" s="2"/>
      <c r="N188" s="2"/>
      <c r="O188" s="2"/>
    </row>
    <row r="189" spans="1:16" ht="15.75" customHeight="1">
      <c r="A189" s="58"/>
      <c r="B189" s="58"/>
      <c r="C189" s="58"/>
      <c r="D189" s="58"/>
      <c r="E189" s="58"/>
      <c r="F189" s="58"/>
      <c r="G189" s="58"/>
      <c r="H189" s="59"/>
      <c r="I189" s="160"/>
      <c r="J189" s="58"/>
      <c r="K189" s="58"/>
      <c r="L189" s="2"/>
      <c r="M189" s="2"/>
      <c r="N189" s="2"/>
      <c r="O189" s="2"/>
    </row>
    <row r="190" spans="1:16" ht="15.75" customHeight="1">
      <c r="G190" s="2"/>
      <c r="H190" s="2"/>
      <c r="I190" s="2"/>
      <c r="K190" s="253"/>
      <c r="L190" s="2"/>
      <c r="M190" s="2"/>
      <c r="N190" s="2"/>
      <c r="O190" s="2"/>
    </row>
    <row r="191" spans="1:16" ht="15.75" customHeight="1">
      <c r="G191" s="2"/>
      <c r="H191" s="2"/>
      <c r="I191" s="137" t="s">
        <v>508</v>
      </c>
      <c r="J191" s="83"/>
      <c r="K191" s="253"/>
      <c r="L191" s="2"/>
      <c r="M191" s="2"/>
      <c r="N191" s="2"/>
      <c r="O191" s="2"/>
    </row>
    <row r="192" spans="1:16" ht="15.75" customHeight="1">
      <c r="B192" s="126" t="s">
        <v>509</v>
      </c>
      <c r="E192" s="126" t="s">
        <v>510</v>
      </c>
      <c r="G192" s="2"/>
      <c r="H192" s="2"/>
      <c r="I192" s="83" t="s">
        <v>942</v>
      </c>
      <c r="J192" s="83"/>
      <c r="K192" s="253"/>
      <c r="L192" s="2"/>
      <c r="M192" s="2"/>
      <c r="N192" s="2"/>
      <c r="O192" s="2"/>
    </row>
    <row r="193" spans="2:15" ht="15.75" customHeight="1">
      <c r="G193" s="2"/>
      <c r="H193" s="2"/>
      <c r="I193" s="83" t="s">
        <v>944</v>
      </c>
      <c r="J193" s="83"/>
      <c r="K193" s="253"/>
      <c r="L193" s="2"/>
      <c r="M193" s="2"/>
      <c r="N193" s="2"/>
      <c r="O193" s="2"/>
    </row>
    <row r="194" spans="2:15" ht="15.75" customHeight="1">
      <c r="G194" s="2"/>
      <c r="H194" s="2"/>
      <c r="I194" s="83" t="s">
        <v>946</v>
      </c>
      <c r="J194" s="83"/>
      <c r="K194" s="253"/>
      <c r="L194" s="2"/>
      <c r="M194" s="2"/>
      <c r="N194" s="2"/>
      <c r="O194" s="2"/>
    </row>
    <row r="195" spans="2:15" ht="15.75" customHeight="1">
      <c r="B195" s="86" t="s">
        <v>516</v>
      </c>
      <c r="E195" s="731" t="s">
        <v>517</v>
      </c>
      <c r="F195" s="711"/>
      <c r="G195" s="711"/>
      <c r="H195" s="2"/>
      <c r="I195" s="83" t="s">
        <v>947</v>
      </c>
      <c r="J195" s="83"/>
      <c r="K195" s="253"/>
      <c r="L195" s="2"/>
      <c r="M195" s="2"/>
      <c r="N195" s="2"/>
      <c r="O195" s="2"/>
    </row>
    <row r="196" spans="2:15" ht="15.75" customHeight="1">
      <c r="B196" s="4" t="s">
        <v>949</v>
      </c>
      <c r="E196" s="732" t="s">
        <v>521</v>
      </c>
      <c r="F196" s="711"/>
      <c r="G196" s="711"/>
      <c r="H196" s="711"/>
      <c r="I196" s="83" t="s">
        <v>950</v>
      </c>
      <c r="J196" s="83"/>
      <c r="K196" s="253"/>
      <c r="L196" s="2"/>
      <c r="M196" s="2"/>
      <c r="N196" s="2"/>
      <c r="O196" s="2"/>
    </row>
    <row r="197" spans="2:15" ht="15.75" customHeight="1">
      <c r="G197" s="2"/>
      <c r="H197" s="2"/>
      <c r="I197" s="83" t="s">
        <v>564</v>
      </c>
      <c r="J197" s="83"/>
      <c r="K197" s="253"/>
      <c r="L197" s="2"/>
      <c r="M197" s="2"/>
      <c r="N197" s="2"/>
      <c r="O197" s="2"/>
    </row>
    <row r="198" spans="2:15" ht="15.75" customHeight="1">
      <c r="G198" s="2"/>
      <c r="H198" s="2"/>
      <c r="I198" s="83" t="s">
        <v>525</v>
      </c>
      <c r="J198" s="83"/>
      <c r="K198" s="253"/>
      <c r="L198" s="2"/>
      <c r="M198" s="2"/>
      <c r="N198" s="2"/>
      <c r="O198" s="2"/>
    </row>
    <row r="199" spans="2:15" ht="15.75" customHeight="1">
      <c r="G199" s="2"/>
      <c r="H199" s="2"/>
      <c r="I199" s="10" t="s">
        <v>565</v>
      </c>
      <c r="J199" s="90"/>
      <c r="K199" s="253"/>
      <c r="L199" s="2"/>
      <c r="M199" s="2"/>
      <c r="N199" s="2"/>
      <c r="O199" s="2"/>
    </row>
    <row r="200" spans="2:15" ht="15.75" customHeight="1">
      <c r="G200" s="2"/>
      <c r="H200" s="2"/>
      <c r="I200" s="10" t="s">
        <v>953</v>
      </c>
      <c r="J200" s="90"/>
      <c r="K200" s="253"/>
      <c r="L200" s="2"/>
      <c r="M200" s="2"/>
      <c r="N200" s="2"/>
      <c r="O200" s="2"/>
    </row>
    <row r="201" spans="2:15" ht="15.75" customHeight="1">
      <c r="G201" s="2"/>
      <c r="H201" s="2"/>
      <c r="I201" s="2"/>
      <c r="K201" s="253"/>
      <c r="L201" s="2"/>
      <c r="M201" s="2"/>
      <c r="N201" s="2"/>
      <c r="O201" s="2"/>
    </row>
    <row r="202" spans="2:15" ht="15.75" customHeight="1">
      <c r="G202" s="2"/>
      <c r="H202" s="2"/>
      <c r="I202" s="2"/>
      <c r="K202" s="253"/>
      <c r="L202" s="2"/>
      <c r="M202" s="2"/>
      <c r="N202" s="2"/>
      <c r="O202" s="2"/>
    </row>
    <row r="203" spans="2:15" ht="15.75" customHeight="1">
      <c r="G203" s="2"/>
      <c r="H203" s="2"/>
      <c r="I203" s="2"/>
      <c r="K203" s="253"/>
      <c r="L203" s="2"/>
      <c r="M203" s="2"/>
      <c r="N203" s="2"/>
      <c r="O203" s="2"/>
    </row>
    <row r="204" spans="2:15" ht="15.75" customHeight="1">
      <c r="G204" s="2"/>
      <c r="H204" s="2"/>
      <c r="I204" s="2"/>
      <c r="K204" s="253"/>
      <c r="L204" s="2"/>
      <c r="M204" s="2"/>
      <c r="N204" s="2"/>
      <c r="O204" s="2"/>
    </row>
    <row r="205" spans="2:15" ht="15.75" customHeight="1">
      <c r="G205" s="2"/>
      <c r="H205" s="2"/>
      <c r="I205" s="2"/>
      <c r="K205" s="253"/>
      <c r="L205" s="2"/>
      <c r="M205" s="2"/>
      <c r="N205" s="2"/>
      <c r="O205" s="2"/>
    </row>
    <row r="206" spans="2:15" ht="15.75" customHeight="1">
      <c r="G206" s="2"/>
      <c r="H206" s="2"/>
      <c r="I206" s="2"/>
      <c r="K206" s="253"/>
      <c r="L206" s="2"/>
      <c r="M206" s="2"/>
      <c r="N206" s="2"/>
      <c r="O206" s="2"/>
    </row>
    <row r="207" spans="2:15" ht="15.75" customHeight="1">
      <c r="G207" s="2"/>
      <c r="H207" s="2"/>
      <c r="I207" s="2"/>
      <c r="K207" s="253"/>
      <c r="L207" s="2"/>
      <c r="M207" s="2"/>
      <c r="N207" s="2"/>
      <c r="O207" s="2"/>
    </row>
    <row r="208" spans="2:15" ht="15.75" customHeight="1">
      <c r="G208" s="2"/>
      <c r="H208" s="2"/>
      <c r="I208" s="2"/>
      <c r="K208" s="253"/>
      <c r="L208" s="2"/>
      <c r="M208" s="2"/>
      <c r="N208" s="2"/>
      <c r="O208" s="2"/>
    </row>
    <row r="209" spans="7:15" ht="15.75" customHeight="1">
      <c r="G209" s="2"/>
      <c r="H209" s="2"/>
      <c r="I209" s="2"/>
      <c r="K209" s="253"/>
      <c r="L209" s="2"/>
      <c r="M209" s="2"/>
      <c r="N209" s="2"/>
      <c r="O209" s="2"/>
    </row>
    <row r="210" spans="7:15" ht="15.75" customHeight="1">
      <c r="G210" s="2"/>
      <c r="H210" s="2"/>
      <c r="I210" s="2"/>
      <c r="K210" s="253"/>
      <c r="L210" s="2"/>
      <c r="M210" s="2"/>
      <c r="N210" s="2"/>
      <c r="O210" s="2"/>
    </row>
    <row r="211" spans="7:15" ht="15.75" customHeight="1">
      <c r="G211" s="2"/>
      <c r="H211" s="2"/>
      <c r="I211" s="2"/>
      <c r="K211" s="253"/>
      <c r="L211" s="2"/>
      <c r="M211" s="2"/>
      <c r="N211" s="2"/>
      <c r="O211" s="2"/>
    </row>
    <row r="212" spans="7:15" ht="15.75" customHeight="1">
      <c r="G212" s="2"/>
      <c r="H212" s="2"/>
      <c r="I212" s="2"/>
      <c r="K212" s="253"/>
      <c r="L212" s="2"/>
      <c r="M212" s="2"/>
      <c r="N212" s="2"/>
      <c r="O212" s="2"/>
    </row>
    <row r="213" spans="7:15" ht="15.75" customHeight="1">
      <c r="G213" s="2"/>
      <c r="H213" s="2"/>
      <c r="I213" s="2"/>
      <c r="K213" s="253"/>
      <c r="L213" s="2"/>
      <c r="M213" s="2"/>
      <c r="N213" s="2"/>
      <c r="O213" s="2"/>
    </row>
    <row r="214" spans="7:15" ht="15.75" customHeight="1">
      <c r="G214" s="2"/>
      <c r="H214" s="2"/>
      <c r="I214" s="2"/>
      <c r="K214" s="253"/>
      <c r="L214" s="2"/>
      <c r="M214" s="2"/>
      <c r="N214" s="2"/>
      <c r="O214" s="2"/>
    </row>
    <row r="215" spans="7:15" ht="15.75" customHeight="1">
      <c r="G215" s="2"/>
      <c r="H215" s="2"/>
      <c r="I215" s="2"/>
      <c r="K215" s="253"/>
      <c r="L215" s="2"/>
      <c r="M215" s="2"/>
      <c r="N215" s="2"/>
      <c r="O215" s="2"/>
    </row>
    <row r="216" spans="7:15" ht="15.75" customHeight="1">
      <c r="G216" s="2"/>
      <c r="H216" s="2"/>
      <c r="I216" s="2"/>
      <c r="K216" s="253"/>
      <c r="L216" s="2"/>
      <c r="M216" s="2"/>
      <c r="N216" s="2"/>
      <c r="O216" s="2"/>
    </row>
    <row r="217" spans="7:15" ht="15.75" customHeight="1">
      <c r="G217" s="2"/>
      <c r="H217" s="2"/>
      <c r="I217" s="2"/>
      <c r="K217" s="253"/>
      <c r="L217" s="2"/>
      <c r="M217" s="2"/>
      <c r="N217" s="2"/>
      <c r="O217" s="2"/>
    </row>
    <row r="218" spans="7:15" ht="15.75" customHeight="1">
      <c r="G218" s="2"/>
      <c r="H218" s="2"/>
      <c r="I218" s="2"/>
      <c r="K218" s="253"/>
      <c r="L218" s="2"/>
      <c r="M218" s="2"/>
      <c r="N218" s="2"/>
      <c r="O218" s="2"/>
    </row>
    <row r="219" spans="7:15" ht="15.75" customHeight="1">
      <c r="G219" s="2"/>
      <c r="H219" s="2"/>
      <c r="I219" s="2"/>
      <c r="K219" s="253"/>
      <c r="L219" s="2"/>
      <c r="M219" s="2"/>
      <c r="N219" s="2"/>
      <c r="O219" s="2"/>
    </row>
    <row r="220" spans="7:15" ht="15.75" customHeight="1">
      <c r="G220" s="2"/>
      <c r="H220" s="2"/>
      <c r="I220" s="2"/>
      <c r="K220" s="253"/>
      <c r="L220" s="2"/>
      <c r="M220" s="2"/>
      <c r="N220" s="2"/>
      <c r="O220" s="2"/>
    </row>
    <row r="221" spans="7:15" ht="15.75" customHeight="1">
      <c r="G221" s="2"/>
      <c r="H221" s="2"/>
      <c r="I221" s="2"/>
      <c r="K221" s="253"/>
      <c r="L221" s="2"/>
      <c r="M221" s="2"/>
      <c r="N221" s="2"/>
      <c r="O221" s="2"/>
    </row>
    <row r="222" spans="7:15" ht="15.75" customHeight="1">
      <c r="G222" s="2"/>
      <c r="H222" s="2"/>
      <c r="I222" s="2"/>
      <c r="K222" s="253"/>
      <c r="L222" s="2"/>
      <c r="M222" s="2"/>
      <c r="N222" s="2"/>
      <c r="O222" s="2"/>
    </row>
    <row r="223" spans="7:15" ht="15.75" customHeight="1">
      <c r="G223" s="2"/>
      <c r="H223" s="2"/>
      <c r="I223" s="2"/>
      <c r="K223" s="253"/>
      <c r="L223" s="2"/>
      <c r="M223" s="2"/>
      <c r="N223" s="2"/>
      <c r="O223" s="2"/>
    </row>
    <row r="224" spans="7:15" ht="15.75" customHeight="1">
      <c r="G224" s="2"/>
      <c r="H224" s="2"/>
      <c r="I224" s="2"/>
      <c r="K224" s="253"/>
      <c r="L224" s="2"/>
      <c r="M224" s="2"/>
      <c r="N224" s="2"/>
      <c r="O224" s="2"/>
    </row>
    <row r="225" spans="7:15" ht="15.75" customHeight="1">
      <c r="G225" s="2"/>
      <c r="H225" s="2"/>
      <c r="I225" s="2"/>
      <c r="K225" s="253"/>
      <c r="L225" s="2"/>
      <c r="M225" s="2"/>
      <c r="N225" s="2"/>
      <c r="O225" s="2"/>
    </row>
    <row r="226" spans="7:15" ht="15.75" customHeight="1">
      <c r="G226" s="2"/>
      <c r="H226" s="2"/>
      <c r="I226" s="2"/>
      <c r="K226" s="253"/>
      <c r="L226" s="2"/>
      <c r="M226" s="2"/>
      <c r="N226" s="2"/>
      <c r="O226" s="2"/>
    </row>
    <row r="227" spans="7:15" ht="15.75" customHeight="1">
      <c r="G227" s="2"/>
      <c r="H227" s="2"/>
      <c r="I227" s="2"/>
      <c r="K227" s="253"/>
      <c r="L227" s="2"/>
      <c r="M227" s="2"/>
      <c r="N227" s="2"/>
      <c r="O227" s="2"/>
    </row>
    <row r="228" spans="7:15" ht="15.75" customHeight="1">
      <c r="G228" s="2"/>
      <c r="H228" s="2"/>
      <c r="I228" s="2"/>
      <c r="K228" s="253"/>
      <c r="L228" s="2"/>
      <c r="M228" s="2"/>
      <c r="N228" s="2"/>
      <c r="O228" s="2"/>
    </row>
    <row r="229" spans="7:15" ht="15.75" customHeight="1">
      <c r="G229" s="2"/>
      <c r="H229" s="2"/>
      <c r="I229" s="2"/>
      <c r="K229" s="253"/>
      <c r="L229" s="2"/>
      <c r="M229" s="2"/>
      <c r="N229" s="2"/>
      <c r="O229" s="2"/>
    </row>
    <row r="230" spans="7:15" ht="15.75" customHeight="1">
      <c r="G230" s="2"/>
      <c r="H230" s="2"/>
      <c r="I230" s="2"/>
      <c r="K230" s="253"/>
      <c r="L230" s="2"/>
      <c r="M230" s="2"/>
      <c r="N230" s="2"/>
      <c r="O230" s="2"/>
    </row>
    <row r="231" spans="7:15" ht="15.75" customHeight="1">
      <c r="G231" s="2"/>
      <c r="H231" s="2"/>
      <c r="I231" s="2"/>
      <c r="K231" s="253"/>
      <c r="L231" s="2"/>
      <c r="M231" s="2"/>
      <c r="N231" s="2"/>
      <c r="O231" s="2"/>
    </row>
    <row r="232" spans="7:15" ht="15.75" customHeight="1">
      <c r="G232" s="2"/>
      <c r="H232" s="2"/>
      <c r="I232" s="2"/>
      <c r="K232" s="253"/>
      <c r="L232" s="2"/>
      <c r="M232" s="2"/>
      <c r="N232" s="2"/>
      <c r="O232" s="2"/>
    </row>
    <row r="233" spans="7:15" ht="15.75" customHeight="1">
      <c r="G233" s="2"/>
      <c r="H233" s="2"/>
      <c r="I233" s="2"/>
      <c r="K233" s="253"/>
      <c r="L233" s="2"/>
      <c r="M233" s="2"/>
      <c r="N233" s="2"/>
      <c r="O233" s="2"/>
    </row>
    <row r="234" spans="7:15" ht="15.75" customHeight="1">
      <c r="G234" s="2"/>
      <c r="H234" s="2"/>
      <c r="I234" s="2"/>
      <c r="K234" s="253"/>
      <c r="L234" s="2"/>
      <c r="M234" s="2"/>
      <c r="N234" s="2"/>
      <c r="O234" s="2"/>
    </row>
    <row r="235" spans="7:15" ht="15.75" customHeight="1">
      <c r="G235" s="2"/>
      <c r="H235" s="2"/>
      <c r="I235" s="2"/>
      <c r="K235" s="253"/>
      <c r="L235" s="2"/>
      <c r="M235" s="2"/>
      <c r="N235" s="2"/>
      <c r="O235" s="2"/>
    </row>
    <row r="236" spans="7:15" ht="15.75" customHeight="1">
      <c r="G236" s="2"/>
      <c r="H236" s="2"/>
      <c r="I236" s="2"/>
      <c r="K236" s="253"/>
      <c r="L236" s="2"/>
      <c r="M236" s="2"/>
      <c r="N236" s="2"/>
      <c r="O236" s="2"/>
    </row>
    <row r="237" spans="7:15" ht="15.75" customHeight="1">
      <c r="G237" s="2"/>
      <c r="H237" s="2"/>
      <c r="I237" s="2"/>
      <c r="K237" s="253"/>
      <c r="L237" s="2"/>
      <c r="M237" s="2"/>
      <c r="N237" s="2"/>
      <c r="O237" s="2"/>
    </row>
    <row r="238" spans="7:15" ht="15.75" customHeight="1">
      <c r="G238" s="2"/>
      <c r="H238" s="2"/>
      <c r="I238" s="2"/>
      <c r="K238" s="253"/>
      <c r="L238" s="2"/>
      <c r="M238" s="2"/>
      <c r="N238" s="2"/>
      <c r="O238" s="2"/>
    </row>
    <row r="239" spans="7:15" ht="15.75" customHeight="1">
      <c r="G239" s="2"/>
      <c r="H239" s="2"/>
      <c r="I239" s="2"/>
      <c r="K239" s="253"/>
      <c r="L239" s="2"/>
      <c r="M239" s="2"/>
      <c r="N239" s="2"/>
      <c r="O239" s="2"/>
    </row>
    <row r="240" spans="7:15" ht="15.75" customHeight="1">
      <c r="G240" s="2"/>
      <c r="H240" s="2"/>
      <c r="I240" s="2"/>
      <c r="K240" s="253"/>
      <c r="L240" s="2"/>
      <c r="M240" s="2"/>
      <c r="N240" s="2"/>
      <c r="O240" s="2"/>
    </row>
    <row r="241" spans="7:15" ht="15.75" customHeight="1">
      <c r="G241" s="2"/>
      <c r="H241" s="2"/>
      <c r="I241" s="2"/>
      <c r="K241" s="253"/>
      <c r="L241" s="2"/>
      <c r="M241" s="2"/>
      <c r="N241" s="2"/>
      <c r="O241" s="2"/>
    </row>
    <row r="242" spans="7:15" ht="15.75" customHeight="1">
      <c r="G242" s="2"/>
      <c r="H242" s="2"/>
      <c r="I242" s="2"/>
      <c r="K242" s="253"/>
      <c r="L242" s="2"/>
      <c r="M242" s="2"/>
      <c r="N242" s="2"/>
      <c r="O242" s="2"/>
    </row>
    <row r="243" spans="7:15" ht="15.75" customHeight="1">
      <c r="G243" s="2"/>
      <c r="H243" s="2"/>
      <c r="I243" s="2"/>
      <c r="K243" s="253"/>
      <c r="L243" s="2"/>
      <c r="M243" s="2"/>
      <c r="N243" s="2"/>
      <c r="O243" s="2"/>
    </row>
    <row r="244" spans="7:15" ht="15.75" customHeight="1">
      <c r="G244" s="2"/>
      <c r="H244" s="2"/>
      <c r="I244" s="2"/>
      <c r="K244" s="253"/>
      <c r="L244" s="2"/>
      <c r="M244" s="2"/>
      <c r="N244" s="2"/>
      <c r="O244" s="2"/>
    </row>
    <row r="245" spans="7:15" ht="15.75" customHeight="1">
      <c r="G245" s="2"/>
      <c r="H245" s="2"/>
      <c r="I245" s="2"/>
      <c r="K245" s="253"/>
      <c r="L245" s="2"/>
      <c r="M245" s="2"/>
      <c r="N245" s="2"/>
      <c r="O245" s="2"/>
    </row>
    <row r="246" spans="7:15" ht="15.75" customHeight="1">
      <c r="G246" s="2"/>
      <c r="H246" s="2"/>
      <c r="I246" s="2"/>
      <c r="K246" s="253"/>
      <c r="L246" s="2"/>
      <c r="M246" s="2"/>
      <c r="N246" s="2"/>
      <c r="O246" s="2"/>
    </row>
    <row r="247" spans="7:15" ht="15.75" customHeight="1">
      <c r="G247" s="2"/>
      <c r="H247" s="2"/>
      <c r="I247" s="2"/>
      <c r="K247" s="253"/>
      <c r="L247" s="2"/>
      <c r="M247" s="2"/>
      <c r="N247" s="2"/>
      <c r="O247" s="2"/>
    </row>
    <row r="248" spans="7:15" ht="15.75" customHeight="1">
      <c r="G248" s="2"/>
      <c r="H248" s="2"/>
      <c r="I248" s="2"/>
      <c r="K248" s="253"/>
      <c r="L248" s="2"/>
      <c r="M248" s="2"/>
      <c r="N248" s="2"/>
      <c r="O248" s="2"/>
    </row>
    <row r="249" spans="7:15" ht="15.75" customHeight="1">
      <c r="G249" s="2"/>
      <c r="H249" s="2"/>
      <c r="I249" s="2"/>
      <c r="K249" s="253"/>
      <c r="L249" s="2"/>
      <c r="M249" s="2"/>
      <c r="N249" s="2"/>
      <c r="O249" s="2"/>
    </row>
    <row r="250" spans="7:15" ht="15.75" customHeight="1">
      <c r="G250" s="2"/>
      <c r="H250" s="2"/>
      <c r="I250" s="2"/>
      <c r="K250" s="253"/>
      <c r="L250" s="2"/>
      <c r="M250" s="2"/>
      <c r="N250" s="2"/>
      <c r="O250" s="2"/>
    </row>
    <row r="251" spans="7:15" ht="15.75" customHeight="1">
      <c r="G251" s="2"/>
      <c r="H251" s="2"/>
      <c r="I251" s="2"/>
      <c r="K251" s="253"/>
      <c r="L251" s="2"/>
      <c r="M251" s="2"/>
      <c r="N251" s="2"/>
      <c r="O251" s="2"/>
    </row>
    <row r="252" spans="7:15" ht="15.75" customHeight="1">
      <c r="G252" s="2"/>
      <c r="H252" s="2"/>
      <c r="I252" s="2"/>
      <c r="K252" s="253"/>
      <c r="L252" s="2"/>
      <c r="M252" s="2"/>
      <c r="N252" s="2"/>
      <c r="O252" s="2"/>
    </row>
    <row r="253" spans="7:15" ht="15.75" customHeight="1">
      <c r="G253" s="2"/>
      <c r="H253" s="2"/>
      <c r="I253" s="2"/>
      <c r="K253" s="253"/>
      <c r="L253" s="2"/>
      <c r="M253" s="2"/>
      <c r="N253" s="2"/>
      <c r="O253" s="2"/>
    </row>
    <row r="254" spans="7:15" ht="15.75" customHeight="1">
      <c r="G254" s="2"/>
      <c r="H254" s="2"/>
      <c r="I254" s="2"/>
      <c r="K254" s="253"/>
      <c r="L254" s="2"/>
      <c r="M254" s="2"/>
      <c r="N254" s="2"/>
      <c r="O254" s="2"/>
    </row>
    <row r="255" spans="7:15" ht="15.75" customHeight="1">
      <c r="G255" s="2"/>
      <c r="H255" s="2"/>
      <c r="I255" s="2"/>
      <c r="K255" s="253"/>
      <c r="L255" s="2"/>
      <c r="M255" s="2"/>
      <c r="N255" s="2"/>
      <c r="O255" s="2"/>
    </row>
    <row r="256" spans="7:15" ht="15.75" customHeight="1">
      <c r="G256" s="2"/>
      <c r="H256" s="2"/>
      <c r="I256" s="2"/>
      <c r="K256" s="253"/>
      <c r="L256" s="2"/>
      <c r="M256" s="2"/>
      <c r="N256" s="2"/>
      <c r="O256" s="2"/>
    </row>
    <row r="257" spans="7:15" ht="15.75" customHeight="1">
      <c r="G257" s="2"/>
      <c r="H257" s="2"/>
      <c r="I257" s="2"/>
      <c r="K257" s="253"/>
      <c r="L257" s="2"/>
      <c r="M257" s="2"/>
      <c r="N257" s="2"/>
      <c r="O257" s="2"/>
    </row>
    <row r="258" spans="7:15" ht="15.75" customHeight="1">
      <c r="G258" s="2"/>
      <c r="H258" s="2"/>
      <c r="I258" s="2"/>
      <c r="K258" s="253"/>
      <c r="L258" s="2"/>
      <c r="M258" s="2"/>
      <c r="N258" s="2"/>
      <c r="O258" s="2"/>
    </row>
    <row r="259" spans="7:15" ht="15.75" customHeight="1">
      <c r="G259" s="2"/>
      <c r="H259" s="2"/>
      <c r="I259" s="2"/>
      <c r="K259" s="253"/>
      <c r="L259" s="2"/>
      <c r="M259" s="2"/>
      <c r="N259" s="2"/>
      <c r="O259" s="2"/>
    </row>
    <row r="260" spans="7:15" ht="15.75" customHeight="1">
      <c r="G260" s="2"/>
      <c r="H260" s="2"/>
      <c r="I260" s="2"/>
      <c r="K260" s="253"/>
      <c r="L260" s="2"/>
      <c r="M260" s="2"/>
      <c r="N260" s="2"/>
      <c r="O260" s="2"/>
    </row>
    <row r="261" spans="7:15" ht="15.75" customHeight="1">
      <c r="G261" s="2"/>
      <c r="H261" s="2"/>
      <c r="I261" s="2"/>
      <c r="K261" s="253"/>
      <c r="L261" s="2"/>
      <c r="M261" s="2"/>
      <c r="N261" s="2"/>
      <c r="O261" s="2"/>
    </row>
    <row r="262" spans="7:15" ht="15.75" customHeight="1">
      <c r="G262" s="2"/>
      <c r="H262" s="2"/>
      <c r="I262" s="2"/>
      <c r="K262" s="253"/>
      <c r="L262" s="2"/>
      <c r="M262" s="2"/>
      <c r="N262" s="2"/>
      <c r="O262" s="2"/>
    </row>
    <row r="263" spans="7:15" ht="15.75" customHeight="1">
      <c r="G263" s="2"/>
      <c r="H263" s="2"/>
      <c r="I263" s="2"/>
      <c r="K263" s="253"/>
      <c r="L263" s="2"/>
      <c r="M263" s="2"/>
      <c r="N263" s="2"/>
      <c r="O263" s="2"/>
    </row>
    <row r="264" spans="7:15" ht="15.75" customHeight="1">
      <c r="G264" s="2"/>
      <c r="H264" s="2"/>
      <c r="I264" s="2"/>
      <c r="K264" s="253"/>
      <c r="L264" s="2"/>
      <c r="M264" s="2"/>
      <c r="N264" s="2"/>
      <c r="O264" s="2"/>
    </row>
    <row r="265" spans="7:15" ht="15.75" customHeight="1">
      <c r="G265" s="2"/>
      <c r="H265" s="2"/>
      <c r="I265" s="2"/>
      <c r="K265" s="253"/>
      <c r="L265" s="2"/>
      <c r="M265" s="2"/>
      <c r="N265" s="2"/>
      <c r="O265" s="2"/>
    </row>
    <row r="266" spans="7:15" ht="15.75" customHeight="1">
      <c r="G266" s="2"/>
      <c r="H266" s="2"/>
      <c r="I266" s="2"/>
      <c r="K266" s="253"/>
      <c r="L266" s="2"/>
      <c r="M266" s="2"/>
      <c r="N266" s="2"/>
      <c r="O266" s="2"/>
    </row>
    <row r="267" spans="7:15" ht="15.75" customHeight="1">
      <c r="G267" s="2"/>
      <c r="H267" s="2"/>
      <c r="I267" s="2"/>
      <c r="K267" s="253"/>
      <c r="L267" s="2"/>
      <c r="M267" s="2"/>
      <c r="N267" s="2"/>
      <c r="O267" s="2"/>
    </row>
    <row r="268" spans="7:15" ht="15.75" customHeight="1">
      <c r="G268" s="2"/>
      <c r="H268" s="2"/>
      <c r="I268" s="2"/>
      <c r="K268" s="253"/>
      <c r="L268" s="2"/>
      <c r="M268" s="2"/>
      <c r="N268" s="2"/>
      <c r="O268" s="2"/>
    </row>
    <row r="269" spans="7:15" ht="15.75" customHeight="1">
      <c r="G269" s="2"/>
      <c r="H269" s="2"/>
      <c r="I269" s="2"/>
      <c r="K269" s="253"/>
      <c r="L269" s="2"/>
      <c r="M269" s="2"/>
      <c r="N269" s="2"/>
      <c r="O269" s="2"/>
    </row>
    <row r="270" spans="7:15" ht="15.75" customHeight="1">
      <c r="G270" s="2"/>
      <c r="H270" s="2"/>
      <c r="I270" s="2"/>
      <c r="K270" s="253"/>
      <c r="L270" s="2"/>
      <c r="M270" s="2"/>
      <c r="N270" s="2"/>
      <c r="O270" s="2"/>
    </row>
    <row r="271" spans="7:15" ht="15.75" customHeight="1">
      <c r="G271" s="2"/>
      <c r="H271" s="2"/>
      <c r="I271" s="2"/>
      <c r="K271" s="253"/>
      <c r="L271" s="2"/>
      <c r="M271" s="2"/>
      <c r="N271" s="2"/>
      <c r="O271" s="2"/>
    </row>
    <row r="272" spans="7:15" ht="15.75" customHeight="1">
      <c r="G272" s="2"/>
      <c r="H272" s="2"/>
      <c r="I272" s="2"/>
      <c r="K272" s="253"/>
      <c r="L272" s="2"/>
      <c r="M272" s="2"/>
      <c r="N272" s="2"/>
      <c r="O272" s="2"/>
    </row>
    <row r="273" spans="7:15" ht="15.75" customHeight="1">
      <c r="G273" s="2"/>
      <c r="H273" s="2"/>
      <c r="I273" s="2"/>
      <c r="K273" s="253"/>
      <c r="L273" s="2"/>
      <c r="M273" s="2"/>
      <c r="N273" s="2"/>
      <c r="O273" s="2"/>
    </row>
    <row r="274" spans="7:15" ht="15.75" customHeight="1">
      <c r="G274" s="2"/>
      <c r="H274" s="2"/>
      <c r="I274" s="2"/>
      <c r="K274" s="253"/>
      <c r="L274" s="2"/>
      <c r="M274" s="2"/>
      <c r="N274" s="2"/>
      <c r="O274" s="2"/>
    </row>
    <row r="275" spans="7:15" ht="15.75" customHeight="1">
      <c r="G275" s="2"/>
      <c r="H275" s="2"/>
      <c r="I275" s="2"/>
      <c r="K275" s="253"/>
      <c r="L275" s="2"/>
      <c r="M275" s="2"/>
      <c r="N275" s="2"/>
      <c r="O275" s="2"/>
    </row>
    <row r="276" spans="7:15" ht="15.75" customHeight="1">
      <c r="G276" s="2"/>
      <c r="H276" s="2"/>
      <c r="I276" s="2"/>
      <c r="K276" s="253"/>
      <c r="L276" s="2"/>
      <c r="M276" s="2"/>
      <c r="N276" s="2"/>
      <c r="O276" s="2"/>
    </row>
    <row r="277" spans="7:15" ht="15.75" customHeight="1">
      <c r="G277" s="2"/>
      <c r="H277" s="2"/>
      <c r="I277" s="2"/>
      <c r="K277" s="253"/>
      <c r="L277" s="2"/>
      <c r="M277" s="2"/>
      <c r="N277" s="2"/>
      <c r="O277" s="2"/>
    </row>
    <row r="278" spans="7:15" ht="15.75" customHeight="1">
      <c r="G278" s="2"/>
      <c r="H278" s="2"/>
      <c r="I278" s="2"/>
      <c r="K278" s="253"/>
      <c r="L278" s="2"/>
      <c r="M278" s="2"/>
      <c r="N278" s="2"/>
      <c r="O278" s="2"/>
    </row>
    <row r="279" spans="7:15" ht="15.75" customHeight="1">
      <c r="G279" s="2"/>
      <c r="H279" s="2"/>
      <c r="I279" s="2"/>
      <c r="K279" s="253"/>
      <c r="L279" s="2"/>
      <c r="M279" s="2"/>
      <c r="N279" s="2"/>
      <c r="O279" s="2"/>
    </row>
    <row r="280" spans="7:15" ht="15.75" customHeight="1">
      <c r="G280" s="2"/>
      <c r="H280" s="2"/>
      <c r="I280" s="2"/>
      <c r="K280" s="253"/>
      <c r="L280" s="2"/>
      <c r="M280" s="2"/>
      <c r="N280" s="2"/>
      <c r="O280" s="2"/>
    </row>
    <row r="281" spans="7:15" ht="15.75" customHeight="1">
      <c r="G281" s="2"/>
      <c r="H281" s="2"/>
      <c r="I281" s="2"/>
      <c r="K281" s="253"/>
      <c r="L281" s="2"/>
      <c r="M281" s="2"/>
      <c r="N281" s="2"/>
      <c r="O281" s="2"/>
    </row>
    <row r="282" spans="7:15" ht="15.75" customHeight="1">
      <c r="G282" s="2"/>
      <c r="H282" s="2"/>
      <c r="I282" s="2"/>
      <c r="K282" s="253"/>
      <c r="L282" s="2"/>
      <c r="M282" s="2"/>
      <c r="N282" s="2"/>
      <c r="O282" s="2"/>
    </row>
    <row r="283" spans="7:15" ht="15.75" customHeight="1">
      <c r="G283" s="2"/>
      <c r="H283" s="2"/>
      <c r="I283" s="2"/>
      <c r="K283" s="253"/>
      <c r="L283" s="2"/>
      <c r="M283" s="2"/>
      <c r="N283" s="2"/>
      <c r="O283" s="2"/>
    </row>
    <row r="284" spans="7:15" ht="15.75" customHeight="1">
      <c r="G284" s="2"/>
      <c r="H284" s="2"/>
      <c r="I284" s="2"/>
      <c r="K284" s="253"/>
      <c r="L284" s="2"/>
      <c r="M284" s="2"/>
      <c r="N284" s="2"/>
      <c r="O284" s="2"/>
    </row>
    <row r="285" spans="7:15" ht="15.75" customHeight="1">
      <c r="G285" s="2"/>
      <c r="H285" s="2"/>
      <c r="I285" s="2"/>
      <c r="K285" s="253"/>
      <c r="L285" s="2"/>
      <c r="M285" s="2"/>
      <c r="N285" s="2"/>
      <c r="O285" s="2"/>
    </row>
    <row r="286" spans="7:15" ht="15.75" customHeight="1">
      <c r="G286" s="2"/>
      <c r="H286" s="2"/>
      <c r="I286" s="2"/>
      <c r="K286" s="253"/>
      <c r="L286" s="2"/>
      <c r="M286" s="2"/>
      <c r="N286" s="2"/>
      <c r="O286" s="2"/>
    </row>
    <row r="287" spans="7:15" ht="15.75" customHeight="1">
      <c r="G287" s="2"/>
      <c r="H287" s="2"/>
      <c r="I287" s="2"/>
      <c r="K287" s="253"/>
      <c r="L287" s="2"/>
      <c r="M287" s="2"/>
      <c r="N287" s="2"/>
      <c r="O287" s="2"/>
    </row>
    <row r="288" spans="7:15" ht="15.75" customHeight="1">
      <c r="G288" s="2"/>
      <c r="H288" s="2"/>
      <c r="I288" s="2"/>
      <c r="K288" s="253"/>
      <c r="L288" s="2"/>
      <c r="M288" s="2"/>
      <c r="N288" s="2"/>
      <c r="O288" s="2"/>
    </row>
    <row r="289" spans="7:15" ht="15.75" customHeight="1">
      <c r="G289" s="2"/>
      <c r="H289" s="2"/>
      <c r="I289" s="2"/>
      <c r="K289" s="253"/>
      <c r="L289" s="2"/>
      <c r="M289" s="2"/>
      <c r="N289" s="2"/>
      <c r="O289" s="2"/>
    </row>
    <row r="290" spans="7:15" ht="15.75" customHeight="1">
      <c r="G290" s="2"/>
      <c r="H290" s="2"/>
      <c r="I290" s="2"/>
      <c r="K290" s="253"/>
      <c r="L290" s="2"/>
      <c r="M290" s="2"/>
      <c r="N290" s="2"/>
      <c r="O290" s="2"/>
    </row>
    <row r="291" spans="7:15" ht="15.75" customHeight="1">
      <c r="G291" s="2"/>
      <c r="H291" s="2"/>
      <c r="I291" s="2"/>
      <c r="K291" s="253"/>
      <c r="L291" s="2"/>
      <c r="M291" s="2"/>
      <c r="N291" s="2"/>
      <c r="O291" s="2"/>
    </row>
    <row r="292" spans="7:15" ht="15.75" customHeight="1">
      <c r="G292" s="2"/>
      <c r="H292" s="2"/>
      <c r="I292" s="2"/>
      <c r="K292" s="253"/>
      <c r="L292" s="2"/>
      <c r="M292" s="2"/>
      <c r="N292" s="2"/>
      <c r="O292" s="2"/>
    </row>
    <row r="293" spans="7:15" ht="15.75" customHeight="1">
      <c r="G293" s="2"/>
      <c r="H293" s="2"/>
      <c r="I293" s="2"/>
      <c r="K293" s="253"/>
      <c r="L293" s="2"/>
      <c r="M293" s="2"/>
      <c r="N293" s="2"/>
      <c r="O293" s="2"/>
    </row>
    <row r="294" spans="7:15" ht="15.75" customHeight="1">
      <c r="G294" s="2"/>
      <c r="H294" s="2"/>
      <c r="I294" s="2"/>
      <c r="K294" s="253"/>
      <c r="L294" s="2"/>
      <c r="M294" s="2"/>
      <c r="N294" s="2"/>
      <c r="O294" s="2"/>
    </row>
    <row r="295" spans="7:15" ht="15.75" customHeight="1">
      <c r="G295" s="2"/>
      <c r="H295" s="2"/>
      <c r="I295" s="2"/>
      <c r="K295" s="253"/>
      <c r="L295" s="2"/>
      <c r="M295" s="2"/>
      <c r="N295" s="2"/>
      <c r="O295" s="2"/>
    </row>
    <row r="296" spans="7:15" ht="15.75" customHeight="1">
      <c r="G296" s="2"/>
      <c r="H296" s="2"/>
      <c r="I296" s="2"/>
      <c r="K296" s="253"/>
      <c r="L296" s="2"/>
      <c r="M296" s="2"/>
      <c r="N296" s="2"/>
      <c r="O296" s="2"/>
    </row>
    <row r="297" spans="7:15" ht="15.75" customHeight="1">
      <c r="G297" s="2"/>
      <c r="H297" s="2"/>
      <c r="I297" s="2"/>
      <c r="K297" s="253"/>
      <c r="L297" s="2"/>
      <c r="M297" s="2"/>
      <c r="N297" s="2"/>
      <c r="O297" s="2"/>
    </row>
    <row r="298" spans="7:15" ht="15.75" customHeight="1">
      <c r="G298" s="2"/>
      <c r="H298" s="2"/>
      <c r="I298" s="2"/>
      <c r="K298" s="253"/>
      <c r="L298" s="2"/>
      <c r="M298" s="2"/>
      <c r="N298" s="2"/>
      <c r="O298" s="2"/>
    </row>
    <row r="299" spans="7:15" ht="15.75" customHeight="1">
      <c r="G299" s="2"/>
      <c r="H299" s="2"/>
      <c r="I299" s="2"/>
      <c r="K299" s="253"/>
      <c r="L299" s="2"/>
      <c r="M299" s="2"/>
      <c r="N299" s="2"/>
      <c r="O299" s="2"/>
    </row>
    <row r="300" spans="7:15" ht="15.75" customHeight="1">
      <c r="G300" s="2"/>
      <c r="H300" s="2"/>
      <c r="I300" s="2"/>
      <c r="K300" s="253"/>
      <c r="L300" s="2"/>
      <c r="M300" s="2"/>
      <c r="N300" s="2"/>
      <c r="O300" s="2"/>
    </row>
    <row r="301" spans="7:15" ht="15.75" customHeight="1">
      <c r="G301" s="2"/>
      <c r="H301" s="2"/>
      <c r="I301" s="2"/>
      <c r="K301" s="253"/>
      <c r="L301" s="2"/>
      <c r="M301" s="2"/>
      <c r="N301" s="2"/>
      <c r="O301" s="2"/>
    </row>
    <row r="302" spans="7:15" ht="15.75" customHeight="1">
      <c r="G302" s="2"/>
      <c r="H302" s="2"/>
      <c r="I302" s="2"/>
      <c r="K302" s="253"/>
      <c r="L302" s="2"/>
      <c r="M302" s="2"/>
      <c r="N302" s="2"/>
      <c r="O302" s="2"/>
    </row>
    <row r="303" spans="7:15" ht="15.75" customHeight="1">
      <c r="G303" s="2"/>
      <c r="H303" s="2"/>
      <c r="I303" s="2"/>
      <c r="K303" s="253"/>
      <c r="L303" s="2"/>
      <c r="M303" s="2"/>
      <c r="N303" s="2"/>
      <c r="O303" s="2"/>
    </row>
    <row r="304" spans="7:15" ht="15.75" customHeight="1">
      <c r="G304" s="2"/>
      <c r="H304" s="2"/>
      <c r="I304" s="2"/>
      <c r="K304" s="253"/>
      <c r="L304" s="2"/>
      <c r="M304" s="2"/>
      <c r="N304" s="2"/>
      <c r="O304" s="2"/>
    </row>
    <row r="305" spans="7:15" ht="15.75" customHeight="1">
      <c r="G305" s="2"/>
      <c r="H305" s="2"/>
      <c r="I305" s="2"/>
      <c r="K305" s="253"/>
      <c r="L305" s="2"/>
      <c r="M305" s="2"/>
      <c r="N305" s="2"/>
      <c r="O305" s="2"/>
    </row>
    <row r="306" spans="7:15" ht="15.75" customHeight="1">
      <c r="G306" s="2"/>
      <c r="H306" s="2"/>
      <c r="I306" s="2"/>
      <c r="K306" s="253"/>
      <c r="L306" s="2"/>
      <c r="M306" s="2"/>
      <c r="N306" s="2"/>
      <c r="O306" s="2"/>
    </row>
    <row r="307" spans="7:15" ht="15.75" customHeight="1">
      <c r="G307" s="2"/>
      <c r="H307" s="2"/>
      <c r="I307" s="2"/>
      <c r="K307" s="253"/>
      <c r="L307" s="2"/>
      <c r="M307" s="2"/>
      <c r="N307" s="2"/>
      <c r="O307" s="2"/>
    </row>
    <row r="308" spans="7:15" ht="15.75" customHeight="1">
      <c r="G308" s="2"/>
      <c r="H308" s="2"/>
      <c r="I308" s="2"/>
      <c r="K308" s="253"/>
      <c r="L308" s="2"/>
      <c r="M308" s="2"/>
      <c r="N308" s="2"/>
      <c r="O308" s="2"/>
    </row>
    <row r="309" spans="7:15" ht="15.75" customHeight="1">
      <c r="G309" s="2"/>
      <c r="H309" s="2"/>
      <c r="I309" s="2"/>
      <c r="K309" s="253"/>
      <c r="L309" s="2"/>
      <c r="M309" s="2"/>
      <c r="N309" s="2"/>
      <c r="O309" s="2"/>
    </row>
    <row r="310" spans="7:15" ht="15.75" customHeight="1">
      <c r="G310" s="2"/>
      <c r="H310" s="2"/>
      <c r="I310" s="2"/>
      <c r="K310" s="253"/>
      <c r="L310" s="2"/>
      <c r="M310" s="2"/>
      <c r="N310" s="2"/>
      <c r="O310" s="2"/>
    </row>
    <row r="311" spans="7:15" ht="15.75" customHeight="1">
      <c r="G311" s="2"/>
      <c r="H311" s="2"/>
      <c r="I311" s="2"/>
      <c r="K311" s="253"/>
      <c r="L311" s="2"/>
      <c r="M311" s="2"/>
      <c r="N311" s="2"/>
      <c r="O311" s="2"/>
    </row>
    <row r="312" spans="7:15" ht="15.75" customHeight="1">
      <c r="G312" s="2"/>
      <c r="H312" s="2"/>
      <c r="I312" s="2"/>
      <c r="K312" s="253"/>
      <c r="L312" s="2"/>
      <c r="M312" s="2"/>
      <c r="N312" s="2"/>
      <c r="O312" s="2"/>
    </row>
    <row r="313" spans="7:15" ht="15.75" customHeight="1">
      <c r="G313" s="2"/>
      <c r="H313" s="2"/>
      <c r="I313" s="2"/>
      <c r="K313" s="253"/>
      <c r="L313" s="2"/>
      <c r="M313" s="2"/>
      <c r="N313" s="2"/>
      <c r="O313" s="2"/>
    </row>
    <row r="314" spans="7:15" ht="15.75" customHeight="1">
      <c r="G314" s="2"/>
      <c r="H314" s="2"/>
      <c r="I314" s="2"/>
      <c r="K314" s="253"/>
      <c r="L314" s="2"/>
      <c r="M314" s="2"/>
      <c r="N314" s="2"/>
      <c r="O314" s="2"/>
    </row>
    <row r="315" spans="7:15" ht="15.75" customHeight="1">
      <c r="G315" s="2"/>
      <c r="H315" s="2"/>
      <c r="I315" s="2"/>
      <c r="K315" s="253"/>
      <c r="L315" s="2"/>
      <c r="M315" s="2"/>
      <c r="N315" s="2"/>
      <c r="O315" s="2"/>
    </row>
    <row r="316" spans="7:15" ht="15.75" customHeight="1">
      <c r="G316" s="2"/>
      <c r="H316" s="2"/>
      <c r="I316" s="2"/>
      <c r="K316" s="253"/>
      <c r="L316" s="2"/>
      <c r="M316" s="2"/>
      <c r="N316" s="2"/>
      <c r="O316" s="2"/>
    </row>
    <row r="317" spans="7:15" ht="15.75" customHeight="1">
      <c r="G317" s="2"/>
      <c r="H317" s="2"/>
      <c r="I317" s="2"/>
      <c r="K317" s="253"/>
      <c r="L317" s="2"/>
      <c r="M317" s="2"/>
      <c r="N317" s="2"/>
      <c r="O317" s="2"/>
    </row>
    <row r="318" spans="7:15" ht="15.75" customHeight="1">
      <c r="G318" s="2"/>
      <c r="H318" s="2"/>
      <c r="I318" s="2"/>
      <c r="K318" s="253"/>
      <c r="L318" s="2"/>
      <c r="M318" s="2"/>
      <c r="N318" s="2"/>
      <c r="O318" s="2"/>
    </row>
    <row r="319" spans="7:15" ht="15.75" customHeight="1">
      <c r="G319" s="2"/>
      <c r="H319" s="2"/>
      <c r="I319" s="2"/>
      <c r="K319" s="253"/>
      <c r="L319" s="2"/>
      <c r="M319" s="2"/>
      <c r="N319" s="2"/>
      <c r="O319" s="2"/>
    </row>
    <row r="320" spans="7:15" ht="15.75" customHeight="1">
      <c r="G320" s="2"/>
      <c r="H320" s="2"/>
      <c r="I320" s="2"/>
      <c r="K320" s="253"/>
      <c r="L320" s="2"/>
      <c r="M320" s="2"/>
      <c r="N320" s="2"/>
      <c r="O320" s="2"/>
    </row>
    <row r="321" spans="7:15" ht="15.75" customHeight="1">
      <c r="G321" s="2"/>
      <c r="H321" s="2"/>
      <c r="I321" s="2"/>
      <c r="K321" s="253"/>
      <c r="L321" s="2"/>
      <c r="M321" s="2"/>
      <c r="N321" s="2"/>
      <c r="O321" s="2"/>
    </row>
    <row r="322" spans="7:15" ht="15.75" customHeight="1">
      <c r="G322" s="2"/>
      <c r="H322" s="2"/>
      <c r="I322" s="2"/>
      <c r="K322" s="253"/>
      <c r="L322" s="2"/>
      <c r="M322" s="2"/>
      <c r="N322" s="2"/>
      <c r="O322" s="2"/>
    </row>
    <row r="323" spans="7:15" ht="15.75" customHeight="1">
      <c r="G323" s="2"/>
      <c r="H323" s="2"/>
      <c r="I323" s="2"/>
      <c r="K323" s="253"/>
      <c r="L323" s="2"/>
      <c r="M323" s="2"/>
      <c r="N323" s="2"/>
      <c r="O323" s="2"/>
    </row>
    <row r="324" spans="7:15" ht="15.75" customHeight="1">
      <c r="G324" s="2"/>
      <c r="H324" s="2"/>
      <c r="I324" s="2"/>
      <c r="K324" s="253"/>
      <c r="L324" s="2"/>
      <c r="M324" s="2"/>
      <c r="N324" s="2"/>
      <c r="O324" s="2"/>
    </row>
    <row r="325" spans="7:15" ht="15.75" customHeight="1">
      <c r="G325" s="2"/>
      <c r="H325" s="2"/>
      <c r="I325" s="2"/>
      <c r="K325" s="253"/>
      <c r="L325" s="2"/>
      <c r="M325" s="2"/>
      <c r="N325" s="2"/>
      <c r="O325" s="2"/>
    </row>
    <row r="326" spans="7:15" ht="15.75" customHeight="1">
      <c r="G326" s="2"/>
      <c r="H326" s="2"/>
      <c r="I326" s="2"/>
      <c r="K326" s="253"/>
      <c r="L326" s="2"/>
      <c r="M326" s="2"/>
      <c r="N326" s="2"/>
      <c r="O326" s="2"/>
    </row>
    <row r="327" spans="7:15" ht="15.75" customHeight="1">
      <c r="G327" s="2"/>
      <c r="H327" s="2"/>
      <c r="I327" s="2"/>
      <c r="K327" s="253"/>
      <c r="L327" s="2"/>
      <c r="M327" s="2"/>
      <c r="N327" s="2"/>
      <c r="O327" s="2"/>
    </row>
    <row r="328" spans="7:15" ht="15.75" customHeight="1">
      <c r="G328" s="2"/>
      <c r="H328" s="2"/>
      <c r="I328" s="2"/>
      <c r="K328" s="253"/>
      <c r="L328" s="2"/>
      <c r="M328" s="2"/>
      <c r="N328" s="2"/>
      <c r="O328" s="2"/>
    </row>
    <row r="329" spans="7:15" ht="15.75" customHeight="1">
      <c r="G329" s="2"/>
      <c r="H329" s="2"/>
      <c r="I329" s="2"/>
      <c r="K329" s="253"/>
      <c r="L329" s="2"/>
      <c r="M329" s="2"/>
      <c r="N329" s="2"/>
      <c r="O329" s="2"/>
    </row>
    <row r="330" spans="7:15" ht="15.75" customHeight="1">
      <c r="G330" s="2"/>
      <c r="H330" s="2"/>
      <c r="I330" s="2"/>
      <c r="K330" s="253"/>
      <c r="L330" s="2"/>
      <c r="M330" s="2"/>
      <c r="N330" s="2"/>
      <c r="O330" s="2"/>
    </row>
    <row r="331" spans="7:15" ht="15.75" customHeight="1">
      <c r="G331" s="2"/>
      <c r="H331" s="2"/>
      <c r="I331" s="2"/>
      <c r="K331" s="253"/>
      <c r="L331" s="2"/>
      <c r="M331" s="2"/>
      <c r="N331" s="2"/>
      <c r="O331" s="2"/>
    </row>
    <row r="332" spans="7:15" ht="15.75" customHeight="1">
      <c r="G332" s="2"/>
      <c r="H332" s="2"/>
      <c r="I332" s="2"/>
      <c r="K332" s="253"/>
      <c r="L332" s="2"/>
      <c r="M332" s="2"/>
      <c r="N332" s="2"/>
      <c r="O332" s="2"/>
    </row>
    <row r="333" spans="7:15" ht="15.75" customHeight="1">
      <c r="G333" s="2"/>
      <c r="H333" s="2"/>
      <c r="I333" s="2"/>
      <c r="K333" s="253"/>
      <c r="L333" s="2"/>
      <c r="M333" s="2"/>
      <c r="N333" s="2"/>
      <c r="O333" s="2"/>
    </row>
    <row r="334" spans="7:15" ht="15.75" customHeight="1">
      <c r="G334" s="2"/>
      <c r="H334" s="2"/>
      <c r="I334" s="2"/>
      <c r="K334" s="253"/>
      <c r="L334" s="2"/>
      <c r="M334" s="2"/>
      <c r="N334" s="2"/>
      <c r="O334" s="2"/>
    </row>
    <row r="335" spans="7:15" ht="15.75" customHeight="1">
      <c r="G335" s="2"/>
      <c r="H335" s="2"/>
      <c r="I335" s="2"/>
      <c r="K335" s="253"/>
      <c r="L335" s="2"/>
      <c r="M335" s="2"/>
      <c r="N335" s="2"/>
      <c r="O335" s="2"/>
    </row>
    <row r="336" spans="7:15" ht="15.75" customHeight="1">
      <c r="G336" s="2"/>
      <c r="H336" s="2"/>
      <c r="I336" s="2"/>
      <c r="K336" s="253"/>
      <c r="L336" s="2"/>
      <c r="M336" s="2"/>
      <c r="N336" s="2"/>
      <c r="O336" s="2"/>
    </row>
    <row r="337" spans="7:15" ht="15.75" customHeight="1">
      <c r="G337" s="2"/>
      <c r="H337" s="2"/>
      <c r="I337" s="2"/>
      <c r="K337" s="253"/>
      <c r="L337" s="2"/>
      <c r="M337" s="2"/>
      <c r="N337" s="2"/>
      <c r="O337" s="2"/>
    </row>
    <row r="338" spans="7:15" ht="15.75" customHeight="1">
      <c r="G338" s="2"/>
      <c r="H338" s="2"/>
      <c r="I338" s="2"/>
      <c r="K338" s="253"/>
      <c r="L338" s="2"/>
      <c r="M338" s="2"/>
      <c r="N338" s="2"/>
      <c r="O338" s="2"/>
    </row>
    <row r="339" spans="7:15" ht="15.75" customHeight="1">
      <c r="G339" s="2"/>
      <c r="H339" s="2"/>
      <c r="I339" s="2"/>
      <c r="K339" s="253"/>
      <c r="L339" s="2"/>
      <c r="M339" s="2"/>
      <c r="N339" s="2"/>
      <c r="O339" s="2"/>
    </row>
    <row r="340" spans="7:15" ht="15.75" customHeight="1">
      <c r="G340" s="2"/>
      <c r="H340" s="2"/>
      <c r="I340" s="2"/>
      <c r="K340" s="253"/>
      <c r="L340" s="2"/>
      <c r="M340" s="2"/>
      <c r="N340" s="2"/>
      <c r="O340" s="2"/>
    </row>
    <row r="341" spans="7:15" ht="15.75" customHeight="1">
      <c r="G341" s="2"/>
      <c r="H341" s="2"/>
      <c r="I341" s="2"/>
      <c r="K341" s="253"/>
      <c r="L341" s="2"/>
      <c r="M341" s="2"/>
      <c r="N341" s="2"/>
      <c r="O341" s="2"/>
    </row>
    <row r="342" spans="7:15" ht="15.75" customHeight="1">
      <c r="G342" s="2"/>
      <c r="H342" s="2"/>
      <c r="I342" s="2"/>
      <c r="K342" s="253"/>
      <c r="L342" s="2"/>
      <c r="M342" s="2"/>
      <c r="N342" s="2"/>
      <c r="O342" s="2"/>
    </row>
    <row r="343" spans="7:15" ht="15.75" customHeight="1">
      <c r="G343" s="2"/>
      <c r="H343" s="2"/>
      <c r="I343" s="2"/>
      <c r="K343" s="253"/>
      <c r="L343" s="2"/>
      <c r="M343" s="2"/>
      <c r="N343" s="2"/>
      <c r="O343" s="2"/>
    </row>
    <row r="344" spans="7:15" ht="15.75" customHeight="1">
      <c r="G344" s="2"/>
      <c r="H344" s="2"/>
      <c r="I344" s="2"/>
      <c r="K344" s="253"/>
      <c r="L344" s="2"/>
      <c r="M344" s="2"/>
      <c r="N344" s="2"/>
      <c r="O344" s="2"/>
    </row>
    <row r="345" spans="7:15" ht="15.75" customHeight="1">
      <c r="G345" s="2"/>
      <c r="H345" s="2"/>
      <c r="I345" s="2"/>
      <c r="K345" s="253"/>
      <c r="L345" s="2"/>
      <c r="M345" s="2"/>
      <c r="N345" s="2"/>
      <c r="O345" s="2"/>
    </row>
    <row r="346" spans="7:15" ht="15.75" customHeight="1">
      <c r="G346" s="2"/>
      <c r="H346" s="2"/>
      <c r="I346" s="2"/>
      <c r="K346" s="253"/>
      <c r="L346" s="2"/>
      <c r="M346" s="2"/>
      <c r="N346" s="2"/>
      <c r="O346" s="2"/>
    </row>
    <row r="347" spans="7:15" ht="15.75" customHeight="1">
      <c r="G347" s="2"/>
      <c r="H347" s="2"/>
      <c r="I347" s="2"/>
      <c r="K347" s="253"/>
      <c r="L347" s="2"/>
      <c r="M347" s="2"/>
      <c r="N347" s="2"/>
      <c r="O347" s="2"/>
    </row>
    <row r="348" spans="7:15" ht="15.75" customHeight="1">
      <c r="G348" s="2"/>
      <c r="H348" s="2"/>
      <c r="I348" s="2"/>
      <c r="K348" s="253"/>
      <c r="L348" s="2"/>
      <c r="M348" s="2"/>
      <c r="N348" s="2"/>
      <c r="O348" s="2"/>
    </row>
    <row r="349" spans="7:15" ht="15.75" customHeight="1">
      <c r="G349" s="2"/>
      <c r="H349" s="2"/>
      <c r="I349" s="2"/>
      <c r="K349" s="253"/>
      <c r="L349" s="2"/>
      <c r="M349" s="2"/>
      <c r="N349" s="2"/>
      <c r="O349" s="2"/>
    </row>
    <row r="350" spans="7:15" ht="15.75" customHeight="1">
      <c r="G350" s="2"/>
      <c r="H350" s="2"/>
      <c r="I350" s="2"/>
      <c r="K350" s="253"/>
      <c r="L350" s="2"/>
      <c r="M350" s="2"/>
      <c r="N350" s="2"/>
      <c r="O350" s="2"/>
    </row>
    <row r="351" spans="7:15" ht="15.75" customHeight="1">
      <c r="G351" s="2"/>
      <c r="H351" s="2"/>
      <c r="I351" s="2"/>
      <c r="K351" s="253"/>
      <c r="L351" s="2"/>
      <c r="M351" s="2"/>
      <c r="N351" s="2"/>
      <c r="O351" s="2"/>
    </row>
    <row r="352" spans="7:15" ht="15.75" customHeight="1">
      <c r="G352" s="2"/>
      <c r="H352" s="2"/>
      <c r="I352" s="2"/>
      <c r="K352" s="253"/>
      <c r="L352" s="2"/>
      <c r="M352" s="2"/>
      <c r="N352" s="2"/>
      <c r="O352" s="2"/>
    </row>
    <row r="353" spans="7:15" ht="15.75" customHeight="1">
      <c r="G353" s="2"/>
      <c r="H353" s="2"/>
      <c r="I353" s="2"/>
      <c r="K353" s="253"/>
      <c r="L353" s="2"/>
      <c r="M353" s="2"/>
      <c r="N353" s="2"/>
      <c r="O353" s="2"/>
    </row>
    <row r="354" spans="7:15" ht="15.75" customHeight="1">
      <c r="G354" s="2"/>
      <c r="H354" s="2"/>
      <c r="I354" s="2"/>
      <c r="K354" s="253"/>
      <c r="L354" s="2"/>
      <c r="M354" s="2"/>
      <c r="N354" s="2"/>
      <c r="O354" s="2"/>
    </row>
    <row r="355" spans="7:15" ht="15.75" customHeight="1">
      <c r="G355" s="2"/>
      <c r="H355" s="2"/>
      <c r="I355" s="2"/>
      <c r="K355" s="253"/>
      <c r="L355" s="2"/>
      <c r="M355" s="2"/>
      <c r="N355" s="2"/>
      <c r="O355" s="2"/>
    </row>
    <row r="356" spans="7:15" ht="15.75" customHeight="1">
      <c r="G356" s="2"/>
      <c r="H356" s="2"/>
      <c r="I356" s="2"/>
      <c r="K356" s="253"/>
      <c r="L356" s="2"/>
      <c r="M356" s="2"/>
      <c r="N356" s="2"/>
      <c r="O356" s="2"/>
    </row>
    <row r="357" spans="7:15" ht="15.75" customHeight="1">
      <c r="G357" s="2"/>
      <c r="H357" s="2"/>
      <c r="I357" s="2"/>
      <c r="K357" s="253"/>
      <c r="L357" s="2"/>
      <c r="M357" s="2"/>
      <c r="N357" s="2"/>
      <c r="O357" s="2"/>
    </row>
    <row r="358" spans="7:15" ht="15.75" customHeight="1">
      <c r="G358" s="2"/>
      <c r="H358" s="2"/>
      <c r="I358" s="2"/>
      <c r="K358" s="253"/>
      <c r="L358" s="2"/>
      <c r="M358" s="2"/>
      <c r="N358" s="2"/>
      <c r="O358" s="2"/>
    </row>
    <row r="359" spans="7:15" ht="15.75" customHeight="1">
      <c r="G359" s="2"/>
      <c r="H359" s="2"/>
      <c r="I359" s="2"/>
      <c r="K359" s="253"/>
      <c r="L359" s="2"/>
      <c r="M359" s="2"/>
      <c r="N359" s="2"/>
      <c r="O359" s="2"/>
    </row>
    <row r="360" spans="7:15" ht="15.75" customHeight="1">
      <c r="G360" s="2"/>
      <c r="H360" s="2"/>
      <c r="I360" s="2"/>
      <c r="K360" s="253"/>
      <c r="L360" s="2"/>
      <c r="M360" s="2"/>
      <c r="N360" s="2"/>
      <c r="O360" s="2"/>
    </row>
    <row r="361" spans="7:15" ht="15.75" customHeight="1">
      <c r="G361" s="2"/>
      <c r="H361" s="2"/>
      <c r="I361" s="2"/>
      <c r="K361" s="253"/>
      <c r="L361" s="2"/>
      <c r="M361" s="2"/>
      <c r="N361" s="2"/>
      <c r="O361" s="2"/>
    </row>
    <row r="362" spans="7:15" ht="15.75" customHeight="1">
      <c r="G362" s="2"/>
      <c r="H362" s="2"/>
      <c r="I362" s="2"/>
      <c r="K362" s="253"/>
      <c r="L362" s="2"/>
      <c r="M362" s="2"/>
      <c r="N362" s="2"/>
      <c r="O362" s="2"/>
    </row>
    <row r="363" spans="7:15" ht="15.75" customHeight="1">
      <c r="G363" s="2"/>
      <c r="H363" s="2"/>
      <c r="I363" s="2"/>
      <c r="K363" s="253"/>
      <c r="L363" s="2"/>
      <c r="M363" s="2"/>
      <c r="N363" s="2"/>
      <c r="O363" s="2"/>
    </row>
    <row r="364" spans="7:15" ht="15.75" customHeight="1">
      <c r="G364" s="2"/>
      <c r="H364" s="2"/>
      <c r="I364" s="2"/>
      <c r="K364" s="253"/>
      <c r="L364" s="2"/>
      <c r="M364" s="2"/>
      <c r="N364" s="2"/>
      <c r="O364" s="2"/>
    </row>
    <row r="365" spans="7:15" ht="15.75" customHeight="1">
      <c r="G365" s="2"/>
      <c r="H365" s="2"/>
      <c r="I365" s="2"/>
      <c r="K365" s="253"/>
      <c r="L365" s="2"/>
      <c r="M365" s="2"/>
      <c r="N365" s="2"/>
      <c r="O365" s="2"/>
    </row>
    <row r="366" spans="7:15" ht="15.75" customHeight="1">
      <c r="G366" s="2"/>
      <c r="H366" s="2"/>
      <c r="I366" s="2"/>
      <c r="K366" s="253"/>
      <c r="L366" s="2"/>
      <c r="M366" s="2"/>
      <c r="N366" s="2"/>
      <c r="O366" s="2"/>
    </row>
    <row r="367" spans="7:15" ht="15.75" customHeight="1">
      <c r="G367" s="2"/>
      <c r="H367" s="2"/>
      <c r="I367" s="2"/>
      <c r="K367" s="253"/>
      <c r="L367" s="2"/>
      <c r="M367" s="2"/>
      <c r="N367" s="2"/>
      <c r="O367" s="2"/>
    </row>
    <row r="368" spans="7:15" ht="15.75" customHeight="1">
      <c r="G368" s="2"/>
      <c r="H368" s="2"/>
      <c r="I368" s="2"/>
      <c r="K368" s="253"/>
      <c r="L368" s="2"/>
      <c r="M368" s="2"/>
      <c r="N368" s="2"/>
      <c r="O368" s="2"/>
    </row>
    <row r="369" spans="7:15" ht="15.75" customHeight="1">
      <c r="G369" s="2"/>
      <c r="H369" s="2"/>
      <c r="I369" s="2"/>
      <c r="K369" s="253"/>
      <c r="L369" s="2"/>
      <c r="M369" s="2"/>
      <c r="N369" s="2"/>
      <c r="O369" s="2"/>
    </row>
    <row r="370" spans="7:15" ht="15.75" customHeight="1">
      <c r="G370" s="2"/>
      <c r="H370" s="2"/>
      <c r="I370" s="2"/>
      <c r="K370" s="253"/>
      <c r="L370" s="2"/>
      <c r="M370" s="2"/>
      <c r="N370" s="2"/>
      <c r="O370" s="2"/>
    </row>
    <row r="371" spans="7:15" ht="15.75" customHeight="1">
      <c r="G371" s="2"/>
      <c r="H371" s="2"/>
      <c r="I371" s="2"/>
      <c r="K371" s="253"/>
      <c r="L371" s="2"/>
      <c r="M371" s="2"/>
      <c r="N371" s="2"/>
      <c r="O371" s="2"/>
    </row>
    <row r="372" spans="7:15" ht="15.75" customHeight="1">
      <c r="G372" s="2"/>
      <c r="H372" s="2"/>
      <c r="I372" s="2"/>
      <c r="K372" s="253"/>
      <c r="L372" s="2"/>
      <c r="M372" s="2"/>
      <c r="N372" s="2"/>
      <c r="O372" s="2"/>
    </row>
    <row r="373" spans="7:15" ht="15.75" customHeight="1">
      <c r="G373" s="2"/>
      <c r="H373" s="2"/>
      <c r="I373" s="2"/>
      <c r="K373" s="253"/>
      <c r="L373" s="2"/>
      <c r="M373" s="2"/>
      <c r="N373" s="2"/>
      <c r="O373" s="2"/>
    </row>
    <row r="374" spans="7:15" ht="15.75" customHeight="1">
      <c r="G374" s="2"/>
      <c r="H374" s="2"/>
      <c r="I374" s="2"/>
      <c r="K374" s="253"/>
      <c r="L374" s="2"/>
      <c r="M374" s="2"/>
      <c r="N374" s="2"/>
      <c r="O374" s="2"/>
    </row>
    <row r="375" spans="7:15" ht="15.75" customHeight="1">
      <c r="G375" s="2"/>
      <c r="H375" s="2"/>
      <c r="I375" s="2"/>
      <c r="K375" s="253"/>
      <c r="L375" s="2"/>
      <c r="M375" s="2"/>
      <c r="N375" s="2"/>
      <c r="O375" s="2"/>
    </row>
    <row r="376" spans="7:15" ht="15.75" customHeight="1">
      <c r="G376" s="2"/>
      <c r="H376" s="2"/>
      <c r="I376" s="2"/>
      <c r="K376" s="253"/>
      <c r="L376" s="2"/>
      <c r="M376" s="2"/>
      <c r="N376" s="2"/>
      <c r="O376" s="2"/>
    </row>
    <row r="377" spans="7:15" ht="15.75" customHeight="1">
      <c r="G377" s="2"/>
      <c r="H377" s="2"/>
      <c r="I377" s="2"/>
      <c r="K377" s="253"/>
      <c r="L377" s="2"/>
      <c r="M377" s="2"/>
      <c r="N377" s="2"/>
      <c r="O377" s="2"/>
    </row>
    <row r="378" spans="7:15" ht="15.75" customHeight="1">
      <c r="G378" s="2"/>
      <c r="H378" s="2"/>
      <c r="I378" s="2"/>
      <c r="K378" s="253"/>
      <c r="L378" s="2"/>
      <c r="M378" s="2"/>
      <c r="N378" s="2"/>
      <c r="O378" s="2"/>
    </row>
    <row r="379" spans="7:15" ht="15.75" customHeight="1">
      <c r="G379" s="2"/>
      <c r="H379" s="2"/>
      <c r="I379" s="2"/>
      <c r="K379" s="253"/>
      <c r="L379" s="2"/>
      <c r="M379" s="2"/>
      <c r="N379" s="2"/>
      <c r="O379" s="2"/>
    </row>
    <row r="380" spans="7:15" ht="15.75" customHeight="1">
      <c r="G380" s="2"/>
      <c r="H380" s="2"/>
      <c r="I380" s="2"/>
      <c r="K380" s="253"/>
      <c r="L380" s="2"/>
      <c r="M380" s="2"/>
      <c r="N380" s="2"/>
      <c r="O380" s="2"/>
    </row>
    <row r="381" spans="7:15" ht="15.75" customHeight="1">
      <c r="G381" s="2"/>
      <c r="H381" s="2"/>
      <c r="I381" s="2"/>
      <c r="K381" s="253"/>
      <c r="L381" s="2"/>
      <c r="M381" s="2"/>
      <c r="N381" s="2"/>
      <c r="O381" s="2"/>
    </row>
    <row r="382" spans="7:15" ht="15.75" customHeight="1">
      <c r="G382" s="2"/>
      <c r="H382" s="2"/>
      <c r="I382" s="2"/>
      <c r="K382" s="253"/>
      <c r="L382" s="2"/>
      <c r="M382" s="2"/>
      <c r="N382" s="2"/>
      <c r="O382" s="2"/>
    </row>
    <row r="383" spans="7:15" ht="15.75" customHeight="1">
      <c r="G383" s="2"/>
      <c r="H383" s="2"/>
      <c r="I383" s="2"/>
      <c r="K383" s="253"/>
      <c r="L383" s="2"/>
      <c r="M383" s="2"/>
      <c r="N383" s="2"/>
      <c r="O383" s="2"/>
    </row>
    <row r="384" spans="7:15" ht="15.75" customHeight="1">
      <c r="G384" s="2"/>
      <c r="H384" s="2"/>
      <c r="I384" s="2"/>
      <c r="K384" s="253"/>
      <c r="L384" s="2"/>
      <c r="M384" s="2"/>
      <c r="N384" s="2"/>
      <c r="O384" s="2"/>
    </row>
    <row r="385" spans="7:15" ht="15.75" customHeight="1">
      <c r="G385" s="2"/>
      <c r="H385" s="2"/>
      <c r="I385" s="2"/>
      <c r="K385" s="253"/>
      <c r="L385" s="2"/>
      <c r="M385" s="2"/>
      <c r="N385" s="2"/>
      <c r="O385" s="2"/>
    </row>
    <row r="386" spans="7:15" ht="15.75" customHeight="1">
      <c r="G386" s="2"/>
      <c r="H386" s="2"/>
      <c r="I386" s="2"/>
      <c r="K386" s="253"/>
      <c r="L386" s="2"/>
      <c r="M386" s="2"/>
      <c r="N386" s="2"/>
      <c r="O386" s="2"/>
    </row>
    <row r="387" spans="7:15" ht="15.75" customHeight="1">
      <c r="G387" s="2"/>
      <c r="H387" s="2"/>
      <c r="I387" s="2"/>
      <c r="K387" s="253"/>
      <c r="L387" s="2"/>
      <c r="M387" s="2"/>
      <c r="N387" s="2"/>
      <c r="O387" s="2"/>
    </row>
    <row r="388" spans="7:15" ht="15.75" customHeight="1">
      <c r="G388" s="2"/>
      <c r="H388" s="2"/>
      <c r="I388" s="2"/>
      <c r="K388" s="253"/>
      <c r="L388" s="2"/>
      <c r="M388" s="2"/>
      <c r="N388" s="2"/>
      <c r="O388" s="2"/>
    </row>
    <row r="389" spans="7:15" ht="15.75" customHeight="1">
      <c r="G389" s="2"/>
      <c r="H389" s="2"/>
      <c r="I389" s="2"/>
      <c r="K389" s="253"/>
      <c r="L389" s="2"/>
      <c r="M389" s="2"/>
      <c r="N389" s="2"/>
      <c r="O389" s="2"/>
    </row>
    <row r="390" spans="7:15" ht="15.75" customHeight="1">
      <c r="G390" s="2"/>
      <c r="H390" s="2"/>
      <c r="I390" s="2"/>
      <c r="K390" s="253"/>
      <c r="L390" s="2"/>
      <c r="M390" s="2"/>
      <c r="N390" s="2"/>
      <c r="O390" s="2"/>
    </row>
    <row r="391" spans="7:15" ht="15.75" customHeight="1">
      <c r="G391" s="2"/>
      <c r="H391" s="2"/>
      <c r="I391" s="2"/>
      <c r="K391" s="253"/>
      <c r="L391" s="2"/>
      <c r="M391" s="2"/>
      <c r="N391" s="2"/>
      <c r="O391" s="2"/>
    </row>
    <row r="392" spans="7:15" ht="15.75" customHeight="1">
      <c r="G392" s="2"/>
      <c r="H392" s="2"/>
      <c r="I392" s="2"/>
      <c r="K392" s="253"/>
      <c r="L392" s="2"/>
      <c r="M392" s="2"/>
      <c r="N392" s="2"/>
      <c r="O392" s="2"/>
    </row>
    <row r="393" spans="7:15" ht="15.75" customHeight="1">
      <c r="G393" s="2"/>
      <c r="H393" s="2"/>
      <c r="I393" s="2"/>
      <c r="K393" s="253"/>
      <c r="L393" s="2"/>
      <c r="M393" s="2"/>
      <c r="N393" s="2"/>
      <c r="O393" s="2"/>
    </row>
    <row r="394" spans="7:15" ht="15.75" customHeight="1">
      <c r="G394" s="2"/>
      <c r="H394" s="2"/>
      <c r="I394" s="2"/>
      <c r="K394" s="253"/>
      <c r="L394" s="2"/>
      <c r="M394" s="2"/>
      <c r="N394" s="2"/>
      <c r="O394" s="2"/>
    </row>
    <row r="395" spans="7:15" ht="15.75" customHeight="1">
      <c r="G395" s="2"/>
      <c r="H395" s="2"/>
      <c r="I395" s="2"/>
      <c r="K395" s="253"/>
      <c r="L395" s="2"/>
      <c r="M395" s="2"/>
      <c r="N395" s="2"/>
      <c r="O395" s="2"/>
    </row>
    <row r="396" spans="7:15" ht="15.75" customHeight="1">
      <c r="G396" s="2"/>
      <c r="H396" s="2"/>
      <c r="I396" s="2"/>
      <c r="K396" s="253"/>
      <c r="L396" s="2"/>
      <c r="M396" s="2"/>
      <c r="N396" s="2"/>
      <c r="O396" s="2"/>
    </row>
    <row r="397" spans="7:15" ht="15.75" customHeight="1">
      <c r="G397" s="2"/>
      <c r="H397" s="2"/>
      <c r="I397" s="2"/>
      <c r="K397" s="253"/>
      <c r="L397" s="2"/>
      <c r="M397" s="2"/>
      <c r="N397" s="2"/>
      <c r="O397" s="2"/>
    </row>
    <row r="398" spans="7:15" ht="15.75" customHeight="1">
      <c r="G398" s="2"/>
      <c r="H398" s="2"/>
      <c r="I398" s="2"/>
      <c r="K398" s="253"/>
      <c r="L398" s="2"/>
      <c r="M398" s="2"/>
      <c r="N398" s="2"/>
      <c r="O398" s="2"/>
    </row>
    <row r="399" spans="7:15" ht="15.75" customHeight="1">
      <c r="G399" s="2"/>
      <c r="H399" s="2"/>
      <c r="I399" s="2"/>
      <c r="K399" s="253"/>
      <c r="L399" s="2"/>
      <c r="M399" s="2"/>
      <c r="N399" s="2"/>
      <c r="O399" s="2"/>
    </row>
    <row r="400" spans="7:15" ht="15.75" customHeight="1">
      <c r="G400" s="2"/>
      <c r="H400" s="2"/>
      <c r="I400" s="2"/>
      <c r="K400" s="253"/>
      <c r="L400" s="2"/>
      <c r="M400" s="2"/>
      <c r="N400" s="2"/>
      <c r="O400" s="2"/>
    </row>
    <row r="401" spans="7:15" ht="15.75" customHeight="1">
      <c r="G401" s="2"/>
      <c r="H401" s="2"/>
      <c r="I401" s="2"/>
      <c r="K401" s="253"/>
      <c r="L401" s="2"/>
      <c r="M401" s="2"/>
      <c r="N401" s="2"/>
      <c r="O401" s="2"/>
    </row>
    <row r="402" spans="7:15" ht="15.75" customHeight="1">
      <c r="G402" s="2"/>
      <c r="H402" s="2"/>
      <c r="I402" s="2"/>
      <c r="K402" s="253"/>
      <c r="L402" s="2"/>
      <c r="M402" s="2"/>
      <c r="N402" s="2"/>
      <c r="O402" s="2"/>
    </row>
    <row r="403" spans="7:15" ht="15.75" customHeight="1">
      <c r="G403" s="2"/>
      <c r="H403" s="2"/>
      <c r="I403" s="2"/>
      <c r="K403" s="253"/>
      <c r="L403" s="2"/>
      <c r="M403" s="2"/>
      <c r="N403" s="2"/>
      <c r="O403" s="2"/>
    </row>
    <row r="404" spans="7:15" ht="15.75" customHeight="1">
      <c r="G404" s="2"/>
      <c r="H404" s="2"/>
      <c r="I404" s="2"/>
      <c r="K404" s="253"/>
      <c r="L404" s="2"/>
      <c r="M404" s="2"/>
      <c r="N404" s="2"/>
      <c r="O404" s="2"/>
    </row>
    <row r="405" spans="7:15" ht="15.75" customHeight="1">
      <c r="G405" s="2"/>
      <c r="H405" s="2"/>
      <c r="I405" s="2"/>
      <c r="K405" s="253"/>
      <c r="L405" s="2"/>
      <c r="M405" s="2"/>
      <c r="N405" s="2"/>
      <c r="O405" s="2"/>
    </row>
    <row r="406" spans="7:15" ht="15.75" customHeight="1">
      <c r="G406" s="2"/>
      <c r="H406" s="2"/>
      <c r="I406" s="2"/>
      <c r="K406" s="253"/>
      <c r="L406" s="2"/>
      <c r="M406" s="2"/>
      <c r="N406" s="2"/>
      <c r="O406" s="2"/>
    </row>
    <row r="407" spans="7:15" ht="15.75" customHeight="1">
      <c r="G407" s="2"/>
      <c r="H407" s="2"/>
      <c r="I407" s="2"/>
      <c r="K407" s="253"/>
      <c r="L407" s="2"/>
      <c r="M407" s="2"/>
      <c r="N407" s="2"/>
      <c r="O407" s="2"/>
    </row>
    <row r="408" spans="7:15" ht="15.75" customHeight="1">
      <c r="G408" s="2"/>
      <c r="H408" s="2"/>
      <c r="I408" s="2"/>
      <c r="K408" s="253"/>
      <c r="L408" s="2"/>
      <c r="M408" s="2"/>
      <c r="N408" s="2"/>
      <c r="O408" s="2"/>
    </row>
    <row r="409" spans="7:15" ht="15.75" customHeight="1">
      <c r="G409" s="2"/>
      <c r="H409" s="2"/>
      <c r="I409" s="2"/>
      <c r="K409" s="253"/>
      <c r="L409" s="2"/>
      <c r="M409" s="2"/>
      <c r="N409" s="2"/>
      <c r="O409" s="2"/>
    </row>
    <row r="410" spans="7:15" ht="15.75" customHeight="1">
      <c r="G410" s="2"/>
      <c r="H410" s="2"/>
      <c r="I410" s="2"/>
      <c r="K410" s="253"/>
      <c r="L410" s="2"/>
      <c r="M410" s="2"/>
      <c r="N410" s="2"/>
      <c r="O410" s="2"/>
    </row>
    <row r="411" spans="7:15" ht="15.75" customHeight="1">
      <c r="G411" s="2"/>
      <c r="H411" s="2"/>
      <c r="I411" s="2"/>
      <c r="K411" s="253"/>
      <c r="L411" s="2"/>
      <c r="M411" s="2"/>
      <c r="N411" s="2"/>
      <c r="O411" s="2"/>
    </row>
    <row r="412" spans="7:15" ht="15.75" customHeight="1">
      <c r="G412" s="2"/>
      <c r="H412" s="2"/>
      <c r="I412" s="2"/>
      <c r="K412" s="253"/>
      <c r="L412" s="2"/>
      <c r="M412" s="2"/>
      <c r="N412" s="2"/>
      <c r="O412" s="2"/>
    </row>
    <row r="413" spans="7:15" ht="15.75" customHeight="1">
      <c r="G413" s="2"/>
      <c r="H413" s="2"/>
      <c r="I413" s="2"/>
      <c r="K413" s="253"/>
      <c r="L413" s="2"/>
      <c r="M413" s="2"/>
      <c r="N413" s="2"/>
      <c r="O413" s="2"/>
    </row>
    <row r="414" spans="7:15" ht="15.75" customHeight="1">
      <c r="G414" s="2"/>
      <c r="H414" s="2"/>
      <c r="I414" s="2"/>
      <c r="K414" s="253"/>
      <c r="L414" s="2"/>
      <c r="M414" s="2"/>
      <c r="N414" s="2"/>
      <c r="O414" s="2"/>
    </row>
    <row r="415" spans="7:15" ht="15.75" customHeight="1">
      <c r="G415" s="2"/>
      <c r="H415" s="2"/>
      <c r="I415" s="2"/>
      <c r="K415" s="253"/>
      <c r="L415" s="2"/>
      <c r="M415" s="2"/>
      <c r="N415" s="2"/>
      <c r="O415" s="2"/>
    </row>
    <row r="416" spans="7:15" ht="15.75" customHeight="1">
      <c r="G416" s="2"/>
      <c r="H416" s="2"/>
      <c r="I416" s="2"/>
      <c r="K416" s="253"/>
      <c r="L416" s="2"/>
      <c r="M416" s="2"/>
      <c r="N416" s="2"/>
      <c r="O416" s="2"/>
    </row>
    <row r="417" spans="7:15" ht="15.75" customHeight="1">
      <c r="G417" s="2"/>
      <c r="H417" s="2"/>
      <c r="I417" s="2"/>
      <c r="K417" s="253"/>
      <c r="L417" s="2"/>
      <c r="M417" s="2"/>
      <c r="N417" s="2"/>
      <c r="O417" s="2"/>
    </row>
    <row r="418" spans="7:15" ht="15.75" customHeight="1">
      <c r="G418" s="2"/>
      <c r="H418" s="2"/>
      <c r="I418" s="2"/>
      <c r="K418" s="253"/>
      <c r="L418" s="2"/>
      <c r="M418" s="2"/>
      <c r="N418" s="2"/>
      <c r="O418" s="2"/>
    </row>
    <row r="419" spans="7:15" ht="15.75" customHeight="1">
      <c r="G419" s="2"/>
      <c r="H419" s="2"/>
      <c r="I419" s="2"/>
      <c r="K419" s="253"/>
      <c r="L419" s="2"/>
      <c r="M419" s="2"/>
      <c r="N419" s="2"/>
      <c r="O419" s="2"/>
    </row>
    <row r="420" spans="7:15" ht="15.75" customHeight="1">
      <c r="G420" s="2"/>
      <c r="H420" s="2"/>
      <c r="I420" s="2"/>
      <c r="K420" s="253"/>
      <c r="L420" s="2"/>
      <c r="M420" s="2"/>
      <c r="N420" s="2"/>
      <c r="O420" s="2"/>
    </row>
    <row r="421" spans="7:15" ht="15.75" customHeight="1">
      <c r="G421" s="2"/>
      <c r="H421" s="2"/>
      <c r="I421" s="2"/>
      <c r="K421" s="253"/>
      <c r="L421" s="2"/>
      <c r="M421" s="2"/>
      <c r="N421" s="2"/>
      <c r="O421" s="2"/>
    </row>
    <row r="422" spans="7:15" ht="15.75" customHeight="1">
      <c r="G422" s="2"/>
      <c r="H422" s="2"/>
      <c r="I422" s="2"/>
      <c r="K422" s="253"/>
      <c r="L422" s="2"/>
      <c r="M422" s="2"/>
      <c r="N422" s="2"/>
      <c r="O422" s="2"/>
    </row>
    <row r="423" spans="7:15" ht="15.75" customHeight="1">
      <c r="G423" s="2"/>
      <c r="H423" s="2"/>
      <c r="I423" s="2"/>
      <c r="K423" s="253"/>
      <c r="L423" s="2"/>
      <c r="M423" s="2"/>
      <c r="N423" s="2"/>
      <c r="O423" s="2"/>
    </row>
    <row r="424" spans="7:15" ht="15.75" customHeight="1">
      <c r="G424" s="2"/>
      <c r="H424" s="2"/>
      <c r="I424" s="2"/>
      <c r="K424" s="253"/>
      <c r="L424" s="2"/>
      <c r="M424" s="2"/>
      <c r="N424" s="2"/>
      <c r="O424" s="2"/>
    </row>
    <row r="425" spans="7:15" ht="15.75" customHeight="1">
      <c r="G425" s="2"/>
      <c r="H425" s="2"/>
      <c r="I425" s="2"/>
      <c r="K425" s="253"/>
      <c r="L425" s="2"/>
      <c r="M425" s="2"/>
      <c r="N425" s="2"/>
      <c r="O425" s="2"/>
    </row>
    <row r="426" spans="7:15" ht="15.75" customHeight="1">
      <c r="G426" s="2"/>
      <c r="H426" s="2"/>
      <c r="I426" s="2"/>
      <c r="K426" s="253"/>
      <c r="L426" s="2"/>
      <c r="M426" s="2"/>
      <c r="N426" s="2"/>
      <c r="O426" s="2"/>
    </row>
    <row r="427" spans="7:15" ht="15.75" customHeight="1">
      <c r="G427" s="2"/>
      <c r="H427" s="2"/>
      <c r="I427" s="2"/>
      <c r="K427" s="253"/>
      <c r="L427" s="2"/>
      <c r="M427" s="2"/>
      <c r="N427" s="2"/>
      <c r="O427" s="2"/>
    </row>
    <row r="428" spans="7:15" ht="15.75" customHeight="1">
      <c r="G428" s="2"/>
      <c r="H428" s="2"/>
      <c r="I428" s="2"/>
      <c r="K428" s="253"/>
      <c r="L428" s="2"/>
      <c r="M428" s="2"/>
      <c r="N428" s="2"/>
      <c r="O428" s="2"/>
    </row>
    <row r="429" spans="7:15" ht="15.75" customHeight="1">
      <c r="G429" s="2"/>
      <c r="H429" s="2"/>
      <c r="I429" s="2"/>
      <c r="K429" s="253"/>
      <c r="L429" s="2"/>
      <c r="M429" s="2"/>
      <c r="N429" s="2"/>
      <c r="O429" s="2"/>
    </row>
    <row r="430" spans="7:15" ht="15.75" customHeight="1">
      <c r="G430" s="2"/>
      <c r="H430" s="2"/>
      <c r="I430" s="2"/>
      <c r="K430" s="253"/>
      <c r="L430" s="2"/>
      <c r="M430" s="2"/>
      <c r="N430" s="2"/>
      <c r="O430" s="2"/>
    </row>
    <row r="431" spans="7:15" ht="15.75" customHeight="1">
      <c r="G431" s="2"/>
      <c r="H431" s="2"/>
      <c r="I431" s="2"/>
      <c r="K431" s="253"/>
      <c r="L431" s="2"/>
      <c r="M431" s="2"/>
      <c r="N431" s="2"/>
      <c r="O431" s="2"/>
    </row>
    <row r="432" spans="7:15" ht="15.75" customHeight="1">
      <c r="G432" s="2"/>
      <c r="H432" s="2"/>
      <c r="I432" s="2"/>
      <c r="K432" s="253"/>
      <c r="L432" s="2"/>
      <c r="M432" s="2"/>
      <c r="N432" s="2"/>
      <c r="O432" s="2"/>
    </row>
    <row r="433" spans="7:15" ht="15.75" customHeight="1">
      <c r="G433" s="2"/>
      <c r="H433" s="2"/>
      <c r="I433" s="2"/>
      <c r="K433" s="253"/>
      <c r="L433" s="2"/>
      <c r="M433" s="2"/>
      <c r="N433" s="2"/>
      <c r="O433" s="2"/>
    </row>
    <row r="434" spans="7:15" ht="15.75" customHeight="1">
      <c r="G434" s="2"/>
      <c r="H434" s="2"/>
      <c r="I434" s="2"/>
      <c r="K434" s="253"/>
      <c r="L434" s="2"/>
      <c r="M434" s="2"/>
      <c r="N434" s="2"/>
      <c r="O434" s="2"/>
    </row>
    <row r="435" spans="7:15" ht="15.75" customHeight="1">
      <c r="G435" s="2"/>
      <c r="H435" s="2"/>
      <c r="I435" s="2"/>
      <c r="K435" s="253"/>
      <c r="L435" s="2"/>
      <c r="M435" s="2"/>
      <c r="N435" s="2"/>
      <c r="O435" s="2"/>
    </row>
    <row r="436" spans="7:15" ht="15.75" customHeight="1">
      <c r="G436" s="2"/>
      <c r="H436" s="2"/>
      <c r="I436" s="2"/>
      <c r="K436" s="253"/>
      <c r="L436" s="2"/>
      <c r="M436" s="2"/>
      <c r="N436" s="2"/>
      <c r="O436" s="2"/>
    </row>
    <row r="437" spans="7:15" ht="15.75" customHeight="1">
      <c r="G437" s="2"/>
      <c r="H437" s="2"/>
      <c r="I437" s="2"/>
      <c r="K437" s="253"/>
      <c r="L437" s="2"/>
      <c r="M437" s="2"/>
      <c r="N437" s="2"/>
      <c r="O437" s="2"/>
    </row>
    <row r="438" spans="7:15" ht="15.75" customHeight="1">
      <c r="G438" s="2"/>
      <c r="H438" s="2"/>
      <c r="I438" s="2"/>
      <c r="K438" s="253"/>
      <c r="L438" s="2"/>
      <c r="M438" s="2"/>
      <c r="N438" s="2"/>
      <c r="O438" s="2"/>
    </row>
    <row r="439" spans="7:15" ht="15.75" customHeight="1">
      <c r="G439" s="2"/>
      <c r="H439" s="2"/>
      <c r="I439" s="2"/>
      <c r="K439" s="253"/>
      <c r="L439" s="2"/>
      <c r="M439" s="2"/>
      <c r="N439" s="2"/>
      <c r="O439" s="2"/>
    </row>
    <row r="440" spans="7:15" ht="15.75" customHeight="1">
      <c r="G440" s="2"/>
      <c r="H440" s="2"/>
      <c r="I440" s="2"/>
      <c r="K440" s="253"/>
      <c r="L440" s="2"/>
      <c r="M440" s="2"/>
      <c r="N440" s="2"/>
      <c r="O440" s="2"/>
    </row>
    <row r="441" spans="7:15" ht="15.75" customHeight="1">
      <c r="G441" s="2"/>
      <c r="H441" s="2"/>
      <c r="I441" s="2"/>
      <c r="K441" s="253"/>
      <c r="L441" s="2"/>
      <c r="M441" s="2"/>
      <c r="N441" s="2"/>
      <c r="O441" s="2"/>
    </row>
    <row r="442" spans="7:15" ht="15.75" customHeight="1">
      <c r="G442" s="2"/>
      <c r="H442" s="2"/>
      <c r="I442" s="2"/>
      <c r="K442" s="253"/>
      <c r="L442" s="2"/>
      <c r="M442" s="2"/>
      <c r="N442" s="2"/>
      <c r="O442" s="2"/>
    </row>
    <row r="443" spans="7:15" ht="15.75" customHeight="1">
      <c r="G443" s="2"/>
      <c r="H443" s="2"/>
      <c r="I443" s="2"/>
      <c r="K443" s="253"/>
      <c r="L443" s="2"/>
      <c r="M443" s="2"/>
      <c r="N443" s="2"/>
      <c r="O443" s="2"/>
    </row>
    <row r="444" spans="7:15" ht="15.75" customHeight="1">
      <c r="G444" s="2"/>
      <c r="H444" s="2"/>
      <c r="I444" s="2"/>
      <c r="K444" s="253"/>
      <c r="L444" s="2"/>
      <c r="M444" s="2"/>
      <c r="N444" s="2"/>
      <c r="O444" s="2"/>
    </row>
    <row r="445" spans="7:15" ht="15.75" customHeight="1">
      <c r="G445" s="2"/>
      <c r="H445" s="2"/>
      <c r="I445" s="2"/>
      <c r="K445" s="253"/>
      <c r="L445" s="2"/>
      <c r="M445" s="2"/>
      <c r="N445" s="2"/>
      <c r="O445" s="2"/>
    </row>
    <row r="446" spans="7:15" ht="15.75" customHeight="1">
      <c r="G446" s="2"/>
      <c r="H446" s="2"/>
      <c r="I446" s="2"/>
      <c r="K446" s="253"/>
      <c r="L446" s="2"/>
      <c r="M446" s="2"/>
      <c r="N446" s="2"/>
      <c r="O446" s="2"/>
    </row>
    <row r="447" spans="7:15" ht="15.75" customHeight="1">
      <c r="G447" s="2"/>
      <c r="H447" s="2"/>
      <c r="I447" s="2"/>
      <c r="K447" s="253"/>
      <c r="L447" s="2"/>
      <c r="M447" s="2"/>
      <c r="N447" s="2"/>
      <c r="O447" s="2"/>
    </row>
    <row r="448" spans="7:15" ht="15.75" customHeight="1">
      <c r="G448" s="2"/>
      <c r="H448" s="2"/>
      <c r="I448" s="2"/>
      <c r="K448" s="253"/>
      <c r="L448" s="2"/>
      <c r="M448" s="2"/>
      <c r="N448" s="2"/>
      <c r="O448" s="2"/>
    </row>
    <row r="449" spans="7:15" ht="15.75" customHeight="1">
      <c r="G449" s="2"/>
      <c r="H449" s="2"/>
      <c r="I449" s="2"/>
      <c r="K449" s="253"/>
      <c r="L449" s="2"/>
      <c r="M449" s="2"/>
      <c r="N449" s="2"/>
      <c r="O449" s="2"/>
    </row>
    <row r="450" spans="7:15" ht="15.75" customHeight="1">
      <c r="G450" s="2"/>
      <c r="H450" s="2"/>
      <c r="I450" s="2"/>
      <c r="K450" s="253"/>
      <c r="L450" s="2"/>
      <c r="M450" s="2"/>
      <c r="N450" s="2"/>
      <c r="O450" s="2"/>
    </row>
    <row r="451" spans="7:15" ht="15.75" customHeight="1">
      <c r="G451" s="2"/>
      <c r="H451" s="2"/>
      <c r="I451" s="2"/>
      <c r="K451" s="253"/>
      <c r="L451" s="2"/>
      <c r="M451" s="2"/>
      <c r="N451" s="2"/>
      <c r="O451" s="2"/>
    </row>
    <row r="452" spans="7:15" ht="15.75" customHeight="1">
      <c r="G452" s="2"/>
      <c r="H452" s="2"/>
      <c r="I452" s="2"/>
      <c r="K452" s="253"/>
      <c r="L452" s="2"/>
      <c r="M452" s="2"/>
      <c r="N452" s="2"/>
      <c r="O452" s="2"/>
    </row>
    <row r="453" spans="7:15" ht="15.75" customHeight="1">
      <c r="G453" s="2"/>
      <c r="H453" s="2"/>
      <c r="I453" s="2"/>
      <c r="K453" s="253"/>
      <c r="L453" s="2"/>
      <c r="M453" s="2"/>
      <c r="N453" s="2"/>
      <c r="O453" s="2"/>
    </row>
    <row r="454" spans="7:15" ht="15.75" customHeight="1">
      <c r="G454" s="2"/>
      <c r="H454" s="2"/>
      <c r="I454" s="2"/>
      <c r="K454" s="253"/>
      <c r="L454" s="2"/>
      <c r="M454" s="2"/>
      <c r="N454" s="2"/>
      <c r="O454" s="2"/>
    </row>
    <row r="455" spans="7:15" ht="15.75" customHeight="1">
      <c r="G455" s="2"/>
      <c r="H455" s="2"/>
      <c r="I455" s="2"/>
      <c r="K455" s="253"/>
      <c r="L455" s="2"/>
      <c r="M455" s="2"/>
      <c r="N455" s="2"/>
      <c r="O455" s="2"/>
    </row>
    <row r="456" spans="7:15" ht="15.75" customHeight="1">
      <c r="G456" s="2"/>
      <c r="H456" s="2"/>
      <c r="I456" s="2"/>
      <c r="K456" s="253"/>
      <c r="L456" s="2"/>
      <c r="M456" s="2"/>
      <c r="N456" s="2"/>
      <c r="O456" s="2"/>
    </row>
    <row r="457" spans="7:15" ht="15.75" customHeight="1">
      <c r="G457" s="2"/>
      <c r="H457" s="2"/>
      <c r="I457" s="2"/>
      <c r="K457" s="253"/>
      <c r="L457" s="2"/>
      <c r="M457" s="2"/>
      <c r="N457" s="2"/>
      <c r="O457" s="2"/>
    </row>
    <row r="458" spans="7:15" ht="15.75" customHeight="1">
      <c r="G458" s="2"/>
      <c r="H458" s="2"/>
      <c r="I458" s="2"/>
      <c r="K458" s="253"/>
      <c r="L458" s="2"/>
      <c r="M458" s="2"/>
      <c r="N458" s="2"/>
      <c r="O458" s="2"/>
    </row>
    <row r="459" spans="7:15" ht="15.75" customHeight="1">
      <c r="G459" s="2"/>
      <c r="H459" s="2"/>
      <c r="I459" s="2"/>
      <c r="K459" s="253"/>
      <c r="L459" s="2"/>
      <c r="M459" s="2"/>
      <c r="N459" s="2"/>
      <c r="O459" s="2"/>
    </row>
    <row r="460" spans="7:15" ht="15.75" customHeight="1">
      <c r="G460" s="2"/>
      <c r="H460" s="2"/>
      <c r="I460" s="2"/>
      <c r="K460" s="253"/>
      <c r="L460" s="2"/>
      <c r="M460" s="2"/>
      <c r="N460" s="2"/>
      <c r="O460" s="2"/>
    </row>
    <row r="461" spans="7:15" ht="15.75" customHeight="1">
      <c r="G461" s="2"/>
      <c r="H461" s="2"/>
      <c r="I461" s="2"/>
      <c r="K461" s="253"/>
      <c r="L461" s="2"/>
      <c r="M461" s="2"/>
      <c r="N461" s="2"/>
      <c r="O461" s="2"/>
    </row>
    <row r="462" spans="7:15" ht="15.75" customHeight="1">
      <c r="G462" s="2"/>
      <c r="H462" s="2"/>
      <c r="I462" s="2"/>
      <c r="K462" s="253"/>
      <c r="L462" s="2"/>
      <c r="M462" s="2"/>
      <c r="N462" s="2"/>
      <c r="O462" s="2"/>
    </row>
    <row r="463" spans="7:15" ht="15.75" customHeight="1">
      <c r="G463" s="2"/>
      <c r="H463" s="2"/>
      <c r="I463" s="2"/>
      <c r="K463" s="253"/>
      <c r="L463" s="2"/>
      <c r="M463" s="2"/>
      <c r="N463" s="2"/>
      <c r="O463" s="2"/>
    </row>
    <row r="464" spans="7:15" ht="15.75" customHeight="1">
      <c r="G464" s="2"/>
      <c r="H464" s="2"/>
      <c r="I464" s="2"/>
      <c r="K464" s="253"/>
      <c r="L464" s="2"/>
      <c r="M464" s="2"/>
      <c r="N464" s="2"/>
      <c r="O464" s="2"/>
    </row>
    <row r="465" spans="7:15" ht="15.75" customHeight="1">
      <c r="G465" s="2"/>
      <c r="H465" s="2"/>
      <c r="I465" s="2"/>
      <c r="K465" s="253"/>
      <c r="L465" s="2"/>
      <c r="M465" s="2"/>
      <c r="N465" s="2"/>
      <c r="O465" s="2"/>
    </row>
    <row r="466" spans="7:15" ht="15.75" customHeight="1">
      <c r="G466" s="2"/>
      <c r="H466" s="2"/>
      <c r="I466" s="2"/>
      <c r="K466" s="253"/>
      <c r="L466" s="2"/>
      <c r="M466" s="2"/>
      <c r="N466" s="2"/>
      <c r="O466" s="2"/>
    </row>
    <row r="467" spans="7:15" ht="15.75" customHeight="1">
      <c r="G467" s="2"/>
      <c r="H467" s="2"/>
      <c r="I467" s="2"/>
      <c r="K467" s="253"/>
      <c r="L467" s="2"/>
      <c r="M467" s="2"/>
      <c r="N467" s="2"/>
      <c r="O467" s="2"/>
    </row>
    <row r="468" spans="7:15" ht="15.75" customHeight="1">
      <c r="G468" s="2"/>
      <c r="H468" s="2"/>
      <c r="I468" s="2"/>
      <c r="K468" s="253"/>
      <c r="L468" s="2"/>
      <c r="M468" s="2"/>
      <c r="N468" s="2"/>
      <c r="O468" s="2"/>
    </row>
    <row r="469" spans="7:15" ht="15.75" customHeight="1">
      <c r="G469" s="2"/>
      <c r="H469" s="2"/>
      <c r="I469" s="2"/>
      <c r="K469" s="253"/>
      <c r="L469" s="2"/>
      <c r="M469" s="2"/>
      <c r="N469" s="2"/>
      <c r="O469" s="2"/>
    </row>
    <row r="470" spans="7:15" ht="15.75" customHeight="1">
      <c r="G470" s="2"/>
      <c r="H470" s="2"/>
      <c r="I470" s="2"/>
      <c r="K470" s="253"/>
      <c r="L470" s="2"/>
      <c r="M470" s="2"/>
      <c r="N470" s="2"/>
      <c r="O470" s="2"/>
    </row>
    <row r="471" spans="7:15" ht="15.75" customHeight="1">
      <c r="G471" s="2"/>
      <c r="H471" s="2"/>
      <c r="I471" s="2"/>
      <c r="K471" s="253"/>
      <c r="L471" s="2"/>
      <c r="M471" s="2"/>
      <c r="N471" s="2"/>
      <c r="O471" s="2"/>
    </row>
    <row r="472" spans="7:15" ht="15.75" customHeight="1">
      <c r="G472" s="2"/>
      <c r="H472" s="2"/>
      <c r="I472" s="2"/>
      <c r="K472" s="253"/>
      <c r="L472" s="2"/>
      <c r="M472" s="2"/>
      <c r="N472" s="2"/>
      <c r="O472" s="2"/>
    </row>
    <row r="473" spans="7:15" ht="15.75" customHeight="1">
      <c r="G473" s="2"/>
      <c r="H473" s="2"/>
      <c r="I473" s="2"/>
      <c r="K473" s="253"/>
      <c r="L473" s="2"/>
      <c r="M473" s="2"/>
      <c r="N473" s="2"/>
      <c r="O473" s="2"/>
    </row>
    <row r="474" spans="7:15" ht="15.75" customHeight="1">
      <c r="G474" s="2"/>
      <c r="H474" s="2"/>
      <c r="I474" s="2"/>
      <c r="K474" s="253"/>
      <c r="L474" s="2"/>
      <c r="M474" s="2"/>
      <c r="N474" s="2"/>
      <c r="O474" s="2"/>
    </row>
    <row r="475" spans="7:15" ht="15.75" customHeight="1">
      <c r="G475" s="2"/>
      <c r="H475" s="2"/>
      <c r="I475" s="2"/>
      <c r="K475" s="253"/>
      <c r="L475" s="2"/>
      <c r="M475" s="2"/>
      <c r="N475" s="2"/>
      <c r="O475" s="2"/>
    </row>
    <row r="476" spans="7:15" ht="15.75" customHeight="1">
      <c r="G476" s="2"/>
      <c r="H476" s="2"/>
      <c r="I476" s="2"/>
      <c r="K476" s="253"/>
      <c r="L476" s="2"/>
      <c r="M476" s="2"/>
      <c r="N476" s="2"/>
      <c r="O476" s="2"/>
    </row>
    <row r="477" spans="7:15" ht="15.75" customHeight="1">
      <c r="G477" s="2"/>
      <c r="H477" s="2"/>
      <c r="I477" s="2"/>
      <c r="K477" s="253"/>
      <c r="L477" s="2"/>
      <c r="M477" s="2"/>
      <c r="N477" s="2"/>
      <c r="O477" s="2"/>
    </row>
    <row r="478" spans="7:15" ht="15.75" customHeight="1">
      <c r="G478" s="2"/>
      <c r="H478" s="2"/>
      <c r="I478" s="2"/>
      <c r="K478" s="253"/>
      <c r="L478" s="2"/>
      <c r="M478" s="2"/>
      <c r="N478" s="2"/>
      <c r="O478" s="2"/>
    </row>
    <row r="479" spans="7:15" ht="15.75" customHeight="1">
      <c r="G479" s="2"/>
      <c r="H479" s="2"/>
      <c r="I479" s="2"/>
      <c r="K479" s="253"/>
      <c r="L479" s="2"/>
      <c r="M479" s="2"/>
      <c r="N479" s="2"/>
      <c r="O479" s="2"/>
    </row>
    <row r="480" spans="7:15" ht="15.75" customHeight="1">
      <c r="G480" s="2"/>
      <c r="H480" s="2"/>
      <c r="I480" s="2"/>
      <c r="K480" s="253"/>
      <c r="L480" s="2"/>
      <c r="M480" s="2"/>
      <c r="N480" s="2"/>
      <c r="O480" s="2"/>
    </row>
    <row r="481" spans="7:15" ht="15.75" customHeight="1">
      <c r="G481" s="2"/>
      <c r="H481" s="2"/>
      <c r="I481" s="2"/>
      <c r="K481" s="253"/>
      <c r="L481" s="2"/>
      <c r="M481" s="2"/>
      <c r="N481" s="2"/>
      <c r="O481" s="2"/>
    </row>
    <row r="482" spans="7:15" ht="15.75" customHeight="1">
      <c r="G482" s="2"/>
      <c r="H482" s="2"/>
      <c r="I482" s="2"/>
      <c r="K482" s="253"/>
      <c r="L482" s="2"/>
      <c r="M482" s="2"/>
      <c r="N482" s="2"/>
      <c r="O482" s="2"/>
    </row>
    <row r="483" spans="7:15" ht="15.75" customHeight="1">
      <c r="G483" s="2"/>
      <c r="H483" s="2"/>
      <c r="I483" s="2"/>
      <c r="K483" s="253"/>
      <c r="L483" s="2"/>
      <c r="M483" s="2"/>
      <c r="N483" s="2"/>
      <c r="O483" s="2"/>
    </row>
    <row r="484" spans="7:15" ht="15.75" customHeight="1">
      <c r="G484" s="2"/>
      <c r="H484" s="2"/>
      <c r="I484" s="2"/>
      <c r="K484" s="253"/>
      <c r="L484" s="2"/>
      <c r="M484" s="2"/>
      <c r="N484" s="2"/>
      <c r="O484" s="2"/>
    </row>
    <row r="485" spans="7:15" ht="15.75" customHeight="1">
      <c r="G485" s="2"/>
      <c r="H485" s="2"/>
      <c r="I485" s="2"/>
      <c r="K485" s="253"/>
      <c r="L485" s="2"/>
      <c r="M485" s="2"/>
      <c r="N485" s="2"/>
      <c r="O485" s="2"/>
    </row>
    <row r="486" spans="7:15" ht="15.75" customHeight="1">
      <c r="G486" s="2"/>
      <c r="H486" s="2"/>
      <c r="I486" s="2"/>
      <c r="K486" s="253"/>
      <c r="L486" s="2"/>
      <c r="M486" s="2"/>
      <c r="N486" s="2"/>
      <c r="O486" s="2"/>
    </row>
    <row r="487" spans="7:15" ht="15.75" customHeight="1">
      <c r="G487" s="2"/>
      <c r="H487" s="2"/>
      <c r="I487" s="2"/>
      <c r="K487" s="253"/>
      <c r="L487" s="2"/>
      <c r="M487" s="2"/>
      <c r="N487" s="2"/>
      <c r="O487" s="2"/>
    </row>
    <row r="488" spans="7:15" ht="15.75" customHeight="1">
      <c r="G488" s="2"/>
      <c r="H488" s="2"/>
      <c r="I488" s="2"/>
      <c r="K488" s="253"/>
      <c r="L488" s="2"/>
      <c r="M488" s="2"/>
      <c r="N488" s="2"/>
      <c r="O488" s="2"/>
    </row>
    <row r="489" spans="7:15" ht="15.75" customHeight="1">
      <c r="G489" s="2"/>
      <c r="H489" s="2"/>
      <c r="I489" s="2"/>
      <c r="K489" s="253"/>
      <c r="L489" s="2"/>
      <c r="M489" s="2"/>
      <c r="N489" s="2"/>
      <c r="O489" s="2"/>
    </row>
    <row r="490" spans="7:15" ht="15.75" customHeight="1">
      <c r="G490" s="2"/>
      <c r="H490" s="2"/>
      <c r="I490" s="2"/>
      <c r="K490" s="253"/>
      <c r="L490" s="2"/>
      <c r="M490" s="2"/>
      <c r="N490" s="2"/>
      <c r="O490" s="2"/>
    </row>
    <row r="491" spans="7:15" ht="15.75" customHeight="1">
      <c r="G491" s="2"/>
      <c r="H491" s="2"/>
      <c r="I491" s="2"/>
      <c r="K491" s="253"/>
      <c r="L491" s="2"/>
      <c r="M491" s="2"/>
      <c r="N491" s="2"/>
      <c r="O491" s="2"/>
    </row>
    <row r="492" spans="7:15" ht="15.75" customHeight="1">
      <c r="G492" s="2"/>
      <c r="H492" s="2"/>
      <c r="I492" s="2"/>
      <c r="K492" s="253"/>
      <c r="L492" s="2"/>
      <c r="M492" s="2"/>
      <c r="N492" s="2"/>
      <c r="O492" s="2"/>
    </row>
    <row r="493" spans="7:15" ht="15.75" customHeight="1">
      <c r="G493" s="2"/>
      <c r="H493" s="2"/>
      <c r="I493" s="2"/>
      <c r="K493" s="253"/>
      <c r="L493" s="2"/>
      <c r="M493" s="2"/>
      <c r="N493" s="2"/>
      <c r="O493" s="2"/>
    </row>
    <row r="494" spans="7:15" ht="15.75" customHeight="1">
      <c r="G494" s="2"/>
      <c r="H494" s="2"/>
      <c r="I494" s="2"/>
      <c r="K494" s="253"/>
      <c r="L494" s="2"/>
      <c r="M494" s="2"/>
      <c r="N494" s="2"/>
      <c r="O494" s="2"/>
    </row>
    <row r="495" spans="7:15" ht="15.75" customHeight="1">
      <c r="G495" s="2"/>
      <c r="H495" s="2"/>
      <c r="I495" s="2"/>
      <c r="K495" s="253"/>
      <c r="L495" s="2"/>
      <c r="M495" s="2"/>
      <c r="N495" s="2"/>
      <c r="O495" s="2"/>
    </row>
    <row r="496" spans="7:15" ht="15.75" customHeight="1">
      <c r="G496" s="2"/>
      <c r="H496" s="2"/>
      <c r="I496" s="2"/>
      <c r="K496" s="253"/>
      <c r="L496" s="2"/>
      <c r="M496" s="2"/>
      <c r="N496" s="2"/>
      <c r="O496" s="2"/>
    </row>
    <row r="497" spans="7:15" ht="15.75" customHeight="1">
      <c r="G497" s="2"/>
      <c r="H497" s="2"/>
      <c r="I497" s="2"/>
      <c r="K497" s="253"/>
      <c r="L497" s="2"/>
      <c r="M497" s="2"/>
      <c r="N497" s="2"/>
      <c r="O497" s="2"/>
    </row>
    <row r="498" spans="7:15" ht="15.75" customHeight="1">
      <c r="G498" s="2"/>
      <c r="H498" s="2"/>
      <c r="I498" s="2"/>
      <c r="K498" s="253"/>
      <c r="L498" s="2"/>
      <c r="M498" s="2"/>
      <c r="N498" s="2"/>
      <c r="O498" s="2"/>
    </row>
    <row r="499" spans="7:15" ht="15.75" customHeight="1">
      <c r="G499" s="2"/>
      <c r="H499" s="2"/>
      <c r="I499" s="2"/>
      <c r="K499" s="253"/>
      <c r="L499" s="2"/>
      <c r="M499" s="2"/>
      <c r="N499" s="2"/>
      <c r="O499" s="2"/>
    </row>
    <row r="500" spans="7:15" ht="15.75" customHeight="1">
      <c r="G500" s="2"/>
      <c r="H500" s="2"/>
      <c r="I500" s="2"/>
      <c r="K500" s="253"/>
      <c r="L500" s="2"/>
      <c r="M500" s="2"/>
      <c r="N500" s="2"/>
      <c r="O500" s="2"/>
    </row>
    <row r="501" spans="7:15" ht="15.75" customHeight="1">
      <c r="G501" s="2"/>
      <c r="H501" s="2"/>
      <c r="I501" s="2"/>
      <c r="K501" s="253"/>
      <c r="L501" s="2"/>
      <c r="M501" s="2"/>
      <c r="N501" s="2"/>
      <c r="O501" s="2"/>
    </row>
    <row r="502" spans="7:15" ht="15.75" customHeight="1">
      <c r="G502" s="2"/>
      <c r="H502" s="2"/>
      <c r="I502" s="2"/>
      <c r="K502" s="253"/>
      <c r="L502" s="2"/>
      <c r="M502" s="2"/>
      <c r="N502" s="2"/>
      <c r="O502" s="2"/>
    </row>
    <row r="503" spans="7:15" ht="15.75" customHeight="1">
      <c r="G503" s="2"/>
      <c r="H503" s="2"/>
      <c r="I503" s="2"/>
      <c r="K503" s="253"/>
      <c r="L503" s="2"/>
      <c r="M503" s="2"/>
      <c r="N503" s="2"/>
      <c r="O503" s="2"/>
    </row>
    <row r="504" spans="7:15" ht="15.75" customHeight="1">
      <c r="G504" s="2"/>
      <c r="H504" s="2"/>
      <c r="I504" s="2"/>
      <c r="K504" s="253"/>
      <c r="L504" s="2"/>
      <c r="M504" s="2"/>
      <c r="N504" s="2"/>
      <c r="O504" s="2"/>
    </row>
    <row r="505" spans="7:15" ht="15.75" customHeight="1">
      <c r="G505" s="2"/>
      <c r="H505" s="2"/>
      <c r="I505" s="2"/>
      <c r="K505" s="253"/>
      <c r="L505" s="2"/>
      <c r="M505" s="2"/>
      <c r="N505" s="2"/>
      <c r="O505" s="2"/>
    </row>
    <row r="506" spans="7:15" ht="15.75" customHeight="1">
      <c r="G506" s="2"/>
      <c r="H506" s="2"/>
      <c r="I506" s="2"/>
      <c r="K506" s="253"/>
      <c r="L506" s="2"/>
      <c r="M506" s="2"/>
      <c r="N506" s="2"/>
      <c r="O506" s="2"/>
    </row>
    <row r="507" spans="7:15" ht="15.75" customHeight="1">
      <c r="G507" s="2"/>
      <c r="H507" s="2"/>
      <c r="I507" s="2"/>
      <c r="K507" s="253"/>
      <c r="L507" s="2"/>
      <c r="M507" s="2"/>
      <c r="N507" s="2"/>
      <c r="O507" s="2"/>
    </row>
    <row r="508" spans="7:15" ht="15.75" customHeight="1">
      <c r="G508" s="2"/>
      <c r="H508" s="2"/>
      <c r="I508" s="2"/>
      <c r="K508" s="253"/>
      <c r="L508" s="2"/>
      <c r="M508" s="2"/>
      <c r="N508" s="2"/>
      <c r="O508" s="2"/>
    </row>
    <row r="509" spans="7:15" ht="15.75" customHeight="1">
      <c r="G509" s="2"/>
      <c r="H509" s="2"/>
      <c r="I509" s="2"/>
      <c r="K509" s="253"/>
      <c r="L509" s="2"/>
      <c r="M509" s="2"/>
      <c r="N509" s="2"/>
      <c r="O509" s="2"/>
    </row>
    <row r="510" spans="7:15" ht="15.75" customHeight="1">
      <c r="G510" s="2"/>
      <c r="H510" s="2"/>
      <c r="I510" s="2"/>
      <c r="K510" s="253"/>
      <c r="L510" s="2"/>
      <c r="M510" s="2"/>
      <c r="N510" s="2"/>
      <c r="O510" s="2"/>
    </row>
    <row r="511" spans="7:15" ht="15.75" customHeight="1">
      <c r="G511" s="2"/>
      <c r="H511" s="2"/>
      <c r="I511" s="2"/>
      <c r="K511" s="253"/>
      <c r="L511" s="2"/>
      <c r="M511" s="2"/>
      <c r="N511" s="2"/>
      <c r="O511" s="2"/>
    </row>
    <row r="512" spans="7:15" ht="15.75" customHeight="1">
      <c r="G512" s="2"/>
      <c r="H512" s="2"/>
      <c r="I512" s="2"/>
      <c r="K512" s="253"/>
      <c r="L512" s="2"/>
      <c r="M512" s="2"/>
      <c r="N512" s="2"/>
      <c r="O512" s="2"/>
    </row>
    <row r="513" spans="7:15" ht="15.75" customHeight="1">
      <c r="G513" s="2"/>
      <c r="H513" s="2"/>
      <c r="I513" s="2"/>
      <c r="K513" s="253"/>
      <c r="L513" s="2"/>
      <c r="M513" s="2"/>
      <c r="N513" s="2"/>
      <c r="O513" s="2"/>
    </row>
    <row r="514" spans="7:15" ht="15.75" customHeight="1">
      <c r="G514" s="2"/>
      <c r="H514" s="2"/>
      <c r="I514" s="2"/>
      <c r="K514" s="253"/>
      <c r="L514" s="2"/>
      <c r="M514" s="2"/>
      <c r="N514" s="2"/>
      <c r="O514" s="2"/>
    </row>
    <row r="515" spans="7:15" ht="15.75" customHeight="1">
      <c r="G515" s="2"/>
      <c r="H515" s="2"/>
      <c r="I515" s="2"/>
      <c r="K515" s="253"/>
      <c r="L515" s="2"/>
      <c r="M515" s="2"/>
      <c r="N515" s="2"/>
      <c r="O515" s="2"/>
    </row>
    <row r="516" spans="7:15" ht="15.75" customHeight="1">
      <c r="G516" s="2"/>
      <c r="H516" s="2"/>
      <c r="I516" s="2"/>
      <c r="K516" s="253"/>
      <c r="L516" s="2"/>
      <c r="M516" s="2"/>
      <c r="N516" s="2"/>
      <c r="O516" s="2"/>
    </row>
    <row r="517" spans="7:15" ht="15.75" customHeight="1">
      <c r="G517" s="2"/>
      <c r="H517" s="2"/>
      <c r="I517" s="2"/>
      <c r="K517" s="253"/>
      <c r="L517" s="2"/>
      <c r="M517" s="2"/>
      <c r="N517" s="2"/>
      <c r="O517" s="2"/>
    </row>
    <row r="518" spans="7:15" ht="15.75" customHeight="1">
      <c r="G518" s="2"/>
      <c r="H518" s="2"/>
      <c r="I518" s="2"/>
      <c r="K518" s="253"/>
      <c r="L518" s="2"/>
      <c r="M518" s="2"/>
      <c r="N518" s="2"/>
      <c r="O518" s="2"/>
    </row>
    <row r="519" spans="7:15" ht="15.75" customHeight="1">
      <c r="G519" s="2"/>
      <c r="H519" s="2"/>
      <c r="I519" s="2"/>
      <c r="K519" s="253"/>
      <c r="L519" s="2"/>
      <c r="M519" s="2"/>
      <c r="N519" s="2"/>
      <c r="O519" s="2"/>
    </row>
    <row r="520" spans="7:15" ht="15.75" customHeight="1">
      <c r="G520" s="2"/>
      <c r="H520" s="2"/>
      <c r="I520" s="2"/>
      <c r="K520" s="253"/>
      <c r="L520" s="2"/>
      <c r="M520" s="2"/>
      <c r="N520" s="2"/>
      <c r="O520" s="2"/>
    </row>
    <row r="521" spans="7:15" ht="15.75" customHeight="1">
      <c r="G521" s="2"/>
      <c r="H521" s="2"/>
      <c r="I521" s="2"/>
      <c r="K521" s="253"/>
      <c r="L521" s="2"/>
      <c r="M521" s="2"/>
      <c r="N521" s="2"/>
      <c r="O521" s="2"/>
    </row>
    <row r="522" spans="7:15" ht="15.75" customHeight="1">
      <c r="G522" s="2"/>
      <c r="H522" s="2"/>
      <c r="I522" s="2"/>
      <c r="K522" s="253"/>
      <c r="L522" s="2"/>
      <c r="M522" s="2"/>
      <c r="N522" s="2"/>
      <c r="O522" s="2"/>
    </row>
    <row r="523" spans="7:15" ht="15.75" customHeight="1">
      <c r="G523" s="2"/>
      <c r="H523" s="2"/>
      <c r="I523" s="2"/>
      <c r="K523" s="253"/>
      <c r="L523" s="2"/>
      <c r="M523" s="2"/>
      <c r="N523" s="2"/>
      <c r="O523" s="2"/>
    </row>
    <row r="524" spans="7:15" ht="15.75" customHeight="1">
      <c r="G524" s="2"/>
      <c r="H524" s="2"/>
      <c r="I524" s="2"/>
      <c r="K524" s="253"/>
      <c r="L524" s="2"/>
      <c r="M524" s="2"/>
      <c r="N524" s="2"/>
      <c r="O524" s="2"/>
    </row>
    <row r="525" spans="7:15" ht="15.75" customHeight="1">
      <c r="G525" s="2"/>
      <c r="H525" s="2"/>
      <c r="I525" s="2"/>
      <c r="K525" s="253"/>
      <c r="L525" s="2"/>
      <c r="M525" s="2"/>
      <c r="N525" s="2"/>
      <c r="O525" s="2"/>
    </row>
    <row r="526" spans="7:15" ht="15.75" customHeight="1">
      <c r="G526" s="2"/>
      <c r="H526" s="2"/>
      <c r="I526" s="2"/>
      <c r="K526" s="253"/>
      <c r="L526" s="2"/>
      <c r="M526" s="2"/>
      <c r="N526" s="2"/>
      <c r="O526" s="2"/>
    </row>
    <row r="527" spans="7:15" ht="15.75" customHeight="1">
      <c r="G527" s="2"/>
      <c r="H527" s="2"/>
      <c r="I527" s="2"/>
      <c r="K527" s="253"/>
      <c r="L527" s="2"/>
      <c r="M527" s="2"/>
      <c r="N527" s="2"/>
      <c r="O527" s="2"/>
    </row>
    <row r="528" spans="7:15" ht="15.75" customHeight="1">
      <c r="G528" s="2"/>
      <c r="H528" s="2"/>
      <c r="I528" s="2"/>
      <c r="K528" s="253"/>
      <c r="L528" s="2"/>
      <c r="M528" s="2"/>
      <c r="N528" s="2"/>
      <c r="O528" s="2"/>
    </row>
    <row r="529" spans="7:15" ht="15.75" customHeight="1">
      <c r="G529" s="2"/>
      <c r="H529" s="2"/>
      <c r="I529" s="2"/>
      <c r="K529" s="253"/>
      <c r="L529" s="2"/>
      <c r="M529" s="2"/>
      <c r="N529" s="2"/>
      <c r="O529" s="2"/>
    </row>
    <row r="530" spans="7:15" ht="15.75" customHeight="1">
      <c r="G530" s="2"/>
      <c r="H530" s="2"/>
      <c r="I530" s="2"/>
      <c r="K530" s="253"/>
      <c r="L530" s="2"/>
      <c r="M530" s="2"/>
      <c r="N530" s="2"/>
      <c r="O530" s="2"/>
    </row>
    <row r="531" spans="7:15" ht="15.75" customHeight="1">
      <c r="G531" s="2"/>
      <c r="H531" s="2"/>
      <c r="I531" s="2"/>
      <c r="K531" s="253"/>
      <c r="L531" s="2"/>
      <c r="M531" s="2"/>
      <c r="N531" s="2"/>
      <c r="O531" s="2"/>
    </row>
    <row r="532" spans="7:15" ht="15.75" customHeight="1">
      <c r="G532" s="2"/>
      <c r="H532" s="2"/>
      <c r="I532" s="2"/>
      <c r="K532" s="253"/>
      <c r="L532" s="2"/>
      <c r="M532" s="2"/>
      <c r="N532" s="2"/>
      <c r="O532" s="2"/>
    </row>
    <row r="533" spans="7:15" ht="15.75" customHeight="1">
      <c r="G533" s="2"/>
      <c r="H533" s="2"/>
      <c r="I533" s="2"/>
      <c r="K533" s="253"/>
      <c r="L533" s="2"/>
      <c r="M533" s="2"/>
      <c r="N533" s="2"/>
      <c r="O533" s="2"/>
    </row>
    <row r="534" spans="7:15" ht="15.75" customHeight="1">
      <c r="G534" s="2"/>
      <c r="H534" s="2"/>
      <c r="I534" s="2"/>
      <c r="K534" s="253"/>
      <c r="L534" s="2"/>
      <c r="M534" s="2"/>
      <c r="N534" s="2"/>
      <c r="O534" s="2"/>
    </row>
    <row r="535" spans="7:15" ht="15.75" customHeight="1">
      <c r="G535" s="2"/>
      <c r="H535" s="2"/>
      <c r="I535" s="2"/>
      <c r="K535" s="253"/>
      <c r="L535" s="2"/>
      <c r="M535" s="2"/>
      <c r="N535" s="2"/>
      <c r="O535" s="2"/>
    </row>
    <row r="536" spans="7:15" ht="15.75" customHeight="1">
      <c r="G536" s="2"/>
      <c r="H536" s="2"/>
      <c r="I536" s="2"/>
      <c r="K536" s="253"/>
      <c r="L536" s="2"/>
      <c r="M536" s="2"/>
      <c r="N536" s="2"/>
      <c r="O536" s="2"/>
    </row>
    <row r="537" spans="7:15" ht="15.75" customHeight="1">
      <c r="G537" s="2"/>
      <c r="H537" s="2"/>
      <c r="I537" s="2"/>
      <c r="K537" s="253"/>
      <c r="L537" s="2"/>
      <c r="M537" s="2"/>
      <c r="N537" s="2"/>
      <c r="O537" s="2"/>
    </row>
    <row r="538" spans="7:15" ht="15.75" customHeight="1">
      <c r="G538" s="2"/>
      <c r="H538" s="2"/>
      <c r="I538" s="2"/>
      <c r="K538" s="253"/>
      <c r="L538" s="2"/>
      <c r="M538" s="2"/>
      <c r="N538" s="2"/>
      <c r="O538" s="2"/>
    </row>
    <row r="539" spans="7:15" ht="15.75" customHeight="1">
      <c r="G539" s="2"/>
      <c r="H539" s="2"/>
      <c r="I539" s="2"/>
      <c r="K539" s="253"/>
      <c r="L539" s="2"/>
      <c r="M539" s="2"/>
      <c r="N539" s="2"/>
      <c r="O539" s="2"/>
    </row>
    <row r="540" spans="7:15" ht="15.75" customHeight="1">
      <c r="G540" s="2"/>
      <c r="H540" s="2"/>
      <c r="I540" s="2"/>
      <c r="K540" s="253"/>
      <c r="L540" s="2"/>
      <c r="M540" s="2"/>
      <c r="N540" s="2"/>
      <c r="O540" s="2"/>
    </row>
    <row r="541" spans="7:15" ht="15.75" customHeight="1">
      <c r="G541" s="2"/>
      <c r="H541" s="2"/>
      <c r="I541" s="2"/>
      <c r="K541" s="253"/>
      <c r="L541" s="2"/>
      <c r="M541" s="2"/>
      <c r="N541" s="2"/>
      <c r="O541" s="2"/>
    </row>
    <row r="542" spans="7:15" ht="15.75" customHeight="1">
      <c r="G542" s="2"/>
      <c r="H542" s="2"/>
      <c r="I542" s="2"/>
      <c r="K542" s="253"/>
      <c r="L542" s="2"/>
      <c r="M542" s="2"/>
      <c r="N542" s="2"/>
      <c r="O542" s="2"/>
    </row>
    <row r="543" spans="7:15" ht="15.75" customHeight="1">
      <c r="G543" s="2"/>
      <c r="H543" s="2"/>
      <c r="I543" s="2"/>
      <c r="K543" s="253"/>
      <c r="L543" s="2"/>
      <c r="M543" s="2"/>
      <c r="N543" s="2"/>
      <c r="O543" s="2"/>
    </row>
    <row r="544" spans="7:15" ht="15.75" customHeight="1">
      <c r="G544" s="2"/>
      <c r="H544" s="2"/>
      <c r="I544" s="2"/>
      <c r="K544" s="253"/>
      <c r="L544" s="2"/>
      <c r="M544" s="2"/>
      <c r="N544" s="2"/>
      <c r="O544" s="2"/>
    </row>
    <row r="545" spans="7:15" ht="15.75" customHeight="1">
      <c r="G545" s="2"/>
      <c r="H545" s="2"/>
      <c r="I545" s="2"/>
      <c r="K545" s="253"/>
      <c r="L545" s="2"/>
      <c r="M545" s="2"/>
      <c r="N545" s="2"/>
      <c r="O545" s="2"/>
    </row>
    <row r="546" spans="7:15" ht="15.75" customHeight="1">
      <c r="G546" s="2"/>
      <c r="H546" s="2"/>
      <c r="I546" s="2"/>
      <c r="K546" s="253"/>
      <c r="L546" s="2"/>
      <c r="M546" s="2"/>
      <c r="N546" s="2"/>
      <c r="O546" s="2"/>
    </row>
    <row r="547" spans="7:15" ht="15.75" customHeight="1">
      <c r="G547" s="2"/>
      <c r="H547" s="2"/>
      <c r="I547" s="2"/>
      <c r="K547" s="253"/>
      <c r="L547" s="2"/>
      <c r="M547" s="2"/>
      <c r="N547" s="2"/>
      <c r="O547" s="2"/>
    </row>
    <row r="548" spans="7:15" ht="15.75" customHeight="1">
      <c r="G548" s="2"/>
      <c r="H548" s="2"/>
      <c r="I548" s="2"/>
      <c r="K548" s="253"/>
      <c r="L548" s="2"/>
      <c r="M548" s="2"/>
      <c r="N548" s="2"/>
      <c r="O548" s="2"/>
    </row>
    <row r="549" spans="7:15" ht="15.75" customHeight="1">
      <c r="G549" s="2"/>
      <c r="H549" s="2"/>
      <c r="I549" s="2"/>
      <c r="K549" s="253"/>
      <c r="L549" s="2"/>
      <c r="M549" s="2"/>
      <c r="N549" s="2"/>
      <c r="O549" s="2"/>
    </row>
    <row r="550" spans="7:15" ht="15.75" customHeight="1">
      <c r="G550" s="2"/>
      <c r="H550" s="2"/>
      <c r="I550" s="2"/>
      <c r="K550" s="253"/>
      <c r="L550" s="2"/>
      <c r="M550" s="2"/>
      <c r="N550" s="2"/>
      <c r="O550" s="2"/>
    </row>
    <row r="551" spans="7:15" ht="15.75" customHeight="1">
      <c r="G551" s="2"/>
      <c r="H551" s="2"/>
      <c r="I551" s="2"/>
      <c r="K551" s="253"/>
      <c r="L551" s="2"/>
      <c r="M551" s="2"/>
      <c r="N551" s="2"/>
      <c r="O551" s="2"/>
    </row>
    <row r="552" spans="7:15" ht="15.75" customHeight="1">
      <c r="G552" s="2"/>
      <c r="H552" s="2"/>
      <c r="I552" s="2"/>
      <c r="K552" s="253"/>
      <c r="L552" s="2"/>
      <c r="M552" s="2"/>
      <c r="N552" s="2"/>
      <c r="O552" s="2"/>
    </row>
    <row r="553" spans="7:15" ht="15.75" customHeight="1">
      <c r="G553" s="2"/>
      <c r="H553" s="2"/>
      <c r="I553" s="2"/>
      <c r="K553" s="253"/>
      <c r="L553" s="2"/>
      <c r="M553" s="2"/>
      <c r="N553" s="2"/>
      <c r="O553" s="2"/>
    </row>
    <row r="554" spans="7:15" ht="15.75" customHeight="1">
      <c r="G554" s="2"/>
      <c r="H554" s="2"/>
      <c r="I554" s="2"/>
      <c r="K554" s="253"/>
      <c r="L554" s="2"/>
      <c r="M554" s="2"/>
      <c r="N554" s="2"/>
      <c r="O554" s="2"/>
    </row>
    <row r="555" spans="7:15" ht="15.75" customHeight="1">
      <c r="G555" s="2"/>
      <c r="H555" s="2"/>
      <c r="I555" s="2"/>
      <c r="K555" s="253"/>
      <c r="L555" s="2"/>
      <c r="M555" s="2"/>
      <c r="N555" s="2"/>
      <c r="O555" s="2"/>
    </row>
    <row r="556" spans="7:15" ht="15.75" customHeight="1">
      <c r="G556" s="2"/>
      <c r="H556" s="2"/>
      <c r="I556" s="2"/>
      <c r="K556" s="253"/>
      <c r="L556" s="2"/>
      <c r="M556" s="2"/>
      <c r="N556" s="2"/>
      <c r="O556" s="2"/>
    </row>
    <row r="557" spans="7:15" ht="15.75" customHeight="1">
      <c r="G557" s="2"/>
      <c r="H557" s="2"/>
      <c r="I557" s="2"/>
      <c r="K557" s="253"/>
      <c r="L557" s="2"/>
      <c r="M557" s="2"/>
      <c r="N557" s="2"/>
      <c r="O557" s="2"/>
    </row>
    <row r="558" spans="7:15" ht="15.75" customHeight="1">
      <c r="G558" s="2"/>
      <c r="H558" s="2"/>
      <c r="I558" s="2"/>
      <c r="K558" s="253"/>
      <c r="L558" s="2"/>
      <c r="M558" s="2"/>
      <c r="N558" s="2"/>
      <c r="O558" s="2"/>
    </row>
    <row r="559" spans="7:15" ht="15.75" customHeight="1">
      <c r="G559" s="2"/>
      <c r="H559" s="2"/>
      <c r="I559" s="2"/>
      <c r="K559" s="253"/>
      <c r="L559" s="2"/>
      <c r="M559" s="2"/>
      <c r="N559" s="2"/>
      <c r="O559" s="2"/>
    </row>
    <row r="560" spans="7:15" ht="15.75" customHeight="1">
      <c r="G560" s="2"/>
      <c r="H560" s="2"/>
      <c r="I560" s="2"/>
      <c r="K560" s="253"/>
      <c r="L560" s="2"/>
      <c r="M560" s="2"/>
      <c r="N560" s="2"/>
      <c r="O560" s="2"/>
    </row>
    <row r="561" spans="7:15" ht="15.75" customHeight="1">
      <c r="G561" s="2"/>
      <c r="H561" s="2"/>
      <c r="I561" s="2"/>
      <c r="K561" s="253"/>
      <c r="L561" s="2"/>
      <c r="M561" s="2"/>
      <c r="N561" s="2"/>
      <c r="O561" s="2"/>
    </row>
    <row r="562" spans="7:15" ht="15.75" customHeight="1">
      <c r="G562" s="2"/>
      <c r="H562" s="2"/>
      <c r="I562" s="2"/>
      <c r="K562" s="253"/>
      <c r="L562" s="2"/>
      <c r="M562" s="2"/>
      <c r="N562" s="2"/>
      <c r="O562" s="2"/>
    </row>
    <row r="563" spans="7:15" ht="15.75" customHeight="1">
      <c r="G563" s="2"/>
      <c r="H563" s="2"/>
      <c r="I563" s="2"/>
      <c r="K563" s="253"/>
      <c r="L563" s="2"/>
      <c r="M563" s="2"/>
      <c r="N563" s="2"/>
      <c r="O563" s="2"/>
    </row>
    <row r="564" spans="7:15" ht="15.75" customHeight="1">
      <c r="G564" s="2"/>
      <c r="H564" s="2"/>
      <c r="I564" s="2"/>
      <c r="K564" s="253"/>
      <c r="L564" s="2"/>
      <c r="M564" s="2"/>
      <c r="N564" s="2"/>
      <c r="O564" s="2"/>
    </row>
    <row r="565" spans="7:15" ht="15.75" customHeight="1">
      <c r="G565" s="2"/>
      <c r="H565" s="2"/>
      <c r="I565" s="2"/>
      <c r="K565" s="253"/>
      <c r="L565" s="2"/>
      <c r="M565" s="2"/>
      <c r="N565" s="2"/>
      <c r="O565" s="2"/>
    </row>
    <row r="566" spans="7:15" ht="15.75" customHeight="1">
      <c r="G566" s="2"/>
      <c r="H566" s="2"/>
      <c r="I566" s="2"/>
      <c r="K566" s="253"/>
      <c r="L566" s="2"/>
      <c r="M566" s="2"/>
      <c r="N566" s="2"/>
      <c r="O566" s="2"/>
    </row>
    <row r="567" spans="7:15" ht="15.75" customHeight="1">
      <c r="G567" s="2"/>
      <c r="H567" s="2"/>
      <c r="I567" s="2"/>
      <c r="K567" s="253"/>
      <c r="L567" s="2"/>
      <c r="M567" s="2"/>
      <c r="N567" s="2"/>
      <c r="O567" s="2"/>
    </row>
    <row r="568" spans="7:15" ht="15.75" customHeight="1">
      <c r="G568" s="2"/>
      <c r="H568" s="2"/>
      <c r="I568" s="2"/>
      <c r="K568" s="253"/>
      <c r="L568" s="2"/>
      <c r="M568" s="2"/>
      <c r="N568" s="2"/>
      <c r="O568" s="2"/>
    </row>
    <row r="569" spans="7:15" ht="15.75" customHeight="1">
      <c r="G569" s="2"/>
      <c r="H569" s="2"/>
      <c r="I569" s="2"/>
      <c r="K569" s="253"/>
      <c r="L569" s="2"/>
      <c r="M569" s="2"/>
      <c r="N569" s="2"/>
      <c r="O569" s="2"/>
    </row>
    <row r="570" spans="7:15" ht="15.75" customHeight="1">
      <c r="G570" s="2"/>
      <c r="H570" s="2"/>
      <c r="I570" s="2"/>
      <c r="K570" s="253"/>
      <c r="L570" s="2"/>
      <c r="M570" s="2"/>
      <c r="N570" s="2"/>
      <c r="O570" s="2"/>
    </row>
    <row r="571" spans="7:15" ht="15.75" customHeight="1">
      <c r="G571" s="2"/>
      <c r="H571" s="2"/>
      <c r="I571" s="2"/>
      <c r="K571" s="253"/>
      <c r="L571" s="2"/>
      <c r="M571" s="2"/>
      <c r="N571" s="2"/>
      <c r="O571" s="2"/>
    </row>
    <row r="572" spans="7:15" ht="15.75" customHeight="1">
      <c r="G572" s="2"/>
      <c r="H572" s="2"/>
      <c r="I572" s="2"/>
      <c r="K572" s="253"/>
      <c r="L572" s="2"/>
      <c r="M572" s="2"/>
      <c r="N572" s="2"/>
      <c r="O572" s="2"/>
    </row>
    <row r="573" spans="7:15" ht="15.75" customHeight="1">
      <c r="G573" s="2"/>
      <c r="H573" s="2"/>
      <c r="I573" s="2"/>
      <c r="K573" s="253"/>
      <c r="L573" s="2"/>
      <c r="M573" s="2"/>
      <c r="N573" s="2"/>
      <c r="O573" s="2"/>
    </row>
    <row r="574" spans="7:15" ht="15.75" customHeight="1">
      <c r="G574" s="2"/>
      <c r="H574" s="2"/>
      <c r="I574" s="2"/>
      <c r="K574" s="253"/>
      <c r="L574" s="2"/>
      <c r="M574" s="2"/>
      <c r="N574" s="2"/>
      <c r="O574" s="2"/>
    </row>
    <row r="575" spans="7:15" ht="15.75" customHeight="1">
      <c r="G575" s="2"/>
      <c r="H575" s="2"/>
      <c r="I575" s="2"/>
      <c r="K575" s="253"/>
      <c r="L575" s="2"/>
      <c r="M575" s="2"/>
      <c r="N575" s="2"/>
      <c r="O575" s="2"/>
    </row>
    <row r="576" spans="7:15" ht="15.75" customHeight="1">
      <c r="G576" s="2"/>
      <c r="H576" s="2"/>
      <c r="I576" s="2"/>
      <c r="K576" s="253"/>
      <c r="L576" s="2"/>
      <c r="M576" s="2"/>
      <c r="N576" s="2"/>
      <c r="O576" s="2"/>
    </row>
    <row r="577" spans="7:15" ht="15.75" customHeight="1">
      <c r="G577" s="2"/>
      <c r="H577" s="2"/>
      <c r="I577" s="2"/>
      <c r="K577" s="253"/>
      <c r="L577" s="2"/>
      <c r="M577" s="2"/>
      <c r="N577" s="2"/>
      <c r="O577" s="2"/>
    </row>
    <row r="578" spans="7:15" ht="15.75" customHeight="1">
      <c r="G578" s="2"/>
      <c r="H578" s="2"/>
      <c r="I578" s="2"/>
      <c r="K578" s="253"/>
      <c r="L578" s="2"/>
      <c r="M578" s="2"/>
      <c r="N578" s="2"/>
      <c r="O578" s="2"/>
    </row>
    <row r="579" spans="7:15" ht="15.75" customHeight="1">
      <c r="G579" s="2"/>
      <c r="H579" s="2"/>
      <c r="I579" s="2"/>
      <c r="K579" s="253"/>
      <c r="L579" s="2"/>
      <c r="M579" s="2"/>
      <c r="N579" s="2"/>
      <c r="O579" s="2"/>
    </row>
    <row r="580" spans="7:15" ht="15.75" customHeight="1">
      <c r="G580" s="2"/>
      <c r="H580" s="2"/>
      <c r="I580" s="2"/>
      <c r="K580" s="253"/>
      <c r="L580" s="2"/>
      <c r="M580" s="2"/>
      <c r="N580" s="2"/>
      <c r="O580" s="2"/>
    </row>
    <row r="581" spans="7:15" ht="15.75" customHeight="1">
      <c r="G581" s="2"/>
      <c r="H581" s="2"/>
      <c r="I581" s="2"/>
      <c r="K581" s="253"/>
      <c r="L581" s="2"/>
      <c r="M581" s="2"/>
      <c r="N581" s="2"/>
      <c r="O581" s="2"/>
    </row>
    <row r="582" spans="7:15" ht="15.75" customHeight="1">
      <c r="G582" s="2"/>
      <c r="H582" s="2"/>
      <c r="I582" s="2"/>
      <c r="K582" s="253"/>
      <c r="L582" s="2"/>
      <c r="M582" s="2"/>
      <c r="N582" s="2"/>
      <c r="O582" s="2"/>
    </row>
    <row r="583" spans="7:15" ht="15.75" customHeight="1">
      <c r="G583" s="2"/>
      <c r="H583" s="2"/>
      <c r="I583" s="2"/>
      <c r="K583" s="253"/>
      <c r="L583" s="2"/>
      <c r="M583" s="2"/>
      <c r="N583" s="2"/>
      <c r="O583" s="2"/>
    </row>
    <row r="584" spans="7:15" ht="15.75" customHeight="1">
      <c r="G584" s="2"/>
      <c r="H584" s="2"/>
      <c r="I584" s="2"/>
      <c r="K584" s="253"/>
      <c r="L584" s="2"/>
      <c r="M584" s="2"/>
      <c r="N584" s="2"/>
      <c r="O584" s="2"/>
    </row>
    <row r="585" spans="7:15" ht="15.75" customHeight="1">
      <c r="G585" s="2"/>
      <c r="H585" s="2"/>
      <c r="I585" s="2"/>
      <c r="K585" s="253"/>
      <c r="L585" s="2"/>
      <c r="M585" s="2"/>
      <c r="N585" s="2"/>
      <c r="O585" s="2"/>
    </row>
    <row r="586" spans="7:15" ht="15.75" customHeight="1">
      <c r="G586" s="2"/>
      <c r="H586" s="2"/>
      <c r="I586" s="2"/>
      <c r="K586" s="253"/>
      <c r="L586" s="2"/>
      <c r="M586" s="2"/>
      <c r="N586" s="2"/>
      <c r="O586" s="2"/>
    </row>
    <row r="587" spans="7:15" ht="15.75" customHeight="1">
      <c r="G587" s="2"/>
      <c r="H587" s="2"/>
      <c r="I587" s="2"/>
      <c r="K587" s="253"/>
      <c r="L587" s="2"/>
      <c r="M587" s="2"/>
      <c r="N587" s="2"/>
      <c r="O587" s="2"/>
    </row>
    <row r="588" spans="7:15" ht="15.75" customHeight="1">
      <c r="G588" s="2"/>
      <c r="H588" s="2"/>
      <c r="I588" s="2"/>
      <c r="K588" s="253"/>
      <c r="L588" s="2"/>
      <c r="M588" s="2"/>
      <c r="N588" s="2"/>
      <c r="O588" s="2"/>
    </row>
    <row r="589" spans="7:15" ht="15.75" customHeight="1">
      <c r="G589" s="2"/>
      <c r="H589" s="2"/>
      <c r="I589" s="2"/>
      <c r="K589" s="253"/>
      <c r="L589" s="2"/>
      <c r="M589" s="2"/>
      <c r="N589" s="2"/>
      <c r="O589" s="2"/>
    </row>
    <row r="590" spans="7:15" ht="15.75" customHeight="1">
      <c r="G590" s="2"/>
      <c r="H590" s="2"/>
      <c r="I590" s="2"/>
      <c r="K590" s="253"/>
      <c r="L590" s="2"/>
      <c r="M590" s="2"/>
      <c r="N590" s="2"/>
      <c r="O590" s="2"/>
    </row>
    <row r="591" spans="7:15" ht="15.75" customHeight="1">
      <c r="G591" s="2"/>
      <c r="H591" s="2"/>
      <c r="I591" s="2"/>
      <c r="K591" s="253"/>
      <c r="L591" s="2"/>
      <c r="M591" s="2"/>
      <c r="N591" s="2"/>
      <c r="O591" s="2"/>
    </row>
    <row r="592" spans="7:15" ht="15.75" customHeight="1">
      <c r="G592" s="2"/>
      <c r="H592" s="2"/>
      <c r="I592" s="2"/>
      <c r="K592" s="253"/>
      <c r="L592" s="2"/>
      <c r="M592" s="2"/>
      <c r="N592" s="2"/>
      <c r="O592" s="2"/>
    </row>
    <row r="593" spans="7:15" ht="15.75" customHeight="1">
      <c r="G593" s="2"/>
      <c r="H593" s="2"/>
      <c r="I593" s="2"/>
      <c r="K593" s="253"/>
      <c r="L593" s="2"/>
      <c r="M593" s="2"/>
      <c r="N593" s="2"/>
      <c r="O593" s="2"/>
    </row>
    <row r="594" spans="7:15" ht="15.75" customHeight="1">
      <c r="G594" s="2"/>
      <c r="H594" s="2"/>
      <c r="I594" s="2"/>
      <c r="K594" s="253"/>
      <c r="L594" s="2"/>
      <c r="M594" s="2"/>
      <c r="N594" s="2"/>
      <c r="O594" s="2"/>
    </row>
    <row r="595" spans="7:15" ht="15.75" customHeight="1">
      <c r="G595" s="2"/>
      <c r="H595" s="2"/>
      <c r="I595" s="2"/>
      <c r="K595" s="253"/>
      <c r="L595" s="2"/>
      <c r="M595" s="2"/>
      <c r="N595" s="2"/>
      <c r="O595" s="2"/>
    </row>
    <row r="596" spans="7:15" ht="15.75" customHeight="1">
      <c r="G596" s="2"/>
      <c r="H596" s="2"/>
      <c r="I596" s="2"/>
      <c r="K596" s="253"/>
      <c r="L596" s="2"/>
      <c r="M596" s="2"/>
      <c r="N596" s="2"/>
      <c r="O596" s="2"/>
    </row>
    <row r="597" spans="7:15" ht="15.75" customHeight="1">
      <c r="G597" s="2"/>
      <c r="H597" s="2"/>
      <c r="I597" s="2"/>
      <c r="K597" s="253"/>
      <c r="L597" s="2"/>
      <c r="M597" s="2"/>
      <c r="N597" s="2"/>
      <c r="O597" s="2"/>
    </row>
    <row r="598" spans="7:15" ht="15.75" customHeight="1">
      <c r="G598" s="2"/>
      <c r="H598" s="2"/>
      <c r="I598" s="2"/>
      <c r="K598" s="253"/>
      <c r="L598" s="2"/>
      <c r="M598" s="2"/>
      <c r="N598" s="2"/>
      <c r="O598" s="2"/>
    </row>
    <row r="599" spans="7:15" ht="15.75" customHeight="1">
      <c r="G599" s="2"/>
      <c r="H599" s="2"/>
      <c r="I599" s="2"/>
      <c r="K599" s="253"/>
      <c r="L599" s="2"/>
      <c r="M599" s="2"/>
      <c r="N599" s="2"/>
      <c r="O599" s="2"/>
    </row>
    <row r="600" spans="7:15" ht="15.75" customHeight="1">
      <c r="G600" s="2"/>
      <c r="H600" s="2"/>
      <c r="I600" s="2"/>
      <c r="K600" s="253"/>
      <c r="L600" s="2"/>
      <c r="M600" s="2"/>
      <c r="N600" s="2"/>
      <c r="O600" s="2"/>
    </row>
    <row r="601" spans="7:15" ht="15.75" customHeight="1">
      <c r="G601" s="2"/>
      <c r="H601" s="2"/>
      <c r="I601" s="2"/>
      <c r="K601" s="253"/>
      <c r="L601" s="2"/>
      <c r="M601" s="2"/>
      <c r="N601" s="2"/>
      <c r="O601" s="2"/>
    </row>
    <row r="602" spans="7:15" ht="15.75" customHeight="1">
      <c r="G602" s="2"/>
      <c r="H602" s="2"/>
      <c r="I602" s="2"/>
      <c r="K602" s="253"/>
      <c r="L602" s="2"/>
      <c r="M602" s="2"/>
      <c r="N602" s="2"/>
      <c r="O602" s="2"/>
    </row>
    <row r="603" spans="7:15" ht="15.75" customHeight="1">
      <c r="G603" s="2"/>
      <c r="H603" s="2"/>
      <c r="I603" s="2"/>
      <c r="K603" s="253"/>
      <c r="L603" s="2"/>
      <c r="M603" s="2"/>
      <c r="N603" s="2"/>
      <c r="O603" s="2"/>
    </row>
    <row r="604" spans="7:15" ht="15.75" customHeight="1">
      <c r="G604" s="2"/>
      <c r="H604" s="2"/>
      <c r="I604" s="2"/>
      <c r="K604" s="253"/>
      <c r="L604" s="2"/>
      <c r="M604" s="2"/>
      <c r="N604" s="2"/>
      <c r="O604" s="2"/>
    </row>
    <row r="605" spans="7:15" ht="15.75" customHeight="1">
      <c r="G605" s="2"/>
      <c r="H605" s="2"/>
      <c r="I605" s="2"/>
      <c r="K605" s="253"/>
      <c r="L605" s="2"/>
      <c r="M605" s="2"/>
      <c r="N605" s="2"/>
      <c r="O605" s="2"/>
    </row>
    <row r="606" spans="7:15" ht="15.75" customHeight="1">
      <c r="G606" s="2"/>
      <c r="H606" s="2"/>
      <c r="I606" s="2"/>
      <c r="K606" s="253"/>
      <c r="L606" s="2"/>
      <c r="M606" s="2"/>
      <c r="N606" s="2"/>
      <c r="O606" s="2"/>
    </row>
    <row r="607" spans="7:15" ht="15.75" customHeight="1">
      <c r="G607" s="2"/>
      <c r="H607" s="2"/>
      <c r="I607" s="2"/>
      <c r="K607" s="253"/>
      <c r="L607" s="2"/>
      <c r="M607" s="2"/>
      <c r="N607" s="2"/>
      <c r="O607" s="2"/>
    </row>
    <row r="608" spans="7:15" ht="15.75" customHeight="1">
      <c r="G608" s="2"/>
      <c r="H608" s="2"/>
      <c r="I608" s="2"/>
      <c r="K608" s="253"/>
      <c r="L608" s="2"/>
      <c r="M608" s="2"/>
      <c r="N608" s="2"/>
      <c r="O608" s="2"/>
    </row>
    <row r="609" spans="7:15" ht="15.75" customHeight="1">
      <c r="G609" s="2"/>
      <c r="H609" s="2"/>
      <c r="I609" s="2"/>
      <c r="K609" s="253"/>
      <c r="L609" s="2"/>
      <c r="M609" s="2"/>
      <c r="N609" s="2"/>
      <c r="O609" s="2"/>
    </row>
    <row r="610" spans="7:15" ht="15.75" customHeight="1">
      <c r="G610" s="2"/>
      <c r="H610" s="2"/>
      <c r="I610" s="2"/>
      <c r="K610" s="253"/>
      <c r="L610" s="2"/>
      <c r="M610" s="2"/>
      <c r="N610" s="2"/>
      <c r="O610" s="2"/>
    </row>
    <row r="611" spans="7:15" ht="15.75" customHeight="1">
      <c r="G611" s="2"/>
      <c r="H611" s="2"/>
      <c r="I611" s="2"/>
      <c r="K611" s="253"/>
      <c r="L611" s="2"/>
      <c r="M611" s="2"/>
      <c r="N611" s="2"/>
      <c r="O611" s="2"/>
    </row>
    <row r="612" spans="7:15" ht="15.75" customHeight="1">
      <c r="G612" s="2"/>
      <c r="H612" s="2"/>
      <c r="I612" s="2"/>
      <c r="K612" s="253"/>
      <c r="L612" s="2"/>
      <c r="M612" s="2"/>
      <c r="N612" s="2"/>
      <c r="O612" s="2"/>
    </row>
    <row r="613" spans="7:15" ht="15.75" customHeight="1">
      <c r="G613" s="2"/>
      <c r="H613" s="2"/>
      <c r="I613" s="2"/>
      <c r="K613" s="253"/>
      <c r="L613" s="2"/>
      <c r="M613" s="2"/>
      <c r="N613" s="2"/>
      <c r="O613" s="2"/>
    </row>
    <row r="614" spans="7:15" ht="15.75" customHeight="1">
      <c r="G614" s="2"/>
      <c r="H614" s="2"/>
      <c r="I614" s="2"/>
      <c r="K614" s="253"/>
      <c r="L614" s="2"/>
      <c r="M614" s="2"/>
      <c r="N614" s="2"/>
      <c r="O614" s="2"/>
    </row>
    <row r="615" spans="7:15" ht="15.75" customHeight="1">
      <c r="G615" s="2"/>
      <c r="H615" s="2"/>
      <c r="I615" s="2"/>
      <c r="K615" s="253"/>
      <c r="L615" s="2"/>
      <c r="M615" s="2"/>
      <c r="N615" s="2"/>
      <c r="O615" s="2"/>
    </row>
    <row r="616" spans="7:15" ht="15.75" customHeight="1">
      <c r="G616" s="2"/>
      <c r="H616" s="2"/>
      <c r="I616" s="2"/>
      <c r="K616" s="253"/>
      <c r="L616" s="2"/>
      <c r="M616" s="2"/>
      <c r="N616" s="2"/>
      <c r="O616" s="2"/>
    </row>
    <row r="617" spans="7:15" ht="15.75" customHeight="1">
      <c r="G617" s="2"/>
      <c r="H617" s="2"/>
      <c r="I617" s="2"/>
      <c r="K617" s="253"/>
      <c r="L617" s="2"/>
      <c r="M617" s="2"/>
      <c r="N617" s="2"/>
      <c r="O617" s="2"/>
    </row>
    <row r="618" spans="7:15" ht="15.75" customHeight="1">
      <c r="G618" s="2"/>
      <c r="H618" s="2"/>
      <c r="I618" s="2"/>
      <c r="K618" s="253"/>
      <c r="L618" s="2"/>
      <c r="M618" s="2"/>
      <c r="N618" s="2"/>
      <c r="O618" s="2"/>
    </row>
    <row r="619" spans="7:15" ht="15.75" customHeight="1">
      <c r="G619" s="2"/>
      <c r="H619" s="2"/>
      <c r="I619" s="2"/>
      <c r="K619" s="253"/>
      <c r="L619" s="2"/>
      <c r="M619" s="2"/>
      <c r="N619" s="2"/>
      <c r="O619" s="2"/>
    </row>
    <row r="620" spans="7:15" ht="15.75" customHeight="1">
      <c r="G620" s="2"/>
      <c r="H620" s="2"/>
      <c r="I620" s="2"/>
      <c r="K620" s="253"/>
      <c r="L620" s="2"/>
      <c r="M620" s="2"/>
      <c r="N620" s="2"/>
      <c r="O620" s="2"/>
    </row>
    <row r="621" spans="7:15" ht="15.75" customHeight="1">
      <c r="G621" s="2"/>
      <c r="H621" s="2"/>
      <c r="I621" s="2"/>
      <c r="K621" s="253"/>
      <c r="L621" s="2"/>
      <c r="M621" s="2"/>
      <c r="N621" s="2"/>
      <c r="O621" s="2"/>
    </row>
    <row r="622" spans="7:15" ht="15.75" customHeight="1">
      <c r="G622" s="2"/>
      <c r="H622" s="2"/>
      <c r="I622" s="2"/>
      <c r="K622" s="253"/>
      <c r="L622" s="2"/>
      <c r="M622" s="2"/>
      <c r="N622" s="2"/>
      <c r="O622" s="2"/>
    </row>
    <row r="623" spans="7:15" ht="15.75" customHeight="1">
      <c r="G623" s="2"/>
      <c r="H623" s="2"/>
      <c r="I623" s="2"/>
      <c r="K623" s="253"/>
      <c r="L623" s="2"/>
      <c r="M623" s="2"/>
      <c r="N623" s="2"/>
      <c r="O623" s="2"/>
    </row>
    <row r="624" spans="7:15" ht="15.75" customHeight="1">
      <c r="G624" s="2"/>
      <c r="H624" s="2"/>
      <c r="I624" s="2"/>
      <c r="K624" s="253"/>
      <c r="L624" s="2"/>
      <c r="M624" s="2"/>
      <c r="N624" s="2"/>
      <c r="O624" s="2"/>
    </row>
    <row r="625" spans="7:15" ht="15.75" customHeight="1">
      <c r="G625" s="2"/>
      <c r="H625" s="2"/>
      <c r="I625" s="2"/>
      <c r="K625" s="253"/>
      <c r="L625" s="2"/>
      <c r="M625" s="2"/>
      <c r="N625" s="2"/>
      <c r="O625" s="2"/>
    </row>
    <row r="626" spans="7:15" ht="15.75" customHeight="1">
      <c r="G626" s="2"/>
      <c r="H626" s="2"/>
      <c r="I626" s="2"/>
      <c r="K626" s="253"/>
      <c r="L626" s="2"/>
      <c r="M626" s="2"/>
      <c r="N626" s="2"/>
      <c r="O626" s="2"/>
    </row>
    <row r="627" spans="7:15" ht="15.75" customHeight="1">
      <c r="G627" s="2"/>
      <c r="H627" s="2"/>
      <c r="I627" s="2"/>
      <c r="K627" s="253"/>
      <c r="L627" s="2"/>
      <c r="M627" s="2"/>
      <c r="N627" s="2"/>
      <c r="O627" s="2"/>
    </row>
    <row r="628" spans="7:15" ht="15.75" customHeight="1">
      <c r="G628" s="2"/>
      <c r="H628" s="2"/>
      <c r="I628" s="2"/>
      <c r="K628" s="253"/>
      <c r="L628" s="2"/>
      <c r="M628" s="2"/>
      <c r="N628" s="2"/>
      <c r="O628" s="2"/>
    </row>
    <row r="629" spans="7:15" ht="15.75" customHeight="1">
      <c r="G629" s="2"/>
      <c r="H629" s="2"/>
      <c r="I629" s="2"/>
      <c r="K629" s="253"/>
      <c r="L629" s="2"/>
      <c r="M629" s="2"/>
      <c r="N629" s="2"/>
      <c r="O629" s="2"/>
    </row>
    <row r="630" spans="7:15" ht="15.75" customHeight="1">
      <c r="G630" s="2"/>
      <c r="H630" s="2"/>
      <c r="I630" s="2"/>
      <c r="K630" s="253"/>
      <c r="L630" s="2"/>
      <c r="M630" s="2"/>
      <c r="N630" s="2"/>
      <c r="O630" s="2"/>
    </row>
    <row r="631" spans="7:15" ht="15.75" customHeight="1">
      <c r="G631" s="2"/>
      <c r="H631" s="2"/>
      <c r="I631" s="2"/>
      <c r="K631" s="253"/>
      <c r="L631" s="2"/>
      <c r="M631" s="2"/>
      <c r="N631" s="2"/>
      <c r="O631" s="2"/>
    </row>
    <row r="632" spans="7:15" ht="15.75" customHeight="1">
      <c r="G632" s="2"/>
      <c r="H632" s="2"/>
      <c r="I632" s="2"/>
      <c r="K632" s="253"/>
      <c r="L632" s="2"/>
      <c r="M632" s="2"/>
      <c r="N632" s="2"/>
      <c r="O632" s="2"/>
    </row>
    <row r="633" spans="7:15" ht="15.75" customHeight="1">
      <c r="G633" s="2"/>
      <c r="H633" s="2"/>
      <c r="I633" s="2"/>
      <c r="K633" s="253"/>
      <c r="L633" s="2"/>
      <c r="M633" s="2"/>
      <c r="N633" s="2"/>
      <c r="O633" s="2"/>
    </row>
    <row r="634" spans="7:15" ht="15.75" customHeight="1">
      <c r="G634" s="2"/>
      <c r="H634" s="2"/>
      <c r="I634" s="2"/>
      <c r="K634" s="253"/>
      <c r="L634" s="2"/>
      <c r="M634" s="2"/>
      <c r="N634" s="2"/>
      <c r="O634" s="2"/>
    </row>
    <row r="635" spans="7:15" ht="15.75" customHeight="1">
      <c r="G635" s="2"/>
      <c r="H635" s="2"/>
      <c r="I635" s="2"/>
      <c r="K635" s="253"/>
      <c r="L635" s="2"/>
      <c r="M635" s="2"/>
      <c r="N635" s="2"/>
      <c r="O635" s="2"/>
    </row>
    <row r="636" spans="7:15" ht="15.75" customHeight="1">
      <c r="G636" s="2"/>
      <c r="H636" s="2"/>
      <c r="I636" s="2"/>
      <c r="K636" s="253"/>
      <c r="L636" s="2"/>
      <c r="M636" s="2"/>
      <c r="N636" s="2"/>
      <c r="O636" s="2"/>
    </row>
    <row r="637" spans="7:15" ht="15.75" customHeight="1">
      <c r="G637" s="2"/>
      <c r="H637" s="2"/>
      <c r="I637" s="2"/>
      <c r="K637" s="253"/>
      <c r="L637" s="2"/>
      <c r="M637" s="2"/>
      <c r="N637" s="2"/>
      <c r="O637" s="2"/>
    </row>
    <row r="638" spans="7:15" ht="15.75" customHeight="1">
      <c r="G638" s="2"/>
      <c r="H638" s="2"/>
      <c r="I638" s="2"/>
      <c r="K638" s="253"/>
      <c r="L638" s="2"/>
      <c r="M638" s="2"/>
      <c r="N638" s="2"/>
      <c r="O638" s="2"/>
    </row>
    <row r="639" spans="7:15" ht="15.75" customHeight="1">
      <c r="G639" s="2"/>
      <c r="H639" s="2"/>
      <c r="I639" s="2"/>
      <c r="K639" s="253"/>
      <c r="L639" s="2"/>
      <c r="M639" s="2"/>
      <c r="N639" s="2"/>
      <c r="O639" s="2"/>
    </row>
    <row r="640" spans="7:15" ht="15.75" customHeight="1">
      <c r="G640" s="2"/>
      <c r="H640" s="2"/>
      <c r="I640" s="2"/>
      <c r="K640" s="253"/>
      <c r="L640" s="2"/>
      <c r="M640" s="2"/>
      <c r="N640" s="2"/>
      <c r="O640" s="2"/>
    </row>
    <row r="641" spans="7:15" ht="15.75" customHeight="1">
      <c r="G641" s="2"/>
      <c r="H641" s="2"/>
      <c r="I641" s="2"/>
      <c r="K641" s="253"/>
      <c r="L641" s="2"/>
      <c r="M641" s="2"/>
      <c r="N641" s="2"/>
      <c r="O641" s="2"/>
    </row>
    <row r="642" spans="7:15" ht="15.75" customHeight="1">
      <c r="G642" s="2"/>
      <c r="H642" s="2"/>
      <c r="I642" s="2"/>
      <c r="K642" s="253"/>
      <c r="L642" s="2"/>
      <c r="M642" s="2"/>
      <c r="N642" s="2"/>
      <c r="O642" s="2"/>
    </row>
    <row r="643" spans="7:15" ht="15.75" customHeight="1">
      <c r="G643" s="2"/>
      <c r="H643" s="2"/>
      <c r="I643" s="2"/>
      <c r="K643" s="253"/>
      <c r="L643" s="2"/>
      <c r="M643" s="2"/>
      <c r="N643" s="2"/>
      <c r="O643" s="2"/>
    </row>
    <row r="644" spans="7:15" ht="15.75" customHeight="1">
      <c r="G644" s="2"/>
      <c r="H644" s="2"/>
      <c r="I644" s="2"/>
      <c r="K644" s="253"/>
      <c r="L644" s="2"/>
      <c r="M644" s="2"/>
      <c r="N644" s="2"/>
      <c r="O644" s="2"/>
    </row>
    <row r="645" spans="7:15" ht="15.75" customHeight="1">
      <c r="G645" s="2"/>
      <c r="H645" s="2"/>
      <c r="I645" s="2"/>
      <c r="K645" s="253"/>
      <c r="L645" s="2"/>
      <c r="M645" s="2"/>
      <c r="N645" s="2"/>
      <c r="O645" s="2"/>
    </row>
    <row r="646" spans="7:15" ht="15.75" customHeight="1">
      <c r="G646" s="2"/>
      <c r="H646" s="2"/>
      <c r="I646" s="2"/>
      <c r="K646" s="253"/>
      <c r="L646" s="2"/>
      <c r="M646" s="2"/>
      <c r="N646" s="2"/>
      <c r="O646" s="2"/>
    </row>
    <row r="647" spans="7:15" ht="15.75" customHeight="1">
      <c r="G647" s="2"/>
      <c r="H647" s="2"/>
      <c r="I647" s="2"/>
      <c r="K647" s="253"/>
      <c r="L647" s="2"/>
      <c r="M647" s="2"/>
      <c r="N647" s="2"/>
      <c r="O647" s="2"/>
    </row>
    <row r="648" spans="7:15" ht="15.75" customHeight="1">
      <c r="G648" s="2"/>
      <c r="H648" s="2"/>
      <c r="I648" s="2"/>
      <c r="K648" s="253"/>
      <c r="L648" s="2"/>
      <c r="M648" s="2"/>
      <c r="N648" s="2"/>
      <c r="O648" s="2"/>
    </row>
    <row r="649" spans="7:15" ht="15.75" customHeight="1">
      <c r="G649" s="2"/>
      <c r="H649" s="2"/>
      <c r="I649" s="2"/>
      <c r="K649" s="253"/>
      <c r="L649" s="2"/>
      <c r="M649" s="2"/>
      <c r="N649" s="2"/>
      <c r="O649" s="2"/>
    </row>
    <row r="650" spans="7:15" ht="15.75" customHeight="1">
      <c r="G650" s="2"/>
      <c r="H650" s="2"/>
      <c r="I650" s="2"/>
      <c r="K650" s="253"/>
      <c r="L650" s="2"/>
      <c r="M650" s="2"/>
      <c r="N650" s="2"/>
      <c r="O650" s="2"/>
    </row>
    <row r="651" spans="7:15" ht="15.75" customHeight="1">
      <c r="G651" s="2"/>
      <c r="H651" s="2"/>
      <c r="I651" s="2"/>
      <c r="K651" s="253"/>
      <c r="L651" s="2"/>
      <c r="M651" s="2"/>
      <c r="N651" s="2"/>
      <c r="O651" s="2"/>
    </row>
    <row r="652" spans="7:15" ht="15.75" customHeight="1">
      <c r="G652" s="2"/>
      <c r="H652" s="2"/>
      <c r="I652" s="2"/>
      <c r="K652" s="253"/>
      <c r="L652" s="2"/>
      <c r="M652" s="2"/>
      <c r="N652" s="2"/>
      <c r="O652" s="2"/>
    </row>
    <row r="653" spans="7:15" ht="15.75" customHeight="1">
      <c r="G653" s="2"/>
      <c r="H653" s="2"/>
      <c r="I653" s="2"/>
      <c r="K653" s="253"/>
      <c r="L653" s="2"/>
      <c r="M653" s="2"/>
      <c r="N653" s="2"/>
      <c r="O653" s="2"/>
    </row>
    <row r="654" spans="7:15" ht="15.75" customHeight="1">
      <c r="G654" s="2"/>
      <c r="H654" s="2"/>
      <c r="I654" s="2"/>
      <c r="K654" s="253"/>
      <c r="L654" s="2"/>
      <c r="M654" s="2"/>
      <c r="N654" s="2"/>
      <c r="O654" s="2"/>
    </row>
    <row r="655" spans="7:15" ht="15.75" customHeight="1">
      <c r="G655" s="2"/>
      <c r="H655" s="2"/>
      <c r="I655" s="2"/>
      <c r="K655" s="253"/>
      <c r="L655" s="2"/>
      <c r="M655" s="2"/>
      <c r="N655" s="2"/>
      <c r="O655" s="2"/>
    </row>
    <row r="656" spans="7:15" ht="15.75" customHeight="1">
      <c r="G656" s="2"/>
      <c r="H656" s="2"/>
      <c r="I656" s="2"/>
      <c r="K656" s="253"/>
      <c r="L656" s="2"/>
      <c r="M656" s="2"/>
      <c r="N656" s="2"/>
      <c r="O656" s="2"/>
    </row>
    <row r="657" spans="7:15" ht="15.75" customHeight="1">
      <c r="G657" s="2"/>
      <c r="H657" s="2"/>
      <c r="I657" s="2"/>
      <c r="K657" s="253"/>
      <c r="L657" s="2"/>
      <c r="M657" s="2"/>
      <c r="N657" s="2"/>
      <c r="O657" s="2"/>
    </row>
    <row r="658" spans="7:15" ht="15.75" customHeight="1">
      <c r="G658" s="2"/>
      <c r="H658" s="2"/>
      <c r="I658" s="2"/>
      <c r="K658" s="253"/>
      <c r="L658" s="2"/>
      <c r="M658" s="2"/>
      <c r="N658" s="2"/>
      <c r="O658" s="2"/>
    </row>
    <row r="659" spans="7:15" ht="15.75" customHeight="1">
      <c r="G659" s="2"/>
      <c r="H659" s="2"/>
      <c r="I659" s="2"/>
      <c r="K659" s="253"/>
      <c r="L659" s="2"/>
      <c r="M659" s="2"/>
      <c r="N659" s="2"/>
      <c r="O659" s="2"/>
    </row>
    <row r="660" spans="7:15" ht="15.75" customHeight="1">
      <c r="G660" s="2"/>
      <c r="H660" s="2"/>
      <c r="I660" s="2"/>
      <c r="K660" s="253"/>
      <c r="L660" s="2"/>
      <c r="M660" s="2"/>
      <c r="N660" s="2"/>
      <c r="O660" s="2"/>
    </row>
    <row r="661" spans="7:15" ht="15.75" customHeight="1">
      <c r="G661" s="2"/>
      <c r="H661" s="2"/>
      <c r="I661" s="2"/>
      <c r="K661" s="253"/>
      <c r="L661" s="2"/>
      <c r="M661" s="2"/>
      <c r="N661" s="2"/>
      <c r="O661" s="2"/>
    </row>
    <row r="662" spans="7:15" ht="15.75" customHeight="1">
      <c r="G662" s="2"/>
      <c r="H662" s="2"/>
      <c r="I662" s="2"/>
      <c r="K662" s="253"/>
      <c r="L662" s="2"/>
      <c r="M662" s="2"/>
      <c r="N662" s="2"/>
      <c r="O662" s="2"/>
    </row>
    <row r="663" spans="7:15" ht="15.75" customHeight="1">
      <c r="G663" s="2"/>
      <c r="H663" s="2"/>
      <c r="I663" s="2"/>
      <c r="K663" s="253"/>
      <c r="L663" s="2"/>
      <c r="M663" s="2"/>
      <c r="N663" s="2"/>
      <c r="O663" s="2"/>
    </row>
    <row r="664" spans="7:15" ht="15.75" customHeight="1">
      <c r="G664" s="2"/>
      <c r="H664" s="2"/>
      <c r="I664" s="2"/>
      <c r="K664" s="253"/>
      <c r="L664" s="2"/>
      <c r="M664" s="2"/>
      <c r="N664" s="2"/>
      <c r="O664" s="2"/>
    </row>
    <row r="665" spans="7:15" ht="15.75" customHeight="1">
      <c r="G665" s="2"/>
      <c r="H665" s="2"/>
      <c r="I665" s="2"/>
      <c r="K665" s="253"/>
      <c r="L665" s="2"/>
      <c r="M665" s="2"/>
      <c r="N665" s="2"/>
      <c r="O665" s="2"/>
    </row>
    <row r="666" spans="7:15" ht="15.75" customHeight="1">
      <c r="G666" s="2"/>
      <c r="H666" s="2"/>
      <c r="I666" s="2"/>
      <c r="K666" s="253"/>
      <c r="L666" s="2"/>
      <c r="M666" s="2"/>
      <c r="N666" s="2"/>
      <c r="O666" s="2"/>
    </row>
    <row r="667" spans="7:15" ht="15.75" customHeight="1">
      <c r="G667" s="2"/>
      <c r="H667" s="2"/>
      <c r="I667" s="2"/>
      <c r="K667" s="253"/>
      <c r="L667" s="2"/>
      <c r="M667" s="2"/>
      <c r="N667" s="2"/>
      <c r="O667" s="2"/>
    </row>
    <row r="668" spans="7:15" ht="15.75" customHeight="1">
      <c r="G668" s="2"/>
      <c r="H668" s="2"/>
      <c r="I668" s="2"/>
      <c r="K668" s="253"/>
      <c r="L668" s="2"/>
      <c r="M668" s="2"/>
      <c r="N668" s="2"/>
      <c r="O668" s="2"/>
    </row>
    <row r="669" spans="7:15" ht="15.75" customHeight="1">
      <c r="G669" s="2"/>
      <c r="H669" s="2"/>
      <c r="I669" s="2"/>
      <c r="K669" s="253"/>
      <c r="L669" s="2"/>
      <c r="M669" s="2"/>
      <c r="N669" s="2"/>
      <c r="O669" s="2"/>
    </row>
    <row r="670" spans="7:15" ht="15.75" customHeight="1">
      <c r="G670" s="2"/>
      <c r="H670" s="2"/>
      <c r="I670" s="2"/>
      <c r="K670" s="253"/>
      <c r="L670" s="2"/>
      <c r="M670" s="2"/>
      <c r="N670" s="2"/>
      <c r="O670" s="2"/>
    </row>
    <row r="671" spans="7:15" ht="15.75" customHeight="1">
      <c r="G671" s="2"/>
      <c r="H671" s="2"/>
      <c r="I671" s="2"/>
      <c r="K671" s="253"/>
      <c r="L671" s="2"/>
      <c r="M671" s="2"/>
      <c r="N671" s="2"/>
      <c r="O671" s="2"/>
    </row>
    <row r="672" spans="7:15" ht="15.75" customHeight="1">
      <c r="G672" s="2"/>
      <c r="H672" s="2"/>
      <c r="I672" s="2"/>
      <c r="K672" s="253"/>
      <c r="L672" s="2"/>
      <c r="M672" s="2"/>
      <c r="N672" s="2"/>
      <c r="O672" s="2"/>
    </row>
    <row r="673" spans="7:15" ht="15.75" customHeight="1">
      <c r="G673" s="2"/>
      <c r="H673" s="2"/>
      <c r="I673" s="2"/>
      <c r="K673" s="253"/>
      <c r="L673" s="2"/>
      <c r="M673" s="2"/>
      <c r="N673" s="2"/>
      <c r="O673" s="2"/>
    </row>
    <row r="674" spans="7:15" ht="15.75" customHeight="1">
      <c r="G674" s="2"/>
      <c r="H674" s="2"/>
      <c r="I674" s="2"/>
      <c r="K674" s="253"/>
      <c r="L674" s="2"/>
      <c r="M674" s="2"/>
      <c r="N674" s="2"/>
      <c r="O674" s="2"/>
    </row>
    <row r="675" spans="7:15" ht="15.75" customHeight="1">
      <c r="G675" s="2"/>
      <c r="H675" s="2"/>
      <c r="I675" s="2"/>
      <c r="K675" s="253"/>
      <c r="L675" s="2"/>
      <c r="M675" s="2"/>
      <c r="N675" s="2"/>
      <c r="O675" s="2"/>
    </row>
    <row r="676" spans="7:15" ht="15.75" customHeight="1">
      <c r="G676" s="2"/>
      <c r="H676" s="2"/>
      <c r="I676" s="2"/>
      <c r="K676" s="253"/>
      <c r="L676" s="2"/>
      <c r="M676" s="2"/>
      <c r="N676" s="2"/>
      <c r="O676" s="2"/>
    </row>
    <row r="677" spans="7:15" ht="15.75" customHeight="1">
      <c r="G677" s="2"/>
      <c r="H677" s="2"/>
      <c r="I677" s="2"/>
      <c r="K677" s="253"/>
      <c r="L677" s="2"/>
      <c r="M677" s="2"/>
      <c r="N677" s="2"/>
      <c r="O677" s="2"/>
    </row>
    <row r="678" spans="7:15" ht="15.75" customHeight="1">
      <c r="G678" s="2"/>
      <c r="H678" s="2"/>
      <c r="I678" s="2"/>
      <c r="K678" s="253"/>
      <c r="L678" s="2"/>
      <c r="M678" s="2"/>
      <c r="N678" s="2"/>
      <c r="O678" s="2"/>
    </row>
    <row r="679" spans="7:15" ht="15.75" customHeight="1">
      <c r="G679" s="2"/>
      <c r="H679" s="2"/>
      <c r="I679" s="2"/>
      <c r="K679" s="253"/>
      <c r="L679" s="2"/>
      <c r="M679" s="2"/>
      <c r="N679" s="2"/>
      <c r="O679" s="2"/>
    </row>
    <row r="680" spans="7:15" ht="15.75" customHeight="1">
      <c r="G680" s="2"/>
      <c r="H680" s="2"/>
      <c r="I680" s="2"/>
      <c r="K680" s="253"/>
      <c r="L680" s="2"/>
      <c r="M680" s="2"/>
      <c r="N680" s="2"/>
      <c r="O680" s="2"/>
    </row>
    <row r="681" spans="7:15" ht="15.75" customHeight="1">
      <c r="G681" s="2"/>
      <c r="H681" s="2"/>
      <c r="I681" s="2"/>
      <c r="K681" s="253"/>
      <c r="L681" s="2"/>
      <c r="M681" s="2"/>
      <c r="N681" s="2"/>
      <c r="O681" s="2"/>
    </row>
    <row r="682" spans="7:15" ht="15.75" customHeight="1">
      <c r="G682" s="2"/>
      <c r="H682" s="2"/>
      <c r="I682" s="2"/>
      <c r="K682" s="253"/>
      <c r="L682" s="2"/>
      <c r="M682" s="2"/>
      <c r="N682" s="2"/>
      <c r="O682" s="2"/>
    </row>
    <row r="683" spans="7:15" ht="15.75" customHeight="1">
      <c r="G683" s="2"/>
      <c r="H683" s="2"/>
      <c r="I683" s="2"/>
      <c r="K683" s="253"/>
      <c r="L683" s="2"/>
      <c r="M683" s="2"/>
      <c r="N683" s="2"/>
      <c r="O683" s="2"/>
    </row>
    <row r="684" spans="7:15" ht="15.75" customHeight="1">
      <c r="G684" s="2"/>
      <c r="H684" s="2"/>
      <c r="I684" s="2"/>
      <c r="K684" s="253"/>
      <c r="L684" s="2"/>
      <c r="M684" s="2"/>
      <c r="N684" s="2"/>
      <c r="O684" s="2"/>
    </row>
    <row r="685" spans="7:15" ht="15.75" customHeight="1">
      <c r="G685" s="2"/>
      <c r="H685" s="2"/>
      <c r="I685" s="2"/>
      <c r="K685" s="253"/>
      <c r="L685" s="2"/>
      <c r="M685" s="2"/>
      <c r="N685" s="2"/>
      <c r="O685" s="2"/>
    </row>
    <row r="686" spans="7:15" ht="15.75" customHeight="1">
      <c r="G686" s="2"/>
      <c r="H686" s="2"/>
      <c r="I686" s="2"/>
      <c r="K686" s="253"/>
      <c r="L686" s="2"/>
      <c r="M686" s="2"/>
      <c r="N686" s="2"/>
      <c r="O686" s="2"/>
    </row>
    <row r="687" spans="7:15" ht="15.75" customHeight="1">
      <c r="G687" s="2"/>
      <c r="H687" s="2"/>
      <c r="I687" s="2"/>
      <c r="K687" s="253"/>
      <c r="L687" s="2"/>
      <c r="M687" s="2"/>
      <c r="N687" s="2"/>
      <c r="O687" s="2"/>
    </row>
    <row r="688" spans="7:15" ht="15.75" customHeight="1">
      <c r="G688" s="2"/>
      <c r="H688" s="2"/>
      <c r="I688" s="2"/>
      <c r="K688" s="253"/>
      <c r="L688" s="2"/>
      <c r="M688" s="2"/>
      <c r="N688" s="2"/>
      <c r="O688" s="2"/>
    </row>
    <row r="689" spans="7:15" ht="15.75" customHeight="1">
      <c r="G689" s="2"/>
      <c r="H689" s="2"/>
      <c r="I689" s="2"/>
      <c r="K689" s="253"/>
      <c r="L689" s="2"/>
      <c r="M689" s="2"/>
      <c r="N689" s="2"/>
      <c r="O689" s="2"/>
    </row>
    <row r="690" spans="7:15" ht="15.75" customHeight="1">
      <c r="G690" s="2"/>
      <c r="H690" s="2"/>
      <c r="I690" s="2"/>
      <c r="K690" s="253"/>
      <c r="L690" s="2"/>
      <c r="M690" s="2"/>
      <c r="N690" s="2"/>
      <c r="O690" s="2"/>
    </row>
    <row r="691" spans="7:15" ht="15.75" customHeight="1">
      <c r="G691" s="2"/>
      <c r="H691" s="2"/>
      <c r="I691" s="2"/>
      <c r="K691" s="253"/>
      <c r="L691" s="2"/>
      <c r="M691" s="2"/>
      <c r="N691" s="2"/>
      <c r="O691" s="2"/>
    </row>
    <row r="692" spans="7:15" ht="15.75" customHeight="1">
      <c r="G692" s="2"/>
      <c r="H692" s="2"/>
      <c r="I692" s="2"/>
      <c r="K692" s="253"/>
      <c r="L692" s="2"/>
      <c r="M692" s="2"/>
      <c r="N692" s="2"/>
      <c r="O692" s="2"/>
    </row>
    <row r="693" spans="7:15" ht="15.75" customHeight="1">
      <c r="G693" s="2"/>
      <c r="H693" s="2"/>
      <c r="I693" s="2"/>
      <c r="K693" s="253"/>
      <c r="L693" s="2"/>
      <c r="M693" s="2"/>
      <c r="N693" s="2"/>
      <c r="O693" s="2"/>
    </row>
    <row r="694" spans="7:15" ht="15.75" customHeight="1">
      <c r="G694" s="2"/>
      <c r="H694" s="2"/>
      <c r="I694" s="2"/>
      <c r="K694" s="253"/>
      <c r="L694" s="2"/>
      <c r="M694" s="2"/>
      <c r="N694" s="2"/>
      <c r="O694" s="2"/>
    </row>
    <row r="695" spans="7:15" ht="15.75" customHeight="1">
      <c r="G695" s="2"/>
      <c r="H695" s="2"/>
      <c r="I695" s="2"/>
      <c r="K695" s="253"/>
      <c r="L695" s="2"/>
      <c r="M695" s="2"/>
      <c r="N695" s="2"/>
      <c r="O695" s="2"/>
    </row>
    <row r="696" spans="7:15" ht="15.75" customHeight="1">
      <c r="G696" s="2"/>
      <c r="H696" s="2"/>
      <c r="I696" s="2"/>
      <c r="K696" s="253"/>
      <c r="L696" s="2"/>
      <c r="M696" s="2"/>
      <c r="N696" s="2"/>
      <c r="O696" s="2"/>
    </row>
    <row r="697" spans="7:15" ht="15.75" customHeight="1">
      <c r="G697" s="2"/>
      <c r="H697" s="2"/>
      <c r="I697" s="2"/>
      <c r="K697" s="253"/>
      <c r="L697" s="2"/>
      <c r="M697" s="2"/>
      <c r="N697" s="2"/>
      <c r="O697" s="2"/>
    </row>
    <row r="698" spans="7:15" ht="15.75" customHeight="1">
      <c r="G698" s="2"/>
      <c r="H698" s="2"/>
      <c r="I698" s="2"/>
      <c r="K698" s="253"/>
      <c r="L698" s="2"/>
      <c r="M698" s="2"/>
      <c r="N698" s="2"/>
      <c r="O698" s="2"/>
    </row>
    <row r="699" spans="7:15" ht="15.75" customHeight="1">
      <c r="G699" s="2"/>
      <c r="H699" s="2"/>
      <c r="I699" s="2"/>
      <c r="K699" s="253"/>
      <c r="L699" s="2"/>
      <c r="M699" s="2"/>
      <c r="N699" s="2"/>
      <c r="O699" s="2"/>
    </row>
    <row r="700" spans="7:15" ht="15.75" customHeight="1">
      <c r="G700" s="2"/>
      <c r="H700" s="2"/>
      <c r="I700" s="2"/>
      <c r="K700" s="253"/>
      <c r="L700" s="2"/>
      <c r="M700" s="2"/>
      <c r="N700" s="2"/>
      <c r="O700" s="2"/>
    </row>
    <row r="701" spans="7:15" ht="15.75" customHeight="1">
      <c r="G701" s="2"/>
      <c r="H701" s="2"/>
      <c r="I701" s="2"/>
      <c r="K701" s="253"/>
      <c r="L701" s="2"/>
      <c r="M701" s="2"/>
      <c r="N701" s="2"/>
      <c r="O701" s="2"/>
    </row>
    <row r="702" spans="7:15" ht="15.75" customHeight="1">
      <c r="G702" s="2"/>
      <c r="H702" s="2"/>
      <c r="I702" s="2"/>
      <c r="K702" s="253"/>
      <c r="L702" s="2"/>
      <c r="M702" s="2"/>
      <c r="N702" s="2"/>
      <c r="O702" s="2"/>
    </row>
    <row r="703" spans="7:15" ht="15.75" customHeight="1">
      <c r="G703" s="2"/>
      <c r="H703" s="2"/>
      <c r="I703" s="2"/>
      <c r="K703" s="253"/>
      <c r="L703" s="2"/>
      <c r="M703" s="2"/>
      <c r="N703" s="2"/>
      <c r="O703" s="2"/>
    </row>
    <row r="704" spans="7:15" ht="15.75" customHeight="1">
      <c r="G704" s="2"/>
      <c r="H704" s="2"/>
      <c r="I704" s="2"/>
      <c r="K704" s="253"/>
      <c r="L704" s="2"/>
      <c r="M704" s="2"/>
      <c r="N704" s="2"/>
      <c r="O704" s="2"/>
    </row>
    <row r="705" spans="7:15" ht="15.75" customHeight="1">
      <c r="G705" s="2"/>
      <c r="H705" s="2"/>
      <c r="I705" s="2"/>
      <c r="K705" s="253"/>
      <c r="L705" s="2"/>
      <c r="M705" s="2"/>
      <c r="N705" s="2"/>
      <c r="O705" s="2"/>
    </row>
    <row r="706" spans="7:15" ht="15.75" customHeight="1">
      <c r="G706" s="2"/>
      <c r="H706" s="2"/>
      <c r="I706" s="2"/>
      <c r="K706" s="253"/>
      <c r="L706" s="2"/>
      <c r="M706" s="2"/>
      <c r="N706" s="2"/>
      <c r="O706" s="2"/>
    </row>
    <row r="707" spans="7:15" ht="15.75" customHeight="1">
      <c r="G707" s="2"/>
      <c r="H707" s="2"/>
      <c r="I707" s="2"/>
      <c r="K707" s="253"/>
      <c r="L707" s="2"/>
      <c r="M707" s="2"/>
      <c r="N707" s="2"/>
      <c r="O707" s="2"/>
    </row>
    <row r="708" spans="7:15" ht="15.75" customHeight="1">
      <c r="G708" s="2"/>
      <c r="H708" s="2"/>
      <c r="I708" s="2"/>
      <c r="K708" s="253"/>
      <c r="L708" s="2"/>
      <c r="M708" s="2"/>
      <c r="N708" s="2"/>
      <c r="O708" s="2"/>
    </row>
    <row r="709" spans="7:15" ht="15.75" customHeight="1">
      <c r="G709" s="2"/>
      <c r="H709" s="2"/>
      <c r="I709" s="2"/>
      <c r="K709" s="253"/>
      <c r="L709" s="2"/>
      <c r="M709" s="2"/>
      <c r="N709" s="2"/>
      <c r="O709" s="2"/>
    </row>
    <row r="710" spans="7:15" ht="15.75" customHeight="1">
      <c r="G710" s="2"/>
      <c r="H710" s="2"/>
      <c r="I710" s="2"/>
      <c r="K710" s="253"/>
      <c r="L710" s="2"/>
      <c r="M710" s="2"/>
      <c r="N710" s="2"/>
      <c r="O710" s="2"/>
    </row>
    <row r="711" spans="7:15" ht="15.75" customHeight="1">
      <c r="G711" s="2"/>
      <c r="H711" s="2"/>
      <c r="I711" s="2"/>
      <c r="K711" s="253"/>
      <c r="L711" s="2"/>
      <c r="M711" s="2"/>
      <c r="N711" s="2"/>
      <c r="O711" s="2"/>
    </row>
    <row r="712" spans="7:15" ht="15.75" customHeight="1">
      <c r="G712" s="2"/>
      <c r="H712" s="2"/>
      <c r="I712" s="2"/>
      <c r="K712" s="253"/>
      <c r="L712" s="2"/>
      <c r="M712" s="2"/>
      <c r="N712" s="2"/>
      <c r="O712" s="2"/>
    </row>
    <row r="713" spans="7:15" ht="15.75" customHeight="1">
      <c r="G713" s="2"/>
      <c r="H713" s="2"/>
      <c r="I713" s="2"/>
      <c r="K713" s="253"/>
      <c r="L713" s="2"/>
      <c r="M713" s="2"/>
      <c r="N713" s="2"/>
      <c r="O713" s="2"/>
    </row>
    <row r="714" spans="7:15" ht="15.75" customHeight="1">
      <c r="G714" s="2"/>
      <c r="H714" s="2"/>
      <c r="I714" s="2"/>
      <c r="K714" s="253"/>
      <c r="L714" s="2"/>
      <c r="M714" s="2"/>
      <c r="N714" s="2"/>
      <c r="O714" s="2"/>
    </row>
    <row r="715" spans="7:15" ht="15.75" customHeight="1">
      <c r="G715" s="2"/>
      <c r="H715" s="2"/>
      <c r="I715" s="2"/>
      <c r="K715" s="253"/>
      <c r="L715" s="2"/>
      <c r="M715" s="2"/>
      <c r="N715" s="2"/>
      <c r="O715" s="2"/>
    </row>
    <row r="716" spans="7:15" ht="15.75" customHeight="1">
      <c r="G716" s="2"/>
      <c r="H716" s="2"/>
      <c r="I716" s="2"/>
      <c r="K716" s="253"/>
      <c r="L716" s="2"/>
      <c r="M716" s="2"/>
      <c r="N716" s="2"/>
      <c r="O716" s="2"/>
    </row>
    <row r="717" spans="7:15" ht="15.75" customHeight="1">
      <c r="G717" s="2"/>
      <c r="H717" s="2"/>
      <c r="I717" s="2"/>
      <c r="K717" s="253"/>
      <c r="L717" s="2"/>
      <c r="M717" s="2"/>
      <c r="N717" s="2"/>
      <c r="O717" s="2"/>
    </row>
    <row r="718" spans="7:15" ht="15.75" customHeight="1">
      <c r="G718" s="2"/>
      <c r="H718" s="2"/>
      <c r="I718" s="2"/>
      <c r="K718" s="253"/>
      <c r="L718" s="2"/>
      <c r="M718" s="2"/>
      <c r="N718" s="2"/>
      <c r="O718" s="2"/>
    </row>
    <row r="719" spans="7:15" ht="15.75" customHeight="1">
      <c r="G719" s="2"/>
      <c r="H719" s="2"/>
      <c r="I719" s="2"/>
      <c r="K719" s="253"/>
      <c r="L719" s="2"/>
      <c r="M719" s="2"/>
      <c r="N719" s="2"/>
      <c r="O719" s="2"/>
    </row>
    <row r="720" spans="7:15" ht="15.75" customHeight="1">
      <c r="G720" s="2"/>
      <c r="H720" s="2"/>
      <c r="I720" s="2"/>
      <c r="K720" s="253"/>
      <c r="L720" s="2"/>
      <c r="M720" s="2"/>
      <c r="N720" s="2"/>
      <c r="O720" s="2"/>
    </row>
    <row r="721" spans="7:15" ht="15.75" customHeight="1">
      <c r="G721" s="2"/>
      <c r="H721" s="2"/>
      <c r="I721" s="2"/>
      <c r="K721" s="253"/>
      <c r="L721" s="2"/>
      <c r="M721" s="2"/>
      <c r="N721" s="2"/>
      <c r="O721" s="2"/>
    </row>
    <row r="722" spans="7:15" ht="15.75" customHeight="1">
      <c r="G722" s="2"/>
      <c r="H722" s="2"/>
      <c r="I722" s="2"/>
      <c r="K722" s="253"/>
      <c r="L722" s="2"/>
      <c r="M722" s="2"/>
      <c r="N722" s="2"/>
      <c r="O722" s="2"/>
    </row>
    <row r="723" spans="7:15" ht="15.75" customHeight="1">
      <c r="G723" s="2"/>
      <c r="H723" s="2"/>
      <c r="I723" s="2"/>
      <c r="K723" s="253"/>
      <c r="L723" s="2"/>
      <c r="M723" s="2"/>
      <c r="N723" s="2"/>
      <c r="O723" s="2"/>
    </row>
    <row r="724" spans="7:15" ht="15.75" customHeight="1">
      <c r="G724" s="2"/>
      <c r="H724" s="2"/>
      <c r="I724" s="2"/>
      <c r="K724" s="253"/>
      <c r="L724" s="2"/>
      <c r="M724" s="2"/>
      <c r="N724" s="2"/>
      <c r="O724" s="2"/>
    </row>
    <row r="725" spans="7:15" ht="15.75" customHeight="1">
      <c r="G725" s="2"/>
      <c r="H725" s="2"/>
      <c r="I725" s="2"/>
      <c r="K725" s="253"/>
      <c r="L725" s="2"/>
      <c r="M725" s="2"/>
      <c r="N725" s="2"/>
      <c r="O725" s="2"/>
    </row>
    <row r="726" spans="7:15" ht="15.75" customHeight="1">
      <c r="G726" s="2"/>
      <c r="H726" s="2"/>
      <c r="I726" s="2"/>
      <c r="K726" s="253"/>
      <c r="L726" s="2"/>
      <c r="M726" s="2"/>
      <c r="N726" s="2"/>
      <c r="O726" s="2"/>
    </row>
    <row r="727" spans="7:15" ht="15.75" customHeight="1">
      <c r="G727" s="2"/>
      <c r="H727" s="2"/>
      <c r="I727" s="2"/>
      <c r="K727" s="253"/>
      <c r="L727" s="2"/>
      <c r="M727" s="2"/>
      <c r="N727" s="2"/>
      <c r="O727" s="2"/>
    </row>
    <row r="728" spans="7:15" ht="15.75" customHeight="1">
      <c r="G728" s="2"/>
      <c r="H728" s="2"/>
      <c r="I728" s="2"/>
      <c r="K728" s="253"/>
      <c r="L728" s="2"/>
      <c r="M728" s="2"/>
      <c r="N728" s="2"/>
      <c r="O728" s="2"/>
    </row>
    <row r="729" spans="7:15" ht="15.75" customHeight="1">
      <c r="G729" s="2"/>
      <c r="H729" s="2"/>
      <c r="I729" s="2"/>
      <c r="K729" s="253"/>
      <c r="L729" s="2"/>
      <c r="M729" s="2"/>
      <c r="N729" s="2"/>
      <c r="O729" s="2"/>
    </row>
    <row r="730" spans="7:15" ht="15.75" customHeight="1">
      <c r="G730" s="2"/>
      <c r="H730" s="2"/>
      <c r="I730" s="2"/>
      <c r="K730" s="253"/>
      <c r="L730" s="2"/>
      <c r="M730" s="2"/>
      <c r="N730" s="2"/>
      <c r="O730" s="2"/>
    </row>
    <row r="731" spans="7:15" ht="15.75" customHeight="1">
      <c r="G731" s="2"/>
      <c r="H731" s="2"/>
      <c r="I731" s="2"/>
      <c r="K731" s="253"/>
      <c r="L731" s="2"/>
      <c r="M731" s="2"/>
      <c r="N731" s="2"/>
      <c r="O731" s="2"/>
    </row>
    <row r="732" spans="7:15" ht="15.75" customHeight="1">
      <c r="G732" s="2"/>
      <c r="H732" s="2"/>
      <c r="I732" s="2"/>
      <c r="K732" s="253"/>
      <c r="L732" s="2"/>
      <c r="M732" s="2"/>
      <c r="N732" s="2"/>
      <c r="O732" s="2"/>
    </row>
    <row r="733" spans="7:15" ht="15.75" customHeight="1">
      <c r="G733" s="2"/>
      <c r="H733" s="2"/>
      <c r="I733" s="2"/>
      <c r="K733" s="253"/>
      <c r="L733" s="2"/>
      <c r="M733" s="2"/>
      <c r="N733" s="2"/>
      <c r="O733" s="2"/>
    </row>
    <row r="734" spans="7:15" ht="15.75" customHeight="1">
      <c r="G734" s="2"/>
      <c r="H734" s="2"/>
      <c r="I734" s="2"/>
      <c r="K734" s="253"/>
      <c r="L734" s="2"/>
      <c r="M734" s="2"/>
      <c r="N734" s="2"/>
      <c r="O734" s="2"/>
    </row>
    <row r="735" spans="7:15" ht="15.75" customHeight="1">
      <c r="G735" s="2"/>
      <c r="H735" s="2"/>
      <c r="I735" s="2"/>
      <c r="K735" s="253"/>
      <c r="L735" s="2"/>
      <c r="M735" s="2"/>
      <c r="N735" s="2"/>
      <c r="O735" s="2"/>
    </row>
    <row r="736" spans="7:15" ht="15.75" customHeight="1">
      <c r="G736" s="2"/>
      <c r="H736" s="2"/>
      <c r="I736" s="2"/>
      <c r="K736" s="253"/>
      <c r="L736" s="2"/>
      <c r="M736" s="2"/>
      <c r="N736" s="2"/>
      <c r="O736" s="2"/>
    </row>
    <row r="737" spans="7:15" ht="15.75" customHeight="1">
      <c r="G737" s="2"/>
      <c r="H737" s="2"/>
      <c r="I737" s="2"/>
      <c r="K737" s="253"/>
      <c r="L737" s="2"/>
      <c r="M737" s="2"/>
      <c r="N737" s="2"/>
      <c r="O737" s="2"/>
    </row>
    <row r="738" spans="7:15" ht="15.75" customHeight="1">
      <c r="G738" s="2"/>
      <c r="H738" s="2"/>
      <c r="I738" s="2"/>
      <c r="K738" s="253"/>
      <c r="L738" s="2"/>
      <c r="M738" s="2"/>
      <c r="N738" s="2"/>
      <c r="O738" s="2"/>
    </row>
    <row r="739" spans="7:15" ht="15.75" customHeight="1">
      <c r="G739" s="2"/>
      <c r="H739" s="2"/>
      <c r="I739" s="2"/>
      <c r="K739" s="253"/>
      <c r="L739" s="2"/>
      <c r="M739" s="2"/>
      <c r="N739" s="2"/>
      <c r="O739" s="2"/>
    </row>
    <row r="740" spans="7:15" ht="15.75" customHeight="1">
      <c r="G740" s="2"/>
      <c r="H740" s="2"/>
      <c r="I740" s="2"/>
      <c r="K740" s="253"/>
      <c r="L740" s="2"/>
      <c r="M740" s="2"/>
      <c r="N740" s="2"/>
      <c r="O740" s="2"/>
    </row>
    <row r="741" spans="7:15" ht="15.75" customHeight="1">
      <c r="G741" s="2"/>
      <c r="H741" s="2"/>
      <c r="I741" s="2"/>
      <c r="K741" s="253"/>
      <c r="L741" s="2"/>
      <c r="M741" s="2"/>
      <c r="N741" s="2"/>
      <c r="O741" s="2"/>
    </row>
    <row r="742" spans="7:15" ht="15.75" customHeight="1">
      <c r="G742" s="2"/>
      <c r="H742" s="2"/>
      <c r="I742" s="2"/>
      <c r="K742" s="253"/>
      <c r="L742" s="2"/>
      <c r="M742" s="2"/>
      <c r="N742" s="2"/>
      <c r="O742" s="2"/>
    </row>
    <row r="743" spans="7:15" ht="15.75" customHeight="1">
      <c r="G743" s="2"/>
      <c r="H743" s="2"/>
      <c r="I743" s="2"/>
      <c r="K743" s="253"/>
      <c r="L743" s="2"/>
      <c r="M743" s="2"/>
      <c r="N743" s="2"/>
      <c r="O743" s="2"/>
    </row>
    <row r="744" spans="7:15" ht="15.75" customHeight="1">
      <c r="G744" s="2"/>
      <c r="H744" s="2"/>
      <c r="I744" s="2"/>
      <c r="K744" s="253"/>
      <c r="L744" s="2"/>
      <c r="M744" s="2"/>
      <c r="N744" s="2"/>
      <c r="O744" s="2"/>
    </row>
    <row r="745" spans="7:15" ht="15.75" customHeight="1">
      <c r="G745" s="2"/>
      <c r="H745" s="2"/>
      <c r="I745" s="2"/>
      <c r="K745" s="253"/>
      <c r="L745" s="2"/>
      <c r="M745" s="2"/>
      <c r="N745" s="2"/>
      <c r="O745" s="2"/>
    </row>
    <row r="746" spans="7:15" ht="15.75" customHeight="1">
      <c r="G746" s="2"/>
      <c r="H746" s="2"/>
      <c r="I746" s="2"/>
      <c r="K746" s="253"/>
      <c r="L746" s="2"/>
      <c r="M746" s="2"/>
      <c r="N746" s="2"/>
      <c r="O746" s="2"/>
    </row>
    <row r="747" spans="7:15" ht="15.75" customHeight="1">
      <c r="G747" s="2"/>
      <c r="H747" s="2"/>
      <c r="I747" s="2"/>
      <c r="K747" s="253"/>
      <c r="L747" s="2"/>
      <c r="M747" s="2"/>
      <c r="N747" s="2"/>
      <c r="O747" s="2"/>
    </row>
    <row r="748" spans="7:15" ht="15.75" customHeight="1">
      <c r="G748" s="2"/>
      <c r="H748" s="2"/>
      <c r="I748" s="2"/>
      <c r="K748" s="253"/>
      <c r="L748" s="2"/>
      <c r="M748" s="2"/>
      <c r="N748" s="2"/>
      <c r="O748" s="2"/>
    </row>
    <row r="749" spans="7:15" ht="15.75" customHeight="1">
      <c r="G749" s="2"/>
      <c r="H749" s="2"/>
      <c r="I749" s="2"/>
      <c r="K749" s="253"/>
      <c r="L749" s="2"/>
      <c r="M749" s="2"/>
      <c r="N749" s="2"/>
      <c r="O749" s="2"/>
    </row>
    <row r="750" spans="7:15" ht="15.75" customHeight="1">
      <c r="G750" s="2"/>
      <c r="H750" s="2"/>
      <c r="I750" s="2"/>
      <c r="K750" s="253"/>
      <c r="L750" s="2"/>
      <c r="M750" s="2"/>
      <c r="N750" s="2"/>
      <c r="O750" s="2"/>
    </row>
    <row r="751" spans="7:15" ht="15.75" customHeight="1">
      <c r="G751" s="2"/>
      <c r="H751" s="2"/>
      <c r="I751" s="2"/>
      <c r="K751" s="253"/>
      <c r="L751" s="2"/>
      <c r="M751" s="2"/>
      <c r="N751" s="2"/>
      <c r="O751" s="2"/>
    </row>
    <row r="752" spans="7:15" ht="15.75" customHeight="1">
      <c r="G752" s="2"/>
      <c r="H752" s="2"/>
      <c r="I752" s="2"/>
      <c r="K752" s="253"/>
      <c r="L752" s="2"/>
      <c r="M752" s="2"/>
      <c r="N752" s="2"/>
      <c r="O752" s="2"/>
    </row>
    <row r="753" spans="7:15" ht="15.75" customHeight="1">
      <c r="G753" s="2"/>
      <c r="H753" s="2"/>
      <c r="I753" s="2"/>
      <c r="K753" s="253"/>
      <c r="L753" s="2"/>
      <c r="M753" s="2"/>
      <c r="N753" s="2"/>
      <c r="O753" s="2"/>
    </row>
    <row r="754" spans="7:15" ht="15.75" customHeight="1">
      <c r="G754" s="2"/>
      <c r="H754" s="2"/>
      <c r="I754" s="2"/>
      <c r="K754" s="253"/>
      <c r="L754" s="2"/>
      <c r="M754" s="2"/>
      <c r="N754" s="2"/>
      <c r="O754" s="2"/>
    </row>
    <row r="755" spans="7:15" ht="15.75" customHeight="1">
      <c r="G755" s="2"/>
      <c r="H755" s="2"/>
      <c r="I755" s="2"/>
      <c r="K755" s="253"/>
      <c r="L755" s="2"/>
      <c r="M755" s="2"/>
      <c r="N755" s="2"/>
      <c r="O755" s="2"/>
    </row>
    <row r="756" spans="7:15" ht="15.75" customHeight="1">
      <c r="G756" s="2"/>
      <c r="H756" s="2"/>
      <c r="I756" s="2"/>
      <c r="K756" s="253"/>
      <c r="L756" s="2"/>
      <c r="M756" s="2"/>
      <c r="N756" s="2"/>
      <c r="O756" s="2"/>
    </row>
    <row r="757" spans="7:15" ht="15.75" customHeight="1">
      <c r="G757" s="2"/>
      <c r="H757" s="2"/>
      <c r="I757" s="2"/>
      <c r="K757" s="253"/>
      <c r="L757" s="2"/>
      <c r="M757" s="2"/>
      <c r="N757" s="2"/>
      <c r="O757" s="2"/>
    </row>
    <row r="758" spans="7:15" ht="15.75" customHeight="1">
      <c r="G758" s="2"/>
      <c r="H758" s="2"/>
      <c r="I758" s="2"/>
      <c r="K758" s="253"/>
      <c r="L758" s="2"/>
      <c r="M758" s="2"/>
      <c r="N758" s="2"/>
      <c r="O758" s="2"/>
    </row>
    <row r="759" spans="7:15" ht="15.75" customHeight="1">
      <c r="G759" s="2"/>
      <c r="H759" s="2"/>
      <c r="I759" s="2"/>
      <c r="K759" s="253"/>
      <c r="L759" s="2"/>
      <c r="M759" s="2"/>
      <c r="N759" s="2"/>
      <c r="O759" s="2"/>
    </row>
    <row r="760" spans="7:15" ht="15.75" customHeight="1">
      <c r="G760" s="2"/>
      <c r="H760" s="2"/>
      <c r="I760" s="2"/>
      <c r="K760" s="253"/>
      <c r="L760" s="2"/>
      <c r="M760" s="2"/>
      <c r="N760" s="2"/>
      <c r="O760" s="2"/>
    </row>
    <row r="761" spans="7:15" ht="15.75" customHeight="1">
      <c r="G761" s="2"/>
      <c r="H761" s="2"/>
      <c r="I761" s="2"/>
      <c r="K761" s="253"/>
      <c r="L761" s="2"/>
      <c r="M761" s="2"/>
      <c r="N761" s="2"/>
      <c r="O761" s="2"/>
    </row>
    <row r="762" spans="7:15" ht="15.75" customHeight="1">
      <c r="G762" s="2"/>
      <c r="H762" s="2"/>
      <c r="I762" s="2"/>
      <c r="K762" s="253"/>
      <c r="L762" s="2"/>
      <c r="M762" s="2"/>
      <c r="N762" s="2"/>
      <c r="O762" s="2"/>
    </row>
    <row r="763" spans="7:15" ht="15.75" customHeight="1">
      <c r="G763" s="2"/>
      <c r="H763" s="2"/>
      <c r="I763" s="2"/>
      <c r="K763" s="253"/>
      <c r="L763" s="2"/>
      <c r="M763" s="2"/>
      <c r="N763" s="2"/>
      <c r="O763" s="2"/>
    </row>
    <row r="764" spans="7:15" ht="15.75" customHeight="1">
      <c r="G764" s="2"/>
      <c r="H764" s="2"/>
      <c r="I764" s="2"/>
      <c r="K764" s="253"/>
      <c r="L764" s="2"/>
      <c r="M764" s="2"/>
      <c r="N764" s="2"/>
      <c r="O764" s="2"/>
    </row>
    <row r="765" spans="7:15" ht="15.75" customHeight="1">
      <c r="G765" s="2"/>
      <c r="H765" s="2"/>
      <c r="I765" s="2"/>
      <c r="K765" s="253"/>
      <c r="L765" s="2"/>
      <c r="M765" s="2"/>
      <c r="N765" s="2"/>
      <c r="O765" s="2"/>
    </row>
    <row r="766" spans="7:15" ht="15.75" customHeight="1">
      <c r="G766" s="2"/>
      <c r="H766" s="2"/>
      <c r="I766" s="2"/>
      <c r="K766" s="253"/>
      <c r="L766" s="2"/>
      <c r="M766" s="2"/>
      <c r="N766" s="2"/>
      <c r="O766" s="2"/>
    </row>
    <row r="767" spans="7:15" ht="15.75" customHeight="1">
      <c r="G767" s="2"/>
      <c r="H767" s="2"/>
      <c r="I767" s="2"/>
      <c r="K767" s="253"/>
      <c r="L767" s="2"/>
      <c r="M767" s="2"/>
      <c r="N767" s="2"/>
      <c r="O767" s="2"/>
    </row>
    <row r="768" spans="7:15" ht="15.75" customHeight="1">
      <c r="G768" s="2"/>
      <c r="H768" s="2"/>
      <c r="I768" s="2"/>
      <c r="K768" s="253"/>
      <c r="L768" s="2"/>
      <c r="M768" s="2"/>
      <c r="N768" s="2"/>
      <c r="O768" s="2"/>
    </row>
    <row r="769" spans="7:15" ht="15.75" customHeight="1">
      <c r="G769" s="2"/>
      <c r="H769" s="2"/>
      <c r="I769" s="2"/>
      <c r="K769" s="253"/>
      <c r="L769" s="2"/>
      <c r="M769" s="2"/>
      <c r="N769" s="2"/>
      <c r="O769" s="2"/>
    </row>
    <row r="770" spans="7:15" ht="15.75" customHeight="1">
      <c r="G770" s="2"/>
      <c r="H770" s="2"/>
      <c r="I770" s="2"/>
      <c r="K770" s="253"/>
      <c r="L770" s="2"/>
      <c r="M770" s="2"/>
      <c r="N770" s="2"/>
      <c r="O770" s="2"/>
    </row>
    <row r="771" spans="7:15" ht="15.75" customHeight="1">
      <c r="G771" s="2"/>
      <c r="H771" s="2"/>
      <c r="I771" s="2"/>
      <c r="K771" s="253"/>
      <c r="L771" s="2"/>
      <c r="M771" s="2"/>
      <c r="N771" s="2"/>
      <c r="O771" s="2"/>
    </row>
    <row r="772" spans="7:15" ht="15.75" customHeight="1">
      <c r="G772" s="2"/>
      <c r="H772" s="2"/>
      <c r="I772" s="2"/>
      <c r="K772" s="253"/>
      <c r="L772" s="2"/>
      <c r="M772" s="2"/>
      <c r="N772" s="2"/>
      <c r="O772" s="2"/>
    </row>
    <row r="773" spans="7:15" ht="15.75" customHeight="1">
      <c r="G773" s="2"/>
      <c r="H773" s="2"/>
      <c r="I773" s="2"/>
      <c r="K773" s="253"/>
      <c r="L773" s="2"/>
      <c r="M773" s="2"/>
      <c r="N773" s="2"/>
      <c r="O773" s="2"/>
    </row>
    <row r="774" spans="7:15" ht="15.75" customHeight="1">
      <c r="G774" s="2"/>
      <c r="H774" s="2"/>
      <c r="I774" s="2"/>
      <c r="K774" s="253"/>
      <c r="L774" s="2"/>
      <c r="M774" s="2"/>
      <c r="N774" s="2"/>
      <c r="O774" s="2"/>
    </row>
    <row r="775" spans="7:15" ht="15.75" customHeight="1">
      <c r="G775" s="2"/>
      <c r="H775" s="2"/>
      <c r="I775" s="2"/>
      <c r="K775" s="253"/>
      <c r="L775" s="2"/>
      <c r="M775" s="2"/>
      <c r="N775" s="2"/>
      <c r="O775" s="2"/>
    </row>
    <row r="776" spans="7:15" ht="15.75" customHeight="1">
      <c r="G776" s="2"/>
      <c r="H776" s="2"/>
      <c r="I776" s="2"/>
      <c r="K776" s="253"/>
      <c r="L776" s="2"/>
      <c r="M776" s="2"/>
      <c r="N776" s="2"/>
      <c r="O776" s="2"/>
    </row>
    <row r="777" spans="7:15" ht="15.75" customHeight="1">
      <c r="G777" s="2"/>
      <c r="H777" s="2"/>
      <c r="I777" s="2"/>
      <c r="K777" s="253"/>
      <c r="L777" s="2"/>
      <c r="M777" s="2"/>
      <c r="N777" s="2"/>
      <c r="O777" s="2"/>
    </row>
    <row r="778" spans="7:15" ht="15.75" customHeight="1">
      <c r="G778" s="2"/>
      <c r="H778" s="2"/>
      <c r="I778" s="2"/>
      <c r="K778" s="253"/>
      <c r="L778" s="2"/>
      <c r="M778" s="2"/>
      <c r="N778" s="2"/>
      <c r="O778" s="2"/>
    </row>
    <row r="779" spans="7:15" ht="15.75" customHeight="1">
      <c r="G779" s="2"/>
      <c r="H779" s="2"/>
      <c r="I779" s="2"/>
      <c r="K779" s="253"/>
      <c r="L779" s="2"/>
      <c r="M779" s="2"/>
      <c r="N779" s="2"/>
      <c r="O779" s="2"/>
    </row>
    <row r="780" spans="7:15" ht="15.75" customHeight="1">
      <c r="G780" s="2"/>
      <c r="H780" s="2"/>
      <c r="I780" s="2"/>
      <c r="K780" s="253"/>
      <c r="L780" s="2"/>
      <c r="M780" s="2"/>
      <c r="N780" s="2"/>
      <c r="O780" s="2"/>
    </row>
    <row r="781" spans="7:15" ht="15.75" customHeight="1">
      <c r="G781" s="2"/>
      <c r="H781" s="2"/>
      <c r="I781" s="2"/>
      <c r="K781" s="253"/>
      <c r="L781" s="2"/>
      <c r="M781" s="2"/>
      <c r="N781" s="2"/>
      <c r="O781" s="2"/>
    </row>
    <row r="782" spans="7:15" ht="15.75" customHeight="1">
      <c r="G782" s="2"/>
      <c r="H782" s="2"/>
      <c r="I782" s="2"/>
      <c r="K782" s="253"/>
      <c r="L782" s="2"/>
      <c r="M782" s="2"/>
      <c r="N782" s="2"/>
      <c r="O782" s="2"/>
    </row>
    <row r="783" spans="7:15" ht="15.75" customHeight="1">
      <c r="G783" s="2"/>
      <c r="H783" s="2"/>
      <c r="I783" s="2"/>
      <c r="K783" s="253"/>
      <c r="L783" s="2"/>
      <c r="M783" s="2"/>
      <c r="N783" s="2"/>
      <c r="O783" s="2"/>
    </row>
    <row r="784" spans="7:15" ht="15.75" customHeight="1">
      <c r="G784" s="2"/>
      <c r="H784" s="2"/>
      <c r="I784" s="2"/>
      <c r="K784" s="253"/>
      <c r="L784" s="2"/>
      <c r="M784" s="2"/>
      <c r="N784" s="2"/>
      <c r="O784" s="2"/>
    </row>
    <row r="785" spans="7:15" ht="15.75" customHeight="1">
      <c r="G785" s="2"/>
      <c r="H785" s="2"/>
      <c r="I785" s="2"/>
      <c r="K785" s="253"/>
      <c r="L785" s="2"/>
      <c r="M785" s="2"/>
      <c r="N785" s="2"/>
      <c r="O785" s="2"/>
    </row>
    <row r="786" spans="7:15" ht="15.75" customHeight="1">
      <c r="G786" s="2"/>
      <c r="H786" s="2"/>
      <c r="I786" s="2"/>
      <c r="K786" s="253"/>
      <c r="L786" s="2"/>
      <c r="M786" s="2"/>
      <c r="N786" s="2"/>
      <c r="O786" s="2"/>
    </row>
    <row r="787" spans="7:15" ht="15.75" customHeight="1">
      <c r="G787" s="2"/>
      <c r="H787" s="2"/>
      <c r="I787" s="2"/>
      <c r="K787" s="253"/>
      <c r="L787" s="2"/>
      <c r="M787" s="2"/>
      <c r="N787" s="2"/>
      <c r="O787" s="2"/>
    </row>
    <row r="788" spans="7:15" ht="15.75" customHeight="1">
      <c r="G788" s="2"/>
      <c r="H788" s="2"/>
      <c r="I788" s="2"/>
      <c r="K788" s="253"/>
      <c r="L788" s="2"/>
      <c r="M788" s="2"/>
      <c r="N788" s="2"/>
      <c r="O788" s="2"/>
    </row>
    <row r="789" spans="7:15" ht="15.75" customHeight="1">
      <c r="G789" s="2"/>
      <c r="H789" s="2"/>
      <c r="I789" s="2"/>
      <c r="K789" s="253"/>
      <c r="L789" s="2"/>
      <c r="M789" s="2"/>
      <c r="N789" s="2"/>
      <c r="O789" s="2"/>
    </row>
    <row r="790" spans="7:15" ht="15.75" customHeight="1">
      <c r="G790" s="2"/>
      <c r="H790" s="2"/>
      <c r="I790" s="2"/>
      <c r="K790" s="253"/>
      <c r="L790" s="2"/>
      <c r="M790" s="2"/>
      <c r="N790" s="2"/>
      <c r="O790" s="2"/>
    </row>
    <row r="791" spans="7:15" ht="15.75" customHeight="1">
      <c r="G791" s="2"/>
      <c r="H791" s="2"/>
      <c r="I791" s="2"/>
      <c r="K791" s="253"/>
      <c r="L791" s="2"/>
      <c r="M791" s="2"/>
      <c r="N791" s="2"/>
      <c r="O791" s="2"/>
    </row>
    <row r="792" spans="7:15" ht="15.75" customHeight="1">
      <c r="G792" s="2"/>
      <c r="H792" s="2"/>
      <c r="I792" s="2"/>
      <c r="K792" s="253"/>
      <c r="L792" s="2"/>
      <c r="M792" s="2"/>
      <c r="N792" s="2"/>
      <c r="O792" s="2"/>
    </row>
    <row r="793" spans="7:15" ht="15.75" customHeight="1">
      <c r="G793" s="2"/>
      <c r="H793" s="2"/>
      <c r="I793" s="2"/>
      <c r="K793" s="253"/>
      <c r="L793" s="2"/>
      <c r="M793" s="2"/>
      <c r="N793" s="2"/>
      <c r="O793" s="2"/>
    </row>
    <row r="794" spans="7:15" ht="15.75" customHeight="1">
      <c r="G794" s="2"/>
      <c r="H794" s="2"/>
      <c r="I794" s="2"/>
      <c r="K794" s="253"/>
      <c r="L794" s="2"/>
      <c r="M794" s="2"/>
      <c r="N794" s="2"/>
      <c r="O794" s="2"/>
    </row>
    <row r="795" spans="7:15" ht="15.75" customHeight="1">
      <c r="G795" s="2"/>
      <c r="H795" s="2"/>
      <c r="I795" s="2"/>
      <c r="K795" s="253"/>
      <c r="L795" s="2"/>
      <c r="M795" s="2"/>
      <c r="N795" s="2"/>
      <c r="O795" s="2"/>
    </row>
    <row r="796" spans="7:15" ht="15.75" customHeight="1">
      <c r="G796" s="2"/>
      <c r="H796" s="2"/>
      <c r="I796" s="2"/>
      <c r="K796" s="253"/>
      <c r="L796" s="2"/>
      <c r="M796" s="2"/>
      <c r="N796" s="2"/>
      <c r="O796" s="2"/>
    </row>
    <row r="797" spans="7:15" ht="15.75" customHeight="1">
      <c r="G797" s="2"/>
      <c r="H797" s="2"/>
      <c r="I797" s="2"/>
      <c r="K797" s="253"/>
      <c r="L797" s="2"/>
      <c r="M797" s="2"/>
      <c r="N797" s="2"/>
      <c r="O797" s="2"/>
    </row>
    <row r="798" spans="7:15" ht="15.75" customHeight="1">
      <c r="G798" s="2"/>
      <c r="H798" s="2"/>
      <c r="I798" s="2"/>
      <c r="K798" s="253"/>
      <c r="L798" s="2"/>
      <c r="M798" s="2"/>
      <c r="N798" s="2"/>
      <c r="O798" s="2"/>
    </row>
    <row r="799" spans="7:15" ht="15.75" customHeight="1">
      <c r="G799" s="2"/>
      <c r="H799" s="2"/>
      <c r="I799" s="2"/>
      <c r="K799" s="253"/>
      <c r="L799" s="2"/>
      <c r="M799" s="2"/>
      <c r="N799" s="2"/>
      <c r="O799" s="2"/>
    </row>
    <row r="800" spans="7:15" ht="15.75" customHeight="1">
      <c r="G800" s="2"/>
      <c r="H800" s="2"/>
      <c r="I800" s="2"/>
      <c r="K800" s="253"/>
      <c r="L800" s="2"/>
      <c r="M800" s="2"/>
      <c r="N800" s="2"/>
      <c r="O800" s="2"/>
    </row>
    <row r="801" spans="7:15" ht="15.75" customHeight="1">
      <c r="G801" s="2"/>
      <c r="H801" s="2"/>
      <c r="I801" s="2"/>
      <c r="K801" s="253"/>
      <c r="L801" s="2"/>
      <c r="M801" s="2"/>
      <c r="N801" s="2"/>
      <c r="O801" s="2"/>
    </row>
    <row r="802" spans="7:15" ht="15.75" customHeight="1">
      <c r="G802" s="2"/>
      <c r="H802" s="2"/>
      <c r="I802" s="2"/>
      <c r="K802" s="253"/>
      <c r="L802" s="2"/>
      <c r="M802" s="2"/>
      <c r="N802" s="2"/>
      <c r="O802" s="2"/>
    </row>
    <row r="803" spans="7:15" ht="15.75" customHeight="1">
      <c r="G803" s="2"/>
      <c r="H803" s="2"/>
      <c r="I803" s="2"/>
      <c r="K803" s="253"/>
      <c r="L803" s="2"/>
      <c r="M803" s="2"/>
      <c r="N803" s="2"/>
      <c r="O803" s="2"/>
    </row>
    <row r="804" spans="7:15" ht="15.75" customHeight="1">
      <c r="G804" s="2"/>
      <c r="H804" s="2"/>
      <c r="I804" s="2"/>
      <c r="K804" s="253"/>
      <c r="L804" s="2"/>
      <c r="M804" s="2"/>
      <c r="N804" s="2"/>
      <c r="O804" s="2"/>
    </row>
    <row r="805" spans="7:15" ht="15.75" customHeight="1">
      <c r="G805" s="2"/>
      <c r="H805" s="2"/>
      <c r="I805" s="2"/>
      <c r="K805" s="253"/>
      <c r="L805" s="2"/>
      <c r="M805" s="2"/>
      <c r="N805" s="2"/>
      <c r="O805" s="2"/>
    </row>
    <row r="806" spans="7:15" ht="15.75" customHeight="1">
      <c r="G806" s="2"/>
      <c r="H806" s="2"/>
      <c r="I806" s="2"/>
      <c r="K806" s="253"/>
      <c r="L806" s="2"/>
      <c r="M806" s="2"/>
      <c r="N806" s="2"/>
      <c r="O806" s="2"/>
    </row>
    <row r="807" spans="7:15" ht="15.75" customHeight="1">
      <c r="G807" s="2"/>
      <c r="H807" s="2"/>
      <c r="I807" s="2"/>
      <c r="K807" s="253"/>
      <c r="L807" s="2"/>
      <c r="M807" s="2"/>
      <c r="N807" s="2"/>
      <c r="O807" s="2"/>
    </row>
    <row r="808" spans="7:15" ht="15.75" customHeight="1">
      <c r="G808" s="2"/>
      <c r="H808" s="2"/>
      <c r="I808" s="2"/>
      <c r="K808" s="253"/>
      <c r="L808" s="2"/>
      <c r="M808" s="2"/>
      <c r="N808" s="2"/>
      <c r="O808" s="2"/>
    </row>
    <row r="809" spans="7:15" ht="15.75" customHeight="1">
      <c r="G809" s="2"/>
      <c r="H809" s="2"/>
      <c r="I809" s="2"/>
      <c r="K809" s="253"/>
      <c r="L809" s="2"/>
      <c r="M809" s="2"/>
      <c r="N809" s="2"/>
      <c r="O809" s="2"/>
    </row>
    <row r="810" spans="7:15" ht="15.75" customHeight="1">
      <c r="G810" s="2"/>
      <c r="H810" s="2"/>
      <c r="I810" s="2"/>
      <c r="K810" s="253"/>
      <c r="L810" s="2"/>
      <c r="M810" s="2"/>
      <c r="N810" s="2"/>
      <c r="O810" s="2"/>
    </row>
    <row r="811" spans="7:15" ht="15.75" customHeight="1">
      <c r="G811" s="2"/>
      <c r="H811" s="2"/>
      <c r="I811" s="2"/>
      <c r="K811" s="253"/>
      <c r="L811" s="2"/>
      <c r="M811" s="2"/>
      <c r="N811" s="2"/>
      <c r="O811" s="2"/>
    </row>
    <row r="812" spans="7:15" ht="15.75" customHeight="1">
      <c r="G812" s="2"/>
      <c r="H812" s="2"/>
      <c r="I812" s="2"/>
      <c r="K812" s="253"/>
      <c r="L812" s="2"/>
      <c r="M812" s="2"/>
      <c r="N812" s="2"/>
      <c r="O812" s="2"/>
    </row>
    <row r="813" spans="7:15" ht="15.75" customHeight="1">
      <c r="G813" s="2"/>
      <c r="H813" s="2"/>
      <c r="I813" s="2"/>
      <c r="K813" s="253"/>
      <c r="L813" s="2"/>
      <c r="M813" s="2"/>
      <c r="N813" s="2"/>
      <c r="O813" s="2"/>
    </row>
    <row r="814" spans="7:15" ht="15.75" customHeight="1">
      <c r="G814" s="2"/>
      <c r="H814" s="2"/>
      <c r="I814" s="2"/>
      <c r="K814" s="253"/>
      <c r="L814" s="2"/>
      <c r="M814" s="2"/>
      <c r="N814" s="2"/>
      <c r="O814" s="2"/>
    </row>
    <row r="815" spans="7:15" ht="15.75" customHeight="1">
      <c r="G815" s="2"/>
      <c r="H815" s="2"/>
      <c r="I815" s="2"/>
      <c r="K815" s="253"/>
      <c r="L815" s="2"/>
      <c r="M815" s="2"/>
      <c r="N815" s="2"/>
      <c r="O815" s="2"/>
    </row>
    <row r="816" spans="7:15" ht="15.75" customHeight="1">
      <c r="G816" s="2"/>
      <c r="H816" s="2"/>
      <c r="I816" s="2"/>
      <c r="K816" s="253"/>
      <c r="L816" s="2"/>
      <c r="M816" s="2"/>
      <c r="N816" s="2"/>
      <c r="O816" s="2"/>
    </row>
    <row r="817" spans="7:15" ht="15.75" customHeight="1">
      <c r="G817" s="2"/>
      <c r="H817" s="2"/>
      <c r="I817" s="2"/>
      <c r="K817" s="253"/>
      <c r="L817" s="2"/>
      <c r="M817" s="2"/>
      <c r="N817" s="2"/>
      <c r="O817" s="2"/>
    </row>
    <row r="818" spans="7:15" ht="15.75" customHeight="1">
      <c r="G818" s="2"/>
      <c r="H818" s="2"/>
      <c r="I818" s="2"/>
      <c r="K818" s="253"/>
      <c r="L818" s="2"/>
      <c r="M818" s="2"/>
      <c r="N818" s="2"/>
      <c r="O818" s="2"/>
    </row>
    <row r="819" spans="7:15" ht="15.75" customHeight="1">
      <c r="G819" s="2"/>
      <c r="H819" s="2"/>
      <c r="I819" s="2"/>
      <c r="K819" s="253"/>
      <c r="L819" s="2"/>
      <c r="M819" s="2"/>
      <c r="N819" s="2"/>
      <c r="O819" s="2"/>
    </row>
    <row r="820" spans="7:15" ht="15.75" customHeight="1">
      <c r="G820" s="2"/>
      <c r="H820" s="2"/>
      <c r="I820" s="2"/>
      <c r="K820" s="253"/>
      <c r="L820" s="2"/>
      <c r="M820" s="2"/>
      <c r="N820" s="2"/>
      <c r="O820" s="2"/>
    </row>
    <row r="821" spans="7:15" ht="15.75" customHeight="1">
      <c r="G821" s="2"/>
      <c r="H821" s="2"/>
      <c r="I821" s="2"/>
      <c r="K821" s="253"/>
      <c r="L821" s="2"/>
      <c r="M821" s="2"/>
      <c r="N821" s="2"/>
      <c r="O821" s="2"/>
    </row>
    <row r="822" spans="7:15" ht="15.75" customHeight="1">
      <c r="G822" s="2"/>
      <c r="H822" s="2"/>
      <c r="I822" s="2"/>
      <c r="K822" s="253"/>
      <c r="L822" s="2"/>
      <c r="M822" s="2"/>
      <c r="N822" s="2"/>
      <c r="O822" s="2"/>
    </row>
    <row r="823" spans="7:15" ht="15.75" customHeight="1">
      <c r="G823" s="2"/>
      <c r="H823" s="2"/>
      <c r="I823" s="2"/>
      <c r="K823" s="253"/>
      <c r="L823" s="2"/>
      <c r="M823" s="2"/>
      <c r="N823" s="2"/>
      <c r="O823" s="2"/>
    </row>
    <row r="824" spans="7:15" ht="15.75" customHeight="1">
      <c r="G824" s="2"/>
      <c r="H824" s="2"/>
      <c r="I824" s="2"/>
      <c r="K824" s="253"/>
      <c r="L824" s="2"/>
      <c r="M824" s="2"/>
      <c r="N824" s="2"/>
      <c r="O824" s="2"/>
    </row>
    <row r="825" spans="7:15" ht="15.75" customHeight="1">
      <c r="G825" s="2"/>
      <c r="H825" s="2"/>
      <c r="I825" s="2"/>
      <c r="K825" s="253"/>
      <c r="L825" s="2"/>
      <c r="M825" s="2"/>
      <c r="N825" s="2"/>
      <c r="O825" s="2"/>
    </row>
    <row r="826" spans="7:15" ht="15.75" customHeight="1">
      <c r="G826" s="2"/>
      <c r="H826" s="2"/>
      <c r="I826" s="2"/>
      <c r="K826" s="253"/>
      <c r="L826" s="2"/>
      <c r="M826" s="2"/>
      <c r="N826" s="2"/>
      <c r="O826" s="2"/>
    </row>
    <row r="827" spans="7:15" ht="15.75" customHeight="1">
      <c r="G827" s="2"/>
      <c r="H827" s="2"/>
      <c r="I827" s="2"/>
      <c r="K827" s="253"/>
      <c r="L827" s="2"/>
      <c r="M827" s="2"/>
      <c r="N827" s="2"/>
      <c r="O827" s="2"/>
    </row>
    <row r="828" spans="7:15" ht="15.75" customHeight="1">
      <c r="G828" s="2"/>
      <c r="H828" s="2"/>
      <c r="I828" s="2"/>
      <c r="K828" s="253"/>
      <c r="L828" s="2"/>
      <c r="M828" s="2"/>
      <c r="N828" s="2"/>
      <c r="O828" s="2"/>
    </row>
    <row r="829" spans="7:15" ht="15.75" customHeight="1">
      <c r="G829" s="2"/>
      <c r="H829" s="2"/>
      <c r="I829" s="2"/>
      <c r="K829" s="253"/>
      <c r="L829" s="2"/>
      <c r="M829" s="2"/>
      <c r="N829" s="2"/>
      <c r="O829" s="2"/>
    </row>
    <row r="830" spans="7:15" ht="15.75" customHeight="1">
      <c r="G830" s="2"/>
      <c r="H830" s="2"/>
      <c r="I830" s="2"/>
      <c r="K830" s="253"/>
      <c r="L830" s="2"/>
      <c r="M830" s="2"/>
      <c r="N830" s="2"/>
      <c r="O830" s="2"/>
    </row>
    <row r="831" spans="7:15" ht="15.75" customHeight="1">
      <c r="G831" s="2"/>
      <c r="H831" s="2"/>
      <c r="I831" s="2"/>
      <c r="K831" s="253"/>
      <c r="L831" s="2"/>
      <c r="M831" s="2"/>
      <c r="N831" s="2"/>
      <c r="O831" s="2"/>
    </row>
    <row r="832" spans="7:15" ht="15.75" customHeight="1">
      <c r="G832" s="2"/>
      <c r="H832" s="2"/>
      <c r="I832" s="2"/>
      <c r="K832" s="253"/>
      <c r="L832" s="2"/>
      <c r="M832" s="2"/>
      <c r="N832" s="2"/>
      <c r="O832" s="2"/>
    </row>
    <row r="833" spans="7:15" ht="15.75" customHeight="1">
      <c r="G833" s="2"/>
      <c r="H833" s="2"/>
      <c r="I833" s="2"/>
      <c r="K833" s="253"/>
      <c r="L833" s="2"/>
      <c r="M833" s="2"/>
      <c r="N833" s="2"/>
      <c r="O833" s="2"/>
    </row>
    <row r="834" spans="7:15" ht="15.75" customHeight="1">
      <c r="G834" s="2"/>
      <c r="H834" s="2"/>
      <c r="I834" s="2"/>
      <c r="K834" s="253"/>
      <c r="L834" s="2"/>
      <c r="M834" s="2"/>
      <c r="N834" s="2"/>
      <c r="O834" s="2"/>
    </row>
    <row r="835" spans="7:15" ht="15.75" customHeight="1">
      <c r="G835" s="2"/>
      <c r="H835" s="2"/>
      <c r="I835" s="2"/>
      <c r="K835" s="253"/>
      <c r="L835" s="2"/>
      <c r="M835" s="2"/>
      <c r="N835" s="2"/>
      <c r="O835" s="2"/>
    </row>
    <row r="836" spans="7:15" ht="15.75" customHeight="1">
      <c r="G836" s="2"/>
      <c r="H836" s="2"/>
      <c r="I836" s="2"/>
      <c r="K836" s="253"/>
      <c r="L836" s="2"/>
      <c r="M836" s="2"/>
      <c r="N836" s="2"/>
      <c r="O836" s="2"/>
    </row>
    <row r="837" spans="7:15" ht="15.75" customHeight="1">
      <c r="G837" s="2"/>
      <c r="H837" s="2"/>
      <c r="I837" s="2"/>
      <c r="K837" s="253"/>
      <c r="L837" s="2"/>
      <c r="M837" s="2"/>
      <c r="N837" s="2"/>
      <c r="O837" s="2"/>
    </row>
    <row r="838" spans="7:15" ht="15.75" customHeight="1">
      <c r="G838" s="2"/>
      <c r="H838" s="2"/>
      <c r="I838" s="2"/>
      <c r="K838" s="253"/>
      <c r="L838" s="2"/>
      <c r="M838" s="2"/>
      <c r="N838" s="2"/>
      <c r="O838" s="2"/>
    </row>
    <row r="839" spans="7:15" ht="15.75" customHeight="1">
      <c r="G839" s="2"/>
      <c r="H839" s="2"/>
      <c r="I839" s="2"/>
      <c r="K839" s="253"/>
      <c r="L839" s="2"/>
      <c r="M839" s="2"/>
      <c r="N839" s="2"/>
      <c r="O839" s="2"/>
    </row>
    <row r="840" spans="7:15" ht="15.75" customHeight="1">
      <c r="G840" s="2"/>
      <c r="H840" s="2"/>
      <c r="I840" s="2"/>
      <c r="K840" s="253"/>
      <c r="L840" s="2"/>
      <c r="M840" s="2"/>
      <c r="N840" s="2"/>
      <c r="O840" s="2"/>
    </row>
    <row r="841" spans="7:15" ht="15.75" customHeight="1">
      <c r="G841" s="2"/>
      <c r="H841" s="2"/>
      <c r="I841" s="2"/>
      <c r="K841" s="253"/>
      <c r="L841" s="2"/>
      <c r="M841" s="2"/>
      <c r="N841" s="2"/>
      <c r="O841" s="2"/>
    </row>
    <row r="842" spans="7:15" ht="15.75" customHeight="1">
      <c r="G842" s="2"/>
      <c r="H842" s="2"/>
      <c r="I842" s="2"/>
      <c r="K842" s="253"/>
      <c r="L842" s="2"/>
      <c r="M842" s="2"/>
      <c r="N842" s="2"/>
      <c r="O842" s="2"/>
    </row>
    <row r="843" spans="7:15" ht="15.75" customHeight="1">
      <c r="G843" s="2"/>
      <c r="H843" s="2"/>
      <c r="I843" s="2"/>
      <c r="K843" s="253"/>
      <c r="L843" s="2"/>
      <c r="M843" s="2"/>
      <c r="N843" s="2"/>
      <c r="O843" s="2"/>
    </row>
    <row r="844" spans="7:15" ht="15.75" customHeight="1">
      <c r="G844" s="2"/>
      <c r="H844" s="2"/>
      <c r="I844" s="2"/>
      <c r="K844" s="253"/>
      <c r="L844" s="2"/>
      <c r="M844" s="2"/>
      <c r="N844" s="2"/>
      <c r="O844" s="2"/>
    </row>
    <row r="845" spans="7:15" ht="15.75" customHeight="1">
      <c r="G845" s="2"/>
      <c r="H845" s="2"/>
      <c r="I845" s="2"/>
      <c r="K845" s="253"/>
      <c r="L845" s="2"/>
      <c r="M845" s="2"/>
      <c r="N845" s="2"/>
      <c r="O845" s="2"/>
    </row>
    <row r="846" spans="7:15" ht="15.75" customHeight="1">
      <c r="G846" s="2"/>
      <c r="H846" s="2"/>
      <c r="I846" s="2"/>
      <c r="K846" s="253"/>
      <c r="L846" s="2"/>
      <c r="M846" s="2"/>
      <c r="N846" s="2"/>
      <c r="O846" s="2"/>
    </row>
    <row r="847" spans="7:15" ht="15.75" customHeight="1">
      <c r="G847" s="2"/>
      <c r="H847" s="2"/>
      <c r="I847" s="2"/>
      <c r="K847" s="253"/>
      <c r="L847" s="2"/>
      <c r="M847" s="2"/>
      <c r="N847" s="2"/>
      <c r="O847" s="2"/>
    </row>
    <row r="848" spans="7:15" ht="15.75" customHeight="1">
      <c r="G848" s="2"/>
      <c r="H848" s="2"/>
      <c r="I848" s="2"/>
      <c r="K848" s="253"/>
      <c r="L848" s="2"/>
      <c r="M848" s="2"/>
      <c r="N848" s="2"/>
      <c r="O848" s="2"/>
    </row>
    <row r="849" spans="7:15" ht="15.75" customHeight="1">
      <c r="G849" s="2"/>
      <c r="H849" s="2"/>
      <c r="I849" s="2"/>
      <c r="K849" s="253"/>
      <c r="L849" s="2"/>
      <c r="M849" s="2"/>
      <c r="N849" s="2"/>
      <c r="O849" s="2"/>
    </row>
    <row r="850" spans="7:15" ht="15.75" customHeight="1">
      <c r="G850" s="2"/>
      <c r="H850" s="2"/>
      <c r="I850" s="2"/>
      <c r="K850" s="253"/>
      <c r="L850" s="2"/>
      <c r="M850" s="2"/>
      <c r="N850" s="2"/>
      <c r="O850" s="2"/>
    </row>
    <row r="851" spans="7:15" ht="15.75" customHeight="1">
      <c r="G851" s="2"/>
      <c r="H851" s="2"/>
      <c r="I851" s="2"/>
      <c r="K851" s="253"/>
      <c r="L851" s="2"/>
      <c r="M851" s="2"/>
      <c r="N851" s="2"/>
      <c r="O851" s="2"/>
    </row>
    <row r="852" spans="7:15" ht="15.75" customHeight="1">
      <c r="G852" s="2"/>
      <c r="H852" s="2"/>
      <c r="I852" s="2"/>
      <c r="K852" s="253"/>
      <c r="L852" s="2"/>
      <c r="M852" s="2"/>
      <c r="N852" s="2"/>
      <c r="O852" s="2"/>
    </row>
    <row r="853" spans="7:15" ht="15.75" customHeight="1">
      <c r="G853" s="2"/>
      <c r="H853" s="2"/>
      <c r="I853" s="2"/>
      <c r="K853" s="253"/>
      <c r="L853" s="2"/>
      <c r="M853" s="2"/>
      <c r="N853" s="2"/>
      <c r="O853" s="2"/>
    </row>
    <row r="854" spans="7:15" ht="15.75" customHeight="1">
      <c r="G854" s="2"/>
      <c r="H854" s="2"/>
      <c r="I854" s="2"/>
      <c r="K854" s="253"/>
      <c r="L854" s="2"/>
      <c r="M854" s="2"/>
      <c r="N854" s="2"/>
      <c r="O854" s="2"/>
    </row>
    <row r="855" spans="7:15" ht="15.75" customHeight="1">
      <c r="G855" s="2"/>
      <c r="H855" s="2"/>
      <c r="I855" s="2"/>
      <c r="K855" s="253"/>
      <c r="L855" s="2"/>
      <c r="M855" s="2"/>
      <c r="N855" s="2"/>
      <c r="O855" s="2"/>
    </row>
    <row r="856" spans="7:15" ht="15.75" customHeight="1">
      <c r="G856" s="2"/>
      <c r="H856" s="2"/>
      <c r="I856" s="2"/>
      <c r="K856" s="253"/>
      <c r="L856" s="2"/>
      <c r="M856" s="2"/>
      <c r="N856" s="2"/>
      <c r="O856" s="2"/>
    </row>
    <row r="857" spans="7:15" ht="15.75" customHeight="1">
      <c r="G857" s="2"/>
      <c r="H857" s="2"/>
      <c r="I857" s="2"/>
      <c r="K857" s="253"/>
      <c r="L857" s="2"/>
      <c r="M857" s="2"/>
      <c r="N857" s="2"/>
      <c r="O857" s="2"/>
    </row>
    <row r="858" spans="7:15" ht="15.75" customHeight="1">
      <c r="G858" s="2"/>
      <c r="H858" s="2"/>
      <c r="I858" s="2"/>
      <c r="K858" s="253"/>
      <c r="L858" s="2"/>
      <c r="M858" s="2"/>
      <c r="N858" s="2"/>
      <c r="O858" s="2"/>
    </row>
    <row r="859" spans="7:15" ht="15.75" customHeight="1">
      <c r="G859" s="2"/>
      <c r="H859" s="2"/>
      <c r="I859" s="2"/>
      <c r="K859" s="253"/>
      <c r="L859" s="2"/>
      <c r="M859" s="2"/>
      <c r="N859" s="2"/>
      <c r="O859" s="2"/>
    </row>
    <row r="860" spans="7:15" ht="15.75" customHeight="1">
      <c r="G860" s="2"/>
      <c r="H860" s="2"/>
      <c r="I860" s="2"/>
      <c r="K860" s="253"/>
      <c r="L860" s="2"/>
      <c r="M860" s="2"/>
      <c r="N860" s="2"/>
      <c r="O860" s="2"/>
    </row>
    <row r="861" spans="7:15" ht="15.75" customHeight="1">
      <c r="G861" s="2"/>
      <c r="H861" s="2"/>
      <c r="I861" s="2"/>
      <c r="K861" s="253"/>
      <c r="L861" s="2"/>
      <c r="M861" s="2"/>
      <c r="N861" s="2"/>
      <c r="O861" s="2"/>
    </row>
    <row r="862" spans="7:15" ht="15.75" customHeight="1">
      <c r="G862" s="2"/>
      <c r="H862" s="2"/>
      <c r="I862" s="2"/>
      <c r="K862" s="253"/>
      <c r="L862" s="2"/>
      <c r="M862" s="2"/>
      <c r="N862" s="2"/>
      <c r="O862" s="2"/>
    </row>
    <row r="863" spans="7:15" ht="15.75" customHeight="1">
      <c r="G863" s="2"/>
      <c r="H863" s="2"/>
      <c r="I863" s="2"/>
      <c r="K863" s="253"/>
      <c r="L863" s="2"/>
      <c r="M863" s="2"/>
      <c r="N863" s="2"/>
      <c r="O863" s="2"/>
    </row>
    <row r="864" spans="7:15" ht="15.75" customHeight="1">
      <c r="G864" s="2"/>
      <c r="H864" s="2"/>
      <c r="I864" s="2"/>
      <c r="K864" s="253"/>
      <c r="L864" s="2"/>
      <c r="M864" s="2"/>
      <c r="N864" s="2"/>
      <c r="O864" s="2"/>
    </row>
    <row r="865" spans="7:15" ht="15.75" customHeight="1">
      <c r="G865" s="2"/>
      <c r="H865" s="2"/>
      <c r="I865" s="2"/>
      <c r="K865" s="253"/>
      <c r="L865" s="2"/>
      <c r="M865" s="2"/>
      <c r="N865" s="2"/>
      <c r="O865" s="2"/>
    </row>
    <row r="866" spans="7:15" ht="15.75" customHeight="1">
      <c r="G866" s="2"/>
      <c r="H866" s="2"/>
      <c r="I866" s="2"/>
      <c r="K866" s="253"/>
      <c r="L866" s="2"/>
      <c r="M866" s="2"/>
      <c r="N866" s="2"/>
      <c r="O866" s="2"/>
    </row>
    <row r="867" spans="7:15" ht="15.75" customHeight="1">
      <c r="G867" s="2"/>
      <c r="H867" s="2"/>
      <c r="I867" s="2"/>
      <c r="K867" s="253"/>
      <c r="L867" s="2"/>
      <c r="M867" s="2"/>
      <c r="N867" s="2"/>
      <c r="O867" s="2"/>
    </row>
    <row r="868" spans="7:15" ht="15.75" customHeight="1">
      <c r="G868" s="2"/>
      <c r="H868" s="2"/>
      <c r="I868" s="2"/>
      <c r="K868" s="253"/>
      <c r="L868" s="2"/>
      <c r="M868" s="2"/>
      <c r="N868" s="2"/>
      <c r="O868" s="2"/>
    </row>
    <row r="869" spans="7:15" ht="15.75" customHeight="1">
      <c r="G869" s="2"/>
      <c r="H869" s="2"/>
      <c r="I869" s="2"/>
      <c r="K869" s="253"/>
      <c r="L869" s="2"/>
      <c r="M869" s="2"/>
      <c r="N869" s="2"/>
      <c r="O869" s="2"/>
    </row>
    <row r="870" spans="7:15" ht="15.75" customHeight="1">
      <c r="G870" s="2"/>
      <c r="H870" s="2"/>
      <c r="I870" s="2"/>
      <c r="K870" s="253"/>
      <c r="L870" s="2"/>
      <c r="M870" s="2"/>
      <c r="N870" s="2"/>
      <c r="O870" s="2"/>
    </row>
    <row r="871" spans="7:15" ht="15.75" customHeight="1">
      <c r="G871" s="2"/>
      <c r="H871" s="2"/>
      <c r="I871" s="2"/>
      <c r="K871" s="253"/>
      <c r="L871" s="2"/>
      <c r="M871" s="2"/>
      <c r="N871" s="2"/>
      <c r="O871" s="2"/>
    </row>
    <row r="872" spans="7:15" ht="15.75" customHeight="1">
      <c r="G872" s="2"/>
      <c r="H872" s="2"/>
      <c r="I872" s="2"/>
      <c r="K872" s="253"/>
      <c r="L872" s="2"/>
      <c r="M872" s="2"/>
      <c r="N872" s="2"/>
      <c r="O872" s="2"/>
    </row>
    <row r="873" spans="7:15" ht="15.75" customHeight="1">
      <c r="G873" s="2"/>
      <c r="H873" s="2"/>
      <c r="I873" s="2"/>
      <c r="K873" s="253"/>
      <c r="L873" s="2"/>
      <c r="M873" s="2"/>
      <c r="N873" s="2"/>
      <c r="O873" s="2"/>
    </row>
    <row r="874" spans="7:15" ht="15.75" customHeight="1">
      <c r="G874" s="2"/>
      <c r="H874" s="2"/>
      <c r="I874" s="2"/>
      <c r="K874" s="253"/>
      <c r="L874" s="2"/>
      <c r="M874" s="2"/>
      <c r="N874" s="2"/>
      <c r="O874" s="2"/>
    </row>
    <row r="875" spans="7:15" ht="15.75" customHeight="1">
      <c r="G875" s="2"/>
      <c r="H875" s="2"/>
      <c r="I875" s="2"/>
      <c r="K875" s="253"/>
      <c r="L875" s="2"/>
      <c r="M875" s="2"/>
      <c r="N875" s="2"/>
      <c r="O875" s="2"/>
    </row>
    <row r="876" spans="7:15" ht="15.75" customHeight="1">
      <c r="G876" s="2"/>
      <c r="H876" s="2"/>
      <c r="I876" s="2"/>
      <c r="K876" s="253"/>
      <c r="L876" s="2"/>
      <c r="M876" s="2"/>
      <c r="N876" s="2"/>
      <c r="O876" s="2"/>
    </row>
    <row r="877" spans="7:15" ht="15.75" customHeight="1">
      <c r="G877" s="2"/>
      <c r="H877" s="2"/>
      <c r="I877" s="2"/>
      <c r="K877" s="253"/>
      <c r="L877" s="2"/>
      <c r="M877" s="2"/>
      <c r="N877" s="2"/>
      <c r="O877" s="2"/>
    </row>
    <row r="878" spans="7:15" ht="15.75" customHeight="1">
      <c r="G878" s="2"/>
      <c r="H878" s="2"/>
      <c r="I878" s="2"/>
      <c r="K878" s="253"/>
      <c r="L878" s="2"/>
      <c r="M878" s="2"/>
      <c r="N878" s="2"/>
      <c r="O878" s="2"/>
    </row>
    <row r="879" spans="7:15" ht="15.75" customHeight="1">
      <c r="G879" s="2"/>
      <c r="H879" s="2"/>
      <c r="I879" s="2"/>
      <c r="K879" s="253"/>
      <c r="L879" s="2"/>
      <c r="M879" s="2"/>
      <c r="N879" s="2"/>
      <c r="O879" s="2"/>
    </row>
    <row r="880" spans="7:15" ht="15.75" customHeight="1">
      <c r="G880" s="2"/>
      <c r="H880" s="2"/>
      <c r="I880" s="2"/>
      <c r="K880" s="253"/>
      <c r="L880" s="2"/>
      <c r="M880" s="2"/>
      <c r="N880" s="2"/>
      <c r="O880" s="2"/>
    </row>
    <row r="881" spans="7:15" ht="15.75" customHeight="1">
      <c r="G881" s="2"/>
      <c r="H881" s="2"/>
      <c r="I881" s="2"/>
      <c r="K881" s="253"/>
      <c r="L881" s="2"/>
      <c r="M881" s="2"/>
      <c r="N881" s="2"/>
      <c r="O881" s="2"/>
    </row>
    <row r="882" spans="7:15" ht="15.75" customHeight="1">
      <c r="G882" s="2"/>
      <c r="H882" s="2"/>
      <c r="I882" s="2"/>
      <c r="K882" s="253"/>
      <c r="L882" s="2"/>
      <c r="M882" s="2"/>
      <c r="N882" s="2"/>
      <c r="O882" s="2"/>
    </row>
    <row r="883" spans="7:15" ht="15.75" customHeight="1">
      <c r="G883" s="2"/>
      <c r="H883" s="2"/>
      <c r="I883" s="2"/>
      <c r="K883" s="253"/>
      <c r="L883" s="2"/>
      <c r="M883" s="2"/>
      <c r="N883" s="2"/>
      <c r="O883" s="2"/>
    </row>
    <row r="884" spans="7:15" ht="15.75" customHeight="1">
      <c r="G884" s="2"/>
      <c r="H884" s="2"/>
      <c r="I884" s="2"/>
      <c r="K884" s="253"/>
      <c r="L884" s="2"/>
      <c r="M884" s="2"/>
      <c r="N884" s="2"/>
      <c r="O884" s="2"/>
    </row>
    <row r="885" spans="7:15" ht="15.75" customHeight="1">
      <c r="G885" s="2"/>
      <c r="H885" s="2"/>
      <c r="I885" s="2"/>
      <c r="K885" s="253"/>
      <c r="L885" s="2"/>
      <c r="M885" s="2"/>
      <c r="N885" s="2"/>
      <c r="O885" s="2"/>
    </row>
    <row r="886" spans="7:15" ht="15.75" customHeight="1">
      <c r="G886" s="2"/>
      <c r="H886" s="2"/>
      <c r="I886" s="2"/>
      <c r="K886" s="253"/>
      <c r="L886" s="2"/>
      <c r="M886" s="2"/>
      <c r="N886" s="2"/>
      <c r="O886" s="2"/>
    </row>
    <row r="887" spans="7:15" ht="15.75" customHeight="1">
      <c r="G887" s="2"/>
      <c r="H887" s="2"/>
      <c r="I887" s="2"/>
      <c r="K887" s="253"/>
      <c r="L887" s="2"/>
      <c r="M887" s="2"/>
      <c r="N887" s="2"/>
      <c r="O887" s="2"/>
    </row>
    <row r="888" spans="7:15" ht="15.75" customHeight="1">
      <c r="G888" s="2"/>
      <c r="H888" s="2"/>
      <c r="I888" s="2"/>
      <c r="K888" s="253"/>
      <c r="L888" s="2"/>
      <c r="M888" s="2"/>
      <c r="N888" s="2"/>
      <c r="O888" s="2"/>
    </row>
    <row r="889" spans="7:15" ht="15.75" customHeight="1">
      <c r="G889" s="2"/>
      <c r="H889" s="2"/>
      <c r="I889" s="2"/>
      <c r="K889" s="253"/>
      <c r="L889" s="2"/>
      <c r="M889" s="2"/>
      <c r="N889" s="2"/>
      <c r="O889" s="2"/>
    </row>
    <row r="890" spans="7:15" ht="15.75" customHeight="1">
      <c r="G890" s="2"/>
      <c r="H890" s="2"/>
      <c r="I890" s="2"/>
      <c r="K890" s="253"/>
      <c r="L890" s="2"/>
      <c r="M890" s="2"/>
      <c r="N890" s="2"/>
      <c r="O890" s="2"/>
    </row>
    <row r="891" spans="7:15" ht="15.75" customHeight="1">
      <c r="G891" s="2"/>
      <c r="H891" s="2"/>
      <c r="I891" s="2"/>
      <c r="K891" s="253"/>
      <c r="L891" s="2"/>
      <c r="M891" s="2"/>
      <c r="N891" s="2"/>
      <c r="O891" s="2"/>
    </row>
    <row r="892" spans="7:15" ht="15.75" customHeight="1">
      <c r="G892" s="2"/>
      <c r="H892" s="2"/>
      <c r="I892" s="2"/>
      <c r="K892" s="253"/>
      <c r="L892" s="2"/>
      <c r="M892" s="2"/>
      <c r="N892" s="2"/>
      <c r="O892" s="2"/>
    </row>
    <row r="893" spans="7:15" ht="15.75" customHeight="1">
      <c r="G893" s="2"/>
      <c r="H893" s="2"/>
      <c r="I893" s="2"/>
      <c r="K893" s="253"/>
      <c r="L893" s="2"/>
      <c r="M893" s="2"/>
      <c r="N893" s="2"/>
      <c r="O893" s="2"/>
    </row>
    <row r="894" spans="7:15" ht="15.75" customHeight="1">
      <c r="G894" s="2"/>
      <c r="H894" s="2"/>
      <c r="I894" s="2"/>
      <c r="K894" s="253"/>
      <c r="L894" s="2"/>
      <c r="M894" s="2"/>
      <c r="N894" s="2"/>
      <c r="O894" s="2"/>
    </row>
    <row r="895" spans="7:15" ht="15.75" customHeight="1">
      <c r="G895" s="2"/>
      <c r="H895" s="2"/>
      <c r="I895" s="2"/>
      <c r="K895" s="253"/>
      <c r="L895" s="2"/>
      <c r="M895" s="2"/>
      <c r="N895" s="2"/>
      <c r="O895" s="2"/>
    </row>
    <row r="896" spans="7:15" ht="15.75" customHeight="1">
      <c r="G896" s="2"/>
      <c r="H896" s="2"/>
      <c r="I896" s="2"/>
      <c r="K896" s="253"/>
      <c r="L896" s="2"/>
      <c r="M896" s="2"/>
      <c r="N896" s="2"/>
      <c r="O896" s="2"/>
    </row>
    <row r="897" spans="7:15" ht="15.75" customHeight="1">
      <c r="G897" s="2"/>
      <c r="H897" s="2"/>
      <c r="I897" s="2"/>
      <c r="K897" s="253"/>
      <c r="L897" s="2"/>
      <c r="M897" s="2"/>
      <c r="N897" s="2"/>
      <c r="O897" s="2"/>
    </row>
    <row r="898" spans="7:15" ht="15.75" customHeight="1">
      <c r="G898" s="2"/>
      <c r="H898" s="2"/>
      <c r="I898" s="2"/>
      <c r="K898" s="253"/>
      <c r="L898" s="2"/>
      <c r="M898" s="2"/>
      <c r="N898" s="2"/>
      <c r="O898" s="2"/>
    </row>
    <row r="899" spans="7:15" ht="15.75" customHeight="1">
      <c r="G899" s="2"/>
      <c r="H899" s="2"/>
      <c r="I899" s="2"/>
      <c r="K899" s="253"/>
      <c r="L899" s="2"/>
      <c r="M899" s="2"/>
      <c r="N899" s="2"/>
      <c r="O899" s="2"/>
    </row>
    <row r="900" spans="7:15" ht="15.75" customHeight="1">
      <c r="G900" s="2"/>
      <c r="H900" s="2"/>
      <c r="I900" s="2"/>
      <c r="K900" s="253"/>
      <c r="L900" s="2"/>
      <c r="M900" s="2"/>
      <c r="N900" s="2"/>
      <c r="O900" s="2"/>
    </row>
    <row r="901" spans="7:15" ht="15.75" customHeight="1">
      <c r="G901" s="2"/>
      <c r="H901" s="2"/>
      <c r="I901" s="2"/>
      <c r="K901" s="253"/>
      <c r="L901" s="2"/>
      <c r="M901" s="2"/>
      <c r="N901" s="2"/>
      <c r="O901" s="2"/>
    </row>
    <row r="902" spans="7:15" ht="15.75" customHeight="1">
      <c r="G902" s="2"/>
      <c r="H902" s="2"/>
      <c r="I902" s="2"/>
      <c r="K902" s="253"/>
      <c r="L902" s="2"/>
      <c r="M902" s="2"/>
      <c r="N902" s="2"/>
      <c r="O902" s="2"/>
    </row>
    <row r="903" spans="7:15" ht="15.75" customHeight="1">
      <c r="G903" s="2"/>
      <c r="H903" s="2"/>
      <c r="I903" s="2"/>
      <c r="K903" s="253"/>
      <c r="L903" s="2"/>
      <c r="M903" s="2"/>
      <c r="N903" s="2"/>
      <c r="O903" s="2"/>
    </row>
    <row r="904" spans="7:15" ht="15.75" customHeight="1">
      <c r="G904" s="2"/>
      <c r="H904" s="2"/>
      <c r="I904" s="2"/>
      <c r="K904" s="253"/>
      <c r="L904" s="2"/>
      <c r="M904" s="2"/>
      <c r="N904" s="2"/>
      <c r="O904" s="2"/>
    </row>
    <row r="905" spans="7:15" ht="15.75" customHeight="1">
      <c r="G905" s="2"/>
      <c r="H905" s="2"/>
      <c r="I905" s="2"/>
      <c r="K905" s="253"/>
      <c r="L905" s="2"/>
      <c r="M905" s="2"/>
      <c r="N905" s="2"/>
      <c r="O905" s="2"/>
    </row>
    <row r="906" spans="7:15" ht="15.75" customHeight="1">
      <c r="G906" s="2"/>
      <c r="H906" s="2"/>
      <c r="I906" s="2"/>
      <c r="K906" s="253"/>
      <c r="L906" s="2"/>
      <c r="M906" s="2"/>
      <c r="N906" s="2"/>
      <c r="O906" s="2"/>
    </row>
    <row r="907" spans="7:15" ht="15.75" customHeight="1">
      <c r="G907" s="2"/>
      <c r="H907" s="2"/>
      <c r="I907" s="2"/>
      <c r="K907" s="253"/>
      <c r="L907" s="2"/>
      <c r="M907" s="2"/>
      <c r="N907" s="2"/>
      <c r="O907" s="2"/>
    </row>
    <row r="908" spans="7:15" ht="15.75" customHeight="1">
      <c r="G908" s="2"/>
      <c r="H908" s="2"/>
      <c r="I908" s="2"/>
      <c r="K908" s="253"/>
      <c r="L908" s="2"/>
      <c r="M908" s="2"/>
      <c r="N908" s="2"/>
      <c r="O908" s="2"/>
    </row>
    <row r="909" spans="7:15" ht="15.75" customHeight="1">
      <c r="G909" s="2"/>
      <c r="H909" s="2"/>
      <c r="I909" s="2"/>
      <c r="K909" s="253"/>
      <c r="L909" s="2"/>
      <c r="M909" s="2"/>
      <c r="N909" s="2"/>
      <c r="O909" s="2"/>
    </row>
    <row r="910" spans="7:15" ht="15.75" customHeight="1">
      <c r="G910" s="2"/>
      <c r="H910" s="2"/>
      <c r="I910" s="2"/>
      <c r="K910" s="253"/>
      <c r="L910" s="2"/>
      <c r="M910" s="2"/>
      <c r="N910" s="2"/>
      <c r="O910" s="2"/>
    </row>
    <row r="911" spans="7:15" ht="15.75" customHeight="1">
      <c r="G911" s="2"/>
      <c r="H911" s="2"/>
      <c r="I911" s="2"/>
      <c r="K911" s="253"/>
      <c r="L911" s="2"/>
      <c r="M911" s="2"/>
      <c r="N911" s="2"/>
      <c r="O911" s="2"/>
    </row>
    <row r="912" spans="7:15" ht="15.75" customHeight="1">
      <c r="G912" s="2"/>
      <c r="H912" s="2"/>
      <c r="I912" s="2"/>
      <c r="K912" s="253"/>
      <c r="L912" s="2"/>
      <c r="M912" s="2"/>
      <c r="N912" s="2"/>
      <c r="O912" s="2"/>
    </row>
    <row r="913" spans="7:15" ht="15.75" customHeight="1">
      <c r="G913" s="2"/>
      <c r="H913" s="2"/>
      <c r="I913" s="2"/>
      <c r="K913" s="253"/>
      <c r="L913" s="2"/>
      <c r="M913" s="2"/>
      <c r="N913" s="2"/>
      <c r="O913" s="2"/>
    </row>
    <row r="914" spans="7:15" ht="15.75" customHeight="1">
      <c r="G914" s="2"/>
      <c r="H914" s="2"/>
      <c r="I914" s="2"/>
      <c r="K914" s="253"/>
      <c r="L914" s="2"/>
      <c r="M914" s="2"/>
      <c r="N914" s="2"/>
      <c r="O914" s="2"/>
    </row>
    <row r="915" spans="7:15" ht="15.75" customHeight="1">
      <c r="G915" s="2"/>
      <c r="H915" s="2"/>
      <c r="I915" s="2"/>
      <c r="K915" s="253"/>
      <c r="L915" s="2"/>
      <c r="M915" s="2"/>
      <c r="N915" s="2"/>
      <c r="O915" s="2"/>
    </row>
    <row r="916" spans="7:15" ht="15.75" customHeight="1">
      <c r="G916" s="2"/>
      <c r="H916" s="2"/>
      <c r="I916" s="2"/>
      <c r="K916" s="253"/>
      <c r="L916" s="2"/>
      <c r="M916" s="2"/>
      <c r="N916" s="2"/>
      <c r="O916" s="2"/>
    </row>
    <row r="917" spans="7:15" ht="15.75" customHeight="1">
      <c r="G917" s="2"/>
      <c r="H917" s="2"/>
      <c r="I917" s="2"/>
      <c r="K917" s="253"/>
      <c r="L917" s="2"/>
      <c r="M917" s="2"/>
      <c r="N917" s="2"/>
      <c r="O917" s="2"/>
    </row>
    <row r="918" spans="7:15" ht="15.75" customHeight="1">
      <c r="G918" s="2"/>
      <c r="H918" s="2"/>
      <c r="I918" s="2"/>
      <c r="K918" s="253"/>
      <c r="L918" s="2"/>
      <c r="M918" s="2"/>
      <c r="N918" s="2"/>
      <c r="O918" s="2"/>
    </row>
    <row r="919" spans="7:15" ht="15.75" customHeight="1">
      <c r="G919" s="2"/>
      <c r="H919" s="2"/>
      <c r="I919" s="2"/>
      <c r="K919" s="253"/>
      <c r="L919" s="2"/>
      <c r="M919" s="2"/>
      <c r="N919" s="2"/>
      <c r="O919" s="2"/>
    </row>
    <row r="920" spans="7:15" ht="15.75" customHeight="1">
      <c r="G920" s="2"/>
      <c r="H920" s="2"/>
      <c r="I920" s="2"/>
      <c r="K920" s="253"/>
      <c r="L920" s="2"/>
      <c r="M920" s="2"/>
      <c r="N920" s="2"/>
      <c r="O920" s="2"/>
    </row>
    <row r="921" spans="7:15" ht="15.75" customHeight="1">
      <c r="G921" s="2"/>
      <c r="H921" s="2"/>
      <c r="I921" s="2"/>
      <c r="K921" s="253"/>
      <c r="L921" s="2"/>
      <c r="M921" s="2"/>
      <c r="N921" s="2"/>
      <c r="O921" s="2"/>
    </row>
    <row r="922" spans="7:15" ht="15.75" customHeight="1">
      <c r="G922" s="2"/>
      <c r="H922" s="2"/>
      <c r="I922" s="2"/>
      <c r="K922" s="253"/>
      <c r="L922" s="2"/>
      <c r="M922" s="2"/>
      <c r="N922" s="2"/>
      <c r="O922" s="2"/>
    </row>
    <row r="923" spans="7:15" ht="15.75" customHeight="1">
      <c r="G923" s="2"/>
      <c r="H923" s="2"/>
      <c r="I923" s="2"/>
      <c r="K923" s="253"/>
      <c r="L923" s="2"/>
      <c r="M923" s="2"/>
      <c r="N923" s="2"/>
      <c r="O923" s="2"/>
    </row>
    <row r="924" spans="7:15" ht="15.75" customHeight="1">
      <c r="G924" s="2"/>
      <c r="H924" s="2"/>
      <c r="I924" s="2"/>
      <c r="K924" s="253"/>
      <c r="L924" s="2"/>
      <c r="M924" s="2"/>
      <c r="N924" s="2"/>
      <c r="O924" s="2"/>
    </row>
    <row r="925" spans="7:15" ht="15.75" customHeight="1">
      <c r="G925" s="2"/>
      <c r="H925" s="2"/>
      <c r="I925" s="2"/>
      <c r="K925" s="253"/>
      <c r="L925" s="2"/>
      <c r="M925" s="2"/>
      <c r="N925" s="2"/>
      <c r="O925" s="2"/>
    </row>
    <row r="926" spans="7:15" ht="15.75" customHeight="1">
      <c r="G926" s="2"/>
      <c r="H926" s="2"/>
      <c r="I926" s="2"/>
      <c r="K926" s="253"/>
      <c r="L926" s="2"/>
      <c r="M926" s="2"/>
      <c r="N926" s="2"/>
      <c r="O926" s="2"/>
    </row>
    <row r="927" spans="7:15" ht="15.75" customHeight="1">
      <c r="G927" s="2"/>
      <c r="H927" s="2"/>
      <c r="I927" s="2"/>
      <c r="K927" s="253"/>
      <c r="L927" s="2"/>
      <c r="M927" s="2"/>
      <c r="N927" s="2"/>
      <c r="O927" s="2"/>
    </row>
    <row r="928" spans="7:15" ht="15.75" customHeight="1">
      <c r="G928" s="2"/>
      <c r="H928" s="2"/>
      <c r="I928" s="2"/>
      <c r="K928" s="253"/>
      <c r="L928" s="2"/>
      <c r="M928" s="2"/>
      <c r="N928" s="2"/>
      <c r="O928" s="2"/>
    </row>
    <row r="929" spans="7:15" ht="15.75" customHeight="1">
      <c r="G929" s="2"/>
      <c r="H929" s="2"/>
      <c r="I929" s="2"/>
      <c r="K929" s="253"/>
      <c r="L929" s="2"/>
      <c r="M929" s="2"/>
      <c r="N929" s="2"/>
      <c r="O929" s="2"/>
    </row>
    <row r="930" spans="7:15" ht="15.75" customHeight="1">
      <c r="G930" s="2"/>
      <c r="H930" s="2"/>
      <c r="I930" s="2"/>
      <c r="K930" s="253"/>
      <c r="L930" s="2"/>
      <c r="M930" s="2"/>
      <c r="N930" s="2"/>
      <c r="O930" s="2"/>
    </row>
    <row r="931" spans="7:15" ht="15.75" customHeight="1">
      <c r="G931" s="2"/>
      <c r="H931" s="2"/>
      <c r="I931" s="2"/>
      <c r="K931" s="253"/>
      <c r="L931" s="2"/>
      <c r="M931" s="2"/>
      <c r="N931" s="2"/>
      <c r="O931" s="2"/>
    </row>
    <row r="932" spans="7:15" ht="15.75" customHeight="1">
      <c r="G932" s="2"/>
      <c r="H932" s="2"/>
      <c r="I932" s="2"/>
      <c r="K932" s="253"/>
      <c r="L932" s="2"/>
      <c r="M932" s="2"/>
      <c r="N932" s="2"/>
      <c r="O932" s="2"/>
    </row>
    <row r="933" spans="7:15" ht="15.75" customHeight="1">
      <c r="G933" s="2"/>
      <c r="H933" s="2"/>
      <c r="I933" s="2"/>
      <c r="K933" s="253"/>
      <c r="L933" s="2"/>
      <c r="M933" s="2"/>
      <c r="N933" s="2"/>
      <c r="O933" s="2"/>
    </row>
    <row r="934" spans="7:15" ht="15.75" customHeight="1">
      <c r="G934" s="2"/>
      <c r="H934" s="2"/>
      <c r="I934" s="2"/>
      <c r="K934" s="253"/>
      <c r="L934" s="2"/>
      <c r="M934" s="2"/>
      <c r="N934" s="2"/>
      <c r="O934" s="2"/>
    </row>
    <row r="935" spans="7:15" ht="15.75" customHeight="1">
      <c r="G935" s="2"/>
      <c r="H935" s="2"/>
      <c r="I935" s="2"/>
      <c r="K935" s="253"/>
      <c r="L935" s="2"/>
      <c r="M935" s="2"/>
      <c r="N935" s="2"/>
      <c r="O935" s="2"/>
    </row>
    <row r="936" spans="7:15" ht="15.75" customHeight="1">
      <c r="G936" s="2"/>
      <c r="H936" s="2"/>
      <c r="I936" s="2"/>
      <c r="K936" s="253"/>
      <c r="L936" s="2"/>
      <c r="M936" s="2"/>
      <c r="N936" s="2"/>
      <c r="O936" s="2"/>
    </row>
    <row r="937" spans="7:15" ht="15.75" customHeight="1">
      <c r="G937" s="2"/>
      <c r="H937" s="2"/>
      <c r="I937" s="2"/>
      <c r="K937" s="253"/>
      <c r="L937" s="2"/>
      <c r="M937" s="2"/>
      <c r="N937" s="2"/>
      <c r="O937" s="2"/>
    </row>
    <row r="938" spans="7:15" ht="15.75" customHeight="1">
      <c r="G938" s="2"/>
      <c r="H938" s="2"/>
      <c r="I938" s="2"/>
      <c r="K938" s="253"/>
      <c r="L938" s="2"/>
      <c r="M938" s="2"/>
      <c r="N938" s="2"/>
      <c r="O938" s="2"/>
    </row>
    <row r="939" spans="7:15" ht="15.75" customHeight="1">
      <c r="G939" s="2"/>
      <c r="H939" s="2"/>
      <c r="I939" s="2"/>
      <c r="K939" s="253"/>
      <c r="L939" s="2"/>
      <c r="M939" s="2"/>
      <c r="N939" s="2"/>
      <c r="O939" s="2"/>
    </row>
    <row r="940" spans="7:15" ht="15.75" customHeight="1">
      <c r="G940" s="2"/>
      <c r="H940" s="2"/>
      <c r="I940" s="2"/>
      <c r="K940" s="253"/>
      <c r="L940" s="2"/>
      <c r="M940" s="2"/>
      <c r="N940" s="2"/>
      <c r="O940" s="2"/>
    </row>
    <row r="941" spans="7:15" ht="15.75" customHeight="1">
      <c r="G941" s="2"/>
      <c r="H941" s="2"/>
      <c r="I941" s="2"/>
      <c r="K941" s="253"/>
      <c r="L941" s="2"/>
      <c r="M941" s="2"/>
      <c r="N941" s="2"/>
      <c r="O941" s="2"/>
    </row>
    <row r="942" spans="7:15" ht="15.75" customHeight="1">
      <c r="G942" s="2"/>
      <c r="H942" s="2"/>
      <c r="I942" s="2"/>
      <c r="K942" s="253"/>
      <c r="L942" s="2"/>
      <c r="M942" s="2"/>
      <c r="N942" s="2"/>
      <c r="O942" s="2"/>
    </row>
    <row r="943" spans="7:15" ht="15.75" customHeight="1">
      <c r="G943" s="2"/>
      <c r="H943" s="2"/>
      <c r="I943" s="2"/>
      <c r="K943" s="253"/>
      <c r="L943" s="2"/>
      <c r="M943" s="2"/>
      <c r="N943" s="2"/>
      <c r="O943" s="2"/>
    </row>
    <row r="944" spans="7:15" ht="15.75" customHeight="1">
      <c r="G944" s="2"/>
      <c r="H944" s="2"/>
      <c r="I944" s="2"/>
      <c r="K944" s="253"/>
      <c r="L944" s="2"/>
      <c r="M944" s="2"/>
      <c r="N944" s="2"/>
      <c r="O944" s="2"/>
    </row>
    <row r="945" spans="7:15" ht="15.75" customHeight="1">
      <c r="G945" s="2"/>
      <c r="H945" s="2"/>
      <c r="I945" s="2"/>
      <c r="K945" s="253"/>
      <c r="L945" s="2"/>
      <c r="M945" s="2"/>
      <c r="N945" s="2"/>
      <c r="O945" s="2"/>
    </row>
    <row r="946" spans="7:15" ht="15.75" customHeight="1">
      <c r="G946" s="2"/>
      <c r="H946" s="2"/>
      <c r="I946" s="2"/>
      <c r="K946" s="253"/>
      <c r="L946" s="2"/>
      <c r="M946" s="2"/>
      <c r="N946" s="2"/>
      <c r="O946" s="2"/>
    </row>
    <row r="947" spans="7:15" ht="15.75" customHeight="1">
      <c r="G947" s="2"/>
      <c r="H947" s="2"/>
      <c r="I947" s="2"/>
      <c r="K947" s="253"/>
      <c r="L947" s="2"/>
      <c r="M947" s="2"/>
      <c r="N947" s="2"/>
      <c r="O947" s="2"/>
    </row>
    <row r="948" spans="7:15" ht="15.75" customHeight="1">
      <c r="G948" s="2"/>
      <c r="H948" s="2"/>
      <c r="I948" s="2"/>
      <c r="K948" s="253"/>
      <c r="L948" s="2"/>
      <c r="M948" s="2"/>
      <c r="N948" s="2"/>
      <c r="O948" s="2"/>
    </row>
    <row r="949" spans="7:15" ht="15.75" customHeight="1">
      <c r="G949" s="2"/>
      <c r="H949" s="2"/>
      <c r="I949" s="2"/>
      <c r="K949" s="253"/>
      <c r="L949" s="2"/>
      <c r="M949" s="2"/>
      <c r="N949" s="2"/>
      <c r="O949" s="2"/>
    </row>
    <row r="950" spans="7:15" ht="15.75" customHeight="1">
      <c r="G950" s="2"/>
      <c r="H950" s="2"/>
      <c r="I950" s="2"/>
      <c r="K950" s="253"/>
      <c r="L950" s="2"/>
      <c r="M950" s="2"/>
      <c r="N950" s="2"/>
      <c r="O950" s="2"/>
    </row>
    <row r="951" spans="7:15" ht="15.75" customHeight="1">
      <c r="G951" s="2"/>
      <c r="H951" s="2"/>
      <c r="I951" s="2"/>
      <c r="K951" s="253"/>
      <c r="L951" s="2"/>
      <c r="M951" s="2"/>
      <c r="N951" s="2"/>
      <c r="O951" s="2"/>
    </row>
    <row r="952" spans="7:15" ht="15.75" customHeight="1">
      <c r="G952" s="2"/>
      <c r="H952" s="2"/>
      <c r="I952" s="2"/>
      <c r="K952" s="253"/>
      <c r="L952" s="2"/>
      <c r="M952" s="2"/>
      <c r="N952" s="2"/>
      <c r="O952" s="2"/>
    </row>
    <row r="953" spans="7:15" ht="15.75" customHeight="1">
      <c r="G953" s="2"/>
      <c r="H953" s="2"/>
      <c r="I953" s="2"/>
      <c r="K953" s="253"/>
      <c r="L953" s="2"/>
      <c r="M953" s="2"/>
      <c r="N953" s="2"/>
      <c r="O953" s="2"/>
    </row>
    <row r="954" spans="7:15" ht="15.75" customHeight="1">
      <c r="G954" s="2"/>
      <c r="H954" s="2"/>
      <c r="I954" s="2"/>
      <c r="K954" s="253"/>
      <c r="L954" s="2"/>
      <c r="M954" s="2"/>
      <c r="N954" s="2"/>
      <c r="O954" s="2"/>
    </row>
    <row r="955" spans="7:15" ht="15.75" customHeight="1">
      <c r="G955" s="2"/>
      <c r="H955" s="2"/>
      <c r="I955" s="2"/>
      <c r="K955" s="253"/>
      <c r="L955" s="2"/>
      <c r="M955" s="2"/>
      <c r="N955" s="2"/>
      <c r="O955" s="2"/>
    </row>
    <row r="956" spans="7:15" ht="15.75" customHeight="1">
      <c r="G956" s="2"/>
      <c r="H956" s="2"/>
      <c r="I956" s="2"/>
      <c r="K956" s="253"/>
      <c r="L956" s="2"/>
      <c r="M956" s="2"/>
      <c r="N956" s="2"/>
      <c r="O956" s="2"/>
    </row>
    <row r="957" spans="7:15" ht="15.75" customHeight="1">
      <c r="G957" s="2"/>
      <c r="H957" s="2"/>
      <c r="I957" s="2"/>
      <c r="K957" s="253"/>
      <c r="L957" s="2"/>
      <c r="M957" s="2"/>
      <c r="N957" s="2"/>
      <c r="O957" s="2"/>
    </row>
    <row r="958" spans="7:15" ht="15.75" customHeight="1">
      <c r="G958" s="2"/>
      <c r="H958" s="2"/>
      <c r="I958" s="2"/>
      <c r="K958" s="253"/>
      <c r="L958" s="2"/>
      <c r="M958" s="2"/>
      <c r="N958" s="2"/>
      <c r="O958" s="2"/>
    </row>
    <row r="959" spans="7:15" ht="15.75" customHeight="1">
      <c r="G959" s="2"/>
      <c r="H959" s="2"/>
      <c r="I959" s="2"/>
      <c r="K959" s="253"/>
      <c r="L959" s="2"/>
      <c r="M959" s="2"/>
      <c r="N959" s="2"/>
      <c r="O959" s="2"/>
    </row>
    <row r="960" spans="7:15" ht="15.75" customHeight="1">
      <c r="G960" s="2"/>
      <c r="H960" s="2"/>
      <c r="I960" s="2"/>
      <c r="K960" s="253"/>
      <c r="L960" s="2"/>
      <c r="M960" s="2"/>
      <c r="N960" s="2"/>
      <c r="O960" s="2"/>
    </row>
    <row r="961" spans="7:15" ht="15.75" customHeight="1">
      <c r="G961" s="2"/>
      <c r="H961" s="2"/>
      <c r="I961" s="2"/>
      <c r="K961" s="253"/>
      <c r="L961" s="2"/>
      <c r="M961" s="2"/>
      <c r="N961" s="2"/>
      <c r="O961" s="2"/>
    </row>
    <row r="962" spans="7:15" ht="15.75" customHeight="1">
      <c r="G962" s="2"/>
      <c r="H962" s="2"/>
      <c r="I962" s="2"/>
      <c r="K962" s="253"/>
      <c r="L962" s="2"/>
      <c r="M962" s="2"/>
      <c r="N962" s="2"/>
      <c r="O962" s="2"/>
    </row>
    <row r="963" spans="7:15" ht="15.75" customHeight="1">
      <c r="G963" s="2"/>
      <c r="H963" s="2"/>
      <c r="I963" s="2"/>
      <c r="K963" s="253"/>
      <c r="L963" s="2"/>
      <c r="M963" s="2"/>
      <c r="N963" s="2"/>
      <c r="O963" s="2"/>
    </row>
    <row r="964" spans="7:15" ht="15.75" customHeight="1">
      <c r="G964" s="2"/>
      <c r="H964" s="2"/>
      <c r="I964" s="2"/>
      <c r="K964" s="253"/>
      <c r="L964" s="2"/>
      <c r="M964" s="2"/>
      <c r="N964" s="2"/>
      <c r="O964" s="2"/>
    </row>
    <row r="965" spans="7:15" ht="15.75" customHeight="1">
      <c r="G965" s="2"/>
      <c r="H965" s="2"/>
      <c r="I965" s="2"/>
      <c r="K965" s="253"/>
      <c r="L965" s="2"/>
      <c r="M965" s="2"/>
      <c r="N965" s="2"/>
      <c r="O965" s="2"/>
    </row>
    <row r="966" spans="7:15" ht="15.75" customHeight="1">
      <c r="G966" s="2"/>
      <c r="H966" s="2"/>
      <c r="I966" s="2"/>
      <c r="K966" s="253"/>
      <c r="L966" s="2"/>
      <c r="M966" s="2"/>
      <c r="N966" s="2"/>
      <c r="O966" s="2"/>
    </row>
    <row r="967" spans="7:15" ht="15.75" customHeight="1">
      <c r="G967" s="2"/>
      <c r="H967" s="2"/>
      <c r="I967" s="2"/>
      <c r="K967" s="253"/>
      <c r="L967" s="2"/>
      <c r="M967" s="2"/>
      <c r="N967" s="2"/>
      <c r="O967" s="2"/>
    </row>
    <row r="968" spans="7:15" ht="15.75" customHeight="1">
      <c r="G968" s="2"/>
      <c r="H968" s="2"/>
      <c r="I968" s="2"/>
      <c r="K968" s="253"/>
      <c r="L968" s="2"/>
      <c r="M968" s="2"/>
      <c r="N968" s="2"/>
      <c r="O968" s="2"/>
    </row>
    <row r="969" spans="7:15" ht="15.75" customHeight="1">
      <c r="G969" s="2"/>
      <c r="H969" s="2"/>
      <c r="I969" s="2"/>
      <c r="K969" s="253"/>
      <c r="L969" s="2"/>
      <c r="M969" s="2"/>
      <c r="N969" s="2"/>
      <c r="O969" s="2"/>
    </row>
    <row r="970" spans="7:15" ht="15.75" customHeight="1">
      <c r="G970" s="2"/>
      <c r="H970" s="2"/>
      <c r="I970" s="2"/>
      <c r="K970" s="253"/>
      <c r="L970" s="2"/>
      <c r="M970" s="2"/>
      <c r="N970" s="2"/>
      <c r="O970" s="2"/>
    </row>
    <row r="971" spans="7:15" ht="15.75" customHeight="1">
      <c r="G971" s="2"/>
      <c r="H971" s="2"/>
      <c r="I971" s="2"/>
      <c r="K971" s="253"/>
      <c r="L971" s="2"/>
      <c r="M971" s="2"/>
      <c r="N971" s="2"/>
      <c r="O971" s="2"/>
    </row>
    <row r="972" spans="7:15" ht="15.75" customHeight="1">
      <c r="G972" s="2"/>
      <c r="H972" s="2"/>
      <c r="I972" s="2"/>
      <c r="K972" s="253"/>
      <c r="L972" s="2"/>
      <c r="M972" s="2"/>
      <c r="N972" s="2"/>
      <c r="O972" s="2"/>
    </row>
    <row r="973" spans="7:15" ht="15.75" customHeight="1">
      <c r="G973" s="2"/>
      <c r="H973" s="2"/>
      <c r="I973" s="2"/>
      <c r="K973" s="253"/>
      <c r="L973" s="2"/>
      <c r="M973" s="2"/>
      <c r="N973" s="2"/>
      <c r="O973" s="2"/>
    </row>
    <row r="974" spans="7:15" ht="15.75" customHeight="1">
      <c r="G974" s="2"/>
      <c r="H974" s="2"/>
      <c r="I974" s="2"/>
      <c r="K974" s="253"/>
      <c r="L974" s="2"/>
      <c r="M974" s="2"/>
      <c r="N974" s="2"/>
      <c r="O974" s="2"/>
    </row>
    <row r="975" spans="7:15" ht="15.75" customHeight="1">
      <c r="G975" s="2"/>
      <c r="H975" s="2"/>
      <c r="I975" s="2"/>
      <c r="K975" s="253"/>
      <c r="L975" s="2"/>
      <c r="M975" s="2"/>
      <c r="N975" s="2"/>
      <c r="O975" s="2"/>
    </row>
    <row r="976" spans="7:15" ht="15.75" customHeight="1">
      <c r="G976" s="2"/>
      <c r="H976" s="2"/>
      <c r="I976" s="2"/>
      <c r="K976" s="253"/>
      <c r="L976" s="2"/>
      <c r="M976" s="2"/>
      <c r="N976" s="2"/>
      <c r="O976" s="2"/>
    </row>
    <row r="977" spans="7:15" ht="15.75" customHeight="1">
      <c r="G977" s="2"/>
      <c r="H977" s="2"/>
      <c r="I977" s="2"/>
      <c r="K977" s="253"/>
      <c r="L977" s="2"/>
      <c r="M977" s="2"/>
      <c r="N977" s="2"/>
      <c r="O977" s="2"/>
    </row>
    <row r="978" spans="7:15" ht="15.75" customHeight="1">
      <c r="G978" s="2"/>
      <c r="H978" s="2"/>
      <c r="I978" s="2"/>
      <c r="K978" s="253"/>
      <c r="L978" s="2"/>
      <c r="M978" s="2"/>
      <c r="N978" s="2"/>
      <c r="O978" s="2"/>
    </row>
    <row r="979" spans="7:15" ht="15.75" customHeight="1">
      <c r="G979" s="2"/>
      <c r="H979" s="2"/>
      <c r="I979" s="2"/>
      <c r="K979" s="253"/>
      <c r="L979" s="2"/>
      <c r="M979" s="2"/>
      <c r="N979" s="2"/>
      <c r="O979" s="2"/>
    </row>
    <row r="980" spans="7:15" ht="15.75" customHeight="1">
      <c r="G980" s="2"/>
      <c r="H980" s="2"/>
      <c r="I980" s="2"/>
      <c r="K980" s="253"/>
      <c r="L980" s="2"/>
      <c r="M980" s="2"/>
      <c r="N980" s="2"/>
      <c r="O980" s="2"/>
    </row>
    <row r="981" spans="7:15" ht="15.75" customHeight="1">
      <c r="G981" s="2"/>
      <c r="H981" s="2"/>
      <c r="I981" s="2"/>
      <c r="K981" s="253"/>
      <c r="L981" s="2"/>
      <c r="M981" s="2"/>
      <c r="N981" s="2"/>
      <c r="O981" s="2"/>
    </row>
    <row r="982" spans="7:15" ht="15.75" customHeight="1">
      <c r="G982" s="2"/>
      <c r="H982" s="2"/>
      <c r="I982" s="2"/>
      <c r="K982" s="253"/>
      <c r="L982" s="2"/>
      <c r="M982" s="2"/>
      <c r="N982" s="2"/>
      <c r="O982" s="2"/>
    </row>
    <row r="983" spans="7:15" ht="15.75" customHeight="1">
      <c r="G983" s="2"/>
      <c r="H983" s="2"/>
      <c r="I983" s="2"/>
      <c r="K983" s="253"/>
      <c r="L983" s="2"/>
      <c r="M983" s="2"/>
      <c r="N983" s="2"/>
      <c r="O983" s="2"/>
    </row>
    <row r="984" spans="7:15" ht="15.75" customHeight="1">
      <c r="G984" s="2"/>
      <c r="H984" s="2"/>
      <c r="I984" s="2"/>
      <c r="K984" s="253"/>
      <c r="L984" s="2"/>
      <c r="M984" s="2"/>
      <c r="N984" s="2"/>
      <c r="O984" s="2"/>
    </row>
    <row r="985" spans="7:15" ht="15.75" customHeight="1">
      <c r="G985" s="2"/>
      <c r="H985" s="2"/>
      <c r="I985" s="2"/>
      <c r="K985" s="253"/>
      <c r="L985" s="2"/>
      <c r="M985" s="2"/>
      <c r="N985" s="2"/>
      <c r="O985" s="2"/>
    </row>
    <row r="986" spans="7:15" ht="15.75" customHeight="1">
      <c r="G986" s="2"/>
      <c r="H986" s="2"/>
      <c r="I986" s="2"/>
      <c r="K986" s="253"/>
      <c r="L986" s="2"/>
      <c r="M986" s="2"/>
      <c r="N986" s="2"/>
      <c r="O986" s="2"/>
    </row>
    <row r="987" spans="7:15" ht="15.75" customHeight="1">
      <c r="G987" s="2"/>
      <c r="H987" s="2"/>
      <c r="I987" s="2"/>
      <c r="K987" s="253"/>
      <c r="L987" s="2"/>
      <c r="M987" s="2"/>
      <c r="N987" s="2"/>
      <c r="O987" s="2"/>
    </row>
    <row r="988" spans="7:15" ht="15.75" customHeight="1">
      <c r="G988" s="2"/>
      <c r="H988" s="2"/>
      <c r="I988" s="2"/>
      <c r="K988" s="253"/>
      <c r="L988" s="2"/>
      <c r="M988" s="2"/>
      <c r="N988" s="2"/>
      <c r="O988" s="2"/>
    </row>
    <row r="989" spans="7:15" ht="15.75" customHeight="1">
      <c r="G989" s="2"/>
      <c r="H989" s="2"/>
      <c r="I989" s="2"/>
      <c r="K989" s="253"/>
      <c r="L989" s="2"/>
      <c r="M989" s="2"/>
      <c r="N989" s="2"/>
      <c r="O989" s="2"/>
    </row>
    <row r="990" spans="7:15" ht="15.75" customHeight="1">
      <c r="G990" s="2"/>
      <c r="H990" s="2"/>
      <c r="I990" s="2"/>
      <c r="K990" s="253"/>
      <c r="L990" s="2"/>
      <c r="M990" s="2"/>
      <c r="N990" s="2"/>
      <c r="O990" s="2"/>
    </row>
    <row r="991" spans="7:15" ht="15.75" customHeight="1">
      <c r="G991" s="2"/>
      <c r="H991" s="2"/>
      <c r="I991" s="2"/>
      <c r="K991" s="253"/>
      <c r="L991" s="2"/>
      <c r="M991" s="2"/>
      <c r="N991" s="2"/>
      <c r="O991" s="2"/>
    </row>
    <row r="992" spans="7:15" ht="15.75" customHeight="1">
      <c r="G992" s="2"/>
      <c r="H992" s="2"/>
      <c r="I992" s="2"/>
      <c r="K992" s="253"/>
      <c r="L992" s="2"/>
      <c r="M992" s="2"/>
      <c r="N992" s="2"/>
      <c r="O992" s="2"/>
    </row>
    <row r="993" spans="7:15" ht="15.75" customHeight="1">
      <c r="G993" s="2"/>
      <c r="H993" s="2"/>
      <c r="I993" s="2"/>
      <c r="K993" s="253"/>
      <c r="L993" s="2"/>
      <c r="M993" s="2"/>
      <c r="N993" s="2"/>
      <c r="O993" s="2"/>
    </row>
    <row r="994" spans="7:15" ht="15.75" customHeight="1">
      <c r="G994" s="2"/>
      <c r="H994" s="2"/>
      <c r="I994" s="2"/>
      <c r="K994" s="253"/>
      <c r="L994" s="2"/>
      <c r="M994" s="2"/>
      <c r="N994" s="2"/>
      <c r="O994" s="2"/>
    </row>
    <row r="995" spans="7:15" ht="15.75" customHeight="1">
      <c r="G995" s="2"/>
      <c r="H995" s="2"/>
      <c r="I995" s="2"/>
      <c r="K995" s="253"/>
      <c r="L995" s="2"/>
      <c r="M995" s="2"/>
      <c r="N995" s="2"/>
      <c r="O995" s="2"/>
    </row>
    <row r="996" spans="7:15" ht="15.75" customHeight="1">
      <c r="G996" s="2"/>
      <c r="H996" s="2"/>
      <c r="I996" s="2"/>
      <c r="K996" s="253"/>
      <c r="L996" s="2"/>
      <c r="M996" s="2"/>
      <c r="N996" s="2"/>
      <c r="O996" s="2"/>
    </row>
    <row r="997" spans="7:15" ht="15.75" customHeight="1">
      <c r="G997" s="2"/>
      <c r="H997" s="2"/>
      <c r="I997" s="2"/>
      <c r="K997" s="253"/>
      <c r="L997" s="2"/>
      <c r="M997" s="2"/>
      <c r="N997" s="2"/>
      <c r="O997" s="2"/>
    </row>
    <row r="998" spans="7:15" ht="15.75" customHeight="1">
      <c r="G998" s="2"/>
      <c r="H998" s="2"/>
      <c r="I998" s="2"/>
      <c r="K998" s="253"/>
      <c r="L998" s="2"/>
      <c r="M998" s="2"/>
      <c r="N998" s="2"/>
      <c r="O998" s="2"/>
    </row>
    <row r="999" spans="7:15" ht="15.75" customHeight="1">
      <c r="G999" s="2"/>
      <c r="H999" s="2"/>
      <c r="I999" s="2"/>
      <c r="K999" s="253"/>
      <c r="L999" s="2"/>
      <c r="M999" s="2"/>
      <c r="N999" s="2"/>
      <c r="O999" s="2"/>
    </row>
    <row r="1000" spans="7:15" ht="15.75" customHeight="1">
      <c r="G1000" s="2"/>
      <c r="H1000" s="2"/>
      <c r="I1000" s="2"/>
      <c r="K1000" s="253"/>
      <c r="L1000" s="2"/>
      <c r="M1000" s="2"/>
      <c r="N1000" s="2"/>
      <c r="O1000" s="2"/>
    </row>
  </sheetData>
  <mergeCells count="20">
    <mergeCell ref="O175:P175"/>
    <mergeCell ref="E195:G195"/>
    <mergeCell ref="E196:H196"/>
    <mergeCell ref="O61:P61"/>
    <mergeCell ref="O65:P65"/>
    <mergeCell ref="O93:P93"/>
    <mergeCell ref="O94:P94"/>
    <mergeCell ref="O98:P98"/>
    <mergeCell ref="O137:P137"/>
    <mergeCell ref="O138:P138"/>
    <mergeCell ref="A8:B8"/>
    <mergeCell ref="O60:P60"/>
    <mergeCell ref="O142:P142"/>
    <mergeCell ref="O170:P170"/>
    <mergeCell ref="O171:P171"/>
    <mergeCell ref="A1:I1"/>
    <mergeCell ref="C2:G2"/>
    <mergeCell ref="J3:K3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36C09"/>
  </sheetPr>
  <dimension ref="A1:O1000"/>
  <sheetViews>
    <sheetView topLeftCell="A5" workbookViewId="0">
      <selection activeCell="E19" sqref="E19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6.28515625" customWidth="1"/>
    <col min="10" max="10" width="11.85546875" customWidth="1"/>
    <col min="11" max="11" width="9.42578125" customWidth="1"/>
    <col min="12" max="12" width="18.57031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1564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1565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1566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1567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1568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105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7</v>
      </c>
      <c r="B12" s="48" t="s">
        <v>1569</v>
      </c>
      <c r="C12" s="48"/>
      <c r="D12" s="48" t="s">
        <v>1570</v>
      </c>
      <c r="E12" s="48" t="s">
        <v>148</v>
      </c>
      <c r="F12" s="48"/>
      <c r="G12" s="117" t="s">
        <v>1571</v>
      </c>
      <c r="H12" s="118" t="s">
        <v>30</v>
      </c>
      <c r="I12" s="74">
        <v>260</v>
      </c>
      <c r="J12" s="295" t="s">
        <v>90</v>
      </c>
      <c r="K12" s="120" t="s">
        <v>31</v>
      </c>
      <c r="L12" s="48" t="s">
        <v>32</v>
      </c>
      <c r="M12" s="126">
        <v>12</v>
      </c>
      <c r="N12" s="3"/>
      <c r="O12" s="3"/>
    </row>
    <row r="13" spans="1:15">
      <c r="A13" s="48">
        <v>7</v>
      </c>
      <c r="B13" s="120" t="s">
        <v>547</v>
      </c>
      <c r="C13" s="48"/>
      <c r="D13" s="120"/>
      <c r="E13" s="120" t="s">
        <v>245</v>
      </c>
      <c r="F13" s="48"/>
      <c r="G13" s="120" t="s">
        <v>548</v>
      </c>
      <c r="H13" s="118" t="s">
        <v>30</v>
      </c>
      <c r="I13" s="74">
        <v>6500</v>
      </c>
      <c r="J13" s="113" t="s">
        <v>90</v>
      </c>
      <c r="K13" s="120"/>
      <c r="L13" s="48"/>
      <c r="M13" s="126">
        <f>6500/5</f>
        <v>1300</v>
      </c>
    </row>
    <row r="14" spans="1:15">
      <c r="A14" s="48">
        <v>18</v>
      </c>
      <c r="B14" s="255" t="s">
        <v>1572</v>
      </c>
      <c r="C14" s="120"/>
      <c r="D14" s="120"/>
      <c r="E14" s="120" t="s">
        <v>191</v>
      </c>
      <c r="F14" s="48"/>
      <c r="G14" s="120" t="s">
        <v>1573</v>
      </c>
      <c r="H14" s="118" t="s">
        <v>30</v>
      </c>
      <c r="I14" s="51">
        <v>3000</v>
      </c>
      <c r="J14" s="296" t="s">
        <v>90</v>
      </c>
      <c r="K14" s="120" t="s">
        <v>31</v>
      </c>
      <c r="L14" s="120" t="s">
        <v>32</v>
      </c>
      <c r="M14" s="126">
        <f>3000/5</f>
        <v>600</v>
      </c>
    </row>
    <row r="15" spans="1:15">
      <c r="A15" s="48">
        <v>18</v>
      </c>
      <c r="B15" s="255" t="s">
        <v>1572</v>
      </c>
      <c r="C15" s="120"/>
      <c r="D15" s="120"/>
      <c r="E15" s="120" t="s">
        <v>191</v>
      </c>
      <c r="F15" s="48"/>
      <c r="G15" s="120" t="s">
        <v>1573</v>
      </c>
      <c r="H15" s="120" t="s">
        <v>608</v>
      </c>
      <c r="I15" s="51">
        <v>9</v>
      </c>
      <c r="J15" s="296" t="s">
        <v>90</v>
      </c>
      <c r="K15" s="120"/>
      <c r="L15" s="120"/>
    </row>
    <row r="16" spans="1:15">
      <c r="A16" s="48">
        <v>28</v>
      </c>
      <c r="B16" s="120" t="s">
        <v>1574</v>
      </c>
      <c r="C16" s="48"/>
      <c r="D16" s="120" t="s">
        <v>79</v>
      </c>
      <c r="E16" s="120" t="s">
        <v>209</v>
      </c>
      <c r="F16" s="48"/>
      <c r="G16" s="120" t="s">
        <v>1575</v>
      </c>
      <c r="H16" s="259" t="s">
        <v>1576</v>
      </c>
      <c r="I16" s="260">
        <v>4000</v>
      </c>
      <c r="J16" s="258" t="s">
        <v>90</v>
      </c>
      <c r="K16" s="258" t="s">
        <v>1383</v>
      </c>
      <c r="L16" s="258" t="s">
        <v>32</v>
      </c>
    </row>
    <row r="17" spans="1:15">
      <c r="A17" s="48">
        <v>28</v>
      </c>
      <c r="B17" s="120" t="s">
        <v>1577</v>
      </c>
      <c r="C17" s="48"/>
      <c r="D17" s="120" t="s">
        <v>1578</v>
      </c>
      <c r="E17" s="120" t="s">
        <v>358</v>
      </c>
      <c r="F17" s="48"/>
      <c r="G17" s="120" t="s">
        <v>854</v>
      </c>
      <c r="H17" s="120" t="s">
        <v>1576</v>
      </c>
      <c r="I17" s="51">
        <v>10000</v>
      </c>
      <c r="J17" s="113" t="s">
        <v>90</v>
      </c>
      <c r="K17" s="120" t="s">
        <v>1579</v>
      </c>
      <c r="L17" s="120" t="s">
        <v>32</v>
      </c>
      <c r="O17" s="3"/>
    </row>
    <row r="18" spans="1:15">
      <c r="A18" s="256"/>
      <c r="B18" s="261"/>
      <c r="C18" s="48"/>
      <c r="D18" s="262"/>
      <c r="E18" s="261"/>
      <c r="F18" s="256"/>
      <c r="G18" s="262"/>
      <c r="H18" s="262"/>
      <c r="I18" s="263"/>
      <c r="J18" s="257"/>
      <c r="K18" s="264"/>
      <c r="L18" s="262"/>
    </row>
    <row r="19" spans="1:15">
      <c r="A19" s="48"/>
      <c r="B19" s="48"/>
      <c r="C19" s="48"/>
      <c r="D19" s="48"/>
      <c r="E19" s="48"/>
      <c r="F19" s="48"/>
      <c r="G19" s="48"/>
      <c r="H19" s="48"/>
      <c r="I19" s="51"/>
      <c r="J19" s="48"/>
      <c r="K19" s="114"/>
      <c r="L19" s="48"/>
    </row>
    <row r="20" spans="1:15">
      <c r="A20" s="265"/>
      <c r="B20" s="265"/>
      <c r="C20" s="265"/>
      <c r="D20" s="265"/>
      <c r="E20" s="265"/>
      <c r="F20" s="265"/>
      <c r="G20" s="265"/>
      <c r="H20" s="265"/>
      <c r="I20" s="266"/>
      <c r="J20" s="267"/>
      <c r="K20" s="268"/>
      <c r="L20" s="265"/>
    </row>
    <row r="21" spans="1:15" ht="15.75" customHeight="1">
      <c r="I21" s="83"/>
      <c r="J21" s="83"/>
    </row>
    <row r="22" spans="1:15" ht="15.75" customHeight="1">
      <c r="J22" s="137" t="s">
        <v>508</v>
      </c>
    </row>
    <row r="23" spans="1:15" ht="15.75" customHeight="1">
      <c r="J23" s="83" t="s">
        <v>511</v>
      </c>
    </row>
    <row r="24" spans="1:15" ht="15.75" customHeight="1">
      <c r="B24" s="126" t="s">
        <v>509</v>
      </c>
      <c r="E24" s="126" t="s">
        <v>510</v>
      </c>
      <c r="J24" s="83" t="s">
        <v>513</v>
      </c>
    </row>
    <row r="25" spans="1:15" ht="15.75" customHeight="1">
      <c r="J25" s="83" t="s">
        <v>946</v>
      </c>
    </row>
    <row r="26" spans="1:15" ht="15.75" customHeight="1">
      <c r="J26" s="83" t="s">
        <v>947</v>
      </c>
    </row>
    <row r="27" spans="1:15" ht="15.75" customHeight="1">
      <c r="B27" s="139" t="s">
        <v>516</v>
      </c>
      <c r="E27" s="737" t="s">
        <v>517</v>
      </c>
      <c r="F27" s="711"/>
      <c r="G27" s="711"/>
      <c r="H27" s="711"/>
      <c r="J27" s="83" t="s">
        <v>950</v>
      </c>
    </row>
    <row r="28" spans="1:15" ht="15.75" customHeight="1">
      <c r="B28" s="4" t="s">
        <v>980</v>
      </c>
      <c r="E28" s="732" t="s">
        <v>521</v>
      </c>
      <c r="F28" s="711"/>
      <c r="G28" s="711"/>
      <c r="H28" s="711"/>
      <c r="J28" s="83" t="s">
        <v>564</v>
      </c>
    </row>
    <row r="29" spans="1:15" ht="15.75" customHeight="1">
      <c r="J29" s="83" t="s">
        <v>525</v>
      </c>
    </row>
    <row r="30" spans="1:15" ht="15.75" customHeight="1">
      <c r="J30" s="10" t="s">
        <v>565</v>
      </c>
    </row>
    <row r="31" spans="1:15" ht="15.75" customHeight="1">
      <c r="J31" s="10" t="s">
        <v>953</v>
      </c>
    </row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27:H27"/>
    <mergeCell ref="E28:H28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T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3" width="9.140625" customWidth="1"/>
    <col min="14" max="15" width="8.7109375" customWidth="1"/>
    <col min="16" max="16" width="12.28515625" customWidth="1"/>
    <col min="17" max="17" width="14" customWidth="1"/>
    <col min="18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  <c r="L1" s="2"/>
      <c r="M1" s="2"/>
    </row>
    <row r="2" spans="1:13" ht="18">
      <c r="A2" s="4"/>
      <c r="B2" s="5"/>
      <c r="C2" s="712" t="s">
        <v>1580</v>
      </c>
      <c r="D2" s="711"/>
      <c r="E2" s="711"/>
      <c r="F2" s="711"/>
      <c r="G2" s="711"/>
      <c r="H2" s="6"/>
      <c r="I2" s="140"/>
      <c r="J2" s="8"/>
      <c r="K2" s="285"/>
      <c r="L2" s="2"/>
      <c r="M2" s="2"/>
    </row>
    <row r="3" spans="1:13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  <c r="L3" s="2"/>
      <c r="M3" s="2"/>
    </row>
    <row r="4" spans="1:13">
      <c r="A4" s="4"/>
      <c r="B4" s="5"/>
      <c r="C4" s="10"/>
      <c r="D4" s="5"/>
      <c r="E4" s="5"/>
      <c r="G4" s="10"/>
      <c r="H4" s="6"/>
      <c r="I4" s="141"/>
      <c r="J4" s="1" t="s">
        <v>569</v>
      </c>
      <c r="K4" s="214"/>
      <c r="L4" s="2"/>
      <c r="M4" s="2"/>
    </row>
    <row r="5" spans="1:13">
      <c r="A5" s="4"/>
      <c r="B5" s="5"/>
      <c r="C5" s="10"/>
      <c r="D5" s="5"/>
      <c r="E5" s="5"/>
      <c r="G5" s="10"/>
      <c r="H5" s="6"/>
      <c r="I5" s="141"/>
      <c r="J5" s="1" t="s">
        <v>4</v>
      </c>
      <c r="K5" s="214"/>
      <c r="L5" s="2"/>
      <c r="M5" s="2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  <c r="L6" s="2"/>
      <c r="M6" s="2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  <c r="L7" s="2"/>
      <c r="M7" s="2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  <c r="L8" s="2"/>
      <c r="M8" s="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  <c r="L9" s="2"/>
      <c r="M9" s="2"/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  <c r="L10" s="2"/>
      <c r="M10" s="2"/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2"/>
      <c r="M11" s="2"/>
    </row>
    <row r="12" spans="1:13">
      <c r="A12" s="50">
        <v>4</v>
      </c>
      <c r="B12" s="48" t="s">
        <v>1581</v>
      </c>
      <c r="C12" s="48" t="s">
        <v>27</v>
      </c>
      <c r="D12" s="48" t="s">
        <v>68</v>
      </c>
      <c r="E12" s="48" t="s">
        <v>79</v>
      </c>
      <c r="F12" s="48"/>
      <c r="G12" s="48" t="s">
        <v>1249</v>
      </c>
      <c r="H12" s="51">
        <v>500</v>
      </c>
      <c r="I12" s="119">
        <v>300</v>
      </c>
      <c r="J12" s="48" t="s">
        <v>31</v>
      </c>
      <c r="K12" s="48" t="s">
        <v>32</v>
      </c>
      <c r="L12" s="2"/>
      <c r="M12" s="2"/>
    </row>
    <row r="13" spans="1:13">
      <c r="A13" s="50">
        <v>4</v>
      </c>
      <c r="B13" s="48" t="s">
        <v>34</v>
      </c>
      <c r="C13" s="48" t="s">
        <v>27</v>
      </c>
      <c r="D13" s="48" t="s">
        <v>100</v>
      </c>
      <c r="E13" s="48" t="s">
        <v>36</v>
      </c>
      <c r="F13" s="48"/>
      <c r="G13" s="48" t="s">
        <v>1249</v>
      </c>
      <c r="H13" s="51">
        <v>800</v>
      </c>
      <c r="I13" s="119">
        <v>480</v>
      </c>
      <c r="J13" s="48" t="s">
        <v>31</v>
      </c>
      <c r="K13" s="48" t="s">
        <v>32</v>
      </c>
      <c r="L13" s="2"/>
      <c r="M13" s="2"/>
    </row>
    <row r="14" spans="1:13">
      <c r="A14" s="50">
        <v>4</v>
      </c>
      <c r="B14" s="48" t="s">
        <v>1582</v>
      </c>
      <c r="C14" s="48" t="s">
        <v>27</v>
      </c>
      <c r="D14" s="48" t="s">
        <v>1583</v>
      </c>
      <c r="E14" s="48" t="s">
        <v>36</v>
      </c>
      <c r="F14" s="48"/>
      <c r="G14" s="48" t="s">
        <v>30</v>
      </c>
      <c r="H14" s="51">
        <v>1500</v>
      </c>
      <c r="I14" s="119">
        <v>300</v>
      </c>
      <c r="J14" s="48" t="s">
        <v>31</v>
      </c>
      <c r="K14" s="48" t="s">
        <v>32</v>
      </c>
      <c r="L14" s="2"/>
      <c r="M14" s="2">
        <v>300</v>
      </c>
    </row>
    <row r="15" spans="1:13">
      <c r="A15" s="50">
        <v>4</v>
      </c>
      <c r="B15" s="48" t="s">
        <v>1584</v>
      </c>
      <c r="C15" s="48" t="s">
        <v>27</v>
      </c>
      <c r="D15" s="48" t="s">
        <v>1583</v>
      </c>
      <c r="E15" s="48" t="s">
        <v>36</v>
      </c>
      <c r="F15" s="48"/>
      <c r="G15" s="48" t="s">
        <v>30</v>
      </c>
      <c r="H15" s="51">
        <v>3000</v>
      </c>
      <c r="I15" s="119">
        <v>600</v>
      </c>
      <c r="J15" s="48" t="s">
        <v>31</v>
      </c>
      <c r="K15" s="48" t="s">
        <v>32</v>
      </c>
      <c r="L15" s="2"/>
      <c r="M15" s="2">
        <v>600</v>
      </c>
    </row>
    <row r="16" spans="1:13">
      <c r="A16" s="50">
        <v>4</v>
      </c>
      <c r="B16" s="48" t="s">
        <v>1585</v>
      </c>
      <c r="C16" s="48" t="s">
        <v>27</v>
      </c>
      <c r="D16" s="48" t="s">
        <v>266</v>
      </c>
      <c r="E16" s="48" t="s">
        <v>73</v>
      </c>
      <c r="F16" s="48"/>
      <c r="G16" s="48" t="s">
        <v>30</v>
      </c>
      <c r="H16" s="51">
        <v>1000</v>
      </c>
      <c r="I16" s="49">
        <v>200</v>
      </c>
      <c r="J16" s="48" t="s">
        <v>31</v>
      </c>
      <c r="K16" s="48" t="s">
        <v>32</v>
      </c>
      <c r="L16" s="2"/>
      <c r="M16" s="2">
        <v>800</v>
      </c>
    </row>
    <row r="17" spans="1:13">
      <c r="A17" s="50">
        <v>4</v>
      </c>
      <c r="B17" s="48" t="s">
        <v>1585</v>
      </c>
      <c r="C17" s="48" t="s">
        <v>27</v>
      </c>
      <c r="D17" s="48" t="s">
        <v>266</v>
      </c>
      <c r="E17" s="48" t="s">
        <v>73</v>
      </c>
      <c r="F17" s="48"/>
      <c r="G17" s="48" t="s">
        <v>30</v>
      </c>
      <c r="H17" s="51">
        <v>500</v>
      </c>
      <c r="I17" s="119" t="s">
        <v>1586</v>
      </c>
      <c r="J17" s="48" t="s">
        <v>31</v>
      </c>
      <c r="K17" s="48" t="s">
        <v>32</v>
      </c>
      <c r="L17" s="2"/>
      <c r="M17" s="2"/>
    </row>
    <row r="18" spans="1:13">
      <c r="A18" s="50">
        <v>4</v>
      </c>
      <c r="B18" s="48" t="s">
        <v>49</v>
      </c>
      <c r="C18" s="48" t="s">
        <v>39</v>
      </c>
      <c r="D18" s="48" t="s">
        <v>50</v>
      </c>
      <c r="E18" s="48" t="s">
        <v>51</v>
      </c>
      <c r="F18" s="48"/>
      <c r="G18" s="48" t="s">
        <v>30</v>
      </c>
      <c r="H18" s="51">
        <v>500</v>
      </c>
      <c r="I18" s="119" t="s">
        <v>1586</v>
      </c>
      <c r="J18" s="48" t="s">
        <v>31</v>
      </c>
      <c r="K18" s="48" t="s">
        <v>32</v>
      </c>
      <c r="L18" s="2"/>
      <c r="M18" s="2">
        <v>900</v>
      </c>
    </row>
    <row r="19" spans="1:13">
      <c r="A19" s="50">
        <v>4</v>
      </c>
      <c r="B19" s="48" t="s">
        <v>49</v>
      </c>
      <c r="C19" s="48" t="s">
        <v>39</v>
      </c>
      <c r="D19" s="48" t="s">
        <v>50</v>
      </c>
      <c r="E19" s="48" t="s">
        <v>51</v>
      </c>
      <c r="F19" s="48"/>
      <c r="G19" s="48" t="s">
        <v>30</v>
      </c>
      <c r="H19" s="51">
        <v>3500</v>
      </c>
      <c r="I19" s="119">
        <v>700</v>
      </c>
      <c r="J19" s="48" t="s">
        <v>31</v>
      </c>
      <c r="K19" s="48" t="s">
        <v>32</v>
      </c>
      <c r="L19" s="2"/>
      <c r="M19" s="2"/>
    </row>
    <row r="20" spans="1:13">
      <c r="A20" s="50">
        <v>4</v>
      </c>
      <c r="B20" s="48" t="s">
        <v>49</v>
      </c>
      <c r="C20" s="48" t="s">
        <v>39</v>
      </c>
      <c r="D20" s="48" t="s">
        <v>50</v>
      </c>
      <c r="E20" s="48" t="s">
        <v>51</v>
      </c>
      <c r="F20" s="48"/>
      <c r="G20" s="48" t="s">
        <v>115</v>
      </c>
      <c r="H20" s="51">
        <v>150</v>
      </c>
      <c r="I20" s="119">
        <v>150</v>
      </c>
      <c r="J20" s="48" t="s">
        <v>31</v>
      </c>
      <c r="K20" s="48" t="s">
        <v>32</v>
      </c>
      <c r="L20" s="2"/>
      <c r="M20" s="2"/>
    </row>
    <row r="21" spans="1:13" ht="15.75" customHeight="1">
      <c r="A21" s="50">
        <v>4</v>
      </c>
      <c r="B21" s="48" t="s">
        <v>1587</v>
      </c>
      <c r="C21" s="48" t="s">
        <v>27</v>
      </c>
      <c r="D21" s="48" t="s">
        <v>1396</v>
      </c>
      <c r="E21" s="48" t="s">
        <v>245</v>
      </c>
      <c r="F21" s="48"/>
      <c r="G21" s="48" t="s">
        <v>30</v>
      </c>
      <c r="H21" s="51">
        <v>1200</v>
      </c>
      <c r="I21" s="119">
        <v>240</v>
      </c>
      <c r="J21" s="48" t="s">
        <v>31</v>
      </c>
      <c r="K21" s="48" t="s">
        <v>32</v>
      </c>
      <c r="L21" s="2"/>
      <c r="M21" s="2">
        <v>240</v>
      </c>
    </row>
    <row r="22" spans="1:13" ht="15.75" customHeight="1">
      <c r="A22" s="50">
        <v>4</v>
      </c>
      <c r="B22" s="48" t="s">
        <v>1588</v>
      </c>
      <c r="C22" s="48" t="s">
        <v>27</v>
      </c>
      <c r="D22" s="48" t="s">
        <v>128</v>
      </c>
      <c r="E22" s="48" t="s">
        <v>36</v>
      </c>
      <c r="F22" s="48"/>
      <c r="G22" s="48" t="s">
        <v>30</v>
      </c>
      <c r="H22" s="51">
        <v>4000</v>
      </c>
      <c r="I22" s="119">
        <v>800</v>
      </c>
      <c r="J22" s="48" t="s">
        <v>31</v>
      </c>
      <c r="K22" s="48" t="s">
        <v>32</v>
      </c>
      <c r="L22" s="2"/>
      <c r="M22" s="2">
        <v>800</v>
      </c>
    </row>
    <row r="23" spans="1:13" ht="15.75" customHeight="1">
      <c r="A23" s="50">
        <v>4</v>
      </c>
      <c r="B23" s="48" t="s">
        <v>491</v>
      </c>
      <c r="C23" s="48" t="s">
        <v>27</v>
      </c>
      <c r="D23" s="48" t="s">
        <v>43</v>
      </c>
      <c r="E23" s="48" t="s">
        <v>44</v>
      </c>
      <c r="F23" s="48"/>
      <c r="G23" s="48" t="s">
        <v>30</v>
      </c>
      <c r="H23" s="51">
        <v>1000</v>
      </c>
      <c r="I23" s="119">
        <v>200</v>
      </c>
      <c r="J23" s="48" t="s">
        <v>31</v>
      </c>
      <c r="K23" s="48" t="s">
        <v>32</v>
      </c>
      <c r="L23" s="2"/>
      <c r="M23" s="2">
        <v>300</v>
      </c>
    </row>
    <row r="24" spans="1:13" ht="15.75" customHeight="1">
      <c r="A24" s="50">
        <v>4</v>
      </c>
      <c r="B24" s="48" t="s">
        <v>1589</v>
      </c>
      <c r="C24" s="48" t="s">
        <v>27</v>
      </c>
      <c r="D24" s="48" t="s">
        <v>845</v>
      </c>
      <c r="E24" s="48" t="s">
        <v>51</v>
      </c>
      <c r="F24" s="48"/>
      <c r="G24" s="48" t="s">
        <v>30</v>
      </c>
      <c r="H24" s="51">
        <v>500</v>
      </c>
      <c r="I24" s="119" t="s">
        <v>1586</v>
      </c>
      <c r="J24" s="48" t="s">
        <v>31</v>
      </c>
      <c r="K24" s="48" t="s">
        <v>32</v>
      </c>
      <c r="L24" s="2"/>
      <c r="M24" s="2">
        <v>266</v>
      </c>
    </row>
    <row r="25" spans="1:13" ht="15.75" customHeight="1">
      <c r="A25" s="50">
        <v>4</v>
      </c>
      <c r="B25" s="48" t="s">
        <v>1589</v>
      </c>
      <c r="C25" s="48" t="s">
        <v>27</v>
      </c>
      <c r="D25" s="48" t="s">
        <v>845</v>
      </c>
      <c r="E25" s="48" t="s">
        <v>51</v>
      </c>
      <c r="F25" s="48"/>
      <c r="G25" s="48" t="s">
        <v>1249</v>
      </c>
      <c r="H25" s="51">
        <v>200</v>
      </c>
      <c r="I25" s="119">
        <v>120</v>
      </c>
      <c r="J25" s="48" t="s">
        <v>31</v>
      </c>
      <c r="K25" s="48" t="s">
        <v>32</v>
      </c>
      <c r="L25" s="2"/>
      <c r="M25" s="2"/>
    </row>
    <row r="26" spans="1:13" ht="15.75" customHeight="1">
      <c r="A26" s="50">
        <v>4</v>
      </c>
      <c r="B26" s="48" t="s">
        <v>1590</v>
      </c>
      <c r="C26" s="48" t="s">
        <v>27</v>
      </c>
      <c r="D26" s="48" t="s">
        <v>347</v>
      </c>
      <c r="E26" s="48" t="s">
        <v>245</v>
      </c>
      <c r="F26" s="48"/>
      <c r="G26" s="48" t="s">
        <v>1249</v>
      </c>
      <c r="H26" s="51">
        <v>200</v>
      </c>
      <c r="I26" s="119">
        <v>120</v>
      </c>
      <c r="J26" s="48" t="s">
        <v>31</v>
      </c>
      <c r="K26" s="48" t="s">
        <v>32</v>
      </c>
      <c r="L26" s="2"/>
      <c r="M26" s="2"/>
    </row>
    <row r="27" spans="1:13" ht="15.75" customHeight="1">
      <c r="A27" s="50">
        <v>4</v>
      </c>
      <c r="B27" s="48" t="s">
        <v>1591</v>
      </c>
      <c r="C27" s="48" t="s">
        <v>27</v>
      </c>
      <c r="D27" s="48" t="s">
        <v>211</v>
      </c>
      <c r="E27" s="48" t="s">
        <v>245</v>
      </c>
      <c r="F27" s="48"/>
      <c r="G27" s="48" t="s">
        <v>30</v>
      </c>
      <c r="H27" s="51">
        <v>1000</v>
      </c>
      <c r="I27" s="119">
        <v>200</v>
      </c>
      <c r="J27" s="48" t="s">
        <v>31</v>
      </c>
      <c r="K27" s="48" t="s">
        <v>32</v>
      </c>
      <c r="L27" s="2"/>
      <c r="M27" s="2">
        <v>200</v>
      </c>
    </row>
    <row r="28" spans="1:13" ht="15.75" customHeight="1">
      <c r="A28" s="50">
        <v>4</v>
      </c>
      <c r="B28" s="48" t="s">
        <v>1426</v>
      </c>
      <c r="C28" s="48" t="s">
        <v>39</v>
      </c>
      <c r="D28" s="48" t="s">
        <v>128</v>
      </c>
      <c r="E28" s="48" t="s">
        <v>44</v>
      </c>
      <c r="F28" s="48"/>
      <c r="G28" s="48" t="s">
        <v>30</v>
      </c>
      <c r="H28" s="51">
        <v>16000</v>
      </c>
      <c r="I28" s="49">
        <v>4800</v>
      </c>
      <c r="J28" s="48" t="s">
        <v>31</v>
      </c>
      <c r="K28" s="48" t="s">
        <v>32</v>
      </c>
      <c r="L28" s="2"/>
      <c r="M28" s="2">
        <v>3500</v>
      </c>
    </row>
    <row r="29" spans="1:13" ht="15.75" customHeight="1">
      <c r="A29" s="50">
        <v>4</v>
      </c>
      <c r="B29" s="48" t="s">
        <v>1592</v>
      </c>
      <c r="C29" s="48" t="s">
        <v>27</v>
      </c>
      <c r="D29" s="48" t="s">
        <v>434</v>
      </c>
      <c r="E29" s="48" t="s">
        <v>36</v>
      </c>
      <c r="F29" s="48"/>
      <c r="G29" s="48" t="s">
        <v>30</v>
      </c>
      <c r="H29" s="51">
        <v>900</v>
      </c>
      <c r="I29" s="119">
        <v>180</v>
      </c>
      <c r="J29" s="48" t="s">
        <v>31</v>
      </c>
      <c r="K29" s="48" t="s">
        <v>32</v>
      </c>
      <c r="L29" s="2"/>
      <c r="M29" s="2">
        <v>200</v>
      </c>
    </row>
    <row r="30" spans="1:13" ht="15.75" customHeight="1">
      <c r="A30" s="50">
        <v>4</v>
      </c>
      <c r="B30" s="48" t="s">
        <v>1593</v>
      </c>
      <c r="C30" s="48" t="s">
        <v>27</v>
      </c>
      <c r="D30" s="48" t="s">
        <v>110</v>
      </c>
      <c r="E30" s="48" t="s">
        <v>36</v>
      </c>
      <c r="F30" s="48"/>
      <c r="G30" s="48" t="s">
        <v>30</v>
      </c>
      <c r="H30" s="51">
        <v>1000</v>
      </c>
      <c r="I30" s="119">
        <v>200</v>
      </c>
      <c r="J30" s="48" t="s">
        <v>31</v>
      </c>
      <c r="K30" s="48" t="s">
        <v>32</v>
      </c>
      <c r="L30" s="2"/>
      <c r="M30" s="2">
        <v>300</v>
      </c>
    </row>
    <row r="31" spans="1:13" ht="15.75" customHeight="1">
      <c r="A31" s="65">
        <v>4</v>
      </c>
      <c r="B31" s="58" t="s">
        <v>1594</v>
      </c>
      <c r="C31" s="58" t="s">
        <v>27</v>
      </c>
      <c r="D31" s="58" t="s">
        <v>345</v>
      </c>
      <c r="E31" s="58" t="s">
        <v>36</v>
      </c>
      <c r="F31" s="58"/>
      <c r="G31" s="58" t="s">
        <v>30</v>
      </c>
      <c r="H31" s="59">
        <v>1000</v>
      </c>
      <c r="I31" s="160">
        <v>200</v>
      </c>
      <c r="J31" s="58" t="s">
        <v>31</v>
      </c>
      <c r="K31" s="58" t="s">
        <v>32</v>
      </c>
      <c r="L31" s="2"/>
      <c r="M31" s="2">
        <v>300</v>
      </c>
    </row>
    <row r="32" spans="1:13" ht="15.75" customHeight="1">
      <c r="A32" s="61">
        <v>5</v>
      </c>
      <c r="B32" s="62" t="s">
        <v>1497</v>
      </c>
      <c r="C32" s="62" t="s">
        <v>27</v>
      </c>
      <c r="D32" s="62" t="s">
        <v>483</v>
      </c>
      <c r="E32" s="62" t="s">
        <v>484</v>
      </c>
      <c r="F32" s="62"/>
      <c r="G32" s="62" t="s">
        <v>30</v>
      </c>
      <c r="H32" s="63">
        <v>500</v>
      </c>
      <c r="I32" s="159">
        <v>100</v>
      </c>
      <c r="J32" s="62" t="s">
        <v>31</v>
      </c>
      <c r="K32" s="62" t="s">
        <v>32</v>
      </c>
      <c r="L32" s="2"/>
      <c r="M32" s="2">
        <v>50</v>
      </c>
    </row>
    <row r="33" spans="1:13" ht="15.75" customHeight="1">
      <c r="A33" s="61">
        <v>5</v>
      </c>
      <c r="B33" s="62" t="s">
        <v>1497</v>
      </c>
      <c r="C33" s="62" t="s">
        <v>27</v>
      </c>
      <c r="D33" s="62" t="s">
        <v>483</v>
      </c>
      <c r="E33" s="62" t="s">
        <v>484</v>
      </c>
      <c r="F33" s="48"/>
      <c r="G33" s="48" t="s">
        <v>1249</v>
      </c>
      <c r="H33" s="51">
        <v>100</v>
      </c>
      <c r="I33" s="119">
        <v>60</v>
      </c>
      <c r="J33" s="62" t="s">
        <v>31</v>
      </c>
      <c r="K33" s="62" t="s">
        <v>32</v>
      </c>
      <c r="L33" s="2"/>
      <c r="M33" s="2"/>
    </row>
    <row r="34" spans="1:13" ht="15.75" customHeight="1">
      <c r="A34" s="61">
        <v>5</v>
      </c>
      <c r="B34" s="48" t="s">
        <v>1595</v>
      </c>
      <c r="C34" s="48" t="s">
        <v>27</v>
      </c>
      <c r="D34" s="48" t="s">
        <v>137</v>
      </c>
      <c r="E34" s="48" t="s">
        <v>73</v>
      </c>
      <c r="F34" s="48"/>
      <c r="G34" s="48" t="s">
        <v>30</v>
      </c>
      <c r="H34" s="51">
        <v>500</v>
      </c>
      <c r="I34" s="119">
        <v>100</v>
      </c>
      <c r="J34" s="62" t="s">
        <v>31</v>
      </c>
      <c r="K34" s="62" t="s">
        <v>32</v>
      </c>
      <c r="L34" s="2"/>
      <c r="M34" s="2">
        <v>100</v>
      </c>
    </row>
    <row r="35" spans="1:13" ht="15.75" customHeight="1">
      <c r="A35" s="61">
        <v>5</v>
      </c>
      <c r="B35" s="48" t="s">
        <v>1596</v>
      </c>
      <c r="C35" s="48" t="s">
        <v>27</v>
      </c>
      <c r="D35" s="48" t="s">
        <v>137</v>
      </c>
      <c r="E35" s="48" t="s">
        <v>73</v>
      </c>
      <c r="F35" s="48"/>
      <c r="G35" s="48" t="s">
        <v>30</v>
      </c>
      <c r="H35" s="51">
        <v>1000</v>
      </c>
      <c r="I35" s="119">
        <v>200</v>
      </c>
      <c r="J35" s="62" t="s">
        <v>31</v>
      </c>
      <c r="K35" s="62" t="s">
        <v>32</v>
      </c>
      <c r="L35" s="2"/>
      <c r="M35" s="2">
        <v>300</v>
      </c>
    </row>
    <row r="36" spans="1:13" ht="15.75" customHeight="1">
      <c r="A36" s="61">
        <v>5</v>
      </c>
      <c r="B36" s="48" t="s">
        <v>1597</v>
      </c>
      <c r="C36" s="48" t="s">
        <v>27</v>
      </c>
      <c r="D36" s="48" t="s">
        <v>50</v>
      </c>
      <c r="E36" s="48" t="s">
        <v>145</v>
      </c>
      <c r="F36" s="48"/>
      <c r="G36" s="48" t="s">
        <v>30</v>
      </c>
      <c r="H36" s="51">
        <v>1000</v>
      </c>
      <c r="I36" s="119">
        <v>200</v>
      </c>
      <c r="J36" s="62" t="s">
        <v>31</v>
      </c>
      <c r="K36" s="62" t="s">
        <v>32</v>
      </c>
      <c r="L36" s="2"/>
      <c r="M36" s="2">
        <v>300</v>
      </c>
    </row>
    <row r="37" spans="1:13" ht="15.75" customHeight="1">
      <c r="A37" s="61">
        <v>5</v>
      </c>
      <c r="B37" s="48" t="s">
        <v>1597</v>
      </c>
      <c r="C37" s="48" t="s">
        <v>27</v>
      </c>
      <c r="D37" s="48" t="s">
        <v>50</v>
      </c>
      <c r="E37" s="48" t="s">
        <v>145</v>
      </c>
      <c r="F37" s="48"/>
      <c r="G37" s="48" t="s">
        <v>1249</v>
      </c>
      <c r="H37" s="51">
        <v>100</v>
      </c>
      <c r="I37" s="119">
        <v>60</v>
      </c>
      <c r="J37" s="62" t="s">
        <v>31</v>
      </c>
      <c r="K37" s="62" t="s">
        <v>32</v>
      </c>
      <c r="L37" s="2"/>
      <c r="M37" s="2"/>
    </row>
    <row r="38" spans="1:13" ht="15.75" customHeight="1">
      <c r="A38" s="61">
        <v>5</v>
      </c>
      <c r="B38" s="48" t="s">
        <v>1598</v>
      </c>
      <c r="C38" s="48" t="s">
        <v>27</v>
      </c>
      <c r="D38" s="48" t="s">
        <v>1599</v>
      </c>
      <c r="E38" s="48" t="s">
        <v>51</v>
      </c>
      <c r="F38" s="48"/>
      <c r="G38" s="48" t="s">
        <v>30</v>
      </c>
      <c r="H38" s="51">
        <v>1000</v>
      </c>
      <c r="I38" s="119">
        <v>200</v>
      </c>
      <c r="J38" s="62" t="s">
        <v>31</v>
      </c>
      <c r="K38" s="62" t="s">
        <v>32</v>
      </c>
      <c r="L38" s="2"/>
      <c r="M38" s="2">
        <v>200</v>
      </c>
    </row>
    <row r="39" spans="1:13" ht="15.75" customHeight="1">
      <c r="A39" s="61">
        <v>5</v>
      </c>
      <c r="B39" s="48" t="s">
        <v>1600</v>
      </c>
      <c r="C39" s="48" t="s">
        <v>27</v>
      </c>
      <c r="D39" s="48" t="s">
        <v>1203</v>
      </c>
      <c r="E39" s="48" t="s">
        <v>73</v>
      </c>
      <c r="F39" s="48"/>
      <c r="G39" s="48" t="s">
        <v>30</v>
      </c>
      <c r="H39" s="51">
        <v>700</v>
      </c>
      <c r="I39" s="119">
        <v>140</v>
      </c>
      <c r="J39" s="62" t="s">
        <v>31</v>
      </c>
      <c r="K39" s="62" t="s">
        <v>32</v>
      </c>
      <c r="L39" s="2"/>
      <c r="M39" s="2">
        <v>200</v>
      </c>
    </row>
    <row r="40" spans="1:13" ht="15.75" customHeight="1">
      <c r="A40" s="61">
        <v>5</v>
      </c>
      <c r="B40" s="48" t="s">
        <v>1601</v>
      </c>
      <c r="C40" s="48" t="s">
        <v>27</v>
      </c>
      <c r="D40" s="48" t="s">
        <v>1465</v>
      </c>
      <c r="E40" s="48" t="s">
        <v>44</v>
      </c>
      <c r="F40" s="48"/>
      <c r="G40" s="48" t="s">
        <v>30</v>
      </c>
      <c r="H40" s="51">
        <v>600</v>
      </c>
      <c r="I40" s="119">
        <v>120</v>
      </c>
      <c r="J40" s="62" t="s">
        <v>31</v>
      </c>
      <c r="K40" s="62" t="s">
        <v>32</v>
      </c>
      <c r="L40" s="2"/>
      <c r="M40" s="2">
        <v>100</v>
      </c>
    </row>
    <row r="41" spans="1:13" ht="15.75" customHeight="1">
      <c r="A41" s="61">
        <v>5</v>
      </c>
      <c r="B41" s="48" t="s">
        <v>1602</v>
      </c>
      <c r="C41" s="48" t="s">
        <v>27</v>
      </c>
      <c r="D41" s="48" t="s">
        <v>607</v>
      </c>
      <c r="E41" s="48" t="s">
        <v>36</v>
      </c>
      <c r="F41" s="48"/>
      <c r="G41" s="48" t="s">
        <v>30</v>
      </c>
      <c r="H41" s="51">
        <v>600</v>
      </c>
      <c r="I41" s="119">
        <v>120</v>
      </c>
      <c r="J41" s="62" t="s">
        <v>31</v>
      </c>
      <c r="K41" s="62" t="s">
        <v>32</v>
      </c>
      <c r="L41" s="2"/>
      <c r="M41" s="2">
        <v>100</v>
      </c>
    </row>
    <row r="42" spans="1:13" ht="15.75" customHeight="1">
      <c r="A42" s="61">
        <v>5</v>
      </c>
      <c r="B42" s="48" t="s">
        <v>1603</v>
      </c>
      <c r="C42" s="48" t="s">
        <v>39</v>
      </c>
      <c r="D42" s="48" t="s">
        <v>114</v>
      </c>
      <c r="E42" s="48" t="s">
        <v>44</v>
      </c>
      <c r="F42" s="48"/>
      <c r="G42" s="48" t="s">
        <v>30</v>
      </c>
      <c r="H42" s="51">
        <v>500</v>
      </c>
      <c r="I42" s="119">
        <v>150</v>
      </c>
      <c r="J42" s="62" t="s">
        <v>31</v>
      </c>
      <c r="K42" s="62" t="s">
        <v>32</v>
      </c>
      <c r="L42" s="2"/>
      <c r="M42" s="2">
        <v>200</v>
      </c>
    </row>
    <row r="43" spans="1:13" ht="15.75" customHeight="1">
      <c r="A43" s="61">
        <v>5</v>
      </c>
      <c r="B43" s="48" t="s">
        <v>491</v>
      </c>
      <c r="C43" s="48" t="s">
        <v>27</v>
      </c>
      <c r="D43" s="48" t="s">
        <v>43</v>
      </c>
      <c r="E43" s="48" t="s">
        <v>44</v>
      </c>
      <c r="F43" s="48"/>
      <c r="G43" s="48" t="s">
        <v>30</v>
      </c>
      <c r="H43" s="51">
        <v>1000</v>
      </c>
      <c r="I43" s="119">
        <v>200</v>
      </c>
      <c r="J43" s="62" t="s">
        <v>31</v>
      </c>
      <c r="K43" s="62" t="s">
        <v>32</v>
      </c>
      <c r="L43" s="2"/>
      <c r="M43" s="2">
        <v>300</v>
      </c>
    </row>
    <row r="44" spans="1:13" ht="15.75" customHeight="1">
      <c r="A44" s="61">
        <v>5</v>
      </c>
      <c r="B44" s="48" t="s">
        <v>1604</v>
      </c>
      <c r="C44" s="48" t="s">
        <v>39</v>
      </c>
      <c r="D44" s="48" t="s">
        <v>305</v>
      </c>
      <c r="E44" s="48" t="s">
        <v>84</v>
      </c>
      <c r="F44" s="48"/>
      <c r="G44" s="48" t="s">
        <v>30</v>
      </c>
      <c r="H44" s="51">
        <v>1000</v>
      </c>
      <c r="I44" s="119">
        <v>200</v>
      </c>
      <c r="J44" s="62" t="s">
        <v>31</v>
      </c>
      <c r="K44" s="62" t="s">
        <v>32</v>
      </c>
      <c r="L44" s="2"/>
      <c r="M44" s="2">
        <v>300</v>
      </c>
    </row>
    <row r="45" spans="1:13" ht="15.75" customHeight="1">
      <c r="A45" s="61">
        <v>5</v>
      </c>
      <c r="B45" s="48" t="s">
        <v>1605</v>
      </c>
      <c r="C45" s="48" t="s">
        <v>39</v>
      </c>
      <c r="D45" s="48" t="s">
        <v>373</v>
      </c>
      <c r="E45" s="48" t="s">
        <v>36</v>
      </c>
      <c r="F45" s="48"/>
      <c r="G45" s="48" t="s">
        <v>30</v>
      </c>
      <c r="H45" s="51">
        <v>500</v>
      </c>
      <c r="I45" s="119" t="s">
        <v>1586</v>
      </c>
      <c r="J45" s="62" t="s">
        <v>31</v>
      </c>
      <c r="K45" s="62" t="s">
        <v>32</v>
      </c>
      <c r="L45" s="2"/>
      <c r="M45" s="2">
        <v>50</v>
      </c>
    </row>
    <row r="46" spans="1:13" ht="15.75" customHeight="1">
      <c r="A46" s="61">
        <v>5</v>
      </c>
      <c r="B46" s="48" t="s">
        <v>1606</v>
      </c>
      <c r="C46" s="48" t="s">
        <v>27</v>
      </c>
      <c r="D46" s="48" t="s">
        <v>108</v>
      </c>
      <c r="E46" s="48" t="s">
        <v>36</v>
      </c>
      <c r="F46" s="48"/>
      <c r="G46" s="48" t="s">
        <v>30</v>
      </c>
      <c r="H46" s="51">
        <v>1000</v>
      </c>
      <c r="I46" s="119">
        <v>200</v>
      </c>
      <c r="J46" s="62" t="s">
        <v>31</v>
      </c>
      <c r="K46" s="62" t="s">
        <v>32</v>
      </c>
      <c r="L46" s="2"/>
      <c r="M46" s="2">
        <v>250</v>
      </c>
    </row>
    <row r="47" spans="1:13" ht="15.75" customHeight="1">
      <c r="A47" s="61">
        <v>5</v>
      </c>
      <c r="B47" s="48" t="s">
        <v>1606</v>
      </c>
      <c r="C47" s="48" t="s">
        <v>27</v>
      </c>
      <c r="D47" s="48" t="s">
        <v>108</v>
      </c>
      <c r="E47" s="48" t="s">
        <v>36</v>
      </c>
      <c r="F47" s="48"/>
      <c r="G47" s="48" t="s">
        <v>1249</v>
      </c>
      <c r="H47" s="51">
        <v>100</v>
      </c>
      <c r="I47" s="119">
        <v>60</v>
      </c>
      <c r="J47" s="62" t="s">
        <v>31</v>
      </c>
      <c r="K47" s="62" t="s">
        <v>32</v>
      </c>
      <c r="L47" s="2"/>
      <c r="M47" s="2"/>
    </row>
    <row r="48" spans="1:13" ht="15.75" customHeight="1">
      <c r="A48" s="61">
        <v>5</v>
      </c>
      <c r="B48" s="48" t="s">
        <v>1607</v>
      </c>
      <c r="C48" s="48" t="s">
        <v>27</v>
      </c>
      <c r="D48" s="48" t="s">
        <v>434</v>
      </c>
      <c r="E48" s="48" t="s">
        <v>36</v>
      </c>
      <c r="F48" s="48"/>
      <c r="G48" s="48" t="s">
        <v>30</v>
      </c>
      <c r="H48" s="51">
        <v>200</v>
      </c>
      <c r="I48" s="119">
        <v>80</v>
      </c>
      <c r="J48" s="62" t="s">
        <v>31</v>
      </c>
      <c r="K48" s="62" t="s">
        <v>32</v>
      </c>
      <c r="L48" s="2"/>
      <c r="M48" s="2">
        <v>36</v>
      </c>
    </row>
    <row r="49" spans="1:20" ht="15.75" customHeight="1">
      <c r="A49" s="61">
        <v>5</v>
      </c>
      <c r="B49" s="48" t="s">
        <v>1608</v>
      </c>
      <c r="C49" s="48" t="s">
        <v>27</v>
      </c>
      <c r="D49" s="48" t="s">
        <v>434</v>
      </c>
      <c r="E49" s="48" t="s">
        <v>36</v>
      </c>
      <c r="F49" s="48"/>
      <c r="G49" s="48" t="s">
        <v>30</v>
      </c>
      <c r="H49" s="51">
        <v>100</v>
      </c>
      <c r="I49" s="119">
        <v>20</v>
      </c>
      <c r="J49" s="62" t="s">
        <v>31</v>
      </c>
      <c r="K49" s="62" t="s">
        <v>32</v>
      </c>
      <c r="L49" s="2"/>
      <c r="M49" s="2">
        <v>20</v>
      </c>
    </row>
    <row r="50" spans="1:20" ht="15.75" customHeight="1">
      <c r="A50" s="61">
        <v>5</v>
      </c>
      <c r="B50" s="48" t="s">
        <v>1609</v>
      </c>
      <c r="C50" s="48" t="s">
        <v>27</v>
      </c>
      <c r="D50" s="48" t="s">
        <v>407</v>
      </c>
      <c r="E50" s="48" t="s">
        <v>44</v>
      </c>
      <c r="F50" s="48"/>
      <c r="G50" s="48" t="s">
        <v>30</v>
      </c>
      <c r="H50" s="51">
        <v>100</v>
      </c>
      <c r="I50" s="119">
        <v>20</v>
      </c>
      <c r="J50" s="62" t="s">
        <v>31</v>
      </c>
      <c r="K50" s="62" t="s">
        <v>32</v>
      </c>
      <c r="L50" s="2"/>
      <c r="M50" s="2">
        <v>25</v>
      </c>
    </row>
    <row r="51" spans="1:20" ht="15.75" customHeight="1">
      <c r="A51" s="61">
        <v>5</v>
      </c>
      <c r="B51" s="48" t="s">
        <v>1610</v>
      </c>
      <c r="C51" s="48" t="s">
        <v>27</v>
      </c>
      <c r="D51" s="48" t="s">
        <v>387</v>
      </c>
      <c r="E51" s="48" t="s">
        <v>89</v>
      </c>
      <c r="F51" s="48"/>
      <c r="G51" s="48" t="s">
        <v>30</v>
      </c>
      <c r="H51" s="51">
        <v>600</v>
      </c>
      <c r="I51" s="119">
        <v>120</v>
      </c>
      <c r="J51" s="62" t="s">
        <v>31</v>
      </c>
      <c r="K51" s="62" t="s">
        <v>32</v>
      </c>
      <c r="L51" s="2"/>
      <c r="M51" s="2"/>
    </row>
    <row r="52" spans="1:20" ht="15.75" customHeight="1">
      <c r="A52" s="61">
        <v>5</v>
      </c>
      <c r="B52" s="48" t="s">
        <v>1611</v>
      </c>
      <c r="C52" s="48" t="s">
        <v>27</v>
      </c>
      <c r="D52" s="48" t="s">
        <v>1612</v>
      </c>
      <c r="E52" s="48" t="s">
        <v>839</v>
      </c>
      <c r="F52" s="48"/>
      <c r="G52" s="48" t="s">
        <v>30</v>
      </c>
      <c r="H52" s="51">
        <v>1000</v>
      </c>
      <c r="I52" s="119">
        <v>200</v>
      </c>
      <c r="J52" s="62" t="s">
        <v>31</v>
      </c>
      <c r="K52" s="62" t="s">
        <v>32</v>
      </c>
      <c r="L52" s="2"/>
      <c r="M52" s="2"/>
    </row>
    <row r="53" spans="1:20" ht="15.75" customHeight="1">
      <c r="A53" s="61">
        <v>5</v>
      </c>
      <c r="B53" s="48" t="s">
        <v>1611</v>
      </c>
      <c r="C53" s="48" t="s">
        <v>27</v>
      </c>
      <c r="D53" s="48" t="s">
        <v>1612</v>
      </c>
      <c r="E53" s="48" t="s">
        <v>839</v>
      </c>
      <c r="F53" s="48"/>
      <c r="G53" s="48" t="s">
        <v>61</v>
      </c>
      <c r="H53" s="51">
        <v>150</v>
      </c>
      <c r="I53" s="119">
        <v>1500</v>
      </c>
      <c r="J53" s="62" t="s">
        <v>31</v>
      </c>
      <c r="K53" s="62" t="s">
        <v>32</v>
      </c>
      <c r="L53" s="2"/>
      <c r="M53" s="2"/>
    </row>
    <row r="54" spans="1:20" ht="15.75" customHeight="1">
      <c r="A54" s="50">
        <v>5</v>
      </c>
      <c r="B54" s="48" t="s">
        <v>1613</v>
      </c>
      <c r="C54" s="48" t="s">
        <v>27</v>
      </c>
      <c r="D54" s="48" t="s">
        <v>1614</v>
      </c>
      <c r="E54" s="48" t="s">
        <v>56</v>
      </c>
      <c r="F54" s="48"/>
      <c r="G54" s="48" t="s">
        <v>1249</v>
      </c>
      <c r="H54" s="51">
        <v>100</v>
      </c>
      <c r="I54" s="119">
        <v>60</v>
      </c>
      <c r="J54" s="62" t="s">
        <v>31</v>
      </c>
      <c r="K54" s="62" t="s">
        <v>32</v>
      </c>
      <c r="L54" s="2"/>
      <c r="M54" s="2"/>
    </row>
    <row r="55" spans="1:20" ht="15.75" customHeight="1">
      <c r="A55" s="50">
        <v>5</v>
      </c>
      <c r="B55" s="48" t="s">
        <v>1615</v>
      </c>
      <c r="C55" s="48" t="s">
        <v>39</v>
      </c>
      <c r="D55" s="48" t="s">
        <v>1616</v>
      </c>
      <c r="E55" s="48" t="s">
        <v>47</v>
      </c>
      <c r="F55" s="48"/>
      <c r="G55" s="48" t="s">
        <v>30</v>
      </c>
      <c r="H55" s="51">
        <v>3000</v>
      </c>
      <c r="I55" s="119">
        <v>600</v>
      </c>
      <c r="J55" s="62" t="s">
        <v>31</v>
      </c>
      <c r="K55" s="62" t="s">
        <v>32</v>
      </c>
      <c r="L55" s="2"/>
      <c r="M55" s="2">
        <v>600</v>
      </c>
    </row>
    <row r="56" spans="1:20" ht="15.75" customHeight="1">
      <c r="A56" s="50">
        <v>5</v>
      </c>
      <c r="B56" s="48" t="s">
        <v>1617</v>
      </c>
      <c r="C56" s="48" t="s">
        <v>27</v>
      </c>
      <c r="D56" s="48" t="s">
        <v>100</v>
      </c>
      <c r="E56" s="48" t="s">
        <v>169</v>
      </c>
      <c r="F56" s="48"/>
      <c r="G56" s="48" t="s">
        <v>1249</v>
      </c>
      <c r="H56" s="51">
        <v>500</v>
      </c>
      <c r="I56" s="119">
        <v>300</v>
      </c>
      <c r="J56" s="62" t="s">
        <v>31</v>
      </c>
      <c r="K56" s="62" t="s">
        <v>32</v>
      </c>
      <c r="L56" s="2"/>
      <c r="M56" s="2"/>
    </row>
    <row r="57" spans="1:20" ht="15.75" customHeight="1">
      <c r="A57" s="50">
        <v>5</v>
      </c>
      <c r="B57" s="48" t="s">
        <v>1618</v>
      </c>
      <c r="C57" s="48" t="s">
        <v>27</v>
      </c>
      <c r="D57" s="48" t="s">
        <v>1619</v>
      </c>
      <c r="E57" s="48" t="s">
        <v>245</v>
      </c>
      <c r="F57" s="48"/>
      <c r="G57" s="48" t="s">
        <v>1249</v>
      </c>
      <c r="H57" s="51">
        <v>200</v>
      </c>
      <c r="I57" s="119">
        <v>120</v>
      </c>
      <c r="J57" s="62" t="s">
        <v>31</v>
      </c>
      <c r="K57" s="62" t="s">
        <v>32</v>
      </c>
      <c r="L57" s="2"/>
      <c r="M57" s="2"/>
    </row>
    <row r="58" spans="1:20" ht="15.75" customHeight="1">
      <c r="A58" s="50">
        <v>5</v>
      </c>
      <c r="B58" s="48" t="s">
        <v>1620</v>
      </c>
      <c r="C58" s="48" t="s">
        <v>27</v>
      </c>
      <c r="D58" s="48" t="s">
        <v>1621</v>
      </c>
      <c r="E58" s="48" t="s">
        <v>84</v>
      </c>
      <c r="F58" s="48"/>
      <c r="G58" s="48" t="s">
        <v>1249</v>
      </c>
      <c r="H58" s="51">
        <v>100</v>
      </c>
      <c r="I58" s="119">
        <v>60</v>
      </c>
      <c r="J58" s="62" t="s">
        <v>31</v>
      </c>
      <c r="K58" s="62" t="s">
        <v>32</v>
      </c>
      <c r="L58" s="2"/>
      <c r="M58" s="2"/>
      <c r="P58" s="774" t="s">
        <v>1622</v>
      </c>
      <c r="Q58" s="719"/>
    </row>
    <row r="59" spans="1:20" ht="15.75" customHeight="1">
      <c r="A59" s="65">
        <v>5</v>
      </c>
      <c r="B59" s="58" t="s">
        <v>1623</v>
      </c>
      <c r="C59" s="58" t="s">
        <v>39</v>
      </c>
      <c r="D59" s="58" t="s">
        <v>68</v>
      </c>
      <c r="E59" s="58" t="s">
        <v>79</v>
      </c>
      <c r="F59" s="58"/>
      <c r="G59" s="58" t="s">
        <v>30</v>
      </c>
      <c r="H59" s="59">
        <v>1000</v>
      </c>
      <c r="I59" s="160" t="s">
        <v>1586</v>
      </c>
      <c r="J59" s="58" t="s">
        <v>31</v>
      </c>
      <c r="K59" s="58" t="s">
        <v>32</v>
      </c>
      <c r="L59" s="2"/>
      <c r="M59" s="2">
        <v>200</v>
      </c>
      <c r="P59" s="775" t="s">
        <v>25</v>
      </c>
      <c r="Q59" s="719"/>
    </row>
    <row r="60" spans="1:20" ht="15.75" customHeight="1">
      <c r="A60" s="61">
        <v>6</v>
      </c>
      <c r="B60" s="62" t="s">
        <v>993</v>
      </c>
      <c r="C60" s="62" t="s">
        <v>27</v>
      </c>
      <c r="D60" s="62" t="s">
        <v>108</v>
      </c>
      <c r="E60" s="62" t="s">
        <v>36</v>
      </c>
      <c r="F60" s="62"/>
      <c r="G60" s="62" t="s">
        <v>30</v>
      </c>
      <c r="H60" s="63">
        <v>500</v>
      </c>
      <c r="I60" s="159">
        <v>100</v>
      </c>
      <c r="J60" s="62" t="s">
        <v>31</v>
      </c>
      <c r="K60" s="62" t="s">
        <v>32</v>
      </c>
      <c r="L60" s="2"/>
      <c r="M60" s="2">
        <v>100</v>
      </c>
      <c r="P60" s="48" t="s">
        <v>33</v>
      </c>
      <c r="Q60" s="51">
        <v>57650</v>
      </c>
      <c r="S60" s="55">
        <f>SUM(H14:H16,H19,H21:H23,H27:H32,H34:H36,H38:H44,H46,H48:H52,H55,H60,H62:H63,H65,H67:H69,H72:H73,H75)</f>
        <v>57650</v>
      </c>
    </row>
    <row r="61" spans="1:20" ht="15.75" customHeight="1">
      <c r="A61" s="61">
        <v>6</v>
      </c>
      <c r="B61" s="48" t="s">
        <v>1463</v>
      </c>
      <c r="C61" s="48" t="s">
        <v>27</v>
      </c>
      <c r="D61" s="48" t="s">
        <v>1624</v>
      </c>
      <c r="E61" s="48" t="s">
        <v>86</v>
      </c>
      <c r="F61" s="48"/>
      <c r="G61" s="48" t="s">
        <v>1249</v>
      </c>
      <c r="H61" s="51">
        <v>500</v>
      </c>
      <c r="I61" s="119">
        <v>300</v>
      </c>
      <c r="J61" s="62" t="s">
        <v>31</v>
      </c>
      <c r="K61" s="62" t="s">
        <v>32</v>
      </c>
      <c r="L61" s="2"/>
      <c r="M61" s="2"/>
      <c r="P61" s="48" t="s">
        <v>37</v>
      </c>
      <c r="Q61" s="51">
        <v>9000</v>
      </c>
      <c r="R61" s="126">
        <v>6000</v>
      </c>
      <c r="S61" s="55">
        <f>SUM(H59,H45,H24,H17:H18)</f>
        <v>3000</v>
      </c>
      <c r="T61" s="126">
        <f>SUM(R61:S61)</f>
        <v>9000</v>
      </c>
    </row>
    <row r="62" spans="1:20" ht="15.75" customHeight="1">
      <c r="A62" s="61">
        <v>6</v>
      </c>
      <c r="B62" s="48" t="s">
        <v>1625</v>
      </c>
      <c r="C62" s="48" t="s">
        <v>27</v>
      </c>
      <c r="D62" s="48" t="s">
        <v>100</v>
      </c>
      <c r="E62" s="48" t="s">
        <v>86</v>
      </c>
      <c r="F62" s="48"/>
      <c r="G62" s="48" t="s">
        <v>30</v>
      </c>
      <c r="H62" s="51">
        <v>900</v>
      </c>
      <c r="I62" s="119">
        <v>180</v>
      </c>
      <c r="J62" s="62" t="s">
        <v>31</v>
      </c>
      <c r="K62" s="62" t="s">
        <v>32</v>
      </c>
      <c r="L62" s="2"/>
      <c r="M62" s="2">
        <v>200</v>
      </c>
      <c r="P62" s="297" t="s">
        <v>282</v>
      </c>
      <c r="Q62" s="298">
        <v>66650</v>
      </c>
    </row>
    <row r="63" spans="1:20" ht="15.75" customHeight="1">
      <c r="A63" s="61">
        <v>6</v>
      </c>
      <c r="B63" s="48" t="s">
        <v>1010</v>
      </c>
      <c r="C63" s="48" t="s">
        <v>27</v>
      </c>
      <c r="D63" s="48" t="s">
        <v>68</v>
      </c>
      <c r="E63" s="48" t="s">
        <v>79</v>
      </c>
      <c r="F63" s="48"/>
      <c r="G63" s="48" t="s">
        <v>30</v>
      </c>
      <c r="H63" s="51">
        <v>1000</v>
      </c>
      <c r="I63" s="119">
        <v>200</v>
      </c>
      <c r="J63" s="62" t="s">
        <v>31</v>
      </c>
      <c r="K63" s="62" t="s">
        <v>32</v>
      </c>
      <c r="L63" s="2"/>
      <c r="M63" s="2">
        <v>716</v>
      </c>
      <c r="P63" s="775" t="s">
        <v>1626</v>
      </c>
      <c r="Q63" s="719"/>
    </row>
    <row r="64" spans="1:20" ht="15.75" customHeight="1">
      <c r="A64" s="61">
        <v>6</v>
      </c>
      <c r="B64" s="48" t="s">
        <v>1010</v>
      </c>
      <c r="C64" s="48" t="s">
        <v>27</v>
      </c>
      <c r="D64" s="48" t="s">
        <v>68</v>
      </c>
      <c r="E64" s="48" t="s">
        <v>79</v>
      </c>
      <c r="F64" s="48"/>
      <c r="G64" s="48" t="s">
        <v>1249</v>
      </c>
      <c r="H64" s="51">
        <v>2000</v>
      </c>
      <c r="I64" s="119">
        <v>1200</v>
      </c>
      <c r="J64" s="62" t="s">
        <v>31</v>
      </c>
      <c r="K64" s="62" t="s">
        <v>32</v>
      </c>
      <c r="L64" s="2"/>
      <c r="M64" s="2"/>
      <c r="P64" s="48" t="s">
        <v>33</v>
      </c>
      <c r="Q64" s="51">
        <v>5700</v>
      </c>
      <c r="S64" s="55">
        <f>SUM(H12:H13,H25:H26,H33,H37,H47,H54,H56:H58,H61,H64,H66,H74)</f>
        <v>5700</v>
      </c>
    </row>
    <row r="65" spans="1:19" ht="15.75" customHeight="1">
      <c r="A65" s="61">
        <v>6</v>
      </c>
      <c r="B65" s="48" t="s">
        <v>1448</v>
      </c>
      <c r="C65" s="48" t="s">
        <v>27</v>
      </c>
      <c r="D65" s="48" t="s">
        <v>666</v>
      </c>
      <c r="E65" s="48" t="s">
        <v>36</v>
      </c>
      <c r="F65" s="48"/>
      <c r="G65" s="48" t="s">
        <v>30</v>
      </c>
      <c r="H65" s="51">
        <v>1000</v>
      </c>
      <c r="I65" s="119">
        <v>200</v>
      </c>
      <c r="J65" s="62" t="s">
        <v>31</v>
      </c>
      <c r="K65" s="62" t="s">
        <v>32</v>
      </c>
      <c r="L65" s="2"/>
      <c r="M65" s="2">
        <v>320</v>
      </c>
      <c r="P65" s="48" t="s">
        <v>37</v>
      </c>
      <c r="Q65" s="51">
        <v>29500</v>
      </c>
      <c r="R65" s="55"/>
      <c r="S65" s="55">
        <v>29500</v>
      </c>
    </row>
    <row r="66" spans="1:19" ht="15.75" customHeight="1">
      <c r="A66" s="61">
        <v>6</v>
      </c>
      <c r="B66" s="48" t="s">
        <v>1448</v>
      </c>
      <c r="C66" s="48" t="s">
        <v>27</v>
      </c>
      <c r="D66" s="48" t="s">
        <v>666</v>
      </c>
      <c r="E66" s="48" t="s">
        <v>36</v>
      </c>
      <c r="F66" s="48"/>
      <c r="G66" s="48" t="s">
        <v>1249</v>
      </c>
      <c r="H66" s="51">
        <v>200</v>
      </c>
      <c r="I66" s="119">
        <v>120</v>
      </c>
      <c r="J66" s="62" t="s">
        <v>31</v>
      </c>
      <c r="K66" s="62" t="s">
        <v>32</v>
      </c>
      <c r="L66" s="2"/>
      <c r="M66" s="2"/>
      <c r="P66" s="297" t="s">
        <v>282</v>
      </c>
      <c r="Q66" s="298">
        <v>35200</v>
      </c>
      <c r="S66" s="55">
        <f>SUM(S64:S65)</f>
        <v>35200</v>
      </c>
    </row>
    <row r="67" spans="1:19" ht="15.75" customHeight="1">
      <c r="A67" s="61">
        <v>6</v>
      </c>
      <c r="B67" s="48" t="s">
        <v>1627</v>
      </c>
      <c r="C67" s="48" t="s">
        <v>27</v>
      </c>
      <c r="D67" s="48" t="s">
        <v>100</v>
      </c>
      <c r="E67" s="48" t="s">
        <v>36</v>
      </c>
      <c r="F67" s="48"/>
      <c r="G67" s="48" t="s">
        <v>30</v>
      </c>
      <c r="H67" s="51">
        <v>100</v>
      </c>
      <c r="I67" s="119">
        <v>20</v>
      </c>
      <c r="J67" s="62" t="s">
        <v>31</v>
      </c>
      <c r="K67" s="62" t="s">
        <v>32</v>
      </c>
      <c r="L67" s="2"/>
      <c r="M67" s="2">
        <v>20</v>
      </c>
      <c r="P67" s="775" t="s">
        <v>286</v>
      </c>
      <c r="Q67" s="719"/>
    </row>
    <row r="68" spans="1:19" ht="15.75" customHeight="1">
      <c r="A68" s="61">
        <v>6</v>
      </c>
      <c r="B68" s="48" t="s">
        <v>1628</v>
      </c>
      <c r="C68" s="48" t="s">
        <v>27</v>
      </c>
      <c r="D68" s="48" t="s">
        <v>651</v>
      </c>
      <c r="E68" s="48" t="s">
        <v>86</v>
      </c>
      <c r="F68" s="48"/>
      <c r="G68" s="48" t="s">
        <v>30</v>
      </c>
      <c r="H68" s="51">
        <v>150</v>
      </c>
      <c r="I68" s="119">
        <v>45</v>
      </c>
      <c r="J68" s="62" t="s">
        <v>31</v>
      </c>
      <c r="K68" s="62" t="s">
        <v>32</v>
      </c>
      <c r="L68" s="2"/>
      <c r="M68" s="2">
        <v>24</v>
      </c>
      <c r="P68" s="48" t="s">
        <v>580</v>
      </c>
      <c r="Q68" s="48">
        <v>490</v>
      </c>
      <c r="S68" s="55">
        <f>SUM(H53,H70)</f>
        <v>490</v>
      </c>
    </row>
    <row r="69" spans="1:19" ht="15.75" customHeight="1">
      <c r="A69" s="61">
        <v>6</v>
      </c>
      <c r="B69" s="48" t="s">
        <v>1629</v>
      </c>
      <c r="C69" s="48" t="s">
        <v>39</v>
      </c>
      <c r="D69" s="48" t="s">
        <v>100</v>
      </c>
      <c r="E69" s="48" t="s">
        <v>29</v>
      </c>
      <c r="F69" s="48"/>
      <c r="G69" s="48" t="s">
        <v>30</v>
      </c>
      <c r="H69" s="51">
        <v>500</v>
      </c>
      <c r="I69" s="119">
        <v>150</v>
      </c>
      <c r="J69" s="62" t="s">
        <v>31</v>
      </c>
      <c r="K69" s="62" t="s">
        <v>32</v>
      </c>
      <c r="L69" s="2"/>
      <c r="M69" s="2">
        <v>150</v>
      </c>
      <c r="P69" s="48" t="s">
        <v>589</v>
      </c>
      <c r="Q69" s="48">
        <v>123</v>
      </c>
      <c r="S69" s="55">
        <f>H71</f>
        <v>123</v>
      </c>
    </row>
    <row r="70" spans="1:19" ht="15.75" customHeight="1">
      <c r="A70" s="61">
        <v>6</v>
      </c>
      <c r="B70" s="48" t="s">
        <v>606</v>
      </c>
      <c r="C70" s="48" t="s">
        <v>39</v>
      </c>
      <c r="D70" s="48" t="s">
        <v>607</v>
      </c>
      <c r="E70" s="48" t="s">
        <v>36</v>
      </c>
      <c r="F70" s="48"/>
      <c r="G70" s="48" t="s">
        <v>61</v>
      </c>
      <c r="H70" s="51">
        <v>340</v>
      </c>
      <c r="I70" s="49">
        <v>1700</v>
      </c>
      <c r="J70" s="62" t="s">
        <v>31</v>
      </c>
      <c r="K70" s="62" t="s">
        <v>32</v>
      </c>
      <c r="L70" s="2"/>
      <c r="M70" s="2"/>
      <c r="P70" s="297" t="s">
        <v>282</v>
      </c>
      <c r="Q70" s="299">
        <v>613</v>
      </c>
      <c r="S70" s="55">
        <f>SUM(S68:S69)</f>
        <v>613</v>
      </c>
    </row>
    <row r="71" spans="1:19" ht="15.75" customHeight="1">
      <c r="A71" s="61">
        <v>6</v>
      </c>
      <c r="B71" s="48" t="s">
        <v>606</v>
      </c>
      <c r="C71" s="48" t="s">
        <v>39</v>
      </c>
      <c r="D71" s="48" t="s">
        <v>607</v>
      </c>
      <c r="E71" s="48" t="s">
        <v>36</v>
      </c>
      <c r="F71" s="48"/>
      <c r="G71" s="48" t="s">
        <v>589</v>
      </c>
      <c r="H71" s="51">
        <v>123</v>
      </c>
      <c r="I71" s="119">
        <v>369</v>
      </c>
      <c r="J71" s="62" t="s">
        <v>31</v>
      </c>
      <c r="K71" s="62" t="s">
        <v>32</v>
      </c>
      <c r="L71" s="2"/>
      <c r="M71" s="2"/>
      <c r="P71" s="775" t="s">
        <v>57</v>
      </c>
      <c r="Q71" s="719"/>
    </row>
    <row r="72" spans="1:19" ht="15.75" customHeight="1">
      <c r="A72" s="61">
        <v>6</v>
      </c>
      <c r="B72" s="48" t="s">
        <v>1630</v>
      </c>
      <c r="C72" s="48" t="s">
        <v>27</v>
      </c>
      <c r="D72" s="48" t="s">
        <v>211</v>
      </c>
      <c r="E72" s="48" t="s">
        <v>245</v>
      </c>
      <c r="F72" s="48"/>
      <c r="G72" s="48" t="s">
        <v>30</v>
      </c>
      <c r="H72" s="51">
        <v>2000</v>
      </c>
      <c r="I72" s="119">
        <v>400</v>
      </c>
      <c r="J72" s="62" t="s">
        <v>31</v>
      </c>
      <c r="K72" s="62" t="s">
        <v>32</v>
      </c>
      <c r="L72" s="2"/>
      <c r="M72" s="2">
        <v>400</v>
      </c>
      <c r="P72" s="48" t="s">
        <v>33</v>
      </c>
      <c r="Q72" s="48">
        <v>150</v>
      </c>
    </row>
    <row r="73" spans="1:19" ht="15.75" customHeight="1">
      <c r="A73" s="61">
        <v>6</v>
      </c>
      <c r="B73" s="48" t="s">
        <v>1631</v>
      </c>
      <c r="C73" s="48" t="s">
        <v>27</v>
      </c>
      <c r="D73" s="48" t="s">
        <v>666</v>
      </c>
      <c r="E73" s="48" t="s">
        <v>36</v>
      </c>
      <c r="F73" s="48"/>
      <c r="G73" s="48" t="s">
        <v>30</v>
      </c>
      <c r="H73" s="51">
        <v>1000</v>
      </c>
      <c r="I73" s="119">
        <v>200</v>
      </c>
      <c r="J73" s="62" t="s">
        <v>31</v>
      </c>
      <c r="K73" s="62" t="s">
        <v>32</v>
      </c>
      <c r="L73" s="2"/>
      <c r="M73" s="2">
        <v>400</v>
      </c>
      <c r="P73" s="48" t="s">
        <v>37</v>
      </c>
      <c r="Q73" s="48">
        <v>0</v>
      </c>
    </row>
    <row r="74" spans="1:19" ht="15.75" customHeight="1">
      <c r="A74" s="61">
        <v>6</v>
      </c>
      <c r="B74" s="48" t="s">
        <v>1631</v>
      </c>
      <c r="C74" s="48" t="s">
        <v>27</v>
      </c>
      <c r="D74" s="48" t="s">
        <v>666</v>
      </c>
      <c r="E74" s="48" t="s">
        <v>36</v>
      </c>
      <c r="F74" s="48"/>
      <c r="G74" s="48" t="s">
        <v>1249</v>
      </c>
      <c r="H74" s="51">
        <v>100</v>
      </c>
      <c r="I74" s="119">
        <v>60</v>
      </c>
      <c r="J74" s="62" t="s">
        <v>31</v>
      </c>
      <c r="K74" s="62" t="s">
        <v>32</v>
      </c>
      <c r="L74" s="2"/>
      <c r="M74" s="2"/>
      <c r="P74" s="297" t="s">
        <v>282</v>
      </c>
      <c r="Q74" s="299">
        <v>150</v>
      </c>
    </row>
    <row r="75" spans="1:19" ht="15.75" customHeight="1">
      <c r="A75" s="65">
        <v>6</v>
      </c>
      <c r="B75" s="58" t="s">
        <v>1632</v>
      </c>
      <c r="C75" s="58" t="s">
        <v>39</v>
      </c>
      <c r="D75" s="58" t="s">
        <v>137</v>
      </c>
      <c r="E75" s="58" t="s">
        <v>84</v>
      </c>
      <c r="F75" s="58"/>
      <c r="G75" s="58" t="s">
        <v>30</v>
      </c>
      <c r="H75" s="59">
        <v>1000</v>
      </c>
      <c r="I75" s="160">
        <v>200</v>
      </c>
      <c r="J75" s="58" t="s">
        <v>31</v>
      </c>
      <c r="K75" s="58" t="s">
        <v>32</v>
      </c>
      <c r="L75" s="2"/>
      <c r="M75" s="2">
        <v>200</v>
      </c>
    </row>
    <row r="76" spans="1:19" ht="15.75" customHeight="1">
      <c r="A76" s="61">
        <v>7</v>
      </c>
      <c r="B76" s="62" t="s">
        <v>1633</v>
      </c>
      <c r="C76" s="62" t="s">
        <v>27</v>
      </c>
      <c r="D76" s="62" t="s">
        <v>1634</v>
      </c>
      <c r="E76" s="62" t="s">
        <v>36</v>
      </c>
      <c r="F76" s="62"/>
      <c r="G76" s="62" t="s">
        <v>30</v>
      </c>
      <c r="H76" s="63">
        <v>500</v>
      </c>
      <c r="I76" s="159">
        <v>100</v>
      </c>
      <c r="J76" s="62" t="s">
        <v>31</v>
      </c>
      <c r="K76" s="62" t="s">
        <v>32</v>
      </c>
      <c r="L76" s="2"/>
      <c r="M76" s="2">
        <v>100</v>
      </c>
    </row>
    <row r="77" spans="1:19" ht="15.75" customHeight="1">
      <c r="A77" s="61">
        <v>7</v>
      </c>
      <c r="B77" s="48" t="s">
        <v>1635</v>
      </c>
      <c r="C77" s="48" t="s">
        <v>39</v>
      </c>
      <c r="D77" s="48" t="s">
        <v>211</v>
      </c>
      <c r="E77" s="48" t="s">
        <v>245</v>
      </c>
      <c r="F77" s="48"/>
      <c r="G77" s="48" t="s">
        <v>30</v>
      </c>
      <c r="H77" s="51">
        <v>400</v>
      </c>
      <c r="I77" s="119">
        <v>80</v>
      </c>
      <c r="J77" s="62" t="s">
        <v>31</v>
      </c>
      <c r="K77" s="62" t="s">
        <v>32</v>
      </c>
      <c r="L77" s="2"/>
      <c r="M77" s="2">
        <v>100</v>
      </c>
    </row>
    <row r="78" spans="1:19" ht="15.75" customHeight="1">
      <c r="A78" s="61">
        <v>7</v>
      </c>
      <c r="B78" s="48" t="s">
        <v>1636</v>
      </c>
      <c r="C78" s="48" t="s">
        <v>27</v>
      </c>
      <c r="D78" s="48" t="s">
        <v>1637</v>
      </c>
      <c r="E78" s="48" t="s">
        <v>102</v>
      </c>
      <c r="F78" s="48"/>
      <c r="G78" s="48" t="s">
        <v>30</v>
      </c>
      <c r="H78" s="51">
        <v>650</v>
      </c>
      <c r="I78" s="119">
        <v>130</v>
      </c>
      <c r="J78" s="62" t="s">
        <v>31</v>
      </c>
      <c r="K78" s="62" t="s">
        <v>32</v>
      </c>
      <c r="L78" s="2"/>
      <c r="M78" s="2">
        <v>80</v>
      </c>
    </row>
    <row r="79" spans="1:19" ht="15.75" customHeight="1">
      <c r="A79" s="61">
        <v>7</v>
      </c>
      <c r="B79" s="48" t="s">
        <v>1636</v>
      </c>
      <c r="C79" s="48" t="s">
        <v>27</v>
      </c>
      <c r="D79" s="48" t="s">
        <v>1637</v>
      </c>
      <c r="E79" s="48" t="s">
        <v>102</v>
      </c>
      <c r="F79" s="48"/>
      <c r="G79" s="48" t="s">
        <v>1249</v>
      </c>
      <c r="H79" s="51">
        <v>100</v>
      </c>
      <c r="I79" s="119">
        <v>60</v>
      </c>
      <c r="J79" s="62" t="s">
        <v>31</v>
      </c>
      <c r="K79" s="62" t="s">
        <v>32</v>
      </c>
      <c r="L79" s="2"/>
      <c r="M79" s="2"/>
    </row>
    <row r="80" spans="1:19" ht="15.75" customHeight="1">
      <c r="A80" s="61">
        <v>7</v>
      </c>
      <c r="B80" s="48" t="s">
        <v>1638</v>
      </c>
      <c r="C80" s="48" t="s">
        <v>27</v>
      </c>
      <c r="D80" s="48" t="s">
        <v>251</v>
      </c>
      <c r="E80" s="48" t="s">
        <v>102</v>
      </c>
      <c r="F80" s="48"/>
      <c r="G80" s="48" t="s">
        <v>30</v>
      </c>
      <c r="H80" s="51">
        <v>1000</v>
      </c>
      <c r="I80" s="119">
        <v>200</v>
      </c>
      <c r="J80" s="62" t="s">
        <v>31</v>
      </c>
      <c r="K80" s="62" t="s">
        <v>32</v>
      </c>
      <c r="L80" s="2"/>
      <c r="M80" s="2">
        <v>300</v>
      </c>
    </row>
    <row r="81" spans="1:13" ht="15.75" customHeight="1">
      <c r="A81" s="61">
        <v>7</v>
      </c>
      <c r="B81" s="48" t="s">
        <v>1639</v>
      </c>
      <c r="C81" s="48" t="s">
        <v>27</v>
      </c>
      <c r="D81" s="48" t="s">
        <v>232</v>
      </c>
      <c r="E81" s="48" t="s">
        <v>68</v>
      </c>
      <c r="F81" s="48"/>
      <c r="G81" s="48" t="s">
        <v>1249</v>
      </c>
      <c r="H81" s="51">
        <v>400</v>
      </c>
      <c r="I81" s="119">
        <v>400</v>
      </c>
      <c r="J81" s="62" t="s">
        <v>31</v>
      </c>
      <c r="K81" s="62" t="s">
        <v>32</v>
      </c>
      <c r="L81" s="2"/>
      <c r="M81" s="2"/>
    </row>
    <row r="82" spans="1:13" ht="15.75" customHeight="1">
      <c r="A82" s="61">
        <v>7</v>
      </c>
      <c r="B82" s="48" t="s">
        <v>1640</v>
      </c>
      <c r="C82" s="48" t="s">
        <v>27</v>
      </c>
      <c r="D82" s="48" t="s">
        <v>1641</v>
      </c>
      <c r="E82" s="48" t="s">
        <v>89</v>
      </c>
      <c r="F82" s="48"/>
      <c r="G82" s="48" t="s">
        <v>30</v>
      </c>
      <c r="H82" s="51">
        <v>500</v>
      </c>
      <c r="I82" s="119" t="s">
        <v>1586</v>
      </c>
      <c r="J82" s="62" t="s">
        <v>31</v>
      </c>
      <c r="K82" s="62" t="s">
        <v>32</v>
      </c>
      <c r="L82" s="2"/>
      <c r="M82" s="2">
        <v>120</v>
      </c>
    </row>
    <row r="83" spans="1:13" ht="15.75" customHeight="1">
      <c r="A83" s="61">
        <v>7</v>
      </c>
      <c r="B83" s="48" t="s">
        <v>1640</v>
      </c>
      <c r="C83" s="48" t="s">
        <v>27</v>
      </c>
      <c r="D83" s="48" t="s">
        <v>1641</v>
      </c>
      <c r="E83" s="48" t="s">
        <v>89</v>
      </c>
      <c r="F83" s="48"/>
      <c r="G83" s="48" t="s">
        <v>30</v>
      </c>
      <c r="H83" s="51">
        <v>500</v>
      </c>
      <c r="I83" s="119">
        <v>100</v>
      </c>
      <c r="J83" s="62" t="s">
        <v>31</v>
      </c>
      <c r="K83" s="62" t="s">
        <v>32</v>
      </c>
      <c r="L83" s="2"/>
      <c r="M83" s="2"/>
    </row>
    <row r="84" spans="1:13" ht="15.75" customHeight="1">
      <c r="A84" s="61">
        <v>7</v>
      </c>
      <c r="B84" s="48" t="s">
        <v>1642</v>
      </c>
      <c r="C84" s="48" t="s">
        <v>27</v>
      </c>
      <c r="D84" s="48" t="s">
        <v>1641</v>
      </c>
      <c r="E84" s="48" t="s">
        <v>89</v>
      </c>
      <c r="F84" s="48"/>
      <c r="G84" s="48" t="s">
        <v>30</v>
      </c>
      <c r="H84" s="51">
        <v>500</v>
      </c>
      <c r="I84" s="119" t="s">
        <v>1586</v>
      </c>
      <c r="J84" s="62" t="s">
        <v>31</v>
      </c>
      <c r="K84" s="62" t="s">
        <v>32</v>
      </c>
      <c r="L84" s="2"/>
      <c r="M84" s="2">
        <v>100</v>
      </c>
    </row>
    <row r="85" spans="1:13" ht="15.75" customHeight="1">
      <c r="A85" s="61">
        <v>7</v>
      </c>
      <c r="B85" s="48" t="s">
        <v>1642</v>
      </c>
      <c r="C85" s="48" t="s">
        <v>27</v>
      </c>
      <c r="D85" s="48" t="s">
        <v>1641</v>
      </c>
      <c r="E85" s="48" t="s">
        <v>89</v>
      </c>
      <c r="F85" s="48"/>
      <c r="G85" s="48" t="s">
        <v>30</v>
      </c>
      <c r="H85" s="51">
        <v>500</v>
      </c>
      <c r="I85" s="119">
        <v>100</v>
      </c>
      <c r="J85" s="62" t="s">
        <v>31</v>
      </c>
      <c r="K85" s="62" t="s">
        <v>32</v>
      </c>
      <c r="L85" s="2"/>
      <c r="M85" s="2"/>
    </row>
    <row r="86" spans="1:13" ht="15.75" customHeight="1">
      <c r="A86" s="61">
        <v>7</v>
      </c>
      <c r="B86" s="48" t="s">
        <v>1643</v>
      </c>
      <c r="C86" s="48" t="s">
        <v>39</v>
      </c>
      <c r="D86" s="48" t="s">
        <v>1641</v>
      </c>
      <c r="E86" s="48" t="s">
        <v>89</v>
      </c>
      <c r="F86" s="48"/>
      <c r="G86" s="48" t="s">
        <v>30</v>
      </c>
      <c r="H86" s="51">
        <v>500</v>
      </c>
      <c r="I86" s="119" t="s">
        <v>1586</v>
      </c>
      <c r="J86" s="62" t="s">
        <v>31</v>
      </c>
      <c r="K86" s="62" t="s">
        <v>32</v>
      </c>
      <c r="L86" s="2"/>
      <c r="M86" s="2">
        <v>100</v>
      </c>
    </row>
    <row r="87" spans="1:13" ht="15.75" customHeight="1">
      <c r="A87" s="61">
        <v>7</v>
      </c>
      <c r="B87" s="48" t="s">
        <v>1643</v>
      </c>
      <c r="C87" s="48" t="s">
        <v>39</v>
      </c>
      <c r="D87" s="48" t="s">
        <v>1641</v>
      </c>
      <c r="E87" s="48" t="s">
        <v>89</v>
      </c>
      <c r="F87" s="48"/>
      <c r="G87" s="48" t="s">
        <v>30</v>
      </c>
      <c r="H87" s="51">
        <v>500</v>
      </c>
      <c r="I87" s="119">
        <v>100</v>
      </c>
      <c r="J87" s="62" t="s">
        <v>31</v>
      </c>
      <c r="K87" s="62" t="s">
        <v>32</v>
      </c>
      <c r="L87" s="2"/>
      <c r="M87" s="2"/>
    </row>
    <row r="88" spans="1:13" ht="15.75" customHeight="1">
      <c r="A88" s="61">
        <v>7</v>
      </c>
      <c r="B88" s="48" t="s">
        <v>1644</v>
      </c>
      <c r="C88" s="48" t="s">
        <v>27</v>
      </c>
      <c r="D88" s="48" t="s">
        <v>786</v>
      </c>
      <c r="E88" s="48" t="s">
        <v>191</v>
      </c>
      <c r="F88" s="48"/>
      <c r="G88" s="48" t="s">
        <v>30</v>
      </c>
      <c r="H88" s="51">
        <v>400</v>
      </c>
      <c r="I88" s="119">
        <v>80</v>
      </c>
      <c r="J88" s="62" t="s">
        <v>31</v>
      </c>
      <c r="K88" s="62" t="s">
        <v>32</v>
      </c>
      <c r="L88" s="2"/>
      <c r="M88" s="2">
        <v>100</v>
      </c>
    </row>
    <row r="89" spans="1:13" ht="15.75" customHeight="1">
      <c r="A89" s="61">
        <v>7</v>
      </c>
      <c r="B89" s="48" t="s">
        <v>1645</v>
      </c>
      <c r="C89" s="48" t="s">
        <v>27</v>
      </c>
      <c r="D89" s="48" t="s">
        <v>1646</v>
      </c>
      <c r="E89" s="48" t="s">
        <v>89</v>
      </c>
      <c r="F89" s="48"/>
      <c r="G89" s="48" t="s">
        <v>30</v>
      </c>
      <c r="H89" s="51">
        <v>500</v>
      </c>
      <c r="I89" s="119">
        <v>100</v>
      </c>
      <c r="J89" s="62" t="s">
        <v>31</v>
      </c>
      <c r="K89" s="62" t="s">
        <v>32</v>
      </c>
      <c r="L89" s="2"/>
      <c r="M89" s="2">
        <v>500</v>
      </c>
    </row>
    <row r="90" spans="1:13" ht="15.75" customHeight="1">
      <c r="A90" s="61">
        <v>7</v>
      </c>
      <c r="B90" s="48" t="s">
        <v>1645</v>
      </c>
      <c r="C90" s="48" t="s">
        <v>27</v>
      </c>
      <c r="D90" s="48" t="s">
        <v>1646</v>
      </c>
      <c r="E90" s="48" t="s">
        <v>89</v>
      </c>
      <c r="F90" s="48"/>
      <c r="G90" s="48" t="s">
        <v>1249</v>
      </c>
      <c r="H90" s="51">
        <v>500</v>
      </c>
      <c r="I90" s="119">
        <v>300</v>
      </c>
      <c r="J90" s="62" t="s">
        <v>31</v>
      </c>
      <c r="K90" s="62" t="s">
        <v>32</v>
      </c>
      <c r="L90" s="2"/>
      <c r="M90" s="2"/>
    </row>
    <row r="91" spans="1:13" ht="15.75" customHeight="1">
      <c r="A91" s="61">
        <v>7</v>
      </c>
      <c r="B91" s="48" t="s">
        <v>1647</v>
      </c>
      <c r="C91" s="48" t="s">
        <v>39</v>
      </c>
      <c r="D91" s="48" t="s">
        <v>387</v>
      </c>
      <c r="E91" s="48" t="s">
        <v>84</v>
      </c>
      <c r="F91" s="48"/>
      <c r="G91" s="48" t="s">
        <v>30</v>
      </c>
      <c r="H91" s="51">
        <v>500</v>
      </c>
      <c r="I91" s="119">
        <v>100</v>
      </c>
      <c r="J91" s="62" t="s">
        <v>31</v>
      </c>
      <c r="K91" s="62" t="s">
        <v>32</v>
      </c>
      <c r="L91" s="2"/>
      <c r="M91" s="2">
        <v>300</v>
      </c>
    </row>
    <row r="92" spans="1:13" ht="15.75" customHeight="1">
      <c r="A92" s="61">
        <v>7</v>
      </c>
      <c r="B92" s="48" t="s">
        <v>1648</v>
      </c>
      <c r="C92" s="48" t="s">
        <v>27</v>
      </c>
      <c r="D92" s="151" t="s">
        <v>934</v>
      </c>
      <c r="E92" s="48" t="s">
        <v>79</v>
      </c>
      <c r="F92" s="48"/>
      <c r="G92" s="48" t="s">
        <v>30</v>
      </c>
      <c r="H92" s="51">
        <v>1800</v>
      </c>
      <c r="I92" s="119">
        <v>360</v>
      </c>
      <c r="J92" s="62" t="s">
        <v>31</v>
      </c>
      <c r="K92" s="62" t="s">
        <v>32</v>
      </c>
      <c r="L92" s="2"/>
      <c r="M92" s="2">
        <v>400</v>
      </c>
    </row>
    <row r="93" spans="1:13" ht="15.75" customHeight="1">
      <c r="A93" s="61">
        <v>7</v>
      </c>
      <c r="B93" s="48" t="s">
        <v>1648</v>
      </c>
      <c r="C93" s="48" t="s">
        <v>27</v>
      </c>
      <c r="D93" s="151" t="s">
        <v>934</v>
      </c>
      <c r="E93" s="48" t="s">
        <v>79</v>
      </c>
      <c r="F93" s="58"/>
      <c r="G93" s="58" t="s">
        <v>1249</v>
      </c>
      <c r="H93" s="59">
        <v>500</v>
      </c>
      <c r="I93" s="160">
        <v>300</v>
      </c>
      <c r="J93" s="62" t="s">
        <v>31</v>
      </c>
      <c r="K93" s="62" t="s">
        <v>32</v>
      </c>
      <c r="L93" s="2"/>
      <c r="M93" s="2"/>
    </row>
    <row r="94" spans="1:13" ht="15.75" customHeight="1">
      <c r="A94" s="61">
        <v>8</v>
      </c>
      <c r="B94" s="62" t="s">
        <v>1649</v>
      </c>
      <c r="C94" s="62" t="s">
        <v>27</v>
      </c>
      <c r="D94" s="62" t="s">
        <v>1650</v>
      </c>
      <c r="E94" s="62" t="s">
        <v>73</v>
      </c>
      <c r="F94" s="62"/>
      <c r="G94" s="62" t="s">
        <v>30</v>
      </c>
      <c r="H94" s="63">
        <v>2000</v>
      </c>
      <c r="I94" s="159">
        <v>400</v>
      </c>
      <c r="J94" s="62" t="s">
        <v>31</v>
      </c>
      <c r="K94" s="62" t="s">
        <v>32</v>
      </c>
      <c r="L94" s="2"/>
      <c r="M94" s="2">
        <v>300</v>
      </c>
    </row>
    <row r="95" spans="1:13" ht="15.75" customHeight="1">
      <c r="A95" s="61">
        <v>8</v>
      </c>
      <c r="B95" s="48" t="s">
        <v>1651</v>
      </c>
      <c r="C95" s="48" t="s">
        <v>27</v>
      </c>
      <c r="D95" s="48" t="s">
        <v>128</v>
      </c>
      <c r="E95" s="48" t="s">
        <v>44</v>
      </c>
      <c r="F95" s="48"/>
      <c r="G95" s="48" t="s">
        <v>30</v>
      </c>
      <c r="H95" s="51">
        <v>300</v>
      </c>
      <c r="I95" s="119">
        <v>60</v>
      </c>
      <c r="J95" s="48" t="s">
        <v>31</v>
      </c>
      <c r="K95" s="48" t="s">
        <v>32</v>
      </c>
      <c r="L95" s="2"/>
      <c r="M95" s="2">
        <v>100</v>
      </c>
    </row>
    <row r="96" spans="1:13" ht="15.75" customHeight="1">
      <c r="A96" s="61">
        <v>8</v>
      </c>
      <c r="B96" s="48" t="s">
        <v>1652</v>
      </c>
      <c r="C96" s="48" t="s">
        <v>27</v>
      </c>
      <c r="D96" s="48" t="s">
        <v>1123</v>
      </c>
      <c r="E96" s="48" t="s">
        <v>73</v>
      </c>
      <c r="F96" s="48"/>
      <c r="G96" s="48" t="s">
        <v>30</v>
      </c>
      <c r="H96" s="51">
        <v>200</v>
      </c>
      <c r="I96" s="119">
        <v>40</v>
      </c>
      <c r="J96" s="48" t="s">
        <v>31</v>
      </c>
      <c r="K96" s="48" t="s">
        <v>32</v>
      </c>
      <c r="L96" s="2"/>
      <c r="M96" s="2">
        <v>50</v>
      </c>
    </row>
    <row r="97" spans="1:13" ht="15.75" customHeight="1">
      <c r="A97" s="61">
        <v>8</v>
      </c>
      <c r="B97" s="48" t="s">
        <v>1653</v>
      </c>
      <c r="C97" s="48" t="s">
        <v>27</v>
      </c>
      <c r="D97" s="48" t="s">
        <v>35</v>
      </c>
      <c r="E97" s="48" t="s">
        <v>54</v>
      </c>
      <c r="F97" s="48"/>
      <c r="G97" s="48" t="s">
        <v>30</v>
      </c>
      <c r="H97" s="51">
        <v>1800</v>
      </c>
      <c r="I97" s="119">
        <v>360</v>
      </c>
      <c r="J97" s="48" t="s">
        <v>31</v>
      </c>
      <c r="K97" s="48" t="s">
        <v>32</v>
      </c>
      <c r="L97" s="2"/>
      <c r="M97" s="2">
        <v>600</v>
      </c>
    </row>
    <row r="98" spans="1:13" ht="15.75" customHeight="1">
      <c r="A98" s="61">
        <v>8</v>
      </c>
      <c r="B98" s="48" t="s">
        <v>1114</v>
      </c>
      <c r="C98" s="48" t="s">
        <v>39</v>
      </c>
      <c r="D98" s="48" t="s">
        <v>1115</v>
      </c>
      <c r="E98" s="48" t="s">
        <v>358</v>
      </c>
      <c r="F98" s="48"/>
      <c r="G98" s="48" t="s">
        <v>30</v>
      </c>
      <c r="H98" s="51">
        <v>8000</v>
      </c>
      <c r="I98" s="119">
        <v>2400</v>
      </c>
      <c r="J98" s="48" t="s">
        <v>31</v>
      </c>
      <c r="K98" s="48" t="s">
        <v>32</v>
      </c>
      <c r="L98" s="2"/>
      <c r="M98" s="2"/>
    </row>
    <row r="99" spans="1:13" ht="15.75" customHeight="1">
      <c r="A99" s="61">
        <v>8</v>
      </c>
      <c r="B99" s="48" t="s">
        <v>1654</v>
      </c>
      <c r="C99" s="48" t="s">
        <v>27</v>
      </c>
      <c r="D99" s="48" t="s">
        <v>1431</v>
      </c>
      <c r="E99" s="48" t="s">
        <v>44</v>
      </c>
      <c r="F99" s="48"/>
      <c r="G99" s="48" t="s">
        <v>30</v>
      </c>
      <c r="H99" s="51">
        <v>200</v>
      </c>
      <c r="I99" s="119">
        <v>40</v>
      </c>
      <c r="J99" s="48" t="s">
        <v>31</v>
      </c>
      <c r="K99" s="48" t="s">
        <v>32</v>
      </c>
      <c r="L99" s="2"/>
      <c r="M99" s="2">
        <v>50</v>
      </c>
    </row>
    <row r="100" spans="1:13" ht="15.75" customHeight="1">
      <c r="A100" s="61">
        <v>8</v>
      </c>
      <c r="B100" s="48" t="s">
        <v>1655</v>
      </c>
      <c r="C100" s="48" t="s">
        <v>39</v>
      </c>
      <c r="D100" s="48" t="s">
        <v>1656</v>
      </c>
      <c r="E100" s="48" t="s">
        <v>1247</v>
      </c>
      <c r="F100" s="48"/>
      <c r="G100" s="48" t="s">
        <v>115</v>
      </c>
      <c r="H100" s="51">
        <v>450</v>
      </c>
      <c r="I100" s="119">
        <v>450</v>
      </c>
      <c r="J100" s="48" t="s">
        <v>31</v>
      </c>
      <c r="K100" s="48" t="s">
        <v>32</v>
      </c>
      <c r="L100" s="2"/>
      <c r="M100" s="2">
        <v>500</v>
      </c>
    </row>
    <row r="101" spans="1:13" ht="15.75" customHeight="1">
      <c r="A101" s="61">
        <v>8</v>
      </c>
      <c r="B101" s="48" t="s">
        <v>1657</v>
      </c>
      <c r="C101" s="48" t="s">
        <v>27</v>
      </c>
      <c r="D101" s="48" t="s">
        <v>434</v>
      </c>
      <c r="E101" s="48" t="s">
        <v>36</v>
      </c>
      <c r="F101" s="48"/>
      <c r="G101" s="48" t="s">
        <v>115</v>
      </c>
      <c r="H101" s="51">
        <v>500</v>
      </c>
      <c r="I101" s="119">
        <v>500</v>
      </c>
      <c r="J101" s="48" t="s">
        <v>31</v>
      </c>
      <c r="K101" s="48" t="s">
        <v>32</v>
      </c>
      <c r="L101" s="2"/>
      <c r="M101" s="2">
        <v>300</v>
      </c>
    </row>
    <row r="102" spans="1:13" ht="15.75" customHeight="1">
      <c r="A102" s="61">
        <v>8</v>
      </c>
      <c r="B102" s="48" t="s">
        <v>1658</v>
      </c>
      <c r="C102" s="48" t="s">
        <v>39</v>
      </c>
      <c r="D102" s="48" t="s">
        <v>108</v>
      </c>
      <c r="E102" s="48" t="s">
        <v>44</v>
      </c>
      <c r="F102" s="48"/>
      <c r="G102" s="48" t="s">
        <v>30</v>
      </c>
      <c r="H102" s="51">
        <v>300</v>
      </c>
      <c r="I102" s="119">
        <v>120</v>
      </c>
      <c r="J102" s="48" t="s">
        <v>31</v>
      </c>
      <c r="K102" s="48" t="s">
        <v>32</v>
      </c>
      <c r="L102" s="2"/>
      <c r="M102" s="2">
        <v>150</v>
      </c>
    </row>
    <row r="103" spans="1:13" ht="15.75" customHeight="1">
      <c r="A103" s="61">
        <v>8</v>
      </c>
      <c r="B103" s="48" t="s">
        <v>1659</v>
      </c>
      <c r="C103" s="48" t="s">
        <v>27</v>
      </c>
      <c r="D103" s="48" t="s">
        <v>264</v>
      </c>
      <c r="E103" s="48" t="s">
        <v>245</v>
      </c>
      <c r="F103" s="48"/>
      <c r="G103" s="48" t="s">
        <v>30</v>
      </c>
      <c r="H103" s="51">
        <v>400</v>
      </c>
      <c r="I103" s="119">
        <v>80</v>
      </c>
      <c r="J103" s="48" t="s">
        <v>31</v>
      </c>
      <c r="K103" s="48" t="s">
        <v>32</v>
      </c>
      <c r="L103" s="2"/>
      <c r="M103" s="2">
        <v>100</v>
      </c>
    </row>
    <row r="104" spans="1:13" ht="15.75" customHeight="1">
      <c r="A104" s="61">
        <v>8</v>
      </c>
      <c r="B104" s="48" t="s">
        <v>1660</v>
      </c>
      <c r="C104" s="48" t="s">
        <v>27</v>
      </c>
      <c r="D104" s="48" t="s">
        <v>1661</v>
      </c>
      <c r="E104" s="48" t="s">
        <v>135</v>
      </c>
      <c r="F104" s="48"/>
      <c r="G104" s="48" t="s">
        <v>30</v>
      </c>
      <c r="H104" s="51">
        <v>2000</v>
      </c>
      <c r="I104" s="119">
        <v>400</v>
      </c>
      <c r="J104" s="48" t="s">
        <v>31</v>
      </c>
      <c r="K104" s="48" t="s">
        <v>32</v>
      </c>
      <c r="L104" s="2"/>
      <c r="M104" s="2">
        <v>156</v>
      </c>
    </row>
    <row r="105" spans="1:13" ht="15.75" customHeight="1">
      <c r="A105" s="61">
        <v>8</v>
      </c>
      <c r="B105" s="48" t="s">
        <v>1662</v>
      </c>
      <c r="C105" s="48" t="s">
        <v>39</v>
      </c>
      <c r="D105" s="48" t="s">
        <v>326</v>
      </c>
      <c r="E105" s="48" t="s">
        <v>84</v>
      </c>
      <c r="F105" s="48"/>
      <c r="G105" s="48" t="s">
        <v>30</v>
      </c>
      <c r="H105" s="51">
        <v>200</v>
      </c>
      <c r="I105" s="119">
        <v>40</v>
      </c>
      <c r="J105" s="48" t="s">
        <v>31</v>
      </c>
      <c r="K105" s="48" t="s">
        <v>32</v>
      </c>
      <c r="L105" s="2"/>
      <c r="M105" s="2"/>
    </row>
    <row r="106" spans="1:13" ht="15.75" customHeight="1">
      <c r="A106" s="61">
        <v>8</v>
      </c>
      <c r="B106" s="48" t="s">
        <v>1663</v>
      </c>
      <c r="C106" s="48" t="s">
        <v>27</v>
      </c>
      <c r="D106" s="48" t="s">
        <v>1664</v>
      </c>
      <c r="E106" s="48" t="s">
        <v>223</v>
      </c>
      <c r="F106" s="48"/>
      <c r="G106" s="48" t="s">
        <v>30</v>
      </c>
      <c r="H106" s="51">
        <v>1300</v>
      </c>
      <c r="I106" s="119" t="s">
        <v>1586</v>
      </c>
      <c r="J106" s="48" t="s">
        <v>31</v>
      </c>
      <c r="K106" s="48" t="s">
        <v>32</v>
      </c>
      <c r="L106" s="2"/>
      <c r="M106" s="2">
        <v>300</v>
      </c>
    </row>
    <row r="107" spans="1:13" ht="15.75" customHeight="1">
      <c r="A107" s="61">
        <v>8</v>
      </c>
      <c r="B107" s="48" t="s">
        <v>1665</v>
      </c>
      <c r="C107" s="48" t="s">
        <v>27</v>
      </c>
      <c r="D107" s="48" t="s">
        <v>1666</v>
      </c>
      <c r="E107" s="48" t="s">
        <v>36</v>
      </c>
      <c r="F107" s="48"/>
      <c r="G107" s="48" t="s">
        <v>30</v>
      </c>
      <c r="H107" s="51">
        <v>500</v>
      </c>
      <c r="I107" s="119" t="s">
        <v>1586</v>
      </c>
      <c r="J107" s="48" t="s">
        <v>31</v>
      </c>
      <c r="K107" s="48" t="s">
        <v>32</v>
      </c>
      <c r="L107" s="2"/>
      <c r="M107" s="2">
        <v>100</v>
      </c>
    </row>
    <row r="108" spans="1:13" ht="15.75" customHeight="1">
      <c r="A108" s="61">
        <v>8</v>
      </c>
      <c r="B108" s="48" t="s">
        <v>1667</v>
      </c>
      <c r="C108" s="48" t="s">
        <v>27</v>
      </c>
      <c r="D108" s="48" t="s">
        <v>1337</v>
      </c>
      <c r="E108" s="48" t="s">
        <v>36</v>
      </c>
      <c r="F108" s="48"/>
      <c r="G108" s="48" t="s">
        <v>30</v>
      </c>
      <c r="H108" s="51">
        <v>100</v>
      </c>
      <c r="I108" s="119">
        <v>30</v>
      </c>
      <c r="J108" s="48" t="s">
        <v>31</v>
      </c>
      <c r="K108" s="48" t="s">
        <v>32</v>
      </c>
      <c r="L108" s="2"/>
      <c r="M108" s="2"/>
    </row>
    <row r="109" spans="1:13" ht="15.75" customHeight="1">
      <c r="A109" s="61">
        <v>8</v>
      </c>
      <c r="B109" s="48" t="s">
        <v>1668</v>
      </c>
      <c r="C109" s="48" t="s">
        <v>27</v>
      </c>
      <c r="D109" s="48" t="s">
        <v>108</v>
      </c>
      <c r="E109" s="48" t="s">
        <v>36</v>
      </c>
      <c r="F109" s="48"/>
      <c r="G109" s="48" t="s">
        <v>30</v>
      </c>
      <c r="H109" s="51">
        <v>300</v>
      </c>
      <c r="I109" s="119">
        <v>60</v>
      </c>
      <c r="J109" s="48" t="s">
        <v>31</v>
      </c>
      <c r="K109" s="48" t="s">
        <v>32</v>
      </c>
      <c r="L109" s="2"/>
      <c r="M109" s="2">
        <v>100</v>
      </c>
    </row>
    <row r="110" spans="1:13" ht="15.75" customHeight="1">
      <c r="A110" s="61">
        <v>8</v>
      </c>
      <c r="B110" s="48" t="s">
        <v>1669</v>
      </c>
      <c r="C110" s="48" t="s">
        <v>27</v>
      </c>
      <c r="D110" s="48" t="s">
        <v>56</v>
      </c>
      <c r="E110" s="48" t="s">
        <v>84</v>
      </c>
      <c r="F110" s="48"/>
      <c r="G110" s="48" t="s">
        <v>115</v>
      </c>
      <c r="H110" s="51">
        <v>1000</v>
      </c>
      <c r="I110" s="119">
        <v>1000</v>
      </c>
      <c r="J110" s="48" t="s">
        <v>31</v>
      </c>
      <c r="K110" s="48" t="s">
        <v>32</v>
      </c>
      <c r="L110" s="2"/>
      <c r="M110" s="2"/>
    </row>
    <row r="111" spans="1:13" ht="15.75" customHeight="1">
      <c r="A111" s="61">
        <v>8</v>
      </c>
      <c r="B111" s="48" t="s">
        <v>1670</v>
      </c>
      <c r="C111" s="48" t="s">
        <v>27</v>
      </c>
      <c r="D111" s="48" t="s">
        <v>110</v>
      </c>
      <c r="E111" s="48" t="s">
        <v>36</v>
      </c>
      <c r="F111" s="48"/>
      <c r="G111" s="48" t="s">
        <v>30</v>
      </c>
      <c r="H111" s="51">
        <v>1000</v>
      </c>
      <c r="I111" s="119">
        <v>200</v>
      </c>
      <c r="J111" s="48" t="s">
        <v>31</v>
      </c>
      <c r="K111" s="48" t="s">
        <v>32</v>
      </c>
      <c r="L111" s="2"/>
      <c r="M111" s="2">
        <v>300</v>
      </c>
    </row>
    <row r="112" spans="1:13" ht="15.75" customHeight="1">
      <c r="A112" s="61">
        <v>8</v>
      </c>
      <c r="B112" s="48" t="s">
        <v>1671</v>
      </c>
      <c r="C112" s="48" t="s">
        <v>27</v>
      </c>
      <c r="D112" s="48" t="s">
        <v>395</v>
      </c>
      <c r="E112" s="48" t="s">
        <v>54</v>
      </c>
      <c r="F112" s="48"/>
      <c r="G112" s="48" t="s">
        <v>30</v>
      </c>
      <c r="H112" s="51">
        <v>500</v>
      </c>
      <c r="I112" s="119">
        <v>100</v>
      </c>
      <c r="J112" s="48" t="s">
        <v>31</v>
      </c>
      <c r="K112" s="48" t="s">
        <v>32</v>
      </c>
      <c r="L112" s="2"/>
      <c r="M112" s="2">
        <v>100</v>
      </c>
    </row>
    <row r="113" spans="1:13" ht="15.75" customHeight="1">
      <c r="A113" s="61">
        <v>8</v>
      </c>
      <c r="B113" s="48" t="s">
        <v>1672</v>
      </c>
      <c r="C113" s="48" t="s">
        <v>27</v>
      </c>
      <c r="D113" s="48" t="s">
        <v>806</v>
      </c>
      <c r="E113" s="48" t="s">
        <v>86</v>
      </c>
      <c r="F113" s="48"/>
      <c r="G113" s="48" t="s">
        <v>30</v>
      </c>
      <c r="H113" s="51">
        <v>2500</v>
      </c>
      <c r="I113" s="119">
        <v>500</v>
      </c>
      <c r="J113" s="48" t="s">
        <v>31</v>
      </c>
      <c r="K113" s="48" t="s">
        <v>32</v>
      </c>
      <c r="L113" s="2"/>
      <c r="M113" s="2">
        <v>600</v>
      </c>
    </row>
    <row r="114" spans="1:13" ht="15.75" customHeight="1">
      <c r="A114" s="61">
        <v>8</v>
      </c>
      <c r="B114" s="48" t="s">
        <v>1673</v>
      </c>
      <c r="C114" s="48" t="s">
        <v>27</v>
      </c>
      <c r="D114" s="48" t="s">
        <v>1674</v>
      </c>
      <c r="E114" s="48" t="s">
        <v>36</v>
      </c>
      <c r="F114" s="48"/>
      <c r="G114" s="48" t="s">
        <v>30</v>
      </c>
      <c r="H114" s="51">
        <v>4000</v>
      </c>
      <c r="I114" s="119">
        <v>800</v>
      </c>
      <c r="J114" s="48" t="s">
        <v>31</v>
      </c>
      <c r="K114" s="48" t="s">
        <v>32</v>
      </c>
      <c r="L114" s="2"/>
      <c r="M114" s="2">
        <v>800</v>
      </c>
    </row>
    <row r="115" spans="1:13" ht="15.75" customHeight="1">
      <c r="A115" s="61">
        <v>8</v>
      </c>
      <c r="B115" s="48" t="s">
        <v>1675</v>
      </c>
      <c r="C115" s="48" t="s">
        <v>27</v>
      </c>
      <c r="D115" s="48" t="s">
        <v>1439</v>
      </c>
      <c r="E115" s="48" t="s">
        <v>54</v>
      </c>
      <c r="F115" s="48"/>
      <c r="G115" s="48" t="s">
        <v>30</v>
      </c>
      <c r="H115" s="51">
        <v>3500</v>
      </c>
      <c r="I115" s="119">
        <v>700</v>
      </c>
      <c r="J115" s="48" t="s">
        <v>31</v>
      </c>
      <c r="K115" s="48" t="s">
        <v>32</v>
      </c>
      <c r="L115" s="2"/>
      <c r="M115" s="2">
        <v>600</v>
      </c>
    </row>
    <row r="116" spans="1:13" ht="15.75" customHeight="1">
      <c r="A116" s="61">
        <v>8</v>
      </c>
      <c r="B116" s="48" t="s">
        <v>1676</v>
      </c>
      <c r="C116" s="48" t="s">
        <v>27</v>
      </c>
      <c r="D116" s="48" t="s">
        <v>104</v>
      </c>
      <c r="E116" s="48" t="s">
        <v>36</v>
      </c>
      <c r="F116" s="48"/>
      <c r="G116" s="48" t="s">
        <v>30</v>
      </c>
      <c r="H116" s="51">
        <v>600</v>
      </c>
      <c r="I116" s="119">
        <v>120</v>
      </c>
      <c r="J116" s="48" t="s">
        <v>31</v>
      </c>
      <c r="K116" s="48" t="s">
        <v>32</v>
      </c>
      <c r="L116" s="2"/>
      <c r="M116" s="2"/>
    </row>
    <row r="117" spans="1:13" ht="15.75" customHeight="1">
      <c r="A117" s="61">
        <v>8</v>
      </c>
      <c r="B117" s="48" t="s">
        <v>1676</v>
      </c>
      <c r="C117" s="48" t="s">
        <v>27</v>
      </c>
      <c r="D117" s="48" t="s">
        <v>104</v>
      </c>
      <c r="E117" s="48" t="s">
        <v>36</v>
      </c>
      <c r="F117" s="48"/>
      <c r="G117" s="48" t="s">
        <v>1249</v>
      </c>
      <c r="H117" s="51">
        <v>50</v>
      </c>
      <c r="I117" s="119">
        <v>30</v>
      </c>
      <c r="J117" s="48" t="s">
        <v>31</v>
      </c>
      <c r="K117" s="48" t="s">
        <v>32</v>
      </c>
      <c r="L117" s="2"/>
      <c r="M117" s="2"/>
    </row>
    <row r="118" spans="1:13" ht="15.75" customHeight="1">
      <c r="A118" s="61">
        <v>8</v>
      </c>
      <c r="B118" s="48" t="s">
        <v>408</v>
      </c>
      <c r="C118" s="48" t="s">
        <v>27</v>
      </c>
      <c r="D118" s="48" t="s">
        <v>56</v>
      </c>
      <c r="E118" s="48" t="s">
        <v>51</v>
      </c>
      <c r="F118" s="48"/>
      <c r="G118" s="48" t="s">
        <v>30</v>
      </c>
      <c r="H118" s="51">
        <v>5000</v>
      </c>
      <c r="I118" s="119">
        <v>1000</v>
      </c>
      <c r="J118" s="48" t="s">
        <v>31</v>
      </c>
      <c r="K118" s="48" t="s">
        <v>32</v>
      </c>
      <c r="L118" s="2"/>
      <c r="M118" s="2">
        <v>1000</v>
      </c>
    </row>
    <row r="119" spans="1:13" ht="15.75" customHeight="1">
      <c r="A119" s="61">
        <v>8</v>
      </c>
      <c r="B119" s="48" t="s">
        <v>408</v>
      </c>
      <c r="C119" s="48" t="s">
        <v>27</v>
      </c>
      <c r="D119" s="48" t="s">
        <v>56</v>
      </c>
      <c r="E119" s="48" t="s">
        <v>51</v>
      </c>
      <c r="F119" s="48"/>
      <c r="G119" s="48" t="s">
        <v>1249</v>
      </c>
      <c r="H119" s="51">
        <v>500</v>
      </c>
      <c r="I119" s="119">
        <v>300</v>
      </c>
      <c r="J119" s="48" t="s">
        <v>31</v>
      </c>
      <c r="K119" s="48" t="s">
        <v>32</v>
      </c>
      <c r="L119" s="2"/>
      <c r="M119" s="2"/>
    </row>
    <row r="120" spans="1:13" ht="15.75" customHeight="1">
      <c r="A120" s="65">
        <v>8</v>
      </c>
      <c r="B120" s="58" t="s">
        <v>1677</v>
      </c>
      <c r="C120" s="58" t="s">
        <v>39</v>
      </c>
      <c r="D120" s="58" t="s">
        <v>211</v>
      </c>
      <c r="E120" s="58" t="s">
        <v>36</v>
      </c>
      <c r="F120" s="58"/>
      <c r="G120" s="58" t="s">
        <v>30</v>
      </c>
      <c r="H120" s="59">
        <v>500</v>
      </c>
      <c r="I120" s="160" t="s">
        <v>1586</v>
      </c>
      <c r="J120" s="48" t="s">
        <v>31</v>
      </c>
      <c r="K120" s="48" t="s">
        <v>32</v>
      </c>
      <c r="L120" s="2"/>
      <c r="M120" s="2">
        <v>100</v>
      </c>
    </row>
    <row r="121" spans="1:13" ht="15.75" customHeight="1">
      <c r="A121" s="61">
        <v>9</v>
      </c>
      <c r="B121" s="62" t="s">
        <v>1678</v>
      </c>
      <c r="C121" s="62" t="s">
        <v>27</v>
      </c>
      <c r="D121" s="62" t="s">
        <v>1439</v>
      </c>
      <c r="E121" s="62" t="s">
        <v>54</v>
      </c>
      <c r="F121" s="62"/>
      <c r="G121" s="62" t="s">
        <v>61</v>
      </c>
      <c r="H121" s="63">
        <v>200</v>
      </c>
      <c r="I121" s="159">
        <v>3000</v>
      </c>
      <c r="J121" s="48" t="s">
        <v>31</v>
      </c>
      <c r="K121" s="48" t="s">
        <v>32</v>
      </c>
      <c r="L121" s="2"/>
      <c r="M121" s="2"/>
    </row>
    <row r="122" spans="1:13" ht="15.75" customHeight="1">
      <c r="A122" s="50">
        <v>9</v>
      </c>
      <c r="B122" s="48" t="s">
        <v>1679</v>
      </c>
      <c r="C122" s="48" t="s">
        <v>39</v>
      </c>
      <c r="D122" s="48" t="s">
        <v>434</v>
      </c>
      <c r="E122" s="48" t="s">
        <v>36</v>
      </c>
      <c r="F122" s="48"/>
      <c r="G122" s="48" t="s">
        <v>30</v>
      </c>
      <c r="H122" s="51">
        <v>400</v>
      </c>
      <c r="I122" s="119">
        <v>160</v>
      </c>
      <c r="J122" s="48" t="s">
        <v>31</v>
      </c>
      <c r="K122" s="48" t="s">
        <v>32</v>
      </c>
      <c r="L122" s="2"/>
      <c r="M122" s="2">
        <v>60</v>
      </c>
    </row>
    <row r="123" spans="1:13" ht="15.75" customHeight="1">
      <c r="A123" s="50">
        <v>9</v>
      </c>
      <c r="B123" s="48" t="s">
        <v>1679</v>
      </c>
      <c r="C123" s="48" t="s">
        <v>39</v>
      </c>
      <c r="D123" s="48" t="s">
        <v>434</v>
      </c>
      <c r="E123" s="48" t="s">
        <v>36</v>
      </c>
      <c r="F123" s="48"/>
      <c r="G123" s="48" t="s">
        <v>61</v>
      </c>
      <c r="H123" s="51">
        <v>10</v>
      </c>
      <c r="I123" s="119">
        <v>100</v>
      </c>
      <c r="J123" s="48" t="s">
        <v>31</v>
      </c>
      <c r="K123" s="48" t="s">
        <v>32</v>
      </c>
      <c r="L123" s="2"/>
      <c r="M123" s="2"/>
    </row>
    <row r="124" spans="1:13" ht="15.75" customHeight="1">
      <c r="A124" s="50">
        <v>9</v>
      </c>
      <c r="B124" s="48" t="s">
        <v>1680</v>
      </c>
      <c r="C124" s="48" t="s">
        <v>27</v>
      </c>
      <c r="D124" s="48" t="s">
        <v>100</v>
      </c>
      <c r="E124" s="48" t="s">
        <v>84</v>
      </c>
      <c r="F124" s="48"/>
      <c r="G124" s="48" t="s">
        <v>30</v>
      </c>
      <c r="H124" s="51">
        <v>500</v>
      </c>
      <c r="I124" s="119">
        <v>100</v>
      </c>
      <c r="J124" s="48" t="s">
        <v>31</v>
      </c>
      <c r="K124" s="48" t="s">
        <v>32</v>
      </c>
      <c r="L124" s="2"/>
      <c r="M124" s="2">
        <v>100</v>
      </c>
    </row>
    <row r="125" spans="1:13" ht="15.75" customHeight="1">
      <c r="A125" s="50">
        <v>9</v>
      </c>
      <c r="B125" s="48" t="s">
        <v>1681</v>
      </c>
      <c r="C125" s="48" t="s">
        <v>27</v>
      </c>
      <c r="D125" s="48" t="s">
        <v>1396</v>
      </c>
      <c r="E125" s="48" t="s">
        <v>245</v>
      </c>
      <c r="F125" s="48"/>
      <c r="G125" s="48" t="s">
        <v>30</v>
      </c>
      <c r="H125" s="51">
        <v>300</v>
      </c>
      <c r="I125" s="119">
        <v>60</v>
      </c>
      <c r="J125" s="48" t="s">
        <v>31</v>
      </c>
      <c r="K125" s="48" t="s">
        <v>32</v>
      </c>
      <c r="L125" s="2"/>
      <c r="M125" s="2">
        <v>50</v>
      </c>
    </row>
    <row r="126" spans="1:13" ht="15.75" customHeight="1">
      <c r="A126" s="50">
        <v>9</v>
      </c>
      <c r="B126" s="48" t="s">
        <v>1682</v>
      </c>
      <c r="C126" s="48" t="s">
        <v>27</v>
      </c>
      <c r="D126" s="48" t="s">
        <v>1683</v>
      </c>
      <c r="E126" s="48" t="s">
        <v>223</v>
      </c>
      <c r="F126" s="48"/>
      <c r="G126" s="48" t="s">
        <v>61</v>
      </c>
      <c r="H126" s="51">
        <v>40</v>
      </c>
      <c r="I126" s="119">
        <v>400</v>
      </c>
      <c r="J126" s="48" t="s">
        <v>31</v>
      </c>
      <c r="K126" s="48" t="s">
        <v>32</v>
      </c>
      <c r="L126" s="2"/>
      <c r="M126" s="2"/>
    </row>
    <row r="127" spans="1:13" ht="15.75" customHeight="1">
      <c r="A127" s="50">
        <v>9</v>
      </c>
      <c r="B127" s="48" t="s">
        <v>1684</v>
      </c>
      <c r="C127" s="48" t="s">
        <v>27</v>
      </c>
      <c r="D127" s="48" t="s">
        <v>1043</v>
      </c>
      <c r="E127" s="48" t="s">
        <v>29</v>
      </c>
      <c r="F127" s="48"/>
      <c r="G127" s="48" t="s">
        <v>61</v>
      </c>
      <c r="H127" s="51">
        <v>250</v>
      </c>
      <c r="I127" s="119">
        <v>3750</v>
      </c>
      <c r="J127" s="48" t="s">
        <v>31</v>
      </c>
      <c r="K127" s="48" t="s">
        <v>32</v>
      </c>
      <c r="L127" s="2"/>
      <c r="M127" s="2"/>
    </row>
    <row r="128" spans="1:13" ht="15.75" customHeight="1">
      <c r="A128" s="50">
        <v>9</v>
      </c>
      <c r="B128" s="48" t="s">
        <v>1685</v>
      </c>
      <c r="C128" s="48" t="s">
        <v>27</v>
      </c>
      <c r="D128" s="48" t="s">
        <v>1406</v>
      </c>
      <c r="E128" s="48" t="s">
        <v>84</v>
      </c>
      <c r="F128" s="48"/>
      <c r="G128" s="48" t="s">
        <v>30</v>
      </c>
      <c r="H128" s="51">
        <v>100</v>
      </c>
      <c r="I128" s="119">
        <v>40</v>
      </c>
      <c r="J128" s="48" t="s">
        <v>31</v>
      </c>
      <c r="K128" s="48" t="s">
        <v>32</v>
      </c>
      <c r="L128" s="2"/>
      <c r="M128" s="2">
        <v>20</v>
      </c>
    </row>
    <row r="129" spans="1:19" ht="15.75" customHeight="1">
      <c r="A129" s="50">
        <v>9</v>
      </c>
      <c r="B129" s="48" t="s">
        <v>1686</v>
      </c>
      <c r="C129" s="48" t="s">
        <v>27</v>
      </c>
      <c r="D129" s="48" t="s">
        <v>43</v>
      </c>
      <c r="E129" s="48" t="s">
        <v>44</v>
      </c>
      <c r="F129" s="48"/>
      <c r="G129" s="48" t="s">
        <v>30</v>
      </c>
      <c r="H129" s="51">
        <v>1500</v>
      </c>
      <c r="I129" s="119">
        <v>300</v>
      </c>
      <c r="J129" s="48" t="s">
        <v>31</v>
      </c>
      <c r="K129" s="48" t="s">
        <v>32</v>
      </c>
      <c r="L129" s="2"/>
      <c r="M129" s="2">
        <v>300</v>
      </c>
    </row>
    <row r="130" spans="1:19" ht="15.75" customHeight="1">
      <c r="A130" s="50">
        <v>9</v>
      </c>
      <c r="B130" s="48" t="s">
        <v>1687</v>
      </c>
      <c r="C130" s="48" t="s">
        <v>27</v>
      </c>
      <c r="D130" s="48" t="s">
        <v>153</v>
      </c>
      <c r="E130" s="48" t="s">
        <v>36</v>
      </c>
      <c r="F130" s="48"/>
      <c r="G130" s="48" t="s">
        <v>30</v>
      </c>
      <c r="H130" s="51">
        <v>1000</v>
      </c>
      <c r="I130" s="119">
        <v>200</v>
      </c>
      <c r="J130" s="48" t="s">
        <v>31</v>
      </c>
      <c r="K130" s="48" t="s">
        <v>32</v>
      </c>
      <c r="L130" s="2"/>
      <c r="M130" s="2">
        <v>250</v>
      </c>
    </row>
    <row r="131" spans="1:19" ht="15.75" customHeight="1">
      <c r="A131" s="50">
        <v>9</v>
      </c>
      <c r="B131" s="48" t="s">
        <v>1688</v>
      </c>
      <c r="C131" s="48" t="s">
        <v>27</v>
      </c>
      <c r="D131" s="48" t="s">
        <v>477</v>
      </c>
      <c r="E131" s="48" t="s">
        <v>73</v>
      </c>
      <c r="F131" s="48"/>
      <c r="G131" s="48" t="s">
        <v>30</v>
      </c>
      <c r="H131" s="51">
        <v>800</v>
      </c>
      <c r="I131" s="119">
        <v>160</v>
      </c>
      <c r="J131" s="48" t="s">
        <v>31</v>
      </c>
      <c r="K131" s="48" t="s">
        <v>32</v>
      </c>
      <c r="L131" s="2"/>
      <c r="M131" s="2">
        <v>180</v>
      </c>
    </row>
    <row r="132" spans="1:19" ht="15.75" customHeight="1">
      <c r="A132" s="50">
        <v>9</v>
      </c>
      <c r="B132" s="48" t="s">
        <v>1689</v>
      </c>
      <c r="C132" s="48" t="s">
        <v>39</v>
      </c>
      <c r="D132" s="48" t="s">
        <v>211</v>
      </c>
      <c r="E132" s="48" t="s">
        <v>245</v>
      </c>
      <c r="F132" s="48"/>
      <c r="G132" s="48" t="s">
        <v>30</v>
      </c>
      <c r="H132" s="51">
        <v>1600</v>
      </c>
      <c r="I132" s="119">
        <v>320</v>
      </c>
      <c r="J132" s="48" t="s">
        <v>31</v>
      </c>
      <c r="K132" s="48" t="s">
        <v>32</v>
      </c>
      <c r="L132" s="2"/>
      <c r="M132" s="2">
        <v>170</v>
      </c>
    </row>
    <row r="133" spans="1:19" ht="15.75" customHeight="1">
      <c r="A133" s="65">
        <v>9</v>
      </c>
      <c r="B133" s="58" t="s">
        <v>1690</v>
      </c>
      <c r="C133" s="58" t="s">
        <v>27</v>
      </c>
      <c r="D133" s="58" t="s">
        <v>1691</v>
      </c>
      <c r="E133" s="58" t="s">
        <v>36</v>
      </c>
      <c r="F133" s="58"/>
      <c r="G133" s="58" t="s">
        <v>30</v>
      </c>
      <c r="H133" s="59">
        <v>300</v>
      </c>
      <c r="I133" s="160">
        <v>60</v>
      </c>
      <c r="J133" s="48" t="s">
        <v>31</v>
      </c>
      <c r="K133" s="48" t="s">
        <v>32</v>
      </c>
      <c r="L133" s="2"/>
      <c r="M133" s="2">
        <v>100</v>
      </c>
      <c r="P133" s="776" t="s">
        <v>1692</v>
      </c>
      <c r="Q133" s="719"/>
    </row>
    <row r="134" spans="1:19" ht="15.75" customHeight="1">
      <c r="A134" s="61">
        <v>10</v>
      </c>
      <c r="B134" s="62" t="s">
        <v>1693</v>
      </c>
      <c r="C134" s="62" t="s">
        <v>27</v>
      </c>
      <c r="D134" s="62" t="s">
        <v>211</v>
      </c>
      <c r="E134" s="62" t="s">
        <v>245</v>
      </c>
      <c r="F134" s="62"/>
      <c r="G134" s="62" t="s">
        <v>30</v>
      </c>
      <c r="H134" s="63">
        <v>2000</v>
      </c>
      <c r="I134" s="159">
        <v>400</v>
      </c>
      <c r="J134" s="48" t="s">
        <v>31</v>
      </c>
      <c r="K134" s="48" t="s">
        <v>32</v>
      </c>
      <c r="L134" s="2"/>
      <c r="M134" s="2">
        <v>450</v>
      </c>
      <c r="P134" s="723" t="s">
        <v>25</v>
      </c>
      <c r="Q134" s="719"/>
    </row>
    <row r="135" spans="1:19" ht="15.75" customHeight="1">
      <c r="A135" s="61">
        <v>10</v>
      </c>
      <c r="B135" s="48" t="s">
        <v>1694</v>
      </c>
      <c r="C135" s="48" t="s">
        <v>27</v>
      </c>
      <c r="D135" s="48" t="s">
        <v>211</v>
      </c>
      <c r="E135" s="48" t="s">
        <v>245</v>
      </c>
      <c r="F135" s="48"/>
      <c r="G135" s="48" t="s">
        <v>30</v>
      </c>
      <c r="H135" s="51">
        <v>3000</v>
      </c>
      <c r="I135" s="119">
        <v>600</v>
      </c>
      <c r="J135" s="48" t="s">
        <v>31</v>
      </c>
      <c r="K135" s="48" t="s">
        <v>32</v>
      </c>
      <c r="L135" s="2"/>
      <c r="M135" s="2">
        <v>150</v>
      </c>
      <c r="P135" s="48" t="s">
        <v>33</v>
      </c>
      <c r="Q135" s="51">
        <v>61350</v>
      </c>
      <c r="S135" s="55">
        <f>SUM(H76:H78,H80,H83,H85,H87:H89,H91:H92,H94:H99,H102:H105,H108:H109,H111:H116,H118,H122,H124:H125,H128:H137,H139,H142:H144,H146)</f>
        <v>61350</v>
      </c>
    </row>
    <row r="136" spans="1:19" ht="15.75" customHeight="1">
      <c r="A136" s="61">
        <v>10</v>
      </c>
      <c r="B136" s="48" t="s">
        <v>1695</v>
      </c>
      <c r="C136" s="48" t="s">
        <v>27</v>
      </c>
      <c r="D136" s="48" t="s">
        <v>659</v>
      </c>
      <c r="E136" s="48" t="s">
        <v>86</v>
      </c>
      <c r="F136" s="48"/>
      <c r="G136" s="48" t="s">
        <v>30</v>
      </c>
      <c r="H136" s="51">
        <v>400</v>
      </c>
      <c r="I136" s="119">
        <v>80</v>
      </c>
      <c r="J136" s="48" t="s">
        <v>31</v>
      </c>
      <c r="K136" s="48" t="s">
        <v>32</v>
      </c>
      <c r="L136" s="2"/>
      <c r="M136" s="2">
        <v>200</v>
      </c>
      <c r="P136" s="48" t="s">
        <v>37</v>
      </c>
      <c r="Q136" s="51">
        <v>6300</v>
      </c>
      <c r="S136" s="55">
        <f>SUM(H82,H84,H86,H106:H107,H120,H140,H145,H147)</f>
        <v>6300</v>
      </c>
    </row>
    <row r="137" spans="1:19" ht="15.75" customHeight="1">
      <c r="A137" s="61">
        <v>10</v>
      </c>
      <c r="B137" s="48" t="s">
        <v>1696</v>
      </c>
      <c r="C137" s="48" t="s">
        <v>27</v>
      </c>
      <c r="D137" s="48" t="s">
        <v>439</v>
      </c>
      <c r="E137" s="48" t="s">
        <v>145</v>
      </c>
      <c r="F137" s="48"/>
      <c r="G137" s="48" t="s">
        <v>30</v>
      </c>
      <c r="H137" s="51">
        <v>4000</v>
      </c>
      <c r="I137" s="119">
        <v>1200</v>
      </c>
      <c r="J137" s="48" t="s">
        <v>31</v>
      </c>
      <c r="K137" s="48" t="s">
        <v>32</v>
      </c>
      <c r="L137" s="2"/>
      <c r="M137" s="2">
        <v>3500</v>
      </c>
      <c r="P137" s="300" t="s">
        <v>282</v>
      </c>
      <c r="Q137" s="301">
        <v>67650</v>
      </c>
      <c r="S137" s="55">
        <f>SUM(S135:S136)</f>
        <v>67650</v>
      </c>
    </row>
    <row r="138" spans="1:19" ht="15.75" customHeight="1">
      <c r="A138" s="61">
        <v>10</v>
      </c>
      <c r="B138" s="48" t="s">
        <v>1697</v>
      </c>
      <c r="C138" s="48" t="s">
        <v>27</v>
      </c>
      <c r="D138" s="48"/>
      <c r="E138" s="48" t="s">
        <v>148</v>
      </c>
      <c r="F138" s="48"/>
      <c r="G138" s="48" t="s">
        <v>61</v>
      </c>
      <c r="H138" s="51">
        <v>100</v>
      </c>
      <c r="I138" s="119">
        <v>1000</v>
      </c>
      <c r="J138" s="48" t="s">
        <v>31</v>
      </c>
      <c r="K138" s="48" t="s">
        <v>32</v>
      </c>
      <c r="L138" s="2"/>
      <c r="M138" s="2"/>
      <c r="P138" s="723" t="s">
        <v>286</v>
      </c>
      <c r="Q138" s="719"/>
    </row>
    <row r="139" spans="1:19" ht="15.75" customHeight="1">
      <c r="A139" s="61">
        <v>10</v>
      </c>
      <c r="B139" s="48" t="s">
        <v>1698</v>
      </c>
      <c r="C139" s="48" t="s">
        <v>27</v>
      </c>
      <c r="D139" s="48" t="s">
        <v>400</v>
      </c>
      <c r="E139" s="48" t="s">
        <v>36</v>
      </c>
      <c r="F139" s="48"/>
      <c r="G139" s="48" t="s">
        <v>30</v>
      </c>
      <c r="H139" s="51">
        <v>1000</v>
      </c>
      <c r="I139" s="119">
        <v>200</v>
      </c>
      <c r="J139" s="48" t="s">
        <v>31</v>
      </c>
      <c r="K139" s="48" t="s">
        <v>32</v>
      </c>
      <c r="L139" s="2"/>
      <c r="M139" s="2">
        <v>300</v>
      </c>
      <c r="P139" s="48" t="s">
        <v>580</v>
      </c>
      <c r="Q139" s="302">
        <v>600</v>
      </c>
      <c r="S139" s="55">
        <f>SUM(H138,H126:H127,H123,H121)</f>
        <v>600</v>
      </c>
    </row>
    <row r="140" spans="1:19" ht="15.75" customHeight="1">
      <c r="A140" s="303">
        <v>10</v>
      </c>
      <c r="B140" s="166" t="s">
        <v>1699</v>
      </c>
      <c r="C140" s="166" t="s">
        <v>27</v>
      </c>
      <c r="D140" s="166" t="s">
        <v>1558</v>
      </c>
      <c r="E140" s="166" t="s">
        <v>68</v>
      </c>
      <c r="F140" s="166"/>
      <c r="G140" s="166" t="s">
        <v>30</v>
      </c>
      <c r="H140" s="167">
        <v>1500</v>
      </c>
      <c r="I140" s="168" t="s">
        <v>1586</v>
      </c>
      <c r="J140" s="166" t="s">
        <v>31</v>
      </c>
      <c r="K140" s="166" t="s">
        <v>32</v>
      </c>
      <c r="L140" s="2"/>
      <c r="M140" s="2"/>
      <c r="P140" s="777" t="s">
        <v>57</v>
      </c>
      <c r="Q140" s="719"/>
    </row>
    <row r="141" spans="1:19" ht="15.75" customHeight="1">
      <c r="A141" s="50">
        <v>10</v>
      </c>
      <c r="B141" s="166" t="s">
        <v>1699</v>
      </c>
      <c r="C141" s="166" t="s">
        <v>27</v>
      </c>
      <c r="D141" s="166" t="s">
        <v>1558</v>
      </c>
      <c r="E141" s="166" t="s">
        <v>68</v>
      </c>
      <c r="F141" s="48"/>
      <c r="G141" s="48" t="s">
        <v>1249</v>
      </c>
      <c r="H141" s="51">
        <v>300</v>
      </c>
      <c r="I141" s="119">
        <v>180</v>
      </c>
      <c r="J141" s="48" t="s">
        <v>31</v>
      </c>
      <c r="K141" s="48" t="s">
        <v>32</v>
      </c>
      <c r="L141" s="2"/>
      <c r="M141" s="2"/>
      <c r="P141" s="48" t="s">
        <v>33</v>
      </c>
      <c r="Q141" s="51">
        <v>1950</v>
      </c>
      <c r="S141" s="55">
        <f>SUM(H110,H100:H101)</f>
        <v>1950</v>
      </c>
    </row>
    <row r="142" spans="1:19" ht="15.75" customHeight="1">
      <c r="A142" s="50">
        <v>10</v>
      </c>
      <c r="B142" s="48" t="s">
        <v>1700</v>
      </c>
      <c r="C142" s="48" t="s">
        <v>27</v>
      </c>
      <c r="D142" s="48" t="s">
        <v>59</v>
      </c>
      <c r="E142" s="48" t="s">
        <v>84</v>
      </c>
      <c r="F142" s="48"/>
      <c r="G142" s="48" t="s">
        <v>30</v>
      </c>
      <c r="H142" s="51">
        <v>800</v>
      </c>
      <c r="I142" s="119">
        <v>160</v>
      </c>
      <c r="J142" s="48" t="s">
        <v>31</v>
      </c>
      <c r="K142" s="48" t="s">
        <v>32</v>
      </c>
      <c r="L142" s="2"/>
      <c r="M142" s="2">
        <v>180</v>
      </c>
      <c r="P142" s="48" t="s">
        <v>37</v>
      </c>
      <c r="Q142" s="48"/>
    </row>
    <row r="143" spans="1:19" ht="15.75" customHeight="1">
      <c r="A143" s="50">
        <v>10</v>
      </c>
      <c r="B143" s="48" t="s">
        <v>1701</v>
      </c>
      <c r="C143" s="48" t="s">
        <v>27</v>
      </c>
      <c r="D143" s="48" t="s">
        <v>108</v>
      </c>
      <c r="E143" s="48" t="s">
        <v>36</v>
      </c>
      <c r="F143" s="48"/>
      <c r="G143" s="48" t="s">
        <v>30</v>
      </c>
      <c r="H143" s="51">
        <v>1000</v>
      </c>
      <c r="I143" s="119">
        <v>200</v>
      </c>
      <c r="J143" s="48" t="s">
        <v>31</v>
      </c>
      <c r="K143" s="48" t="s">
        <v>32</v>
      </c>
      <c r="L143" s="2"/>
      <c r="M143" s="2">
        <v>300</v>
      </c>
      <c r="P143" s="304" t="s">
        <v>282</v>
      </c>
      <c r="Q143" s="305">
        <v>1950</v>
      </c>
    </row>
    <row r="144" spans="1:19" ht="15.75" customHeight="1">
      <c r="A144" s="50">
        <v>10</v>
      </c>
      <c r="B144" s="48" t="s">
        <v>753</v>
      </c>
      <c r="C144" s="48" t="s">
        <v>27</v>
      </c>
      <c r="D144" s="48" t="s">
        <v>108</v>
      </c>
      <c r="E144" s="48" t="s">
        <v>36</v>
      </c>
      <c r="F144" s="48"/>
      <c r="G144" s="48" t="s">
        <v>30</v>
      </c>
      <c r="H144" s="51">
        <v>1000</v>
      </c>
      <c r="I144" s="119">
        <v>200</v>
      </c>
      <c r="J144" s="48" t="s">
        <v>31</v>
      </c>
      <c r="K144" s="48" t="s">
        <v>32</v>
      </c>
      <c r="L144" s="2"/>
      <c r="M144" s="2">
        <v>100</v>
      </c>
      <c r="P144" s="778" t="s">
        <v>1702</v>
      </c>
      <c r="Q144" s="719"/>
    </row>
    <row r="145" spans="1:19" ht="15.75" customHeight="1">
      <c r="A145" s="50">
        <v>10</v>
      </c>
      <c r="B145" s="48" t="s">
        <v>753</v>
      </c>
      <c r="C145" s="48" t="s">
        <v>27</v>
      </c>
      <c r="D145" s="48" t="s">
        <v>108</v>
      </c>
      <c r="E145" s="48" t="s">
        <v>36</v>
      </c>
      <c r="F145" s="48"/>
      <c r="G145" s="48" t="s">
        <v>30</v>
      </c>
      <c r="H145" s="51">
        <v>500</v>
      </c>
      <c r="I145" s="119" t="s">
        <v>1586</v>
      </c>
      <c r="J145" s="48" t="s">
        <v>31</v>
      </c>
      <c r="K145" s="48" t="s">
        <v>32</v>
      </c>
      <c r="L145" s="2"/>
      <c r="M145" s="2"/>
      <c r="P145" s="48" t="s">
        <v>33</v>
      </c>
      <c r="Q145" s="51">
        <v>2350</v>
      </c>
      <c r="S145" s="55">
        <f>SUM(H79,H81,H90,H93,H117,H119,H141)</f>
        <v>2350</v>
      </c>
    </row>
    <row r="146" spans="1:19" ht="15.75" customHeight="1">
      <c r="A146" s="50">
        <v>10</v>
      </c>
      <c r="B146" s="48" t="s">
        <v>1703</v>
      </c>
      <c r="C146" s="48" t="s">
        <v>27</v>
      </c>
      <c r="D146" s="48" t="s">
        <v>232</v>
      </c>
      <c r="E146" s="48" t="s">
        <v>68</v>
      </c>
      <c r="F146" s="48"/>
      <c r="G146" s="48" t="s">
        <v>30</v>
      </c>
      <c r="H146" s="51">
        <v>1500</v>
      </c>
      <c r="I146" s="119">
        <v>300</v>
      </c>
      <c r="J146" s="48" t="s">
        <v>31</v>
      </c>
      <c r="K146" s="48" t="s">
        <v>32</v>
      </c>
      <c r="L146" s="2"/>
      <c r="M146" s="2">
        <v>300</v>
      </c>
      <c r="P146" s="48" t="s">
        <v>37</v>
      </c>
      <c r="Q146" s="48"/>
    </row>
    <row r="147" spans="1:19" ht="15.75" customHeight="1">
      <c r="A147" s="65">
        <v>10</v>
      </c>
      <c r="B147" s="58" t="s">
        <v>1704</v>
      </c>
      <c r="C147" s="58" t="s">
        <v>39</v>
      </c>
      <c r="D147" s="58" t="s">
        <v>434</v>
      </c>
      <c r="E147" s="58" t="s">
        <v>36</v>
      </c>
      <c r="F147" s="58"/>
      <c r="G147" s="58" t="s">
        <v>30</v>
      </c>
      <c r="H147" s="59">
        <v>500</v>
      </c>
      <c r="I147" s="160" t="s">
        <v>1586</v>
      </c>
      <c r="J147" s="48" t="s">
        <v>31</v>
      </c>
      <c r="K147" s="48" t="s">
        <v>32</v>
      </c>
      <c r="L147" s="2"/>
      <c r="M147" s="2">
        <v>100</v>
      </c>
      <c r="P147" s="306" t="s">
        <v>282</v>
      </c>
      <c r="Q147" s="307">
        <v>2350</v>
      </c>
    </row>
    <row r="148" spans="1:19" ht="15.75" customHeight="1">
      <c r="A148" s="61">
        <v>15</v>
      </c>
      <c r="B148" s="62" t="s">
        <v>1705</v>
      </c>
      <c r="C148" s="62" t="s">
        <v>27</v>
      </c>
      <c r="D148" s="62" t="s">
        <v>1706</v>
      </c>
      <c r="E148" s="62" t="s">
        <v>191</v>
      </c>
      <c r="F148" s="62"/>
      <c r="G148" s="62" t="s">
        <v>30</v>
      </c>
      <c r="H148" s="63">
        <v>500</v>
      </c>
      <c r="I148" s="159">
        <v>100</v>
      </c>
      <c r="J148" s="48" t="s">
        <v>31</v>
      </c>
      <c r="K148" s="48" t="s">
        <v>32</v>
      </c>
      <c r="L148" s="2"/>
      <c r="M148" s="2">
        <v>1000</v>
      </c>
    </row>
    <row r="149" spans="1:19" ht="15.75" customHeight="1">
      <c r="A149" s="61">
        <v>15</v>
      </c>
      <c r="B149" s="48" t="s">
        <v>1707</v>
      </c>
      <c r="C149" s="48" t="s">
        <v>27</v>
      </c>
      <c r="D149" s="48" t="s">
        <v>886</v>
      </c>
      <c r="E149" s="48" t="s">
        <v>86</v>
      </c>
      <c r="F149" s="48"/>
      <c r="G149" s="48" t="s">
        <v>30</v>
      </c>
      <c r="H149" s="51">
        <v>100</v>
      </c>
      <c r="I149" s="119">
        <v>20</v>
      </c>
      <c r="J149" s="48" t="s">
        <v>31</v>
      </c>
      <c r="K149" s="48" t="s">
        <v>32</v>
      </c>
      <c r="L149" s="2"/>
      <c r="M149" s="2">
        <v>20</v>
      </c>
    </row>
    <row r="150" spans="1:19" ht="15.75" customHeight="1">
      <c r="A150" s="61">
        <v>15</v>
      </c>
      <c r="B150" s="48" t="s">
        <v>1708</v>
      </c>
      <c r="C150" s="48" t="s">
        <v>27</v>
      </c>
      <c r="D150" s="48" t="s">
        <v>108</v>
      </c>
      <c r="E150" s="48" t="s">
        <v>36</v>
      </c>
      <c r="F150" s="48"/>
      <c r="G150" s="48" t="s">
        <v>1249</v>
      </c>
      <c r="H150" s="51">
        <v>1000</v>
      </c>
      <c r="I150" s="119">
        <v>600</v>
      </c>
      <c r="J150" s="48" t="s">
        <v>31</v>
      </c>
      <c r="K150" s="48" t="s">
        <v>32</v>
      </c>
      <c r="L150" s="2"/>
      <c r="M150" s="2"/>
    </row>
    <row r="151" spans="1:19" ht="15.75" customHeight="1">
      <c r="A151" s="61">
        <v>15</v>
      </c>
      <c r="B151" s="48" t="s">
        <v>1709</v>
      </c>
      <c r="C151" s="48" t="s">
        <v>39</v>
      </c>
      <c r="D151" s="48" t="s">
        <v>130</v>
      </c>
      <c r="E151" s="48" t="s">
        <v>79</v>
      </c>
      <c r="F151" s="48"/>
      <c r="G151" s="48" t="s">
        <v>30</v>
      </c>
      <c r="H151" s="51">
        <v>500</v>
      </c>
      <c r="I151" s="119" t="s">
        <v>1586</v>
      </c>
      <c r="J151" s="48" t="s">
        <v>31</v>
      </c>
      <c r="K151" s="48" t="s">
        <v>32</v>
      </c>
      <c r="L151" s="2"/>
      <c r="M151" s="2">
        <v>1000</v>
      </c>
    </row>
    <row r="152" spans="1:19" ht="15.75" customHeight="1">
      <c r="A152" s="61">
        <v>15</v>
      </c>
      <c r="B152" s="48" t="s">
        <v>1709</v>
      </c>
      <c r="C152" s="48" t="s">
        <v>39</v>
      </c>
      <c r="D152" s="48" t="s">
        <v>130</v>
      </c>
      <c r="E152" s="48" t="s">
        <v>79</v>
      </c>
      <c r="F152" s="48"/>
      <c r="G152" s="48" t="s">
        <v>30</v>
      </c>
      <c r="H152" s="51">
        <v>500</v>
      </c>
      <c r="I152" s="119">
        <v>100</v>
      </c>
      <c r="J152" s="48" t="s">
        <v>31</v>
      </c>
      <c r="K152" s="48" t="s">
        <v>32</v>
      </c>
      <c r="L152" s="2"/>
      <c r="M152" s="2"/>
      <c r="P152" s="55"/>
    </row>
    <row r="153" spans="1:19" ht="15.75" customHeight="1">
      <c r="A153" s="61">
        <v>15</v>
      </c>
      <c r="B153" s="48" t="s">
        <v>1709</v>
      </c>
      <c r="C153" s="48" t="s">
        <v>39</v>
      </c>
      <c r="D153" s="48" t="s">
        <v>130</v>
      </c>
      <c r="E153" s="48" t="s">
        <v>79</v>
      </c>
      <c r="F153" s="48"/>
      <c r="G153" s="48" t="s">
        <v>1249</v>
      </c>
      <c r="H153" s="51">
        <v>2000</v>
      </c>
      <c r="I153" s="119">
        <v>1200</v>
      </c>
      <c r="J153" s="48" t="s">
        <v>31</v>
      </c>
      <c r="K153" s="48" t="s">
        <v>32</v>
      </c>
      <c r="L153" s="2"/>
      <c r="M153" s="2"/>
    </row>
    <row r="154" spans="1:19" ht="15.75" customHeight="1">
      <c r="A154" s="61">
        <v>15</v>
      </c>
      <c r="B154" s="48" t="s">
        <v>1710</v>
      </c>
      <c r="C154" s="48" t="s">
        <v>27</v>
      </c>
      <c r="D154" s="48" t="s">
        <v>211</v>
      </c>
      <c r="E154" s="48" t="s">
        <v>36</v>
      </c>
      <c r="F154" s="48"/>
      <c r="G154" s="48" t="s">
        <v>1249</v>
      </c>
      <c r="H154" s="51">
        <v>500</v>
      </c>
      <c r="I154" s="119">
        <v>300</v>
      </c>
      <c r="J154" s="48" t="s">
        <v>31</v>
      </c>
      <c r="K154" s="48" t="s">
        <v>32</v>
      </c>
      <c r="L154" s="2"/>
      <c r="M154" s="2"/>
    </row>
    <row r="155" spans="1:19" ht="15.75" customHeight="1">
      <c r="A155" s="61">
        <v>15</v>
      </c>
      <c r="B155" s="48" t="s">
        <v>1711</v>
      </c>
      <c r="C155" s="48" t="s">
        <v>27</v>
      </c>
      <c r="D155" s="48" t="s">
        <v>65</v>
      </c>
      <c r="E155" s="48" t="s">
        <v>36</v>
      </c>
      <c r="F155" s="48"/>
      <c r="G155" s="48" t="s">
        <v>30</v>
      </c>
      <c r="H155" s="51">
        <v>500</v>
      </c>
      <c r="I155" s="119">
        <v>100</v>
      </c>
      <c r="J155" s="48" t="s">
        <v>31</v>
      </c>
      <c r="K155" s="48" t="s">
        <v>32</v>
      </c>
      <c r="L155" s="2"/>
      <c r="M155" s="2">
        <v>100</v>
      </c>
    </row>
    <row r="156" spans="1:19" ht="15.75" customHeight="1">
      <c r="A156" s="61">
        <v>15</v>
      </c>
      <c r="B156" s="48" t="s">
        <v>1712</v>
      </c>
      <c r="C156" s="48" t="s">
        <v>39</v>
      </c>
      <c r="D156" s="48"/>
      <c r="E156" s="48" t="s">
        <v>60</v>
      </c>
      <c r="F156" s="48"/>
      <c r="G156" s="48" t="s">
        <v>30</v>
      </c>
      <c r="H156" s="51">
        <v>1000</v>
      </c>
      <c r="I156" s="119">
        <v>200</v>
      </c>
      <c r="J156" s="48" t="s">
        <v>31</v>
      </c>
      <c r="K156" s="48" t="s">
        <v>32</v>
      </c>
      <c r="L156" s="2"/>
      <c r="M156" s="2">
        <v>200</v>
      </c>
    </row>
    <row r="157" spans="1:19" ht="15.75" customHeight="1">
      <c r="A157" s="61">
        <v>15</v>
      </c>
      <c r="B157" s="48" t="s">
        <v>1712</v>
      </c>
      <c r="C157" s="48" t="s">
        <v>39</v>
      </c>
      <c r="D157" s="48"/>
      <c r="E157" s="48" t="s">
        <v>60</v>
      </c>
      <c r="F157" s="48"/>
      <c r="G157" s="48" t="s">
        <v>61</v>
      </c>
      <c r="H157" s="51">
        <v>28</v>
      </c>
      <c r="I157" s="119">
        <v>420</v>
      </c>
      <c r="J157" s="48" t="s">
        <v>31</v>
      </c>
      <c r="K157" s="48" t="s">
        <v>32</v>
      </c>
      <c r="L157" s="2"/>
      <c r="M157" s="2"/>
    </row>
    <row r="158" spans="1:19" ht="15.75" customHeight="1">
      <c r="A158" s="61">
        <v>15</v>
      </c>
      <c r="B158" s="48" t="s">
        <v>1713</v>
      </c>
      <c r="C158" s="48" t="s">
        <v>27</v>
      </c>
      <c r="D158" s="48" t="s">
        <v>256</v>
      </c>
      <c r="E158" s="48" t="s">
        <v>245</v>
      </c>
      <c r="F158" s="48"/>
      <c r="G158" s="48" t="s">
        <v>30</v>
      </c>
      <c r="H158" s="51">
        <v>500</v>
      </c>
      <c r="I158" s="119">
        <v>100</v>
      </c>
      <c r="J158" s="48" t="s">
        <v>31</v>
      </c>
      <c r="K158" s="48" t="s">
        <v>32</v>
      </c>
      <c r="L158" s="2"/>
      <c r="M158" s="2">
        <v>96</v>
      </c>
    </row>
    <row r="159" spans="1:19" ht="15.75" customHeight="1">
      <c r="A159" s="61">
        <v>15</v>
      </c>
      <c r="B159" s="48" t="s">
        <v>1714</v>
      </c>
      <c r="C159" s="48" t="s">
        <v>27</v>
      </c>
      <c r="D159" s="48" t="s">
        <v>195</v>
      </c>
      <c r="E159" s="48" t="s">
        <v>86</v>
      </c>
      <c r="F159" s="48"/>
      <c r="G159" s="48" t="s">
        <v>30</v>
      </c>
      <c r="H159" s="51">
        <v>200</v>
      </c>
      <c r="I159" s="119">
        <v>40</v>
      </c>
      <c r="J159" s="48" t="s">
        <v>31</v>
      </c>
      <c r="K159" s="48" t="s">
        <v>32</v>
      </c>
      <c r="L159" s="2"/>
      <c r="M159" s="2">
        <v>50</v>
      </c>
    </row>
    <row r="160" spans="1:19" ht="15.75" customHeight="1">
      <c r="A160" s="61">
        <v>15</v>
      </c>
      <c r="B160" s="48" t="s">
        <v>1609</v>
      </c>
      <c r="C160" s="48" t="s">
        <v>27</v>
      </c>
      <c r="D160" s="48" t="s">
        <v>407</v>
      </c>
      <c r="E160" s="48" t="s">
        <v>44</v>
      </c>
      <c r="F160" s="48"/>
      <c r="G160" s="48" t="s">
        <v>61</v>
      </c>
      <c r="H160" s="51">
        <v>25</v>
      </c>
      <c r="I160" s="119">
        <v>375</v>
      </c>
      <c r="J160" s="48" t="s">
        <v>31</v>
      </c>
      <c r="K160" s="48" t="s">
        <v>32</v>
      </c>
      <c r="L160" s="2"/>
      <c r="M160" s="2"/>
    </row>
    <row r="161" spans="1:13" ht="15.75" customHeight="1">
      <c r="A161" s="61">
        <v>15</v>
      </c>
      <c r="B161" s="48" t="s">
        <v>1715</v>
      </c>
      <c r="C161" s="48" t="s">
        <v>39</v>
      </c>
      <c r="D161" s="151" t="s">
        <v>934</v>
      </c>
      <c r="E161" s="48" t="s">
        <v>44</v>
      </c>
      <c r="F161" s="48"/>
      <c r="G161" s="48" t="s">
        <v>61</v>
      </c>
      <c r="H161" s="51">
        <v>10</v>
      </c>
      <c r="I161" s="119" t="s">
        <v>1586</v>
      </c>
      <c r="J161" s="48" t="s">
        <v>31</v>
      </c>
      <c r="K161" s="48" t="s">
        <v>32</v>
      </c>
      <c r="L161" s="2"/>
      <c r="M161" s="2"/>
    </row>
    <row r="162" spans="1:13" ht="15.75" customHeight="1">
      <c r="A162" s="65">
        <v>15</v>
      </c>
      <c r="B162" s="58" t="s">
        <v>1716</v>
      </c>
      <c r="C162" s="58" t="s">
        <v>27</v>
      </c>
      <c r="D162" s="58" t="s">
        <v>400</v>
      </c>
      <c r="E162" s="58" t="s">
        <v>36</v>
      </c>
      <c r="F162" s="58"/>
      <c r="G162" s="58" t="s">
        <v>30</v>
      </c>
      <c r="H162" s="59">
        <v>500</v>
      </c>
      <c r="I162" s="160" t="s">
        <v>1586</v>
      </c>
      <c r="J162" s="48" t="s">
        <v>31</v>
      </c>
      <c r="K162" s="48" t="s">
        <v>32</v>
      </c>
      <c r="L162" s="2"/>
      <c r="M162" s="2">
        <v>100</v>
      </c>
    </row>
    <row r="163" spans="1:13" ht="15.75" customHeight="1">
      <c r="A163" s="61">
        <v>16</v>
      </c>
      <c r="B163" s="62" t="s">
        <v>1717</v>
      </c>
      <c r="C163" s="62" t="s">
        <v>27</v>
      </c>
      <c r="D163" s="62" t="s">
        <v>100</v>
      </c>
      <c r="E163" s="62" t="s">
        <v>84</v>
      </c>
      <c r="F163" s="62"/>
      <c r="G163" s="308" t="s">
        <v>30</v>
      </c>
      <c r="H163" s="63">
        <v>2000</v>
      </c>
      <c r="I163" s="159">
        <v>400</v>
      </c>
      <c r="J163" s="48" t="s">
        <v>31</v>
      </c>
      <c r="K163" s="48" t="s">
        <v>32</v>
      </c>
      <c r="L163" s="2"/>
      <c r="M163" s="2">
        <v>500</v>
      </c>
    </row>
    <row r="164" spans="1:13" ht="15.75" customHeight="1">
      <c r="A164" s="61">
        <v>16</v>
      </c>
      <c r="B164" s="48" t="s">
        <v>1718</v>
      </c>
      <c r="C164" s="48" t="s">
        <v>27</v>
      </c>
      <c r="D164" s="48" t="s">
        <v>266</v>
      </c>
      <c r="E164" s="48" t="s">
        <v>79</v>
      </c>
      <c r="F164" s="48"/>
      <c r="G164" s="309" t="s">
        <v>30</v>
      </c>
      <c r="H164" s="51">
        <v>300</v>
      </c>
      <c r="I164" s="119">
        <v>60</v>
      </c>
      <c r="J164" s="48" t="s">
        <v>31</v>
      </c>
      <c r="K164" s="48" t="s">
        <v>32</v>
      </c>
      <c r="L164" s="2"/>
      <c r="M164" s="2">
        <v>100</v>
      </c>
    </row>
    <row r="165" spans="1:13" ht="15.75" customHeight="1">
      <c r="A165" s="61">
        <v>16</v>
      </c>
      <c r="B165" s="48" t="s">
        <v>1719</v>
      </c>
      <c r="C165" s="48" t="s">
        <v>27</v>
      </c>
      <c r="D165" s="48" t="s">
        <v>96</v>
      </c>
      <c r="E165" s="48" t="s">
        <v>44</v>
      </c>
      <c r="F165" s="48"/>
      <c r="G165" s="309" t="s">
        <v>30</v>
      </c>
      <c r="H165" s="51">
        <v>200</v>
      </c>
      <c r="I165" s="119">
        <v>40</v>
      </c>
      <c r="J165" s="48" t="s">
        <v>31</v>
      </c>
      <c r="K165" s="48" t="s">
        <v>32</v>
      </c>
      <c r="L165" s="2"/>
      <c r="M165" s="2">
        <v>300</v>
      </c>
    </row>
    <row r="166" spans="1:13" ht="15.75" customHeight="1">
      <c r="A166" s="61">
        <v>16</v>
      </c>
      <c r="B166" s="48" t="s">
        <v>1719</v>
      </c>
      <c r="C166" s="48" t="s">
        <v>27</v>
      </c>
      <c r="D166" s="48" t="s">
        <v>96</v>
      </c>
      <c r="E166" s="48" t="s">
        <v>44</v>
      </c>
      <c r="F166" s="48"/>
      <c r="G166" s="48" t="s">
        <v>1249</v>
      </c>
      <c r="H166" s="51">
        <v>100</v>
      </c>
      <c r="I166" s="119">
        <v>60</v>
      </c>
      <c r="J166" s="48" t="s">
        <v>31</v>
      </c>
      <c r="K166" s="48" t="s">
        <v>32</v>
      </c>
      <c r="L166" s="2"/>
      <c r="M166" s="2"/>
    </row>
    <row r="167" spans="1:13" ht="15.75" customHeight="1">
      <c r="A167" s="61">
        <v>16</v>
      </c>
      <c r="B167" s="48" t="s">
        <v>502</v>
      </c>
      <c r="C167" s="48" t="s">
        <v>27</v>
      </c>
      <c r="D167" s="48" t="s">
        <v>68</v>
      </c>
      <c r="E167" s="48" t="s">
        <v>79</v>
      </c>
      <c r="F167" s="48"/>
      <c r="G167" s="309" t="s">
        <v>30</v>
      </c>
      <c r="H167" s="51">
        <v>3200</v>
      </c>
      <c r="I167" s="119">
        <v>640</v>
      </c>
      <c r="J167" s="48" t="s">
        <v>31</v>
      </c>
      <c r="K167" s="48" t="s">
        <v>32</v>
      </c>
      <c r="L167" s="2"/>
      <c r="M167" s="2">
        <v>1000</v>
      </c>
    </row>
    <row r="168" spans="1:13" ht="15.75" customHeight="1">
      <c r="A168" s="61">
        <v>16</v>
      </c>
      <c r="B168" s="48" t="s">
        <v>502</v>
      </c>
      <c r="C168" s="48" t="s">
        <v>27</v>
      </c>
      <c r="D168" s="48" t="s">
        <v>68</v>
      </c>
      <c r="E168" s="48" t="s">
        <v>79</v>
      </c>
      <c r="F168" s="48"/>
      <c r="G168" s="48" t="s">
        <v>1249</v>
      </c>
      <c r="H168" s="51">
        <v>2200</v>
      </c>
      <c r="I168" s="119">
        <v>1320</v>
      </c>
      <c r="J168" s="48" t="s">
        <v>31</v>
      </c>
      <c r="K168" s="48" t="s">
        <v>32</v>
      </c>
      <c r="L168" s="2"/>
      <c r="M168" s="2"/>
    </row>
    <row r="169" spans="1:13" ht="15.75" customHeight="1">
      <c r="A169" s="61">
        <v>16</v>
      </c>
      <c r="B169" s="48" t="s">
        <v>1720</v>
      </c>
      <c r="C169" s="48" t="s">
        <v>27</v>
      </c>
      <c r="D169" s="48" t="s">
        <v>1558</v>
      </c>
      <c r="E169" s="48" t="s">
        <v>79</v>
      </c>
      <c r="F169" s="48"/>
      <c r="G169" s="309" t="s">
        <v>30</v>
      </c>
      <c r="H169" s="51">
        <v>500</v>
      </c>
      <c r="I169" s="119">
        <v>100</v>
      </c>
      <c r="J169" s="48" t="s">
        <v>31</v>
      </c>
      <c r="K169" s="48" t="s">
        <v>32</v>
      </c>
      <c r="L169" s="2"/>
      <c r="M169" s="2">
        <v>100</v>
      </c>
    </row>
    <row r="170" spans="1:13" ht="15.75" customHeight="1">
      <c r="A170" s="61">
        <v>16</v>
      </c>
      <c r="B170" s="48" t="s">
        <v>1721</v>
      </c>
      <c r="C170" s="48" t="s">
        <v>27</v>
      </c>
      <c r="D170" s="48" t="s">
        <v>373</v>
      </c>
      <c r="E170" s="48" t="s">
        <v>36</v>
      </c>
      <c r="F170" s="48"/>
      <c r="G170" s="309" t="s">
        <v>30</v>
      </c>
      <c r="H170" s="51">
        <v>2000</v>
      </c>
      <c r="I170" s="119">
        <v>400</v>
      </c>
      <c r="J170" s="48" t="s">
        <v>31</v>
      </c>
      <c r="K170" s="48" t="s">
        <v>32</v>
      </c>
      <c r="L170" s="2"/>
      <c r="M170" s="2">
        <v>450</v>
      </c>
    </row>
    <row r="171" spans="1:13" ht="15.75" customHeight="1">
      <c r="A171" s="61">
        <v>16</v>
      </c>
      <c r="B171" s="48" t="s">
        <v>1722</v>
      </c>
      <c r="C171" s="48" t="s">
        <v>27</v>
      </c>
      <c r="D171" s="48" t="s">
        <v>108</v>
      </c>
      <c r="E171" s="48" t="s">
        <v>36</v>
      </c>
      <c r="F171" s="48"/>
      <c r="G171" s="309" t="s">
        <v>30</v>
      </c>
      <c r="H171" s="51">
        <v>500</v>
      </c>
      <c r="I171" s="119">
        <v>100</v>
      </c>
      <c r="J171" s="48" t="s">
        <v>31</v>
      </c>
      <c r="K171" s="48" t="s">
        <v>32</v>
      </c>
      <c r="L171" s="2"/>
      <c r="M171" s="2">
        <v>100</v>
      </c>
    </row>
    <row r="172" spans="1:13" ht="15.75" customHeight="1">
      <c r="A172" s="61">
        <v>16</v>
      </c>
      <c r="B172" s="48" t="s">
        <v>1723</v>
      </c>
      <c r="C172" s="48" t="s">
        <v>27</v>
      </c>
      <c r="D172" s="48" t="s">
        <v>65</v>
      </c>
      <c r="E172" s="48" t="s">
        <v>36</v>
      </c>
      <c r="F172" s="48"/>
      <c r="G172" s="309" t="s">
        <v>30</v>
      </c>
      <c r="H172" s="51">
        <v>7500</v>
      </c>
      <c r="I172" s="119">
        <v>1500</v>
      </c>
      <c r="J172" s="48" t="s">
        <v>31</v>
      </c>
      <c r="K172" s="48" t="s">
        <v>32</v>
      </c>
      <c r="L172" s="2"/>
      <c r="M172" s="2">
        <v>1500</v>
      </c>
    </row>
    <row r="173" spans="1:13" ht="15.75" customHeight="1">
      <c r="A173" s="61">
        <v>16</v>
      </c>
      <c r="B173" s="48" t="s">
        <v>1724</v>
      </c>
      <c r="C173" s="48" t="s">
        <v>39</v>
      </c>
      <c r="D173" s="48" t="s">
        <v>688</v>
      </c>
      <c r="E173" s="48" t="s">
        <v>223</v>
      </c>
      <c r="F173" s="48"/>
      <c r="G173" s="48" t="s">
        <v>61</v>
      </c>
      <c r="H173" s="51">
        <v>15</v>
      </c>
      <c r="I173" s="119">
        <v>225</v>
      </c>
      <c r="J173" s="48" t="s">
        <v>31</v>
      </c>
      <c r="K173" s="48" t="s">
        <v>32</v>
      </c>
      <c r="L173" s="2"/>
      <c r="M173" s="2"/>
    </row>
    <row r="174" spans="1:13" ht="15.75" customHeight="1">
      <c r="A174" s="61">
        <v>16</v>
      </c>
      <c r="B174" s="48" t="s">
        <v>1725</v>
      </c>
      <c r="C174" s="48" t="s">
        <v>27</v>
      </c>
      <c r="D174" s="48" t="s">
        <v>1320</v>
      </c>
      <c r="E174" s="48" t="s">
        <v>44</v>
      </c>
      <c r="F174" s="48"/>
      <c r="G174" s="48" t="s">
        <v>61</v>
      </c>
      <c r="H174" s="51">
        <v>30</v>
      </c>
      <c r="I174" s="119">
        <v>300</v>
      </c>
      <c r="J174" s="48" t="s">
        <v>31</v>
      </c>
      <c r="K174" s="48" t="s">
        <v>32</v>
      </c>
      <c r="L174" s="2"/>
      <c r="M174" s="2"/>
    </row>
    <row r="175" spans="1:13" ht="15.75" customHeight="1">
      <c r="A175" s="61">
        <v>16</v>
      </c>
      <c r="B175" s="48" t="s">
        <v>1726</v>
      </c>
      <c r="C175" s="48" t="s">
        <v>27</v>
      </c>
      <c r="D175" s="48" t="s">
        <v>1727</v>
      </c>
      <c r="E175" s="48" t="s">
        <v>84</v>
      </c>
      <c r="F175" s="48"/>
      <c r="G175" s="309" t="s">
        <v>30</v>
      </c>
      <c r="H175" s="51">
        <v>500</v>
      </c>
      <c r="I175" s="119">
        <v>200</v>
      </c>
      <c r="J175" s="48" t="s">
        <v>31</v>
      </c>
      <c r="K175" s="48" t="s">
        <v>32</v>
      </c>
      <c r="L175" s="2"/>
      <c r="M175" s="2">
        <v>100</v>
      </c>
    </row>
    <row r="176" spans="1:13" ht="15.75" customHeight="1">
      <c r="A176" s="65">
        <v>16</v>
      </c>
      <c r="B176" s="58" t="s">
        <v>1728</v>
      </c>
      <c r="C176" s="58" t="s">
        <v>27</v>
      </c>
      <c r="D176" s="58" t="s">
        <v>108</v>
      </c>
      <c r="E176" s="58" t="s">
        <v>36</v>
      </c>
      <c r="F176" s="58"/>
      <c r="G176" s="58" t="s">
        <v>30</v>
      </c>
      <c r="H176" s="59">
        <v>1000</v>
      </c>
      <c r="I176" s="310" t="s">
        <v>1586</v>
      </c>
      <c r="J176" s="48" t="s">
        <v>31</v>
      </c>
      <c r="K176" s="48" t="s">
        <v>32</v>
      </c>
      <c r="L176" s="2"/>
      <c r="M176" s="2">
        <v>200</v>
      </c>
    </row>
    <row r="177" spans="1:17" ht="15.75" customHeight="1">
      <c r="A177" s="61">
        <v>17</v>
      </c>
      <c r="B177" s="62" t="s">
        <v>1729</v>
      </c>
      <c r="C177" s="62" t="s">
        <v>27</v>
      </c>
      <c r="D177" s="62" t="s">
        <v>1431</v>
      </c>
      <c r="E177" s="62" t="s">
        <v>44</v>
      </c>
      <c r="F177" s="62"/>
      <c r="G177" s="308" t="s">
        <v>30</v>
      </c>
      <c r="H177" s="63">
        <v>150</v>
      </c>
      <c r="I177" s="159">
        <v>60</v>
      </c>
      <c r="J177" s="48" t="s">
        <v>31</v>
      </c>
      <c r="K177" s="48" t="s">
        <v>32</v>
      </c>
      <c r="L177" s="2"/>
      <c r="M177" s="2">
        <v>40</v>
      </c>
    </row>
    <row r="178" spans="1:17" ht="15.75" customHeight="1">
      <c r="A178" s="61">
        <v>17</v>
      </c>
      <c r="B178" s="48" t="s">
        <v>1718</v>
      </c>
      <c r="C178" s="48" t="s">
        <v>27</v>
      </c>
      <c r="D178" s="48" t="s">
        <v>266</v>
      </c>
      <c r="E178" s="48" t="s">
        <v>79</v>
      </c>
      <c r="F178" s="48"/>
      <c r="G178" s="309" t="s">
        <v>30</v>
      </c>
      <c r="H178" s="51">
        <v>300</v>
      </c>
      <c r="I178" s="119">
        <v>60</v>
      </c>
      <c r="J178" s="48" t="s">
        <v>31</v>
      </c>
      <c r="K178" s="48" t="s">
        <v>32</v>
      </c>
      <c r="L178" s="2"/>
      <c r="M178" s="2">
        <v>40</v>
      </c>
    </row>
    <row r="179" spans="1:17" ht="15.75" customHeight="1">
      <c r="A179" s="61">
        <v>17</v>
      </c>
      <c r="B179" s="48" t="s">
        <v>1730</v>
      </c>
      <c r="C179" s="48" t="s">
        <v>27</v>
      </c>
      <c r="D179" s="48" t="s">
        <v>637</v>
      </c>
      <c r="E179" s="48" t="s">
        <v>54</v>
      </c>
      <c r="F179" s="48"/>
      <c r="G179" s="309" t="s">
        <v>30</v>
      </c>
      <c r="H179" s="51">
        <v>400</v>
      </c>
      <c r="I179" s="119">
        <v>80</v>
      </c>
      <c r="J179" s="48" t="s">
        <v>31</v>
      </c>
      <c r="K179" s="48" t="s">
        <v>32</v>
      </c>
      <c r="L179" s="2"/>
      <c r="M179" s="2">
        <v>100</v>
      </c>
    </row>
    <row r="180" spans="1:17" ht="15.75" customHeight="1">
      <c r="A180" s="61">
        <v>17</v>
      </c>
      <c r="B180" s="48" t="s">
        <v>271</v>
      </c>
      <c r="C180" s="48" t="s">
        <v>27</v>
      </c>
      <c r="D180" s="48" t="s">
        <v>1731</v>
      </c>
      <c r="E180" s="48" t="s">
        <v>36</v>
      </c>
      <c r="F180" s="48"/>
      <c r="G180" s="48" t="s">
        <v>30</v>
      </c>
      <c r="H180" s="51">
        <v>300</v>
      </c>
      <c r="I180" s="311" t="s">
        <v>1586</v>
      </c>
      <c r="J180" s="48" t="s">
        <v>31</v>
      </c>
      <c r="K180" s="48" t="s">
        <v>32</v>
      </c>
      <c r="L180" s="2"/>
      <c r="M180" s="2">
        <v>60</v>
      </c>
    </row>
    <row r="181" spans="1:17" ht="15.75" customHeight="1">
      <c r="A181" s="61">
        <v>17</v>
      </c>
      <c r="B181" s="48" t="s">
        <v>1732</v>
      </c>
      <c r="C181" s="48" t="s">
        <v>27</v>
      </c>
      <c r="D181" s="48" t="s">
        <v>1733</v>
      </c>
      <c r="E181" s="48" t="s">
        <v>89</v>
      </c>
      <c r="F181" s="48"/>
      <c r="G181" s="309" t="s">
        <v>30</v>
      </c>
      <c r="H181" s="51">
        <v>2500</v>
      </c>
      <c r="I181" s="119">
        <v>500</v>
      </c>
      <c r="J181" s="48" t="s">
        <v>31</v>
      </c>
      <c r="K181" s="48" t="s">
        <v>32</v>
      </c>
      <c r="L181" s="2"/>
      <c r="M181" s="2">
        <v>500</v>
      </c>
    </row>
    <row r="182" spans="1:17" ht="15.75" customHeight="1">
      <c r="A182" s="61">
        <v>17</v>
      </c>
      <c r="B182" s="48" t="s">
        <v>1734</v>
      </c>
      <c r="C182" s="48" t="s">
        <v>27</v>
      </c>
      <c r="D182" s="48" t="s">
        <v>910</v>
      </c>
      <c r="E182" s="48" t="s">
        <v>36</v>
      </c>
      <c r="F182" s="48"/>
      <c r="G182" s="309" t="s">
        <v>30</v>
      </c>
      <c r="H182" s="51">
        <v>200</v>
      </c>
      <c r="I182" s="119">
        <v>40</v>
      </c>
      <c r="J182" s="48" t="s">
        <v>31</v>
      </c>
      <c r="K182" s="48" t="s">
        <v>32</v>
      </c>
      <c r="L182" s="2"/>
      <c r="M182" s="2">
        <v>40</v>
      </c>
    </row>
    <row r="183" spans="1:17" ht="15.75" customHeight="1">
      <c r="A183" s="61">
        <v>17</v>
      </c>
      <c r="B183" s="48" t="s">
        <v>1735</v>
      </c>
      <c r="C183" s="48" t="s">
        <v>27</v>
      </c>
      <c r="D183" s="48" t="s">
        <v>1736</v>
      </c>
      <c r="E183" s="48" t="s">
        <v>148</v>
      </c>
      <c r="F183" s="48"/>
      <c r="G183" s="309" t="s">
        <v>30</v>
      </c>
      <c r="H183" s="51">
        <v>500</v>
      </c>
      <c r="I183" s="119">
        <v>100</v>
      </c>
      <c r="J183" s="48" t="s">
        <v>31</v>
      </c>
      <c r="K183" s="48" t="s">
        <v>32</v>
      </c>
      <c r="L183" s="2"/>
      <c r="M183" s="2">
        <v>100</v>
      </c>
    </row>
    <row r="184" spans="1:17" ht="15.75" customHeight="1">
      <c r="A184" s="61">
        <v>17</v>
      </c>
      <c r="B184" s="48" t="s">
        <v>1737</v>
      </c>
      <c r="C184" s="48" t="s">
        <v>39</v>
      </c>
      <c r="D184" s="48" t="s">
        <v>110</v>
      </c>
      <c r="E184" s="48" t="s">
        <v>36</v>
      </c>
      <c r="F184" s="48"/>
      <c r="G184" s="309" t="s">
        <v>30</v>
      </c>
      <c r="H184" s="51">
        <v>150</v>
      </c>
      <c r="I184" s="119">
        <v>30</v>
      </c>
      <c r="J184" s="48" t="s">
        <v>31</v>
      </c>
      <c r="K184" s="48" t="s">
        <v>32</v>
      </c>
      <c r="L184" s="2"/>
      <c r="M184" s="2"/>
    </row>
    <row r="185" spans="1:17" ht="15.75" customHeight="1">
      <c r="A185" s="50"/>
      <c r="B185" s="48" t="s">
        <v>1737</v>
      </c>
      <c r="C185" s="48" t="s">
        <v>39</v>
      </c>
      <c r="D185" s="48" t="s">
        <v>110</v>
      </c>
      <c r="E185" s="48" t="s">
        <v>36</v>
      </c>
      <c r="F185" s="48"/>
      <c r="G185" s="48" t="s">
        <v>61</v>
      </c>
      <c r="H185" s="51">
        <v>20</v>
      </c>
      <c r="I185" s="119">
        <v>200</v>
      </c>
      <c r="J185" s="48" t="s">
        <v>31</v>
      </c>
      <c r="K185" s="48" t="s">
        <v>32</v>
      </c>
      <c r="L185" s="2"/>
      <c r="M185" s="2"/>
    </row>
    <row r="186" spans="1:17" ht="15.75" customHeight="1">
      <c r="A186" s="50">
        <v>17</v>
      </c>
      <c r="B186" s="48" t="s">
        <v>1738</v>
      </c>
      <c r="C186" s="48" t="s">
        <v>27</v>
      </c>
      <c r="D186" s="48" t="s">
        <v>137</v>
      </c>
      <c r="E186" s="48" t="s">
        <v>73</v>
      </c>
      <c r="F186" s="48"/>
      <c r="G186" s="309" t="s">
        <v>30</v>
      </c>
      <c r="H186" s="51">
        <v>300</v>
      </c>
      <c r="I186" s="119">
        <v>60</v>
      </c>
      <c r="J186" s="48" t="s">
        <v>31</v>
      </c>
      <c r="K186" s="48" t="s">
        <v>32</v>
      </c>
      <c r="L186" s="2"/>
      <c r="M186" s="2">
        <v>100</v>
      </c>
    </row>
    <row r="187" spans="1:17" ht="15.75" customHeight="1">
      <c r="A187" s="50">
        <v>17</v>
      </c>
      <c r="B187" s="48" t="s">
        <v>1739</v>
      </c>
      <c r="C187" s="48" t="s">
        <v>27</v>
      </c>
      <c r="D187" s="48" t="s">
        <v>1489</v>
      </c>
      <c r="E187" s="48" t="s">
        <v>86</v>
      </c>
      <c r="F187" s="48"/>
      <c r="G187" s="309" t="s">
        <v>30</v>
      </c>
      <c r="H187" s="51">
        <v>200</v>
      </c>
      <c r="I187" s="119">
        <v>40</v>
      </c>
      <c r="J187" s="48" t="s">
        <v>31</v>
      </c>
      <c r="K187" s="48" t="s">
        <v>32</v>
      </c>
      <c r="L187" s="2"/>
      <c r="M187" s="2">
        <v>40</v>
      </c>
    </row>
    <row r="188" spans="1:17" ht="15.75" customHeight="1">
      <c r="A188" s="50">
        <v>17</v>
      </c>
      <c r="B188" s="48" t="s">
        <v>1740</v>
      </c>
      <c r="C188" s="48" t="s">
        <v>27</v>
      </c>
      <c r="D188" s="48" t="s">
        <v>1076</v>
      </c>
      <c r="E188" s="48" t="s">
        <v>89</v>
      </c>
      <c r="F188" s="48"/>
      <c r="G188" s="309" t="s">
        <v>30</v>
      </c>
      <c r="H188" s="51">
        <v>1000</v>
      </c>
      <c r="I188" s="119">
        <v>200</v>
      </c>
      <c r="J188" s="48" t="s">
        <v>31</v>
      </c>
      <c r="K188" s="48" t="s">
        <v>32</v>
      </c>
      <c r="L188" s="2"/>
      <c r="M188" s="2">
        <v>200</v>
      </c>
    </row>
    <row r="189" spans="1:17" ht="15.75" customHeight="1">
      <c r="A189" s="50">
        <v>17</v>
      </c>
      <c r="B189" s="48" t="s">
        <v>408</v>
      </c>
      <c r="C189" s="48" t="s">
        <v>27</v>
      </c>
      <c r="D189" s="48" t="s">
        <v>56</v>
      </c>
      <c r="E189" s="48" t="s">
        <v>51</v>
      </c>
      <c r="F189" s="48"/>
      <c r="G189" s="309" t="s">
        <v>30</v>
      </c>
      <c r="H189" s="51">
        <v>600</v>
      </c>
      <c r="I189" s="119">
        <v>240</v>
      </c>
      <c r="J189" s="48" t="s">
        <v>31</v>
      </c>
      <c r="K189" s="48" t="s">
        <v>32</v>
      </c>
      <c r="L189" s="2"/>
      <c r="M189" s="2">
        <v>2500</v>
      </c>
    </row>
    <row r="190" spans="1:17" ht="15.75" customHeight="1">
      <c r="A190" s="50">
        <v>17</v>
      </c>
      <c r="B190" s="48" t="s">
        <v>1741</v>
      </c>
      <c r="C190" s="48" t="s">
        <v>27</v>
      </c>
      <c r="D190" s="48" t="s">
        <v>688</v>
      </c>
      <c r="E190" s="48" t="s">
        <v>223</v>
      </c>
      <c r="F190" s="48"/>
      <c r="G190" s="48" t="s">
        <v>61</v>
      </c>
      <c r="H190" s="51">
        <v>10</v>
      </c>
      <c r="I190" s="119">
        <v>100</v>
      </c>
      <c r="J190" s="48" t="s">
        <v>31</v>
      </c>
      <c r="K190" s="48" t="s">
        <v>32</v>
      </c>
      <c r="L190" s="2"/>
      <c r="M190" s="2"/>
    </row>
    <row r="191" spans="1:17" ht="15.75" customHeight="1">
      <c r="A191" s="50">
        <v>17</v>
      </c>
      <c r="B191" s="48" t="s">
        <v>1742</v>
      </c>
      <c r="C191" s="48" t="s">
        <v>27</v>
      </c>
      <c r="D191" s="48" t="s">
        <v>1089</v>
      </c>
      <c r="E191" s="48" t="s">
        <v>56</v>
      </c>
      <c r="F191" s="48"/>
      <c r="G191" s="309" t="s">
        <v>30</v>
      </c>
      <c r="H191" s="51">
        <v>1000</v>
      </c>
      <c r="I191" s="119">
        <v>200</v>
      </c>
      <c r="J191" s="48" t="s">
        <v>31</v>
      </c>
      <c r="K191" s="48" t="s">
        <v>32</v>
      </c>
      <c r="L191" s="2"/>
      <c r="M191" s="2">
        <v>100</v>
      </c>
      <c r="P191" s="779" t="s">
        <v>1743</v>
      </c>
      <c r="Q191" s="719"/>
    </row>
    <row r="192" spans="1:17" ht="15.75" customHeight="1">
      <c r="A192" s="50">
        <v>17</v>
      </c>
      <c r="B192" s="48" t="s">
        <v>221</v>
      </c>
      <c r="C192" s="48" t="s">
        <v>27</v>
      </c>
      <c r="D192" s="48" t="s">
        <v>222</v>
      </c>
      <c r="E192" s="48" t="s">
        <v>223</v>
      </c>
      <c r="F192" s="48"/>
      <c r="G192" s="309" t="s">
        <v>30</v>
      </c>
      <c r="H192" s="51">
        <v>500</v>
      </c>
      <c r="I192" s="119">
        <v>100</v>
      </c>
      <c r="J192" s="48" t="s">
        <v>31</v>
      </c>
      <c r="K192" s="48" t="s">
        <v>32</v>
      </c>
      <c r="L192" s="2"/>
      <c r="M192" s="2">
        <v>100</v>
      </c>
      <c r="P192" s="780" t="s">
        <v>25</v>
      </c>
      <c r="Q192" s="719"/>
    </row>
    <row r="193" spans="1:19" ht="15.75" customHeight="1">
      <c r="A193" s="50">
        <v>17</v>
      </c>
      <c r="B193" s="48" t="s">
        <v>1744</v>
      </c>
      <c r="C193" s="48" t="s">
        <v>27</v>
      </c>
      <c r="D193" s="48" t="s">
        <v>1745</v>
      </c>
      <c r="E193" s="48" t="s">
        <v>484</v>
      </c>
      <c r="F193" s="48"/>
      <c r="G193" s="309" t="s">
        <v>30</v>
      </c>
      <c r="H193" s="51">
        <v>250</v>
      </c>
      <c r="I193" s="119">
        <v>100</v>
      </c>
      <c r="J193" s="48" t="s">
        <v>31</v>
      </c>
      <c r="K193" s="48" t="s">
        <v>32</v>
      </c>
      <c r="L193" s="2"/>
      <c r="M193" s="2">
        <v>50</v>
      </c>
      <c r="P193" s="48" t="s">
        <v>33</v>
      </c>
      <c r="Q193" s="51">
        <v>37250</v>
      </c>
      <c r="S193" s="55">
        <f>SUM(H163:H165,H167,H169:H172,H175,H177:H179,H181:H184,H186:H189,H191:H193,H195:H200,H203)</f>
        <v>37250</v>
      </c>
    </row>
    <row r="194" spans="1:19" ht="15.75" customHeight="1">
      <c r="A194" s="50">
        <v>17</v>
      </c>
      <c r="B194" s="48" t="s">
        <v>1744</v>
      </c>
      <c r="C194" s="48" t="s">
        <v>27</v>
      </c>
      <c r="D194" s="48" t="s">
        <v>1745</v>
      </c>
      <c r="E194" s="48" t="s">
        <v>484</v>
      </c>
      <c r="F194" s="48"/>
      <c r="G194" s="48" t="s">
        <v>61</v>
      </c>
      <c r="H194" s="51">
        <v>20</v>
      </c>
      <c r="I194" s="119">
        <v>200</v>
      </c>
      <c r="J194" s="48" t="s">
        <v>31</v>
      </c>
      <c r="K194" s="48" t="s">
        <v>32</v>
      </c>
      <c r="L194" s="2"/>
      <c r="M194" s="2"/>
      <c r="P194" s="48" t="s">
        <v>37</v>
      </c>
      <c r="Q194" s="51">
        <v>1300</v>
      </c>
      <c r="S194" s="126">
        <v>1300</v>
      </c>
    </row>
    <row r="195" spans="1:19" ht="15.75" customHeight="1">
      <c r="A195" s="50">
        <v>17</v>
      </c>
      <c r="B195" s="48" t="s">
        <v>1746</v>
      </c>
      <c r="C195" s="48" t="s">
        <v>27</v>
      </c>
      <c r="D195" s="48" t="s">
        <v>43</v>
      </c>
      <c r="E195" s="48" t="s">
        <v>44</v>
      </c>
      <c r="F195" s="48"/>
      <c r="G195" s="309" t="s">
        <v>30</v>
      </c>
      <c r="H195" s="51">
        <v>2000</v>
      </c>
      <c r="I195" s="119">
        <v>400</v>
      </c>
      <c r="J195" s="48" t="s">
        <v>31</v>
      </c>
      <c r="K195" s="48" t="s">
        <v>32</v>
      </c>
      <c r="L195" s="2"/>
      <c r="M195" s="2">
        <v>600</v>
      </c>
      <c r="P195" s="312" t="s">
        <v>282</v>
      </c>
      <c r="Q195" s="313">
        <v>38550</v>
      </c>
      <c r="S195" s="55">
        <f>SUM(S193:S194)</f>
        <v>38550</v>
      </c>
    </row>
    <row r="196" spans="1:19" ht="15.75" customHeight="1">
      <c r="A196" s="50">
        <v>17</v>
      </c>
      <c r="B196" s="48" t="s">
        <v>502</v>
      </c>
      <c r="C196" s="48" t="s">
        <v>27</v>
      </c>
      <c r="D196" s="48" t="s">
        <v>68</v>
      </c>
      <c r="E196" s="48" t="s">
        <v>79</v>
      </c>
      <c r="F196" s="48"/>
      <c r="G196" s="309" t="s">
        <v>30</v>
      </c>
      <c r="H196" s="51">
        <v>3000</v>
      </c>
      <c r="I196" s="119">
        <v>600</v>
      </c>
      <c r="J196" s="48" t="s">
        <v>31</v>
      </c>
      <c r="K196" s="48" t="s">
        <v>32</v>
      </c>
      <c r="L196" s="2"/>
      <c r="M196" s="2">
        <v>600</v>
      </c>
      <c r="P196" s="780" t="s">
        <v>286</v>
      </c>
      <c r="Q196" s="719"/>
    </row>
    <row r="197" spans="1:19" ht="15.75" customHeight="1">
      <c r="A197" s="50">
        <v>17</v>
      </c>
      <c r="B197" s="48" t="s">
        <v>1747</v>
      </c>
      <c r="C197" s="48" t="s">
        <v>27</v>
      </c>
      <c r="D197" s="48" t="s">
        <v>191</v>
      </c>
      <c r="E197" s="48" t="s">
        <v>36</v>
      </c>
      <c r="F197" s="48"/>
      <c r="G197" s="309" t="s">
        <v>30</v>
      </c>
      <c r="H197" s="51">
        <v>1500</v>
      </c>
      <c r="I197" s="119">
        <v>300</v>
      </c>
      <c r="J197" s="48" t="s">
        <v>31</v>
      </c>
      <c r="K197" s="48" t="s">
        <v>32</v>
      </c>
      <c r="L197" s="2"/>
      <c r="M197" s="2">
        <v>300</v>
      </c>
      <c r="P197" s="48" t="s">
        <v>580</v>
      </c>
      <c r="Q197" s="48">
        <v>105</v>
      </c>
      <c r="S197" s="55">
        <f>H173+H174+H185+H190+H194+H201</f>
        <v>105</v>
      </c>
    </row>
    <row r="198" spans="1:19" ht="15.75" customHeight="1">
      <c r="A198" s="50">
        <v>17</v>
      </c>
      <c r="B198" s="48" t="s">
        <v>1748</v>
      </c>
      <c r="C198" s="48" t="s">
        <v>27</v>
      </c>
      <c r="D198" s="48" t="s">
        <v>65</v>
      </c>
      <c r="E198" s="48" t="s">
        <v>36</v>
      </c>
      <c r="F198" s="48"/>
      <c r="G198" s="309" t="s">
        <v>30</v>
      </c>
      <c r="H198" s="51">
        <v>3000</v>
      </c>
      <c r="I198" s="119">
        <v>600</v>
      </c>
      <c r="J198" s="48" t="s">
        <v>31</v>
      </c>
      <c r="K198" s="48" t="s">
        <v>32</v>
      </c>
      <c r="L198" s="2"/>
      <c r="M198" s="2">
        <v>600</v>
      </c>
      <c r="P198" s="48" t="s">
        <v>589</v>
      </c>
      <c r="Q198" s="48">
        <v>20</v>
      </c>
    </row>
    <row r="199" spans="1:19" ht="15.75" customHeight="1">
      <c r="A199" s="50">
        <v>17</v>
      </c>
      <c r="B199" s="48" t="s">
        <v>1749</v>
      </c>
      <c r="C199" s="48" t="s">
        <v>27</v>
      </c>
      <c r="D199" s="48" t="s">
        <v>100</v>
      </c>
      <c r="E199" s="48" t="s">
        <v>79</v>
      </c>
      <c r="F199" s="48"/>
      <c r="G199" s="309" t="s">
        <v>30</v>
      </c>
      <c r="H199" s="51">
        <v>1000</v>
      </c>
      <c r="I199" s="119">
        <v>200</v>
      </c>
      <c r="J199" s="48" t="s">
        <v>31</v>
      </c>
      <c r="K199" s="48" t="s">
        <v>32</v>
      </c>
      <c r="L199" s="2"/>
      <c r="M199" s="2">
        <v>200</v>
      </c>
      <c r="P199" s="312" t="s">
        <v>282</v>
      </c>
      <c r="Q199" s="312">
        <v>125</v>
      </c>
    </row>
    <row r="200" spans="1:19" ht="15.75" customHeight="1">
      <c r="A200" s="50">
        <v>17</v>
      </c>
      <c r="B200" s="48" t="s">
        <v>1750</v>
      </c>
      <c r="C200" s="48" t="s">
        <v>27</v>
      </c>
      <c r="D200" s="48" t="s">
        <v>1431</v>
      </c>
      <c r="E200" s="48" t="s">
        <v>44</v>
      </c>
      <c r="F200" s="48"/>
      <c r="G200" s="309" t="s">
        <v>30</v>
      </c>
      <c r="H200" s="51">
        <v>500</v>
      </c>
      <c r="I200" s="119">
        <v>100</v>
      </c>
      <c r="J200" s="48" t="s">
        <v>31</v>
      </c>
      <c r="K200" s="48" t="s">
        <v>32</v>
      </c>
      <c r="L200" s="2"/>
      <c r="M200" s="2">
        <v>28</v>
      </c>
      <c r="P200" s="780" t="s">
        <v>1751</v>
      </c>
      <c r="Q200" s="719"/>
    </row>
    <row r="201" spans="1:19" ht="15.75" customHeight="1">
      <c r="A201" s="50">
        <v>17</v>
      </c>
      <c r="B201" s="48" t="s">
        <v>1752</v>
      </c>
      <c r="C201" s="48" t="s">
        <v>27</v>
      </c>
      <c r="D201" s="48" t="s">
        <v>297</v>
      </c>
      <c r="E201" s="48" t="s">
        <v>44</v>
      </c>
      <c r="F201" s="48"/>
      <c r="G201" s="48" t="s">
        <v>61</v>
      </c>
      <c r="H201" s="51">
        <v>10</v>
      </c>
      <c r="I201" s="119">
        <v>100</v>
      </c>
      <c r="J201" s="48" t="s">
        <v>31</v>
      </c>
      <c r="K201" s="48" t="s">
        <v>32</v>
      </c>
      <c r="L201" s="2"/>
      <c r="M201" s="2"/>
      <c r="P201" s="48" t="s">
        <v>33</v>
      </c>
      <c r="Q201" s="51">
        <v>2300</v>
      </c>
      <c r="S201" s="55">
        <f>H166+H168</f>
        <v>2300</v>
      </c>
    </row>
    <row r="202" spans="1:19" ht="15.75" customHeight="1">
      <c r="A202" s="50"/>
      <c r="B202" s="48" t="s">
        <v>1752</v>
      </c>
      <c r="C202" s="48" t="s">
        <v>27</v>
      </c>
      <c r="D202" s="48" t="s">
        <v>297</v>
      </c>
      <c r="E202" s="48" t="s">
        <v>44</v>
      </c>
      <c r="F202" s="48"/>
      <c r="G202" s="48" t="s">
        <v>589</v>
      </c>
      <c r="H202" s="51">
        <v>20</v>
      </c>
      <c r="I202" s="119">
        <v>60</v>
      </c>
      <c r="J202" s="48" t="s">
        <v>31</v>
      </c>
      <c r="K202" s="48" t="s">
        <v>32</v>
      </c>
      <c r="L202" s="2"/>
      <c r="M202" s="2"/>
      <c r="P202" s="48" t="s">
        <v>37</v>
      </c>
      <c r="Q202" s="48">
        <v>0</v>
      </c>
    </row>
    <row r="203" spans="1:19" ht="15.75" customHeight="1">
      <c r="A203" s="65">
        <v>17</v>
      </c>
      <c r="B203" s="58" t="s">
        <v>1753</v>
      </c>
      <c r="C203" s="58" t="s">
        <v>27</v>
      </c>
      <c r="D203" s="58" t="s">
        <v>659</v>
      </c>
      <c r="E203" s="58" t="s">
        <v>86</v>
      </c>
      <c r="F203" s="58"/>
      <c r="G203" s="314" t="s">
        <v>30</v>
      </c>
      <c r="H203" s="59">
        <v>1500</v>
      </c>
      <c r="I203" s="160">
        <v>300</v>
      </c>
      <c r="J203" s="48" t="s">
        <v>31</v>
      </c>
      <c r="K203" s="48" t="s">
        <v>32</v>
      </c>
      <c r="L203" s="2"/>
      <c r="M203" s="2">
        <v>170</v>
      </c>
      <c r="P203" s="312" t="s">
        <v>282</v>
      </c>
      <c r="Q203" s="313">
        <v>2300</v>
      </c>
    </row>
    <row r="204" spans="1:19" ht="15.75" customHeight="1">
      <c r="A204" s="61">
        <v>18</v>
      </c>
      <c r="B204" s="62" t="s">
        <v>1744</v>
      </c>
      <c r="C204" s="62" t="s">
        <v>27</v>
      </c>
      <c r="D204" s="62"/>
      <c r="E204" s="62" t="s">
        <v>148</v>
      </c>
      <c r="F204" s="62"/>
      <c r="G204" s="62" t="s">
        <v>30</v>
      </c>
      <c r="H204" s="63">
        <v>150</v>
      </c>
      <c r="I204" s="159">
        <v>60</v>
      </c>
      <c r="J204" s="48" t="s">
        <v>31</v>
      </c>
      <c r="K204" s="48" t="s">
        <v>32</v>
      </c>
      <c r="L204" s="2"/>
      <c r="M204" s="2">
        <v>100</v>
      </c>
    </row>
    <row r="205" spans="1:19" ht="15.75" customHeight="1">
      <c r="A205" s="61">
        <v>18</v>
      </c>
      <c r="B205" s="62" t="s">
        <v>1744</v>
      </c>
      <c r="C205" s="62" t="s">
        <v>27</v>
      </c>
      <c r="D205" s="62"/>
      <c r="E205" s="62" t="s">
        <v>148</v>
      </c>
      <c r="F205" s="48"/>
      <c r="G205" s="48" t="s">
        <v>61</v>
      </c>
      <c r="H205" s="51">
        <v>14</v>
      </c>
      <c r="I205" s="119">
        <v>700</v>
      </c>
      <c r="J205" s="48" t="s">
        <v>31</v>
      </c>
      <c r="K205" s="48" t="s">
        <v>32</v>
      </c>
      <c r="L205" s="2"/>
      <c r="M205" s="2"/>
    </row>
    <row r="206" spans="1:19" ht="15.75" customHeight="1">
      <c r="A206" s="61">
        <v>18</v>
      </c>
      <c r="B206" s="48" t="s">
        <v>1754</v>
      </c>
      <c r="C206" s="48" t="s">
        <v>39</v>
      </c>
      <c r="D206" s="48" t="s">
        <v>297</v>
      </c>
      <c r="E206" s="48" t="s">
        <v>44</v>
      </c>
      <c r="F206" s="48"/>
      <c r="G206" s="48" t="s">
        <v>61</v>
      </c>
      <c r="H206" s="51">
        <v>2</v>
      </c>
      <c r="I206" s="119">
        <v>20</v>
      </c>
      <c r="J206" s="48" t="s">
        <v>31</v>
      </c>
      <c r="K206" s="48" t="s">
        <v>32</v>
      </c>
      <c r="L206" s="2"/>
      <c r="M206" s="2"/>
    </row>
    <row r="207" spans="1:19" ht="15.75" customHeight="1">
      <c r="A207" s="61">
        <v>18</v>
      </c>
      <c r="B207" s="48" t="s">
        <v>1754</v>
      </c>
      <c r="C207" s="48" t="s">
        <v>39</v>
      </c>
      <c r="D207" s="48" t="s">
        <v>297</v>
      </c>
      <c r="E207" s="48" t="s">
        <v>44</v>
      </c>
      <c r="F207" s="48"/>
      <c r="G207" s="48" t="s">
        <v>589</v>
      </c>
      <c r="H207" s="51">
        <v>20</v>
      </c>
      <c r="I207" s="119">
        <v>60</v>
      </c>
      <c r="J207" s="48" t="s">
        <v>31</v>
      </c>
      <c r="K207" s="48" t="s">
        <v>32</v>
      </c>
      <c r="L207" s="2"/>
      <c r="M207" s="2"/>
    </row>
    <row r="208" spans="1:19" ht="15.75" customHeight="1">
      <c r="A208" s="61">
        <v>18</v>
      </c>
      <c r="B208" s="48" t="s">
        <v>1476</v>
      </c>
      <c r="C208" s="48" t="s">
        <v>27</v>
      </c>
      <c r="D208" s="48" t="s">
        <v>297</v>
      </c>
      <c r="E208" s="48" t="s">
        <v>44</v>
      </c>
      <c r="F208" s="48"/>
      <c r="G208" s="48" t="s">
        <v>30</v>
      </c>
      <c r="H208" s="51">
        <v>3500</v>
      </c>
      <c r="I208" s="119">
        <v>700</v>
      </c>
      <c r="J208" s="48" t="s">
        <v>31</v>
      </c>
      <c r="K208" s="48" t="s">
        <v>32</v>
      </c>
      <c r="L208" s="2"/>
      <c r="M208" s="2">
        <v>1500</v>
      </c>
    </row>
    <row r="209" spans="1:17" ht="15.75" customHeight="1">
      <c r="A209" s="61">
        <v>18</v>
      </c>
      <c r="B209" s="48" t="s">
        <v>1755</v>
      </c>
      <c r="C209" s="48" t="s">
        <v>27</v>
      </c>
      <c r="D209" s="48" t="s">
        <v>211</v>
      </c>
      <c r="E209" s="48" t="s">
        <v>36</v>
      </c>
      <c r="F209" s="48"/>
      <c r="G209" s="48" t="s">
        <v>30</v>
      </c>
      <c r="H209" s="51">
        <v>1000</v>
      </c>
      <c r="I209" s="119">
        <v>200</v>
      </c>
      <c r="J209" s="48" t="s">
        <v>31</v>
      </c>
      <c r="K209" s="48" t="s">
        <v>32</v>
      </c>
      <c r="L209" s="2"/>
      <c r="M209" s="2">
        <v>200</v>
      </c>
    </row>
    <row r="210" spans="1:17" ht="15.75" customHeight="1">
      <c r="A210" s="61">
        <v>18</v>
      </c>
      <c r="B210" s="48" t="s">
        <v>1756</v>
      </c>
      <c r="C210" s="48" t="s">
        <v>27</v>
      </c>
      <c r="D210" s="48" t="s">
        <v>68</v>
      </c>
      <c r="E210" s="48" t="s">
        <v>79</v>
      </c>
      <c r="F210" s="48"/>
      <c r="G210" s="48" t="s">
        <v>30</v>
      </c>
      <c r="H210" s="51">
        <v>1500</v>
      </c>
      <c r="I210" s="119">
        <v>300</v>
      </c>
      <c r="J210" s="48" t="s">
        <v>31</v>
      </c>
      <c r="K210" s="48" t="s">
        <v>32</v>
      </c>
      <c r="L210" s="2"/>
      <c r="M210" s="2">
        <v>150</v>
      </c>
    </row>
    <row r="211" spans="1:17" ht="15.75" customHeight="1">
      <c r="A211" s="61">
        <v>18</v>
      </c>
      <c r="B211" s="48" t="s">
        <v>1757</v>
      </c>
      <c r="C211" s="48" t="s">
        <v>27</v>
      </c>
      <c r="D211" s="48" t="s">
        <v>1650</v>
      </c>
      <c r="E211" s="48" t="s">
        <v>191</v>
      </c>
      <c r="F211" s="48"/>
      <c r="G211" s="48" t="s">
        <v>30</v>
      </c>
      <c r="H211" s="51">
        <v>1000</v>
      </c>
      <c r="I211" s="119">
        <v>200</v>
      </c>
      <c r="J211" s="48" t="s">
        <v>31</v>
      </c>
      <c r="K211" s="48" t="s">
        <v>32</v>
      </c>
      <c r="L211" s="2"/>
      <c r="M211" s="2">
        <v>200</v>
      </c>
    </row>
    <row r="212" spans="1:17" ht="15.75" customHeight="1">
      <c r="A212" s="61">
        <v>18</v>
      </c>
      <c r="B212" s="48" t="s">
        <v>1758</v>
      </c>
      <c r="C212" s="48" t="s">
        <v>27</v>
      </c>
      <c r="D212" s="48" t="s">
        <v>1759</v>
      </c>
      <c r="E212" s="48" t="s">
        <v>839</v>
      </c>
      <c r="F212" s="48"/>
      <c r="G212" s="48" t="s">
        <v>30</v>
      </c>
      <c r="H212" s="51">
        <v>1500</v>
      </c>
      <c r="I212" s="119">
        <v>300</v>
      </c>
      <c r="J212" s="48" t="s">
        <v>31</v>
      </c>
      <c r="K212" s="48" t="s">
        <v>32</v>
      </c>
      <c r="L212" s="2"/>
      <c r="M212" s="2">
        <v>200</v>
      </c>
    </row>
    <row r="213" spans="1:17" ht="15.75" customHeight="1">
      <c r="A213" s="61">
        <v>18</v>
      </c>
      <c r="B213" s="48" t="s">
        <v>1374</v>
      </c>
      <c r="C213" s="48" t="s">
        <v>27</v>
      </c>
      <c r="D213" s="48" t="s">
        <v>623</v>
      </c>
      <c r="E213" s="48" t="s">
        <v>44</v>
      </c>
      <c r="F213" s="48"/>
      <c r="G213" s="48" t="s">
        <v>30</v>
      </c>
      <c r="H213" s="51">
        <v>400</v>
      </c>
      <c r="I213" s="119">
        <v>80</v>
      </c>
      <c r="J213" s="48" t="s">
        <v>31</v>
      </c>
      <c r="K213" s="48" t="s">
        <v>32</v>
      </c>
      <c r="L213" s="2"/>
      <c r="M213" s="2">
        <v>100</v>
      </c>
    </row>
    <row r="214" spans="1:17" ht="15.75" customHeight="1">
      <c r="A214" s="61">
        <v>18</v>
      </c>
      <c r="B214" s="48" t="s">
        <v>1760</v>
      </c>
      <c r="C214" s="48" t="s">
        <v>27</v>
      </c>
      <c r="D214" s="48" t="s">
        <v>1761</v>
      </c>
      <c r="E214" s="48" t="s">
        <v>223</v>
      </c>
      <c r="F214" s="48"/>
      <c r="G214" s="48" t="s">
        <v>61</v>
      </c>
      <c r="H214" s="51">
        <v>20</v>
      </c>
      <c r="I214" s="119">
        <v>200</v>
      </c>
      <c r="J214" s="48" t="s">
        <v>31</v>
      </c>
      <c r="K214" s="48" t="s">
        <v>32</v>
      </c>
      <c r="L214" s="2"/>
      <c r="M214" s="2"/>
    </row>
    <row r="215" spans="1:17" ht="15.75" customHeight="1">
      <c r="A215" s="61">
        <v>18</v>
      </c>
      <c r="B215" s="48" t="s">
        <v>1762</v>
      </c>
      <c r="C215" s="48" t="s">
        <v>27</v>
      </c>
      <c r="D215" s="48" t="s">
        <v>728</v>
      </c>
      <c r="E215" s="48" t="s">
        <v>86</v>
      </c>
      <c r="F215" s="48"/>
      <c r="G215" s="48" t="s">
        <v>30</v>
      </c>
      <c r="H215" s="51">
        <v>500</v>
      </c>
      <c r="I215" s="119">
        <v>100</v>
      </c>
      <c r="J215" s="48" t="s">
        <v>31</v>
      </c>
      <c r="K215" s="48" t="s">
        <v>32</v>
      </c>
      <c r="L215" s="2"/>
      <c r="M215" s="2">
        <v>100</v>
      </c>
    </row>
    <row r="216" spans="1:17" ht="15.75" customHeight="1">
      <c r="A216" s="61">
        <v>18</v>
      </c>
      <c r="B216" s="48" t="s">
        <v>1763</v>
      </c>
      <c r="C216" s="48" t="s">
        <v>27</v>
      </c>
      <c r="D216" s="48" t="s">
        <v>350</v>
      </c>
      <c r="E216" s="48" t="s">
        <v>29</v>
      </c>
      <c r="F216" s="48"/>
      <c r="G216" s="48" t="s">
        <v>30</v>
      </c>
      <c r="H216" s="51">
        <v>4000</v>
      </c>
      <c r="I216" s="119">
        <v>800</v>
      </c>
      <c r="J216" s="48" t="s">
        <v>31</v>
      </c>
      <c r="K216" s="48" t="s">
        <v>32</v>
      </c>
      <c r="L216" s="2"/>
      <c r="M216" s="2">
        <v>600</v>
      </c>
    </row>
    <row r="217" spans="1:17" ht="15.75" customHeight="1">
      <c r="A217" s="61">
        <v>18</v>
      </c>
      <c r="B217" s="48" t="s">
        <v>1764</v>
      </c>
      <c r="C217" s="48" t="s">
        <v>27</v>
      </c>
      <c r="D217" s="48" t="s">
        <v>100</v>
      </c>
      <c r="E217" s="48" t="s">
        <v>56</v>
      </c>
      <c r="F217" s="48"/>
      <c r="G217" s="48" t="s">
        <v>30</v>
      </c>
      <c r="H217" s="51">
        <v>20</v>
      </c>
      <c r="I217" s="119">
        <v>10</v>
      </c>
      <c r="J217" s="48" t="s">
        <v>31</v>
      </c>
      <c r="K217" s="48" t="s">
        <v>32</v>
      </c>
      <c r="L217" s="2"/>
      <c r="M217" s="2"/>
    </row>
    <row r="218" spans="1:17" ht="15.75" customHeight="1">
      <c r="A218" s="50">
        <v>18</v>
      </c>
      <c r="B218" s="48" t="s">
        <v>1764</v>
      </c>
      <c r="C218" s="48" t="s">
        <v>27</v>
      </c>
      <c r="D218" s="48" t="s">
        <v>100</v>
      </c>
      <c r="E218" s="48" t="s">
        <v>56</v>
      </c>
      <c r="F218" s="48"/>
      <c r="G218" s="48" t="s">
        <v>30</v>
      </c>
      <c r="H218" s="51">
        <v>100</v>
      </c>
      <c r="I218" s="119">
        <v>30</v>
      </c>
      <c r="J218" s="48" t="s">
        <v>31</v>
      </c>
      <c r="K218" s="48" t="s">
        <v>32</v>
      </c>
      <c r="L218" s="2"/>
      <c r="M218" s="2"/>
    </row>
    <row r="219" spans="1:17" ht="15.75" customHeight="1">
      <c r="A219" s="65">
        <v>18</v>
      </c>
      <c r="B219" s="48" t="s">
        <v>1764</v>
      </c>
      <c r="C219" s="48" t="s">
        <v>27</v>
      </c>
      <c r="D219" s="48" t="s">
        <v>100</v>
      </c>
      <c r="E219" s="48" t="s">
        <v>56</v>
      </c>
      <c r="F219" s="58"/>
      <c r="G219" s="58" t="s">
        <v>61</v>
      </c>
      <c r="H219" s="59">
        <v>10</v>
      </c>
      <c r="I219" s="160">
        <v>100</v>
      </c>
      <c r="J219" s="48" t="s">
        <v>31</v>
      </c>
      <c r="K219" s="48" t="s">
        <v>32</v>
      </c>
      <c r="L219" s="2"/>
      <c r="M219" s="2"/>
    </row>
    <row r="220" spans="1:17" ht="15.75" customHeight="1">
      <c r="A220" s="61">
        <v>19</v>
      </c>
      <c r="B220" s="62" t="s">
        <v>1452</v>
      </c>
      <c r="C220" s="62" t="s">
        <v>27</v>
      </c>
      <c r="D220" s="62" t="s">
        <v>1453</v>
      </c>
      <c r="E220" s="62" t="s">
        <v>245</v>
      </c>
      <c r="F220" s="62"/>
      <c r="G220" s="62" t="s">
        <v>30</v>
      </c>
      <c r="H220" s="63">
        <v>500</v>
      </c>
      <c r="I220" s="159">
        <v>100</v>
      </c>
      <c r="J220" s="48" t="s">
        <v>31</v>
      </c>
      <c r="K220" s="48" t="s">
        <v>32</v>
      </c>
      <c r="L220" s="2"/>
      <c r="M220" s="2">
        <v>100</v>
      </c>
    </row>
    <row r="221" spans="1:17" ht="15.75" customHeight="1">
      <c r="A221" s="61">
        <v>19</v>
      </c>
      <c r="B221" s="48" t="s">
        <v>1765</v>
      </c>
      <c r="C221" s="48" t="s">
        <v>27</v>
      </c>
      <c r="D221" s="48" t="s">
        <v>886</v>
      </c>
      <c r="E221" s="48" t="s">
        <v>86</v>
      </c>
      <c r="F221" s="48"/>
      <c r="G221" s="48" t="s">
        <v>30</v>
      </c>
      <c r="H221" s="51">
        <v>300</v>
      </c>
      <c r="I221" s="119">
        <v>60</v>
      </c>
      <c r="J221" s="48" t="s">
        <v>31</v>
      </c>
      <c r="K221" s="48" t="s">
        <v>32</v>
      </c>
      <c r="L221" s="2"/>
      <c r="M221" s="2">
        <v>20</v>
      </c>
    </row>
    <row r="222" spans="1:17" ht="15.75" customHeight="1">
      <c r="A222" s="61">
        <v>19</v>
      </c>
      <c r="B222" s="48" t="s">
        <v>1766</v>
      </c>
      <c r="C222" s="48" t="s">
        <v>27</v>
      </c>
      <c r="D222" s="48" t="s">
        <v>910</v>
      </c>
      <c r="E222" s="48" t="s">
        <v>36</v>
      </c>
      <c r="F222" s="48"/>
      <c r="G222" s="48" t="s">
        <v>30</v>
      </c>
      <c r="H222" s="51">
        <v>1000</v>
      </c>
      <c r="I222" s="119">
        <v>300</v>
      </c>
      <c r="J222" s="48" t="s">
        <v>31</v>
      </c>
      <c r="K222" s="48" t="s">
        <v>32</v>
      </c>
      <c r="L222" s="2"/>
      <c r="M222" s="2">
        <v>300</v>
      </c>
    </row>
    <row r="223" spans="1:17" ht="15.75" customHeight="1">
      <c r="A223" s="61">
        <v>19</v>
      </c>
      <c r="B223" s="48" t="s">
        <v>1767</v>
      </c>
      <c r="C223" s="48" t="s">
        <v>27</v>
      </c>
      <c r="D223" s="48" t="s">
        <v>1768</v>
      </c>
      <c r="E223" s="48" t="s">
        <v>245</v>
      </c>
      <c r="F223" s="48"/>
      <c r="G223" s="48" t="s">
        <v>30</v>
      </c>
      <c r="H223" s="51">
        <v>3000</v>
      </c>
      <c r="I223" s="119">
        <v>600</v>
      </c>
      <c r="J223" s="48" t="s">
        <v>31</v>
      </c>
      <c r="K223" s="48" t="s">
        <v>32</v>
      </c>
      <c r="L223" s="2"/>
      <c r="M223" s="2">
        <v>500</v>
      </c>
    </row>
    <row r="224" spans="1:17" ht="15.75" customHeight="1">
      <c r="A224" s="61">
        <v>19</v>
      </c>
      <c r="B224" s="48" t="s">
        <v>1769</v>
      </c>
      <c r="C224" s="48" t="s">
        <v>27</v>
      </c>
      <c r="D224" s="48" t="s">
        <v>100</v>
      </c>
      <c r="E224" s="48" t="s">
        <v>145</v>
      </c>
      <c r="F224" s="48"/>
      <c r="G224" s="48" t="s">
        <v>30</v>
      </c>
      <c r="H224" s="51">
        <v>1000</v>
      </c>
      <c r="I224" s="119">
        <v>200</v>
      </c>
      <c r="J224" s="48" t="s">
        <v>31</v>
      </c>
      <c r="K224" s="48" t="s">
        <v>32</v>
      </c>
      <c r="L224" s="2"/>
      <c r="M224" s="2">
        <v>450</v>
      </c>
      <c r="P224" s="780" t="s">
        <v>1770</v>
      </c>
      <c r="Q224" s="719"/>
    </row>
    <row r="225" spans="1:19" ht="15.75" customHeight="1">
      <c r="A225" s="61">
        <v>19</v>
      </c>
      <c r="B225" s="48" t="s">
        <v>1769</v>
      </c>
      <c r="C225" s="48" t="s">
        <v>27</v>
      </c>
      <c r="D225" s="48" t="s">
        <v>100</v>
      </c>
      <c r="E225" s="48" t="s">
        <v>145</v>
      </c>
      <c r="F225" s="48"/>
      <c r="G225" s="48" t="s">
        <v>30</v>
      </c>
      <c r="H225" s="51">
        <v>500</v>
      </c>
      <c r="I225" s="315" t="s">
        <v>1586</v>
      </c>
      <c r="J225" s="48" t="s">
        <v>31</v>
      </c>
      <c r="K225" s="48" t="s">
        <v>32</v>
      </c>
      <c r="L225" s="2"/>
      <c r="M225" s="2"/>
      <c r="P225" s="780" t="s">
        <v>25</v>
      </c>
      <c r="Q225" s="719"/>
    </row>
    <row r="226" spans="1:19" ht="15.75" customHeight="1">
      <c r="A226" s="61">
        <v>19</v>
      </c>
      <c r="B226" s="48" t="s">
        <v>1771</v>
      </c>
      <c r="C226" s="48" t="s">
        <v>27</v>
      </c>
      <c r="D226" s="48" t="s">
        <v>1772</v>
      </c>
      <c r="E226" s="48" t="s">
        <v>86</v>
      </c>
      <c r="F226" s="48"/>
      <c r="G226" s="48" t="s">
        <v>30</v>
      </c>
      <c r="H226" s="51">
        <v>400</v>
      </c>
      <c r="I226" s="119">
        <v>80</v>
      </c>
      <c r="J226" s="48" t="s">
        <v>31</v>
      </c>
      <c r="K226" s="48" t="s">
        <v>32</v>
      </c>
      <c r="L226" s="2"/>
      <c r="M226" s="2">
        <v>130</v>
      </c>
      <c r="P226" s="48" t="s">
        <v>33</v>
      </c>
      <c r="Q226" s="51">
        <v>21670</v>
      </c>
      <c r="S226" s="55"/>
    </row>
    <row r="227" spans="1:19" ht="15.75" customHeight="1">
      <c r="A227" s="61">
        <v>19</v>
      </c>
      <c r="B227" s="48" t="s">
        <v>1773</v>
      </c>
      <c r="C227" s="48" t="s">
        <v>27</v>
      </c>
      <c r="D227" s="48" t="s">
        <v>1774</v>
      </c>
      <c r="E227" s="48" t="s">
        <v>102</v>
      </c>
      <c r="F227" s="48"/>
      <c r="G227" s="48" t="s">
        <v>30</v>
      </c>
      <c r="H227" s="51">
        <v>300</v>
      </c>
      <c r="I227" s="119">
        <v>60</v>
      </c>
      <c r="J227" s="48" t="s">
        <v>31</v>
      </c>
      <c r="K227" s="48" t="s">
        <v>32</v>
      </c>
      <c r="L227" s="2"/>
      <c r="M227" s="2">
        <v>100</v>
      </c>
      <c r="P227" s="48" t="s">
        <v>37</v>
      </c>
      <c r="Q227" s="51">
        <v>2500</v>
      </c>
    </row>
    <row r="228" spans="1:19" ht="15.75" customHeight="1">
      <c r="A228" s="61">
        <v>19</v>
      </c>
      <c r="B228" s="48" t="s">
        <v>1775</v>
      </c>
      <c r="C228" s="48" t="s">
        <v>27</v>
      </c>
      <c r="D228" s="48" t="s">
        <v>88</v>
      </c>
      <c r="E228" s="48" t="s">
        <v>84</v>
      </c>
      <c r="F228" s="48"/>
      <c r="G228" s="48" t="s">
        <v>30</v>
      </c>
      <c r="H228" s="51">
        <v>500</v>
      </c>
      <c r="I228" s="119">
        <v>100</v>
      </c>
      <c r="J228" s="48" t="s">
        <v>31</v>
      </c>
      <c r="K228" s="48" t="s">
        <v>32</v>
      </c>
      <c r="L228" s="2"/>
      <c r="M228" s="2">
        <v>100</v>
      </c>
      <c r="P228" s="48" t="s">
        <v>282</v>
      </c>
      <c r="Q228" s="316">
        <v>24170</v>
      </c>
      <c r="S228" s="55"/>
    </row>
    <row r="229" spans="1:19" ht="15.75" customHeight="1">
      <c r="A229" s="61">
        <v>19</v>
      </c>
      <c r="B229" s="48" t="s">
        <v>1776</v>
      </c>
      <c r="C229" s="48" t="s">
        <v>39</v>
      </c>
      <c r="D229" s="48" t="s">
        <v>910</v>
      </c>
      <c r="E229" s="48" t="s">
        <v>36</v>
      </c>
      <c r="F229" s="48"/>
      <c r="G229" s="48" t="s">
        <v>30</v>
      </c>
      <c r="H229" s="51">
        <v>1000</v>
      </c>
      <c r="I229" s="119">
        <v>200</v>
      </c>
      <c r="J229" s="48" t="s">
        <v>31</v>
      </c>
      <c r="K229" s="48" t="s">
        <v>32</v>
      </c>
      <c r="L229" s="2"/>
      <c r="M229" s="2">
        <v>150</v>
      </c>
      <c r="P229" s="780" t="s">
        <v>286</v>
      </c>
      <c r="Q229" s="719"/>
    </row>
    <row r="230" spans="1:19" ht="15.75" customHeight="1">
      <c r="A230" s="61">
        <v>19</v>
      </c>
      <c r="B230" s="48" t="s">
        <v>1777</v>
      </c>
      <c r="C230" s="48" t="s">
        <v>27</v>
      </c>
      <c r="D230" s="48" t="s">
        <v>931</v>
      </c>
      <c r="E230" s="48" t="s">
        <v>145</v>
      </c>
      <c r="F230" s="48"/>
      <c r="G230" s="48" t="s">
        <v>30</v>
      </c>
      <c r="H230" s="51">
        <v>500</v>
      </c>
      <c r="I230" s="315" t="s">
        <v>1586</v>
      </c>
      <c r="J230" s="48" t="s">
        <v>31</v>
      </c>
      <c r="K230" s="48" t="s">
        <v>32</v>
      </c>
      <c r="L230" s="2"/>
      <c r="M230" s="2">
        <v>400</v>
      </c>
      <c r="P230" s="48" t="s">
        <v>580</v>
      </c>
      <c r="Q230" s="48">
        <v>46</v>
      </c>
      <c r="R230" s="55"/>
    </row>
    <row r="231" spans="1:19" ht="15.75" customHeight="1">
      <c r="A231" s="61">
        <v>19</v>
      </c>
      <c r="B231" s="48" t="s">
        <v>1778</v>
      </c>
      <c r="C231" s="48" t="s">
        <v>39</v>
      </c>
      <c r="D231" s="48" t="s">
        <v>931</v>
      </c>
      <c r="E231" s="48" t="s">
        <v>145</v>
      </c>
      <c r="F231" s="48"/>
      <c r="G231" s="48" t="s">
        <v>30</v>
      </c>
      <c r="H231" s="51">
        <v>500</v>
      </c>
      <c r="I231" s="315" t="s">
        <v>1586</v>
      </c>
      <c r="J231" s="48" t="s">
        <v>31</v>
      </c>
      <c r="K231" s="48" t="s">
        <v>32</v>
      </c>
      <c r="L231" s="2"/>
      <c r="M231" s="2">
        <v>100</v>
      </c>
      <c r="P231" s="48" t="s">
        <v>589</v>
      </c>
      <c r="Q231" s="48">
        <v>20</v>
      </c>
    </row>
    <row r="232" spans="1:19" ht="15.75" customHeight="1">
      <c r="A232" s="61">
        <v>19</v>
      </c>
      <c r="B232" s="48" t="s">
        <v>1779</v>
      </c>
      <c r="C232" s="48" t="s">
        <v>39</v>
      </c>
      <c r="D232" s="48" t="s">
        <v>931</v>
      </c>
      <c r="E232" s="48" t="s">
        <v>145</v>
      </c>
      <c r="F232" s="48"/>
      <c r="G232" s="48" t="s">
        <v>30</v>
      </c>
      <c r="H232" s="51">
        <v>500</v>
      </c>
      <c r="I232" s="315" t="s">
        <v>1586</v>
      </c>
      <c r="J232" s="48" t="s">
        <v>31</v>
      </c>
      <c r="K232" s="48" t="s">
        <v>32</v>
      </c>
      <c r="L232" s="2"/>
      <c r="M232" s="2">
        <v>100</v>
      </c>
      <c r="P232" s="48" t="s">
        <v>282</v>
      </c>
      <c r="Q232" s="309">
        <v>66</v>
      </c>
      <c r="R232" s="55"/>
    </row>
    <row r="233" spans="1:19" ht="15.75" customHeight="1">
      <c r="A233" s="65">
        <v>19</v>
      </c>
      <c r="B233" s="58" t="s">
        <v>1780</v>
      </c>
      <c r="C233" s="58" t="s">
        <v>27</v>
      </c>
      <c r="D233" s="58" t="s">
        <v>931</v>
      </c>
      <c r="E233" s="58" t="s">
        <v>145</v>
      </c>
      <c r="F233" s="58"/>
      <c r="G233" s="58" t="s">
        <v>30</v>
      </c>
      <c r="H233" s="59">
        <v>500</v>
      </c>
      <c r="I233" s="317" t="s">
        <v>1586</v>
      </c>
      <c r="J233" s="48" t="s">
        <v>31</v>
      </c>
      <c r="K233" s="48" t="s">
        <v>32</v>
      </c>
      <c r="L233" s="2"/>
      <c r="M233" s="2">
        <v>200</v>
      </c>
    </row>
    <row r="234" spans="1:19" ht="15.75" customHeight="1">
      <c r="A234" s="61">
        <v>20</v>
      </c>
      <c r="B234" s="62" t="s">
        <v>1781</v>
      </c>
      <c r="C234" s="62" t="s">
        <v>27</v>
      </c>
      <c r="D234" s="62" t="s">
        <v>651</v>
      </c>
      <c r="E234" s="62" t="s">
        <v>86</v>
      </c>
      <c r="F234" s="62"/>
      <c r="G234" s="62" t="s">
        <v>30</v>
      </c>
      <c r="H234" s="63">
        <v>5000</v>
      </c>
      <c r="I234" s="159">
        <v>1000</v>
      </c>
      <c r="J234" s="48" t="s">
        <v>31</v>
      </c>
      <c r="K234" s="48" t="s">
        <v>32</v>
      </c>
      <c r="L234" s="2"/>
      <c r="M234" s="2">
        <v>900</v>
      </c>
    </row>
    <row r="235" spans="1:19" ht="15.75" customHeight="1">
      <c r="A235" s="61">
        <v>20</v>
      </c>
      <c r="B235" s="62" t="s">
        <v>1782</v>
      </c>
      <c r="C235" s="62" t="s">
        <v>27</v>
      </c>
      <c r="D235" s="62" t="s">
        <v>67</v>
      </c>
      <c r="E235" s="62" t="s">
        <v>68</v>
      </c>
      <c r="F235" s="62"/>
      <c r="G235" s="62" t="s">
        <v>30</v>
      </c>
      <c r="H235" s="63">
        <v>3000</v>
      </c>
      <c r="I235" s="159">
        <v>600</v>
      </c>
      <c r="J235" s="48" t="s">
        <v>31</v>
      </c>
      <c r="K235" s="48" t="s">
        <v>32</v>
      </c>
      <c r="L235" s="2"/>
      <c r="M235" s="2">
        <v>2000</v>
      </c>
    </row>
    <row r="236" spans="1:19" ht="15.75" customHeight="1">
      <c r="A236" s="61">
        <v>20</v>
      </c>
      <c r="B236" s="62" t="s">
        <v>1783</v>
      </c>
      <c r="C236" s="62" t="s">
        <v>27</v>
      </c>
      <c r="D236" s="62" t="s">
        <v>373</v>
      </c>
      <c r="E236" s="62" t="s">
        <v>36</v>
      </c>
      <c r="F236" s="62"/>
      <c r="G236" s="62" t="s">
        <v>30</v>
      </c>
      <c r="H236" s="63">
        <v>1000</v>
      </c>
      <c r="I236" s="159">
        <v>200</v>
      </c>
      <c r="J236" s="48" t="s">
        <v>31</v>
      </c>
      <c r="K236" s="48" t="s">
        <v>32</v>
      </c>
      <c r="L236" s="2"/>
      <c r="M236" s="2">
        <v>200</v>
      </c>
    </row>
    <row r="237" spans="1:19" ht="15.75" customHeight="1">
      <c r="A237" s="61">
        <v>20</v>
      </c>
      <c r="B237" s="58" t="s">
        <v>1784</v>
      </c>
      <c r="C237" s="58" t="s">
        <v>27</v>
      </c>
      <c r="D237" s="58" t="s">
        <v>193</v>
      </c>
      <c r="E237" s="58" t="s">
        <v>36</v>
      </c>
      <c r="F237" s="58"/>
      <c r="G237" s="58" t="s">
        <v>30</v>
      </c>
      <c r="H237" s="59">
        <v>5000</v>
      </c>
      <c r="I237" s="160">
        <v>1000</v>
      </c>
      <c r="J237" s="48" t="s">
        <v>31</v>
      </c>
      <c r="K237" s="48" t="s">
        <v>32</v>
      </c>
      <c r="L237" s="2"/>
      <c r="M237" s="2">
        <v>1200</v>
      </c>
    </row>
    <row r="238" spans="1:19" ht="15.75" customHeight="1">
      <c r="A238" s="61">
        <v>21</v>
      </c>
      <c r="B238" s="62" t="s">
        <v>1785</v>
      </c>
      <c r="C238" s="62" t="s">
        <v>27</v>
      </c>
      <c r="D238" s="62" t="s">
        <v>65</v>
      </c>
      <c r="E238" s="62" t="s">
        <v>36</v>
      </c>
      <c r="F238" s="62"/>
      <c r="G238" s="62" t="s">
        <v>30</v>
      </c>
      <c r="H238" s="63">
        <v>2500</v>
      </c>
      <c r="I238" s="159">
        <v>500</v>
      </c>
      <c r="J238" s="48" t="s">
        <v>31</v>
      </c>
      <c r="K238" s="48" t="s">
        <v>32</v>
      </c>
      <c r="L238" s="2"/>
      <c r="M238" s="2">
        <v>500</v>
      </c>
    </row>
    <row r="239" spans="1:19" ht="15.75" customHeight="1">
      <c r="A239" s="61">
        <v>21</v>
      </c>
      <c r="B239" s="62" t="s">
        <v>42</v>
      </c>
      <c r="C239" s="62" t="s">
        <v>27</v>
      </c>
      <c r="D239" s="62" t="s">
        <v>43</v>
      </c>
      <c r="E239" s="62" t="s">
        <v>44</v>
      </c>
      <c r="F239" s="62"/>
      <c r="G239" s="62" t="s">
        <v>30</v>
      </c>
      <c r="H239" s="63">
        <v>2500</v>
      </c>
      <c r="I239" s="159">
        <v>500</v>
      </c>
      <c r="J239" s="48" t="s">
        <v>31</v>
      </c>
      <c r="K239" s="48" t="s">
        <v>32</v>
      </c>
      <c r="L239" s="2"/>
      <c r="M239" s="2">
        <v>600</v>
      </c>
    </row>
    <row r="240" spans="1:19" ht="15.75" customHeight="1">
      <c r="A240" s="61">
        <v>21</v>
      </c>
      <c r="B240" s="62" t="s">
        <v>1786</v>
      </c>
      <c r="C240" s="62" t="s">
        <v>27</v>
      </c>
      <c r="D240" s="62" t="s">
        <v>211</v>
      </c>
      <c r="E240" s="62" t="s">
        <v>245</v>
      </c>
      <c r="F240" s="62"/>
      <c r="G240" s="62" t="s">
        <v>30</v>
      </c>
      <c r="H240" s="63">
        <v>10500</v>
      </c>
      <c r="I240" s="159">
        <v>2100</v>
      </c>
      <c r="J240" s="48" t="s">
        <v>31</v>
      </c>
      <c r="K240" s="48" t="s">
        <v>32</v>
      </c>
      <c r="L240" s="2"/>
      <c r="M240" s="2">
        <v>2500</v>
      </c>
    </row>
    <row r="241" spans="1:13" ht="15.75" customHeight="1">
      <c r="A241" s="61">
        <v>21</v>
      </c>
      <c r="B241" s="62" t="s">
        <v>1787</v>
      </c>
      <c r="C241" s="62" t="s">
        <v>27</v>
      </c>
      <c r="D241" s="62" t="s">
        <v>434</v>
      </c>
      <c r="E241" s="62" t="s">
        <v>36</v>
      </c>
      <c r="F241" s="62"/>
      <c r="G241" s="62" t="s">
        <v>30</v>
      </c>
      <c r="H241" s="63">
        <v>3000</v>
      </c>
      <c r="I241" s="159">
        <v>600</v>
      </c>
      <c r="J241" s="48" t="s">
        <v>31</v>
      </c>
      <c r="K241" s="48" t="s">
        <v>32</v>
      </c>
      <c r="L241" s="2"/>
      <c r="M241" s="2">
        <v>1000</v>
      </c>
    </row>
    <row r="242" spans="1:13" ht="15.75" customHeight="1">
      <c r="A242" s="61">
        <v>21</v>
      </c>
      <c r="B242" s="62" t="s">
        <v>1787</v>
      </c>
      <c r="C242" s="62" t="s">
        <v>27</v>
      </c>
      <c r="D242" s="62" t="s">
        <v>434</v>
      </c>
      <c r="E242" s="62" t="s">
        <v>36</v>
      </c>
      <c r="F242" s="58"/>
      <c r="G242" s="58" t="s">
        <v>30</v>
      </c>
      <c r="H242" s="59">
        <v>500</v>
      </c>
      <c r="I242" s="160" t="s">
        <v>1586</v>
      </c>
      <c r="J242" s="48" t="s">
        <v>31</v>
      </c>
      <c r="K242" s="48" t="s">
        <v>32</v>
      </c>
      <c r="L242" s="2"/>
      <c r="M242" s="2"/>
    </row>
    <row r="243" spans="1:13" ht="15.75" customHeight="1">
      <c r="A243" s="61">
        <v>22</v>
      </c>
      <c r="B243" s="62" t="s">
        <v>1788</v>
      </c>
      <c r="C243" s="62" t="s">
        <v>27</v>
      </c>
      <c r="D243" s="62" t="s">
        <v>733</v>
      </c>
      <c r="E243" s="62" t="s">
        <v>54</v>
      </c>
      <c r="F243" s="62"/>
      <c r="G243" s="62" t="s">
        <v>30</v>
      </c>
      <c r="H243" s="63">
        <v>1000</v>
      </c>
      <c r="I243" s="159">
        <v>200</v>
      </c>
      <c r="J243" s="48" t="s">
        <v>31</v>
      </c>
      <c r="K243" s="48" t="s">
        <v>32</v>
      </c>
      <c r="L243" s="2"/>
      <c r="M243" s="2">
        <v>300</v>
      </c>
    </row>
    <row r="244" spans="1:13" ht="15.75" customHeight="1">
      <c r="A244" s="61">
        <v>22</v>
      </c>
      <c r="B244" s="62" t="s">
        <v>1789</v>
      </c>
      <c r="C244" s="62" t="s">
        <v>27</v>
      </c>
      <c r="D244" s="62" t="s">
        <v>326</v>
      </c>
      <c r="E244" s="62" t="s">
        <v>84</v>
      </c>
      <c r="F244" s="62"/>
      <c r="G244" s="62" t="s">
        <v>30</v>
      </c>
      <c r="H244" s="63">
        <v>400</v>
      </c>
      <c r="I244" s="159">
        <v>80</v>
      </c>
      <c r="J244" s="48" t="s">
        <v>31</v>
      </c>
      <c r="K244" s="48" t="s">
        <v>32</v>
      </c>
      <c r="L244" s="2"/>
      <c r="M244" s="2">
        <v>100</v>
      </c>
    </row>
    <row r="245" spans="1:13" ht="15.75" customHeight="1">
      <c r="A245" s="61">
        <v>22</v>
      </c>
      <c r="B245" s="62" t="s">
        <v>1789</v>
      </c>
      <c r="C245" s="62" t="s">
        <v>27</v>
      </c>
      <c r="D245" s="62" t="s">
        <v>326</v>
      </c>
      <c r="E245" s="62" t="s">
        <v>84</v>
      </c>
      <c r="F245" s="62"/>
      <c r="G245" s="62" t="s">
        <v>589</v>
      </c>
      <c r="H245" s="63">
        <v>20</v>
      </c>
      <c r="I245" s="159">
        <v>60</v>
      </c>
      <c r="J245" s="48" t="s">
        <v>31</v>
      </c>
      <c r="K245" s="48" t="s">
        <v>32</v>
      </c>
      <c r="L245" s="2"/>
      <c r="M245" s="2"/>
    </row>
    <row r="246" spans="1:13" ht="15.75" customHeight="1">
      <c r="A246" s="61">
        <v>22</v>
      </c>
      <c r="B246" s="62" t="s">
        <v>1790</v>
      </c>
      <c r="C246" s="62" t="s">
        <v>27</v>
      </c>
      <c r="D246" s="62" t="s">
        <v>297</v>
      </c>
      <c r="E246" s="62" t="s">
        <v>44</v>
      </c>
      <c r="F246" s="62"/>
      <c r="G246" s="62" t="s">
        <v>30</v>
      </c>
      <c r="H246" s="63">
        <v>500</v>
      </c>
      <c r="I246" s="159">
        <v>100</v>
      </c>
      <c r="J246" s="48" t="s">
        <v>31</v>
      </c>
      <c r="K246" s="48" t="s">
        <v>32</v>
      </c>
      <c r="L246" s="2"/>
      <c r="M246" s="2">
        <v>100</v>
      </c>
    </row>
    <row r="247" spans="1:13" ht="15.75" customHeight="1">
      <c r="A247" s="61">
        <v>22</v>
      </c>
      <c r="B247" s="62" t="s">
        <v>1791</v>
      </c>
      <c r="C247" s="62" t="s">
        <v>39</v>
      </c>
      <c r="D247" s="62" t="s">
        <v>659</v>
      </c>
      <c r="E247" s="62" t="s">
        <v>86</v>
      </c>
      <c r="F247" s="62"/>
      <c r="G247" s="62" t="s">
        <v>30</v>
      </c>
      <c r="H247" s="63">
        <v>500</v>
      </c>
      <c r="I247" s="159">
        <v>100</v>
      </c>
      <c r="J247" s="48" t="s">
        <v>31</v>
      </c>
      <c r="K247" s="48" t="s">
        <v>32</v>
      </c>
      <c r="L247" s="2"/>
      <c r="M247" s="2">
        <v>100</v>
      </c>
    </row>
    <row r="248" spans="1:13" ht="15.75" customHeight="1">
      <c r="A248" s="61">
        <v>22</v>
      </c>
      <c r="B248" s="62" t="s">
        <v>1792</v>
      </c>
      <c r="C248" s="62" t="s">
        <v>27</v>
      </c>
      <c r="D248" s="62" t="s">
        <v>1793</v>
      </c>
      <c r="E248" s="62" t="s">
        <v>824</v>
      </c>
      <c r="F248" s="62"/>
      <c r="G248" s="62" t="s">
        <v>30</v>
      </c>
      <c r="H248" s="63">
        <v>100</v>
      </c>
      <c r="I248" s="159" t="s">
        <v>1586</v>
      </c>
      <c r="J248" s="48" t="s">
        <v>31</v>
      </c>
      <c r="K248" s="48" t="s">
        <v>32</v>
      </c>
      <c r="L248" s="2"/>
      <c r="M248" s="2">
        <v>50</v>
      </c>
    </row>
    <row r="249" spans="1:13" ht="15.75" customHeight="1">
      <c r="A249" s="61">
        <v>22</v>
      </c>
      <c r="B249" s="62" t="s">
        <v>1794</v>
      </c>
      <c r="C249" s="62" t="s">
        <v>27</v>
      </c>
      <c r="D249" s="62" t="s">
        <v>1795</v>
      </c>
      <c r="E249" s="62" t="s">
        <v>552</v>
      </c>
      <c r="F249" s="62"/>
      <c r="G249" s="62" t="s">
        <v>30</v>
      </c>
      <c r="H249" s="63">
        <v>2500</v>
      </c>
      <c r="I249" s="159">
        <v>500</v>
      </c>
      <c r="J249" s="48" t="s">
        <v>31</v>
      </c>
      <c r="K249" s="48" t="s">
        <v>32</v>
      </c>
      <c r="L249" s="2"/>
      <c r="M249" s="2">
        <v>500</v>
      </c>
    </row>
    <row r="250" spans="1:13" ht="15.75" customHeight="1">
      <c r="A250" s="61">
        <v>22</v>
      </c>
      <c r="B250" s="62" t="s">
        <v>1796</v>
      </c>
      <c r="C250" s="62" t="s">
        <v>27</v>
      </c>
      <c r="D250" s="62" t="s">
        <v>171</v>
      </c>
      <c r="E250" s="62" t="s">
        <v>145</v>
      </c>
      <c r="F250" s="62"/>
      <c r="G250" s="62" t="s">
        <v>30</v>
      </c>
      <c r="H250" s="63">
        <v>3200</v>
      </c>
      <c r="I250" s="159">
        <v>640</v>
      </c>
      <c r="J250" s="48" t="s">
        <v>31</v>
      </c>
      <c r="K250" s="48" t="s">
        <v>32</v>
      </c>
      <c r="L250" s="2"/>
      <c r="M250" s="2">
        <v>450</v>
      </c>
    </row>
    <row r="251" spans="1:13" ht="15.75" customHeight="1">
      <c r="A251" s="61">
        <v>22</v>
      </c>
      <c r="B251" s="62" t="s">
        <v>1797</v>
      </c>
      <c r="C251" s="62" t="s">
        <v>27</v>
      </c>
      <c r="D251" s="62" t="s">
        <v>393</v>
      </c>
      <c r="E251" s="62" t="s">
        <v>245</v>
      </c>
      <c r="F251" s="62"/>
      <c r="G251" s="62" t="s">
        <v>30</v>
      </c>
      <c r="H251" s="63">
        <v>5000</v>
      </c>
      <c r="I251" s="159">
        <v>1000</v>
      </c>
      <c r="J251" s="48" t="s">
        <v>31</v>
      </c>
      <c r="K251" s="48" t="s">
        <v>32</v>
      </c>
      <c r="L251" s="2"/>
      <c r="M251" s="2">
        <v>1000</v>
      </c>
    </row>
    <row r="252" spans="1:13" ht="15.75" customHeight="1">
      <c r="A252" s="61">
        <v>22</v>
      </c>
      <c r="B252" s="62" t="s">
        <v>243</v>
      </c>
      <c r="C252" s="62" t="s">
        <v>27</v>
      </c>
      <c r="D252" s="62" t="s">
        <v>244</v>
      </c>
      <c r="E252" s="62" t="s">
        <v>245</v>
      </c>
      <c r="F252" s="62"/>
      <c r="G252" s="62" t="s">
        <v>30</v>
      </c>
      <c r="H252" s="63">
        <v>5000</v>
      </c>
      <c r="I252" s="159">
        <v>1000</v>
      </c>
      <c r="J252" s="48" t="s">
        <v>31</v>
      </c>
      <c r="K252" s="48" t="s">
        <v>32</v>
      </c>
      <c r="L252" s="2"/>
      <c r="M252" s="2">
        <v>1000</v>
      </c>
    </row>
    <row r="253" spans="1:13" ht="15.75" customHeight="1">
      <c r="A253" s="61">
        <v>22</v>
      </c>
      <c r="B253" s="62" t="s">
        <v>1798</v>
      </c>
      <c r="C253" s="62" t="s">
        <v>27</v>
      </c>
      <c r="D253" s="62" t="s">
        <v>180</v>
      </c>
      <c r="E253" s="62" t="s">
        <v>36</v>
      </c>
      <c r="F253" s="62"/>
      <c r="G253" s="62" t="s">
        <v>30</v>
      </c>
      <c r="H253" s="63">
        <v>4000</v>
      </c>
      <c r="I253" s="159">
        <v>800</v>
      </c>
      <c r="J253" s="48" t="s">
        <v>31</v>
      </c>
      <c r="K253" s="48" t="s">
        <v>32</v>
      </c>
      <c r="L253" s="2"/>
      <c r="M253" s="2">
        <v>600</v>
      </c>
    </row>
    <row r="254" spans="1:13" ht="15.75" customHeight="1">
      <c r="A254" s="61">
        <v>22</v>
      </c>
      <c r="B254" s="62" t="s">
        <v>233</v>
      </c>
      <c r="C254" s="62" t="s">
        <v>27</v>
      </c>
      <c r="D254" s="62" t="s">
        <v>266</v>
      </c>
      <c r="E254" s="62" t="s">
        <v>73</v>
      </c>
      <c r="F254" s="62"/>
      <c r="G254" s="62" t="s">
        <v>30</v>
      </c>
      <c r="H254" s="63">
        <v>2500</v>
      </c>
      <c r="I254" s="159">
        <v>500</v>
      </c>
      <c r="J254" s="48" t="s">
        <v>31</v>
      </c>
      <c r="K254" s="48" t="s">
        <v>32</v>
      </c>
      <c r="L254" s="2"/>
      <c r="M254" s="2">
        <v>800</v>
      </c>
    </row>
    <row r="255" spans="1:13" ht="15.75" customHeight="1">
      <c r="A255" s="61">
        <v>22</v>
      </c>
      <c r="B255" s="62" t="s">
        <v>233</v>
      </c>
      <c r="C255" s="62" t="s">
        <v>27</v>
      </c>
      <c r="D255" s="62" t="s">
        <v>266</v>
      </c>
      <c r="E255" s="62" t="s">
        <v>73</v>
      </c>
      <c r="F255" s="58"/>
      <c r="G255" s="58" t="s">
        <v>30</v>
      </c>
      <c r="H255" s="59">
        <v>500</v>
      </c>
      <c r="I255" s="160" t="s">
        <v>1586</v>
      </c>
      <c r="J255" s="48" t="s">
        <v>31</v>
      </c>
      <c r="K255" s="48" t="s">
        <v>32</v>
      </c>
      <c r="L255" s="2"/>
      <c r="M255" s="2"/>
    </row>
    <row r="256" spans="1:13" ht="15.75" customHeight="1">
      <c r="A256" s="61">
        <v>23</v>
      </c>
      <c r="B256" s="62" t="s">
        <v>1799</v>
      </c>
      <c r="C256" s="62" t="s">
        <v>27</v>
      </c>
      <c r="D256" s="62" t="s">
        <v>239</v>
      </c>
      <c r="E256" s="62" t="s">
        <v>44</v>
      </c>
      <c r="F256" s="62"/>
      <c r="G256" s="62" t="s">
        <v>30</v>
      </c>
      <c r="H256" s="63">
        <v>4500</v>
      </c>
      <c r="I256" s="159">
        <v>900</v>
      </c>
      <c r="J256" s="48" t="s">
        <v>31</v>
      </c>
      <c r="K256" s="48" t="s">
        <v>32</v>
      </c>
      <c r="L256" s="2"/>
      <c r="M256" s="2">
        <v>1000</v>
      </c>
    </row>
    <row r="257" spans="1:20" ht="15.75" customHeight="1">
      <c r="A257" s="61">
        <v>23</v>
      </c>
      <c r="B257" s="62" t="s">
        <v>1799</v>
      </c>
      <c r="C257" s="62" t="s">
        <v>27</v>
      </c>
      <c r="D257" s="62" t="s">
        <v>239</v>
      </c>
      <c r="E257" s="62" t="s">
        <v>44</v>
      </c>
      <c r="F257" s="62"/>
      <c r="G257" s="62" t="s">
        <v>30</v>
      </c>
      <c r="H257" s="63">
        <v>500</v>
      </c>
      <c r="I257" s="159" t="s">
        <v>1586</v>
      </c>
      <c r="J257" s="48" t="s">
        <v>31</v>
      </c>
      <c r="K257" s="48" t="s">
        <v>32</v>
      </c>
      <c r="L257" s="2"/>
      <c r="M257" s="2"/>
    </row>
    <row r="258" spans="1:20" ht="15.75" customHeight="1">
      <c r="A258" s="61">
        <v>23</v>
      </c>
      <c r="B258" s="62" t="s">
        <v>1800</v>
      </c>
      <c r="C258" s="62" t="s">
        <v>27</v>
      </c>
      <c r="D258" s="62" t="s">
        <v>43</v>
      </c>
      <c r="E258" s="62" t="s">
        <v>44</v>
      </c>
      <c r="F258" s="62"/>
      <c r="G258" s="62" t="s">
        <v>30</v>
      </c>
      <c r="H258" s="63">
        <v>2000</v>
      </c>
      <c r="I258" s="159">
        <v>400</v>
      </c>
      <c r="J258" s="48" t="s">
        <v>31</v>
      </c>
      <c r="K258" s="48" t="s">
        <v>32</v>
      </c>
      <c r="L258" s="2"/>
      <c r="M258" s="2">
        <v>600</v>
      </c>
    </row>
    <row r="259" spans="1:20" ht="15.75" customHeight="1">
      <c r="A259" s="61">
        <v>23</v>
      </c>
      <c r="B259" s="62" t="s">
        <v>1800</v>
      </c>
      <c r="C259" s="62" t="s">
        <v>27</v>
      </c>
      <c r="D259" s="62" t="s">
        <v>43</v>
      </c>
      <c r="E259" s="62" t="s">
        <v>44</v>
      </c>
      <c r="F259" s="62"/>
      <c r="G259" s="62" t="s">
        <v>30</v>
      </c>
      <c r="H259" s="63">
        <v>500</v>
      </c>
      <c r="I259" s="159" t="s">
        <v>1586</v>
      </c>
      <c r="J259" s="48" t="s">
        <v>31</v>
      </c>
      <c r="K259" s="48" t="s">
        <v>32</v>
      </c>
      <c r="L259" s="2"/>
      <c r="M259" s="2"/>
    </row>
    <row r="260" spans="1:20" ht="15.75" customHeight="1">
      <c r="A260" s="61">
        <v>23</v>
      </c>
      <c r="B260" s="62" t="s">
        <v>95</v>
      </c>
      <c r="C260" s="62" t="s">
        <v>27</v>
      </c>
      <c r="D260" s="62" t="s">
        <v>96</v>
      </c>
      <c r="E260" s="62" t="s">
        <v>44</v>
      </c>
      <c r="F260" s="62"/>
      <c r="G260" s="62" t="s">
        <v>30</v>
      </c>
      <c r="H260" s="63">
        <v>2000</v>
      </c>
      <c r="I260" s="159">
        <v>400</v>
      </c>
      <c r="J260" s="48" t="s">
        <v>31</v>
      </c>
      <c r="K260" s="48" t="s">
        <v>32</v>
      </c>
      <c r="L260" s="2"/>
      <c r="M260" s="2">
        <v>588</v>
      </c>
    </row>
    <row r="261" spans="1:20" ht="15.75" customHeight="1">
      <c r="A261" s="61">
        <v>23</v>
      </c>
      <c r="B261" s="62" t="s">
        <v>95</v>
      </c>
      <c r="C261" s="62" t="s">
        <v>27</v>
      </c>
      <c r="D261" s="62" t="s">
        <v>96</v>
      </c>
      <c r="E261" s="62" t="s">
        <v>44</v>
      </c>
      <c r="F261" s="62"/>
      <c r="G261" s="62" t="s">
        <v>30</v>
      </c>
      <c r="H261" s="63">
        <v>500</v>
      </c>
      <c r="I261" s="159" t="s">
        <v>1586</v>
      </c>
      <c r="J261" s="48" t="s">
        <v>31</v>
      </c>
      <c r="K261" s="48" t="s">
        <v>32</v>
      </c>
      <c r="L261" s="2"/>
      <c r="M261" s="2"/>
    </row>
    <row r="262" spans="1:20" ht="15.75" customHeight="1">
      <c r="A262" s="61">
        <v>23</v>
      </c>
      <c r="B262" s="62" t="s">
        <v>1801</v>
      </c>
      <c r="C262" s="62" t="s">
        <v>39</v>
      </c>
      <c r="D262" s="62" t="s">
        <v>211</v>
      </c>
      <c r="E262" s="62" t="s">
        <v>245</v>
      </c>
      <c r="F262" s="62"/>
      <c r="G262" s="62" t="s">
        <v>30</v>
      </c>
      <c r="H262" s="63">
        <v>2000</v>
      </c>
      <c r="I262" s="159">
        <v>400</v>
      </c>
      <c r="J262" s="48" t="s">
        <v>31</v>
      </c>
      <c r="K262" s="48" t="s">
        <v>32</v>
      </c>
      <c r="L262" s="2"/>
      <c r="M262" s="2">
        <v>450</v>
      </c>
    </row>
    <row r="263" spans="1:20" ht="15.75" customHeight="1">
      <c r="A263" s="61">
        <v>23</v>
      </c>
      <c r="B263" s="62" t="s">
        <v>1802</v>
      </c>
      <c r="C263" s="62" t="s">
        <v>27</v>
      </c>
      <c r="D263" s="62" t="s">
        <v>387</v>
      </c>
      <c r="E263" s="62" t="s">
        <v>73</v>
      </c>
      <c r="F263" s="62"/>
      <c r="G263" s="62" t="s">
        <v>30</v>
      </c>
      <c r="H263" s="63">
        <v>3000</v>
      </c>
      <c r="I263" s="159">
        <v>600</v>
      </c>
      <c r="J263" s="48" t="s">
        <v>31</v>
      </c>
      <c r="K263" s="48" t="s">
        <v>32</v>
      </c>
      <c r="L263" s="2"/>
      <c r="M263" s="2">
        <v>1200</v>
      </c>
    </row>
    <row r="264" spans="1:20" ht="15.75" customHeight="1">
      <c r="A264" s="61">
        <v>23</v>
      </c>
      <c r="B264" s="62" t="s">
        <v>1802</v>
      </c>
      <c r="C264" s="62" t="s">
        <v>27</v>
      </c>
      <c r="D264" s="62" t="s">
        <v>387</v>
      </c>
      <c r="E264" s="62" t="s">
        <v>73</v>
      </c>
      <c r="F264" s="58"/>
      <c r="G264" s="58" t="s">
        <v>115</v>
      </c>
      <c r="H264" s="59">
        <v>190</v>
      </c>
      <c r="I264" s="160">
        <v>190</v>
      </c>
      <c r="J264" s="48" t="s">
        <v>31</v>
      </c>
      <c r="K264" s="48" t="s">
        <v>32</v>
      </c>
      <c r="L264" s="2"/>
      <c r="M264" s="2"/>
      <c r="P264" s="781" t="s">
        <v>1803</v>
      </c>
      <c r="Q264" s="719"/>
    </row>
    <row r="265" spans="1:20" ht="15.75" customHeight="1">
      <c r="A265" s="61">
        <v>24</v>
      </c>
      <c r="B265" s="62" t="s">
        <v>1804</v>
      </c>
      <c r="C265" s="62" t="s">
        <v>27</v>
      </c>
      <c r="D265" s="62" t="s">
        <v>68</v>
      </c>
      <c r="E265" s="62" t="s">
        <v>79</v>
      </c>
      <c r="F265" s="62"/>
      <c r="G265" s="62" t="s">
        <v>30</v>
      </c>
      <c r="H265" s="63">
        <v>3000</v>
      </c>
      <c r="I265" s="159">
        <v>600</v>
      </c>
      <c r="J265" s="48" t="s">
        <v>31</v>
      </c>
      <c r="K265" s="48" t="s">
        <v>32</v>
      </c>
      <c r="L265" s="2"/>
      <c r="M265" s="2">
        <v>1000</v>
      </c>
      <c r="P265" s="782" t="s">
        <v>25</v>
      </c>
      <c r="Q265" s="719"/>
    </row>
    <row r="266" spans="1:20" ht="15.75" customHeight="1">
      <c r="A266" s="61">
        <v>24</v>
      </c>
      <c r="B266" s="62" t="s">
        <v>1804</v>
      </c>
      <c r="C266" s="62" t="s">
        <v>27</v>
      </c>
      <c r="D266" s="62" t="s">
        <v>68</v>
      </c>
      <c r="E266" s="62" t="s">
        <v>79</v>
      </c>
      <c r="F266" s="62"/>
      <c r="G266" s="62" t="s">
        <v>30</v>
      </c>
      <c r="H266" s="63">
        <v>500</v>
      </c>
      <c r="I266" s="159" t="s">
        <v>1586</v>
      </c>
      <c r="J266" s="48" t="s">
        <v>31</v>
      </c>
      <c r="K266" s="48" t="s">
        <v>32</v>
      </c>
      <c r="L266" s="2"/>
      <c r="M266" s="2"/>
      <c r="P266" s="48" t="s">
        <v>33</v>
      </c>
      <c r="Q266" s="51">
        <v>89100</v>
      </c>
    </row>
    <row r="267" spans="1:20" ht="15.75" customHeight="1">
      <c r="A267" s="61">
        <v>24</v>
      </c>
      <c r="B267" s="62" t="s">
        <v>1805</v>
      </c>
      <c r="C267" s="62" t="s">
        <v>27</v>
      </c>
      <c r="D267" s="62" t="s">
        <v>1558</v>
      </c>
      <c r="E267" s="62" t="s">
        <v>79</v>
      </c>
      <c r="F267" s="62"/>
      <c r="G267" s="62" t="s">
        <v>30</v>
      </c>
      <c r="H267" s="63">
        <v>3000</v>
      </c>
      <c r="I267" s="159">
        <v>600</v>
      </c>
      <c r="J267" s="48" t="s">
        <v>31</v>
      </c>
      <c r="K267" s="48" t="s">
        <v>32</v>
      </c>
      <c r="L267" s="2"/>
      <c r="M267" s="2">
        <v>1200</v>
      </c>
      <c r="P267" s="48" t="s">
        <v>37</v>
      </c>
      <c r="Q267" s="51">
        <v>56250</v>
      </c>
    </row>
    <row r="268" spans="1:20" ht="15.75" customHeight="1">
      <c r="A268" s="61">
        <v>24</v>
      </c>
      <c r="B268" s="62" t="s">
        <v>1639</v>
      </c>
      <c r="C268" s="62" t="s">
        <v>27</v>
      </c>
      <c r="D268" s="62" t="s">
        <v>804</v>
      </c>
      <c r="E268" s="62" t="s">
        <v>68</v>
      </c>
      <c r="F268" s="62"/>
      <c r="G268" s="62" t="s">
        <v>30</v>
      </c>
      <c r="H268" s="63">
        <v>7000</v>
      </c>
      <c r="I268" s="159">
        <v>1400</v>
      </c>
      <c r="J268" s="48" t="s">
        <v>31</v>
      </c>
      <c r="K268" s="48" t="s">
        <v>32</v>
      </c>
      <c r="L268" s="2"/>
      <c r="M268" s="2">
        <v>1500</v>
      </c>
      <c r="P268" s="318" t="s">
        <v>282</v>
      </c>
      <c r="Q268" s="319">
        <v>145350</v>
      </c>
    </row>
    <row r="269" spans="1:20" ht="15.75" customHeight="1">
      <c r="A269" s="61">
        <v>24</v>
      </c>
      <c r="B269" s="62" t="s">
        <v>1806</v>
      </c>
      <c r="C269" s="62" t="s">
        <v>27</v>
      </c>
      <c r="D269" s="62" t="s">
        <v>604</v>
      </c>
      <c r="E269" s="62" t="s">
        <v>51</v>
      </c>
      <c r="F269" s="62"/>
      <c r="G269" s="62" t="s">
        <v>30</v>
      </c>
      <c r="H269" s="63">
        <v>4500</v>
      </c>
      <c r="I269" s="159">
        <v>900</v>
      </c>
      <c r="J269" s="48" t="s">
        <v>31</v>
      </c>
      <c r="K269" s="48" t="s">
        <v>32</v>
      </c>
      <c r="L269" s="2"/>
      <c r="M269" s="2">
        <v>900</v>
      </c>
      <c r="P269" s="723" t="s">
        <v>286</v>
      </c>
      <c r="Q269" s="719"/>
      <c r="R269" s="55">
        <f>SUM(H234:H241,H243:H244,H246:H247,H249:H254,H256,H258,H260,H262:H263,H265,H267:H270)</f>
        <v>89100</v>
      </c>
    </row>
    <row r="270" spans="1:20" ht="15.75" customHeight="1">
      <c r="A270" s="61">
        <v>24</v>
      </c>
      <c r="B270" s="58" t="s">
        <v>1807</v>
      </c>
      <c r="C270" s="58" t="s">
        <v>27</v>
      </c>
      <c r="D270" s="58" t="s">
        <v>1363</v>
      </c>
      <c r="E270" s="58" t="s">
        <v>54</v>
      </c>
      <c r="F270" s="58"/>
      <c r="G270" s="58" t="s">
        <v>30</v>
      </c>
      <c r="H270" s="59">
        <v>1000</v>
      </c>
      <c r="I270" s="160">
        <v>200</v>
      </c>
      <c r="J270" s="48" t="s">
        <v>31</v>
      </c>
      <c r="K270" s="48" t="s">
        <v>32</v>
      </c>
      <c r="L270" s="2"/>
      <c r="M270" s="2">
        <v>200</v>
      </c>
      <c r="P270" s="320" t="s">
        <v>589</v>
      </c>
      <c r="Q270" s="321">
        <v>20</v>
      </c>
      <c r="R270" s="55">
        <f>SUM(H242,H248,H255,H257,H259,H261,H266,H271:H275)</f>
        <v>4650</v>
      </c>
      <c r="S270" s="55">
        <f>SUM('June (Group)'!I19,'June (Group)'!I21,'June (Group)'!I23,'June (Group)'!I24)</f>
        <v>51600</v>
      </c>
      <c r="T270" s="55">
        <f>R270+S270</f>
        <v>56250</v>
      </c>
    </row>
    <row r="271" spans="1:20" ht="15.75" customHeight="1">
      <c r="A271" s="61">
        <v>25</v>
      </c>
      <c r="B271" s="62" t="s">
        <v>1808</v>
      </c>
      <c r="C271" s="62" t="s">
        <v>39</v>
      </c>
      <c r="D271" s="62" t="s">
        <v>1809</v>
      </c>
      <c r="E271" s="62" t="s">
        <v>56</v>
      </c>
      <c r="F271" s="62"/>
      <c r="G271" s="62" t="s">
        <v>30</v>
      </c>
      <c r="H271" s="63">
        <v>200</v>
      </c>
      <c r="I271" s="159" t="s">
        <v>1586</v>
      </c>
      <c r="J271" s="48" t="s">
        <v>31</v>
      </c>
      <c r="K271" s="48" t="s">
        <v>32</v>
      </c>
      <c r="L271" s="2"/>
      <c r="M271" s="2">
        <v>50</v>
      </c>
      <c r="P271" s="782" t="s">
        <v>57</v>
      </c>
      <c r="Q271" s="719"/>
      <c r="S271" s="55">
        <f>R269+T270</f>
        <v>145350</v>
      </c>
    </row>
    <row r="272" spans="1:20" ht="15.75" customHeight="1">
      <c r="A272" s="61">
        <v>25</v>
      </c>
      <c r="B272" s="62" t="s">
        <v>1810</v>
      </c>
      <c r="C272" s="62" t="s">
        <v>27</v>
      </c>
      <c r="D272" s="62" t="s">
        <v>108</v>
      </c>
      <c r="E272" s="62" t="s">
        <v>44</v>
      </c>
      <c r="F272" s="62"/>
      <c r="G272" s="62" t="s">
        <v>30</v>
      </c>
      <c r="H272" s="63">
        <v>300</v>
      </c>
      <c r="I272" s="159" t="s">
        <v>1586</v>
      </c>
      <c r="J272" s="48" t="s">
        <v>31</v>
      </c>
      <c r="K272" s="48" t="s">
        <v>32</v>
      </c>
      <c r="L272" s="2"/>
      <c r="M272" s="2">
        <v>80</v>
      </c>
      <c r="P272" s="48" t="s">
        <v>33</v>
      </c>
      <c r="Q272" s="321">
        <v>190</v>
      </c>
    </row>
    <row r="273" spans="1:17" ht="15.75" customHeight="1">
      <c r="A273" s="61">
        <v>25</v>
      </c>
      <c r="B273" s="62" t="s">
        <v>1811</v>
      </c>
      <c r="C273" s="62" t="s">
        <v>39</v>
      </c>
      <c r="D273" s="62" t="s">
        <v>98</v>
      </c>
      <c r="E273" s="62" t="s">
        <v>36</v>
      </c>
      <c r="F273" s="62"/>
      <c r="G273" s="62" t="s">
        <v>30</v>
      </c>
      <c r="H273" s="63">
        <v>50</v>
      </c>
      <c r="I273" s="159" t="s">
        <v>1586</v>
      </c>
      <c r="J273" s="48" t="s">
        <v>31</v>
      </c>
      <c r="K273" s="48" t="s">
        <v>32</v>
      </c>
      <c r="L273" s="2"/>
      <c r="M273" s="2"/>
      <c r="P273" s="782" t="s">
        <v>1576</v>
      </c>
      <c r="Q273" s="719"/>
    </row>
    <row r="274" spans="1:17" ht="15.75" customHeight="1">
      <c r="A274" s="61">
        <v>25</v>
      </c>
      <c r="B274" s="62" t="s">
        <v>1812</v>
      </c>
      <c r="C274" s="62" t="s">
        <v>27</v>
      </c>
      <c r="D274" s="62" t="s">
        <v>1813</v>
      </c>
      <c r="E274" s="62" t="s">
        <v>145</v>
      </c>
      <c r="F274" s="62"/>
      <c r="G274" s="62" t="s">
        <v>30</v>
      </c>
      <c r="H274" s="63">
        <v>500</v>
      </c>
      <c r="I274" s="159" t="s">
        <v>1586</v>
      </c>
      <c r="J274" s="48" t="s">
        <v>31</v>
      </c>
      <c r="K274" s="48" t="s">
        <v>32</v>
      </c>
      <c r="L274" s="2"/>
      <c r="M274" s="2">
        <v>300</v>
      </c>
      <c r="P274" s="48" t="s">
        <v>37</v>
      </c>
      <c r="Q274" s="321">
        <v>465</v>
      </c>
    </row>
    <row r="275" spans="1:17" ht="15.75" customHeight="1">
      <c r="A275" s="61">
        <v>25</v>
      </c>
      <c r="B275" s="58" t="s">
        <v>1814</v>
      </c>
      <c r="C275" s="58" t="s">
        <v>39</v>
      </c>
      <c r="D275" s="58" t="s">
        <v>1813</v>
      </c>
      <c r="E275" s="58" t="s">
        <v>145</v>
      </c>
      <c r="F275" s="58"/>
      <c r="G275" s="58" t="s">
        <v>30</v>
      </c>
      <c r="H275" s="59">
        <v>500</v>
      </c>
      <c r="I275" s="160" t="s">
        <v>1586</v>
      </c>
      <c r="J275" s="58" t="s">
        <v>31</v>
      </c>
      <c r="K275" s="58" t="s">
        <v>32</v>
      </c>
      <c r="L275" s="2"/>
      <c r="M275" s="2">
        <v>100</v>
      </c>
    </row>
    <row r="276" spans="1:17" ht="15.75" customHeight="1">
      <c r="A276" s="322"/>
      <c r="B276" s="323"/>
      <c r="C276" s="323"/>
      <c r="D276" s="323"/>
      <c r="E276" s="323"/>
      <c r="F276" s="323"/>
      <c r="G276" s="323"/>
      <c r="H276" s="323"/>
      <c r="I276" s="323"/>
      <c r="J276" s="323"/>
      <c r="K276" s="323"/>
      <c r="L276" s="2"/>
      <c r="M276" s="2"/>
    </row>
    <row r="277" spans="1:17" ht="15.75" customHeight="1">
      <c r="A277" s="4"/>
      <c r="B277" s="2"/>
      <c r="C277" s="2"/>
      <c r="D277" s="2"/>
      <c r="E277" s="2"/>
      <c r="F277" s="2"/>
      <c r="G277" s="2"/>
      <c r="H277" s="2"/>
      <c r="I277" s="137" t="s">
        <v>508</v>
      </c>
      <c r="J277" s="83"/>
      <c r="K277" s="2"/>
      <c r="L277" s="2"/>
      <c r="M277" s="2"/>
    </row>
    <row r="278" spans="1:17" ht="15.75" customHeight="1">
      <c r="A278" s="4"/>
      <c r="B278" s="2" t="s">
        <v>509</v>
      </c>
      <c r="C278" s="2"/>
      <c r="D278" s="2"/>
      <c r="E278" s="2" t="s">
        <v>510</v>
      </c>
      <c r="F278" s="2"/>
      <c r="G278" s="2"/>
      <c r="H278" s="2"/>
      <c r="I278" s="83" t="s">
        <v>942</v>
      </c>
      <c r="J278" s="83"/>
      <c r="K278" s="2"/>
      <c r="L278" s="2"/>
      <c r="M278" s="2"/>
    </row>
    <row r="279" spans="1:17" ht="15.75" customHeight="1">
      <c r="A279" s="4"/>
      <c r="B279" s="2"/>
      <c r="C279" s="2"/>
      <c r="D279" s="2"/>
      <c r="E279" s="2"/>
      <c r="F279" s="2"/>
      <c r="G279" s="2"/>
      <c r="H279" s="2"/>
      <c r="I279" s="83" t="s">
        <v>944</v>
      </c>
      <c r="J279" s="83"/>
      <c r="K279" s="2"/>
      <c r="L279" s="2"/>
      <c r="M279" s="2"/>
    </row>
    <row r="280" spans="1:17" ht="15.75" customHeight="1">
      <c r="A280" s="4"/>
      <c r="B280" s="2"/>
      <c r="C280" s="2"/>
      <c r="D280" s="2"/>
      <c r="E280" s="2"/>
      <c r="F280" s="2"/>
      <c r="G280" s="2"/>
      <c r="H280" s="2"/>
      <c r="I280" s="83" t="s">
        <v>946</v>
      </c>
      <c r="J280" s="83"/>
      <c r="K280" s="2"/>
      <c r="L280" s="2"/>
      <c r="M280" s="2"/>
    </row>
    <row r="281" spans="1:17" ht="15.75" customHeight="1">
      <c r="A281" s="4"/>
      <c r="B281" s="86" t="s">
        <v>516</v>
      </c>
      <c r="C281" s="2"/>
      <c r="D281" s="2"/>
      <c r="E281" s="731" t="s">
        <v>517</v>
      </c>
      <c r="F281" s="711"/>
      <c r="G281" s="711"/>
      <c r="H281" s="2"/>
      <c r="I281" s="83" t="s">
        <v>947</v>
      </c>
      <c r="J281" s="83"/>
      <c r="K281" s="2"/>
      <c r="L281" s="2"/>
      <c r="M281" s="2"/>
    </row>
    <row r="282" spans="1:17" ht="15.75" customHeight="1">
      <c r="A282" s="4"/>
      <c r="B282" s="4" t="s">
        <v>949</v>
      </c>
      <c r="C282" s="2"/>
      <c r="D282" s="2"/>
      <c r="E282" s="732" t="s">
        <v>521</v>
      </c>
      <c r="F282" s="711"/>
      <c r="G282" s="711"/>
      <c r="H282" s="711"/>
      <c r="I282" s="83" t="s">
        <v>950</v>
      </c>
      <c r="J282" s="83"/>
      <c r="K282" s="2"/>
      <c r="L282" s="2"/>
      <c r="M282" s="2"/>
    </row>
    <row r="283" spans="1:17" ht="15.75" customHeight="1">
      <c r="A283" s="4"/>
      <c r="B283" s="2"/>
      <c r="C283" s="2"/>
      <c r="D283" s="2"/>
      <c r="E283" s="2"/>
      <c r="F283" s="2"/>
      <c r="G283" s="2"/>
      <c r="H283" s="2"/>
      <c r="I283" s="83" t="s">
        <v>564</v>
      </c>
      <c r="J283" s="83"/>
      <c r="K283" s="2"/>
      <c r="L283" s="2"/>
      <c r="M283" s="2"/>
    </row>
    <row r="284" spans="1:17" ht="15.75" customHeight="1">
      <c r="A284" s="4"/>
      <c r="B284" s="2"/>
      <c r="C284" s="2"/>
      <c r="D284" s="2"/>
      <c r="E284" s="2"/>
      <c r="F284" s="2"/>
      <c r="G284" s="2"/>
      <c r="H284" s="2"/>
      <c r="I284" s="83" t="s">
        <v>525</v>
      </c>
      <c r="J284" s="83"/>
      <c r="K284" s="2"/>
      <c r="L284" s="2"/>
      <c r="M284" s="2"/>
    </row>
    <row r="285" spans="1:17" ht="15.75" customHeight="1">
      <c r="A285" s="4"/>
      <c r="B285" s="2"/>
      <c r="C285" s="2"/>
      <c r="D285" s="2"/>
      <c r="E285" s="2"/>
      <c r="F285" s="2"/>
      <c r="G285" s="2"/>
      <c r="H285" s="2"/>
      <c r="I285" s="10" t="s">
        <v>565</v>
      </c>
      <c r="J285" s="90"/>
      <c r="K285" s="2"/>
      <c r="L285" s="2"/>
      <c r="M285" s="2"/>
    </row>
    <row r="286" spans="1:17" ht="15.75" customHeight="1">
      <c r="A286" s="4"/>
      <c r="B286" s="2"/>
      <c r="C286" s="2"/>
      <c r="D286" s="2"/>
      <c r="E286" s="2"/>
      <c r="F286" s="2"/>
      <c r="G286" s="2"/>
      <c r="H286" s="2"/>
      <c r="I286" s="10" t="s">
        <v>953</v>
      </c>
      <c r="J286" s="90"/>
      <c r="K286" s="2"/>
      <c r="L286" s="2"/>
      <c r="M286" s="2"/>
    </row>
    <row r="287" spans="1:17" ht="15.7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7" ht="15.7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>
      <c r="A304" s="4"/>
      <c r="G304" s="2"/>
      <c r="H304" s="2"/>
      <c r="I304" s="2"/>
      <c r="K304" s="253"/>
      <c r="L304" s="2"/>
      <c r="M304" s="2"/>
    </row>
    <row r="305" spans="1:13" ht="15.75" customHeight="1">
      <c r="A305" s="4"/>
      <c r="G305" s="2"/>
      <c r="H305" s="2"/>
      <c r="I305" s="2"/>
      <c r="K305" s="253"/>
      <c r="L305" s="2"/>
      <c r="M305" s="2"/>
    </row>
    <row r="306" spans="1:13" ht="15.75" customHeight="1">
      <c r="A306" s="4"/>
      <c r="G306" s="2"/>
      <c r="H306" s="2"/>
      <c r="I306" s="2"/>
      <c r="K306" s="253"/>
      <c r="L306" s="2"/>
      <c r="M306" s="2"/>
    </row>
    <row r="307" spans="1:13" ht="15.75" customHeight="1">
      <c r="A307" s="4"/>
      <c r="G307" s="2"/>
      <c r="H307" s="2"/>
      <c r="I307" s="2"/>
      <c r="K307" s="253"/>
      <c r="L307" s="2"/>
      <c r="M307" s="2"/>
    </row>
    <row r="308" spans="1:13" ht="15.75" customHeight="1">
      <c r="A308" s="4"/>
      <c r="G308" s="2"/>
      <c r="H308" s="2"/>
      <c r="I308" s="2"/>
      <c r="K308" s="253"/>
      <c r="L308" s="2"/>
      <c r="M308" s="2"/>
    </row>
    <row r="309" spans="1:13" ht="15.75" customHeight="1">
      <c r="A309" s="4"/>
      <c r="G309" s="2"/>
      <c r="H309" s="2"/>
      <c r="I309" s="2"/>
      <c r="K309" s="253"/>
      <c r="L309" s="2"/>
      <c r="M309" s="2"/>
    </row>
    <row r="310" spans="1:13" ht="15.75" customHeight="1">
      <c r="A310" s="4"/>
      <c r="G310" s="2"/>
      <c r="H310" s="2"/>
      <c r="I310" s="2"/>
      <c r="K310" s="253"/>
      <c r="L310" s="2"/>
      <c r="M310" s="2"/>
    </row>
    <row r="311" spans="1:13" ht="15.75" customHeight="1">
      <c r="A311" s="4"/>
      <c r="G311" s="2"/>
      <c r="H311" s="2"/>
      <c r="I311" s="2"/>
      <c r="K311" s="253"/>
      <c r="L311" s="2"/>
      <c r="M311" s="2"/>
    </row>
    <row r="312" spans="1:13" ht="15.75" customHeight="1">
      <c r="A312" s="4"/>
      <c r="G312" s="2"/>
      <c r="H312" s="2"/>
      <c r="I312" s="2"/>
      <c r="K312" s="253"/>
      <c r="L312" s="2"/>
      <c r="M312" s="2"/>
    </row>
    <row r="313" spans="1:13" ht="15.75" customHeight="1">
      <c r="A313" s="4"/>
      <c r="G313" s="2"/>
      <c r="H313" s="2"/>
      <c r="I313" s="2"/>
      <c r="K313" s="253"/>
      <c r="L313" s="2"/>
      <c r="M313" s="2"/>
    </row>
    <row r="314" spans="1:13" ht="15.75" customHeight="1">
      <c r="A314" s="4"/>
      <c r="G314" s="2"/>
      <c r="H314" s="2"/>
      <c r="I314" s="2"/>
      <c r="K314" s="253"/>
      <c r="L314" s="2"/>
      <c r="M314" s="2"/>
    </row>
    <row r="315" spans="1:13" ht="15.75" customHeight="1">
      <c r="A315" s="4"/>
      <c r="G315" s="2"/>
      <c r="H315" s="2"/>
      <c r="I315" s="2"/>
      <c r="K315" s="253"/>
      <c r="L315" s="2"/>
      <c r="M315" s="2"/>
    </row>
    <row r="316" spans="1:13" ht="15.75" customHeight="1">
      <c r="A316" s="4"/>
      <c r="G316" s="2"/>
      <c r="H316" s="2"/>
      <c r="I316" s="2"/>
      <c r="K316" s="253"/>
      <c r="L316" s="2"/>
      <c r="M316" s="2"/>
    </row>
    <row r="317" spans="1:13" ht="15.75" customHeight="1">
      <c r="A317" s="4"/>
      <c r="G317" s="2"/>
      <c r="H317" s="2"/>
      <c r="I317" s="2"/>
      <c r="K317" s="253"/>
      <c r="L317" s="2"/>
      <c r="M317" s="2"/>
    </row>
    <row r="318" spans="1:13" ht="15.75" customHeight="1">
      <c r="A318" s="4"/>
      <c r="G318" s="2"/>
      <c r="H318" s="2"/>
      <c r="I318" s="2"/>
      <c r="K318" s="253"/>
      <c r="L318" s="2"/>
      <c r="M318" s="2"/>
    </row>
    <row r="319" spans="1:13" ht="15.75" customHeight="1">
      <c r="A319" s="4"/>
      <c r="G319" s="2"/>
      <c r="H319" s="2"/>
      <c r="I319" s="2"/>
      <c r="K319" s="253"/>
      <c r="L319" s="2"/>
      <c r="M319" s="2"/>
    </row>
    <row r="320" spans="1:13" ht="15.75" customHeight="1">
      <c r="A320" s="4"/>
      <c r="G320" s="2"/>
      <c r="H320" s="2"/>
      <c r="I320" s="2"/>
      <c r="K320" s="253"/>
      <c r="L320" s="2"/>
      <c r="M320" s="2"/>
    </row>
    <row r="321" spans="1:13" ht="15.75" customHeight="1">
      <c r="A321" s="4"/>
      <c r="G321" s="2"/>
      <c r="H321" s="2"/>
      <c r="I321" s="2"/>
      <c r="K321" s="253"/>
      <c r="L321" s="2"/>
      <c r="M321" s="2"/>
    </row>
    <row r="322" spans="1:13" ht="15.75" customHeight="1">
      <c r="A322" s="4"/>
      <c r="G322" s="2"/>
      <c r="H322" s="2"/>
      <c r="I322" s="2"/>
      <c r="K322" s="253"/>
      <c r="L322" s="2"/>
      <c r="M322" s="2"/>
    </row>
    <row r="323" spans="1:13" ht="15.75" customHeight="1">
      <c r="A323" s="4"/>
      <c r="G323" s="2"/>
      <c r="H323" s="2"/>
      <c r="I323" s="2"/>
      <c r="K323" s="253"/>
      <c r="L323" s="2"/>
      <c r="M323" s="2"/>
    </row>
    <row r="324" spans="1:13" ht="15.75" customHeight="1">
      <c r="A324" s="4"/>
      <c r="G324" s="2"/>
      <c r="H324" s="2"/>
      <c r="I324" s="2"/>
      <c r="K324" s="253"/>
      <c r="L324" s="2"/>
      <c r="M324" s="2"/>
    </row>
    <row r="325" spans="1:13" ht="15.75" customHeight="1">
      <c r="A325" s="4"/>
      <c r="G325" s="2"/>
      <c r="H325" s="2"/>
      <c r="I325" s="2"/>
      <c r="K325" s="253"/>
      <c r="L325" s="2"/>
      <c r="M325" s="2"/>
    </row>
    <row r="326" spans="1:13" ht="15.75" customHeight="1">
      <c r="A326" s="4"/>
      <c r="G326" s="2"/>
      <c r="H326" s="2"/>
      <c r="I326" s="2"/>
      <c r="K326" s="253"/>
      <c r="L326" s="2"/>
      <c r="M326" s="2"/>
    </row>
    <row r="327" spans="1:13" ht="15.75" customHeight="1">
      <c r="A327" s="4"/>
      <c r="G327" s="2"/>
      <c r="H327" s="2"/>
      <c r="I327" s="2"/>
      <c r="K327" s="253"/>
      <c r="L327" s="2"/>
      <c r="M327" s="2"/>
    </row>
    <row r="328" spans="1:13" ht="15.75" customHeight="1">
      <c r="A328" s="4"/>
      <c r="G328" s="2"/>
      <c r="H328" s="2"/>
      <c r="I328" s="2"/>
      <c r="K328" s="253"/>
      <c r="L328" s="2"/>
      <c r="M328" s="2"/>
    </row>
    <row r="329" spans="1:13" ht="15.75" customHeight="1">
      <c r="A329" s="4"/>
      <c r="G329" s="2"/>
      <c r="H329" s="2"/>
      <c r="I329" s="2"/>
      <c r="K329" s="253"/>
      <c r="L329" s="2"/>
      <c r="M329" s="2"/>
    </row>
    <row r="330" spans="1:13" ht="15.75" customHeight="1">
      <c r="A330" s="4"/>
      <c r="G330" s="2"/>
      <c r="H330" s="2"/>
      <c r="I330" s="2"/>
      <c r="K330" s="253"/>
      <c r="L330" s="2"/>
      <c r="M330" s="2"/>
    </row>
    <row r="331" spans="1:13" ht="15.75" customHeight="1">
      <c r="A331" s="4"/>
      <c r="G331" s="2"/>
      <c r="H331" s="2"/>
      <c r="I331" s="2"/>
      <c r="K331" s="253"/>
      <c r="L331" s="2"/>
      <c r="M331" s="2"/>
    </row>
    <row r="332" spans="1:13" ht="15.75" customHeight="1">
      <c r="A332" s="4"/>
      <c r="G332" s="2"/>
      <c r="H332" s="2"/>
      <c r="I332" s="2"/>
      <c r="K332" s="253"/>
      <c r="L332" s="2"/>
      <c r="M332" s="2"/>
    </row>
    <row r="333" spans="1:13" ht="15.75" customHeight="1">
      <c r="A333" s="4"/>
      <c r="G333" s="2"/>
      <c r="H333" s="2"/>
      <c r="I333" s="2"/>
      <c r="K333" s="253"/>
      <c r="L333" s="2"/>
      <c r="M333" s="2"/>
    </row>
    <row r="334" spans="1:13" ht="15.75" customHeight="1">
      <c r="A334" s="4"/>
      <c r="G334" s="2"/>
      <c r="H334" s="2"/>
      <c r="I334" s="2"/>
      <c r="K334" s="253"/>
      <c r="L334" s="2"/>
      <c r="M334" s="2"/>
    </row>
    <row r="335" spans="1:13" ht="15.75" customHeight="1">
      <c r="A335" s="4"/>
      <c r="G335" s="2"/>
      <c r="H335" s="2"/>
      <c r="I335" s="2"/>
      <c r="K335" s="253"/>
      <c r="L335" s="2"/>
      <c r="M335" s="2"/>
    </row>
    <row r="336" spans="1:13" ht="15.75" customHeight="1">
      <c r="A336" s="4"/>
      <c r="G336" s="2"/>
      <c r="H336" s="2"/>
      <c r="I336" s="2"/>
      <c r="K336" s="253"/>
      <c r="L336" s="2"/>
      <c r="M336" s="2"/>
    </row>
    <row r="337" spans="1:13" ht="15.75" customHeight="1">
      <c r="A337" s="4"/>
      <c r="G337" s="2"/>
      <c r="H337" s="2"/>
      <c r="I337" s="2"/>
      <c r="K337" s="253"/>
      <c r="L337" s="2"/>
      <c r="M337" s="2"/>
    </row>
    <row r="338" spans="1:13" ht="15.75" customHeight="1">
      <c r="A338" s="4"/>
      <c r="G338" s="2"/>
      <c r="H338" s="2"/>
      <c r="I338" s="2"/>
      <c r="K338" s="253"/>
      <c r="L338" s="2"/>
      <c r="M338" s="2"/>
    </row>
    <row r="339" spans="1:13" ht="15.75" customHeight="1">
      <c r="A339" s="4"/>
      <c r="G339" s="2"/>
      <c r="H339" s="2"/>
      <c r="I339" s="2"/>
      <c r="K339" s="253"/>
      <c r="L339" s="2"/>
      <c r="M339" s="2"/>
    </row>
    <row r="340" spans="1:13" ht="15.75" customHeight="1">
      <c r="A340" s="4"/>
      <c r="G340" s="2"/>
      <c r="H340" s="2"/>
      <c r="I340" s="2"/>
      <c r="K340" s="253"/>
      <c r="L340" s="2"/>
      <c r="M340" s="2"/>
    </row>
    <row r="341" spans="1:13" ht="15.75" customHeight="1">
      <c r="A341" s="4"/>
      <c r="G341" s="2"/>
      <c r="H341" s="2"/>
      <c r="I341" s="2"/>
      <c r="K341" s="253"/>
      <c r="L341" s="2"/>
      <c r="M341" s="2"/>
    </row>
    <row r="342" spans="1:13" ht="15.75" customHeight="1">
      <c r="A342" s="4"/>
      <c r="G342" s="2"/>
      <c r="H342" s="2"/>
      <c r="I342" s="2"/>
      <c r="K342" s="253"/>
      <c r="L342" s="2"/>
      <c r="M342" s="2"/>
    </row>
    <row r="343" spans="1:13" ht="15.75" customHeight="1">
      <c r="A343" s="4"/>
      <c r="G343" s="2"/>
      <c r="H343" s="2"/>
      <c r="I343" s="2"/>
      <c r="K343" s="253"/>
      <c r="L343" s="2"/>
      <c r="M343" s="2"/>
    </row>
    <row r="344" spans="1:13" ht="15.75" customHeight="1">
      <c r="A344" s="4"/>
      <c r="G344" s="2"/>
      <c r="H344" s="2"/>
      <c r="I344" s="2"/>
      <c r="K344" s="253"/>
      <c r="L344" s="2"/>
      <c r="M344" s="2"/>
    </row>
    <row r="345" spans="1:13" ht="15.75" customHeight="1">
      <c r="A345" s="4"/>
      <c r="G345" s="2"/>
      <c r="H345" s="2"/>
      <c r="I345" s="2"/>
      <c r="K345" s="253"/>
      <c r="L345" s="2"/>
      <c r="M345" s="2"/>
    </row>
    <row r="346" spans="1:13" ht="15.75" customHeight="1">
      <c r="A346" s="4"/>
      <c r="G346" s="2"/>
      <c r="H346" s="2"/>
      <c r="I346" s="2"/>
      <c r="K346" s="253"/>
      <c r="L346" s="2"/>
      <c r="M346" s="2"/>
    </row>
    <row r="347" spans="1:13" ht="15.75" customHeight="1">
      <c r="A347" s="4"/>
      <c r="G347" s="2"/>
      <c r="H347" s="2"/>
      <c r="I347" s="2"/>
      <c r="K347" s="253"/>
      <c r="L347" s="2"/>
      <c r="M347" s="2"/>
    </row>
    <row r="348" spans="1:13" ht="15.75" customHeight="1">
      <c r="A348" s="4"/>
      <c r="G348" s="2"/>
      <c r="H348" s="2"/>
      <c r="I348" s="2"/>
      <c r="K348" s="253"/>
      <c r="L348" s="2"/>
      <c r="M348" s="2"/>
    </row>
    <row r="349" spans="1:13" ht="15.75" customHeight="1">
      <c r="A349" s="4"/>
      <c r="G349" s="2"/>
      <c r="H349" s="2"/>
      <c r="I349" s="2"/>
      <c r="K349" s="253"/>
      <c r="L349" s="2"/>
      <c r="M349" s="2"/>
    </row>
    <row r="350" spans="1:13" ht="15.75" customHeight="1">
      <c r="A350" s="4"/>
      <c r="G350" s="2"/>
      <c r="H350" s="2"/>
      <c r="I350" s="2"/>
      <c r="K350" s="253"/>
      <c r="L350" s="2"/>
      <c r="M350" s="2"/>
    </row>
    <row r="351" spans="1:13" ht="15.75" customHeight="1">
      <c r="A351" s="4"/>
      <c r="G351" s="2"/>
      <c r="H351" s="2"/>
      <c r="I351" s="2"/>
      <c r="K351" s="253"/>
      <c r="L351" s="2"/>
      <c r="M351" s="2"/>
    </row>
    <row r="352" spans="1:13" ht="15.75" customHeight="1">
      <c r="A352" s="4"/>
      <c r="G352" s="2"/>
      <c r="H352" s="2"/>
      <c r="I352" s="2"/>
      <c r="K352" s="253"/>
      <c r="L352" s="2"/>
      <c r="M352" s="2"/>
    </row>
    <row r="353" spans="1:13" ht="15.75" customHeight="1">
      <c r="A353" s="4"/>
      <c r="G353" s="2"/>
      <c r="H353" s="2"/>
      <c r="I353" s="2"/>
      <c r="K353" s="253"/>
      <c r="L353" s="2"/>
      <c r="M353" s="2"/>
    </row>
    <row r="354" spans="1:13" ht="15.75" customHeight="1">
      <c r="A354" s="4"/>
      <c r="G354" s="2"/>
      <c r="H354" s="2"/>
      <c r="I354" s="2"/>
      <c r="K354" s="253"/>
      <c r="L354" s="2"/>
      <c r="M354" s="2"/>
    </row>
    <row r="355" spans="1:13" ht="15.75" customHeight="1">
      <c r="A355" s="4"/>
      <c r="G355" s="2"/>
      <c r="H355" s="2"/>
      <c r="I355" s="2"/>
      <c r="K355" s="253"/>
      <c r="L355" s="2"/>
      <c r="M355" s="2"/>
    </row>
    <row r="356" spans="1:13" ht="15.75" customHeight="1">
      <c r="A356" s="4"/>
      <c r="G356" s="2"/>
      <c r="H356" s="2"/>
      <c r="I356" s="2"/>
      <c r="K356" s="253"/>
      <c r="L356" s="2"/>
      <c r="M356" s="2"/>
    </row>
    <row r="357" spans="1:13" ht="15.75" customHeight="1">
      <c r="A357" s="4"/>
      <c r="G357" s="2"/>
      <c r="H357" s="2"/>
      <c r="I357" s="2"/>
      <c r="K357" s="253"/>
      <c r="L357" s="2"/>
      <c r="M357" s="2"/>
    </row>
    <row r="358" spans="1:13" ht="15.75" customHeight="1">
      <c r="A358" s="4"/>
      <c r="G358" s="2"/>
      <c r="H358" s="2"/>
      <c r="I358" s="2"/>
      <c r="K358" s="253"/>
      <c r="L358" s="2"/>
      <c r="M358" s="2"/>
    </row>
    <row r="359" spans="1:13" ht="15.75" customHeight="1">
      <c r="A359" s="4"/>
      <c r="G359" s="2"/>
      <c r="H359" s="2"/>
      <c r="I359" s="2"/>
      <c r="K359" s="253"/>
      <c r="L359" s="2"/>
      <c r="M359" s="2"/>
    </row>
    <row r="360" spans="1:13" ht="15.75" customHeight="1">
      <c r="A360" s="4"/>
      <c r="G360" s="2"/>
      <c r="H360" s="2"/>
      <c r="I360" s="2"/>
      <c r="K360" s="253"/>
      <c r="L360" s="2"/>
      <c r="M360" s="2"/>
    </row>
    <row r="361" spans="1:13" ht="15.75" customHeight="1">
      <c r="A361" s="4"/>
      <c r="G361" s="2"/>
      <c r="H361" s="2"/>
      <c r="I361" s="2"/>
      <c r="K361" s="253"/>
      <c r="L361" s="2"/>
      <c r="M361" s="2"/>
    </row>
    <row r="362" spans="1:13" ht="15.75" customHeight="1">
      <c r="A362" s="4"/>
      <c r="G362" s="2"/>
      <c r="H362" s="2"/>
      <c r="I362" s="2"/>
      <c r="K362" s="253"/>
      <c r="L362" s="2"/>
      <c r="M362" s="2"/>
    </row>
    <row r="363" spans="1:13" ht="15.75" customHeight="1">
      <c r="A363" s="4"/>
      <c r="G363" s="2"/>
      <c r="H363" s="2"/>
      <c r="I363" s="2"/>
      <c r="K363" s="253"/>
      <c r="L363" s="2"/>
      <c r="M363" s="2"/>
    </row>
    <row r="364" spans="1:13" ht="15.75" customHeight="1">
      <c r="A364" s="4"/>
      <c r="G364" s="2"/>
      <c r="H364" s="2"/>
      <c r="I364" s="2"/>
      <c r="K364" s="253"/>
      <c r="L364" s="2"/>
      <c r="M364" s="2"/>
    </row>
    <row r="365" spans="1:13" ht="15.75" customHeight="1">
      <c r="A365" s="4"/>
      <c r="G365" s="2"/>
      <c r="H365" s="2"/>
      <c r="I365" s="2"/>
      <c r="K365" s="253"/>
      <c r="L365" s="2"/>
      <c r="M365" s="2"/>
    </row>
    <row r="366" spans="1:13" ht="15.75" customHeight="1">
      <c r="A366" s="4"/>
      <c r="G366" s="2"/>
      <c r="H366" s="2"/>
      <c r="I366" s="2"/>
      <c r="K366" s="253"/>
      <c r="L366" s="2"/>
      <c r="M366" s="2"/>
    </row>
    <row r="367" spans="1:13" ht="15.75" customHeight="1">
      <c r="A367" s="4"/>
      <c r="G367" s="2"/>
      <c r="H367" s="2"/>
      <c r="I367" s="2"/>
      <c r="K367" s="253"/>
      <c r="L367" s="2"/>
      <c r="M367" s="2"/>
    </row>
    <row r="368" spans="1:13" ht="15.75" customHeight="1">
      <c r="A368" s="4"/>
      <c r="G368" s="2"/>
      <c r="H368" s="2"/>
      <c r="I368" s="2"/>
      <c r="K368" s="253"/>
      <c r="L368" s="2"/>
      <c r="M368" s="2"/>
    </row>
    <row r="369" spans="1:13" ht="15.75" customHeight="1">
      <c r="A369" s="4"/>
      <c r="G369" s="2"/>
      <c r="H369" s="2"/>
      <c r="I369" s="2"/>
      <c r="K369" s="253"/>
      <c r="L369" s="2"/>
      <c r="M369" s="2"/>
    </row>
    <row r="370" spans="1:13" ht="15.75" customHeight="1">
      <c r="A370" s="4"/>
      <c r="G370" s="2"/>
      <c r="H370" s="2"/>
      <c r="I370" s="2"/>
      <c r="K370" s="253"/>
      <c r="L370" s="2"/>
      <c r="M370" s="2"/>
    </row>
    <row r="371" spans="1:13" ht="15.75" customHeight="1">
      <c r="A371" s="4"/>
      <c r="G371" s="2"/>
      <c r="H371" s="2"/>
      <c r="I371" s="2"/>
      <c r="K371" s="253"/>
      <c r="L371" s="2"/>
      <c r="M371" s="2"/>
    </row>
    <row r="372" spans="1:13" ht="15.75" customHeight="1">
      <c r="A372" s="4"/>
      <c r="G372" s="2"/>
      <c r="H372" s="2"/>
      <c r="I372" s="2"/>
      <c r="K372" s="253"/>
      <c r="L372" s="2"/>
      <c r="M372" s="2"/>
    </row>
    <row r="373" spans="1:13" ht="15.75" customHeight="1">
      <c r="A373" s="4"/>
      <c r="G373" s="2"/>
      <c r="H373" s="2"/>
      <c r="I373" s="2"/>
      <c r="K373" s="253"/>
      <c r="L373" s="2"/>
      <c r="M373" s="2"/>
    </row>
    <row r="374" spans="1:13" ht="15.75" customHeight="1">
      <c r="A374" s="4"/>
      <c r="G374" s="2"/>
      <c r="H374" s="2"/>
      <c r="I374" s="2"/>
      <c r="K374" s="253"/>
      <c r="L374" s="2"/>
      <c r="M374" s="2"/>
    </row>
    <row r="375" spans="1:13" ht="15.75" customHeight="1">
      <c r="A375" s="4"/>
      <c r="G375" s="2"/>
      <c r="H375" s="2"/>
      <c r="I375" s="2"/>
      <c r="K375" s="253"/>
      <c r="L375" s="2"/>
      <c r="M375" s="2"/>
    </row>
    <row r="376" spans="1:13" ht="15.75" customHeight="1">
      <c r="A376" s="4"/>
      <c r="G376" s="2"/>
      <c r="H376" s="2"/>
      <c r="I376" s="2"/>
      <c r="K376" s="253"/>
      <c r="L376" s="2"/>
      <c r="M376" s="2"/>
    </row>
    <row r="377" spans="1:13" ht="15.75" customHeight="1">
      <c r="A377" s="4"/>
      <c r="G377" s="2"/>
      <c r="H377" s="2"/>
      <c r="I377" s="2"/>
      <c r="K377" s="253"/>
      <c r="L377" s="2"/>
      <c r="M377" s="2"/>
    </row>
    <row r="378" spans="1:13" ht="15.75" customHeight="1">
      <c r="A378" s="4"/>
      <c r="G378" s="2"/>
      <c r="H378" s="2"/>
      <c r="I378" s="2"/>
      <c r="K378" s="253"/>
      <c r="L378" s="2"/>
      <c r="M378" s="2"/>
    </row>
    <row r="379" spans="1:13" ht="15.75" customHeight="1">
      <c r="A379" s="4"/>
      <c r="G379" s="2"/>
      <c r="H379" s="2"/>
      <c r="I379" s="2"/>
      <c r="K379" s="253"/>
      <c r="L379" s="2"/>
      <c r="M379" s="2"/>
    </row>
    <row r="380" spans="1:13" ht="15.75" customHeight="1">
      <c r="A380" s="4"/>
      <c r="G380" s="2"/>
      <c r="H380" s="2"/>
      <c r="I380" s="2"/>
      <c r="K380" s="253"/>
      <c r="L380" s="2"/>
      <c r="M380" s="2"/>
    </row>
    <row r="381" spans="1:13" ht="15.75" customHeight="1">
      <c r="A381" s="4"/>
      <c r="G381" s="2"/>
      <c r="H381" s="2"/>
      <c r="I381" s="2"/>
      <c r="K381" s="253"/>
      <c r="L381" s="2"/>
      <c r="M381" s="2"/>
    </row>
    <row r="382" spans="1:13" ht="15.75" customHeight="1">
      <c r="A382" s="4"/>
      <c r="G382" s="2"/>
      <c r="H382" s="2"/>
      <c r="I382" s="2"/>
      <c r="K382" s="253"/>
      <c r="L382" s="2"/>
      <c r="M382" s="2"/>
    </row>
    <row r="383" spans="1:13" ht="15.75" customHeight="1">
      <c r="A383" s="4"/>
      <c r="G383" s="2"/>
      <c r="H383" s="2"/>
      <c r="I383" s="2"/>
      <c r="K383" s="253"/>
      <c r="L383" s="2"/>
      <c r="M383" s="2"/>
    </row>
    <row r="384" spans="1:13" ht="15.75" customHeight="1">
      <c r="A384" s="4"/>
      <c r="G384" s="2"/>
      <c r="H384" s="2"/>
      <c r="I384" s="2"/>
      <c r="K384" s="253"/>
      <c r="L384" s="2"/>
      <c r="M384" s="2"/>
    </row>
    <row r="385" spans="1:13" ht="15.75" customHeight="1">
      <c r="A385" s="4"/>
      <c r="G385" s="2"/>
      <c r="H385" s="2"/>
      <c r="I385" s="2"/>
      <c r="K385" s="253"/>
      <c r="L385" s="2"/>
      <c r="M385" s="2"/>
    </row>
    <row r="386" spans="1:13" ht="15.75" customHeight="1">
      <c r="A386" s="4"/>
      <c r="G386" s="2"/>
      <c r="H386" s="2"/>
      <c r="I386" s="2"/>
      <c r="K386" s="253"/>
      <c r="L386" s="2"/>
      <c r="M386" s="2"/>
    </row>
    <row r="387" spans="1:13" ht="15.75" customHeight="1">
      <c r="A387" s="4"/>
      <c r="G387" s="2"/>
      <c r="H387" s="2"/>
      <c r="I387" s="2"/>
      <c r="K387" s="253"/>
      <c r="L387" s="2"/>
      <c r="M387" s="2"/>
    </row>
    <row r="388" spans="1:13" ht="15.75" customHeight="1">
      <c r="A388" s="4"/>
      <c r="G388" s="2"/>
      <c r="H388" s="2"/>
      <c r="I388" s="2"/>
      <c r="K388" s="253"/>
      <c r="L388" s="2"/>
      <c r="M388" s="2"/>
    </row>
    <row r="389" spans="1:13" ht="15.75" customHeight="1">
      <c r="A389" s="4"/>
      <c r="G389" s="2"/>
      <c r="H389" s="2"/>
      <c r="I389" s="2"/>
      <c r="K389" s="253"/>
      <c r="L389" s="2"/>
      <c r="M389" s="2"/>
    </row>
    <row r="390" spans="1:13" ht="15.75" customHeight="1">
      <c r="A390" s="4"/>
      <c r="G390" s="2"/>
      <c r="H390" s="2"/>
      <c r="I390" s="2"/>
      <c r="K390" s="253"/>
      <c r="L390" s="2"/>
      <c r="M390" s="2"/>
    </row>
    <row r="391" spans="1:13" ht="15.75" customHeight="1">
      <c r="A391" s="4"/>
      <c r="G391" s="2"/>
      <c r="H391" s="2"/>
      <c r="I391" s="2"/>
      <c r="K391" s="253"/>
      <c r="L391" s="2"/>
      <c r="M391" s="2"/>
    </row>
    <row r="392" spans="1:13" ht="15.75" customHeight="1">
      <c r="A392" s="4"/>
      <c r="G392" s="2"/>
      <c r="H392" s="2"/>
      <c r="I392" s="2"/>
      <c r="K392" s="253"/>
      <c r="L392" s="2"/>
      <c r="M392" s="2"/>
    </row>
    <row r="393" spans="1:13" ht="15.75" customHeight="1">
      <c r="A393" s="4"/>
      <c r="G393" s="2"/>
      <c r="H393" s="2"/>
      <c r="I393" s="2"/>
      <c r="K393" s="253"/>
      <c r="L393" s="2"/>
      <c r="M393" s="2"/>
    </row>
    <row r="394" spans="1:13" ht="15.75" customHeight="1">
      <c r="A394" s="4"/>
      <c r="G394" s="2"/>
      <c r="H394" s="2"/>
      <c r="I394" s="2"/>
      <c r="K394" s="253"/>
      <c r="L394" s="2"/>
      <c r="M394" s="2"/>
    </row>
    <row r="395" spans="1:13" ht="15.75" customHeight="1">
      <c r="A395" s="4"/>
      <c r="G395" s="2"/>
      <c r="H395" s="2"/>
      <c r="I395" s="2"/>
      <c r="K395" s="253"/>
      <c r="L395" s="2"/>
      <c r="M395" s="2"/>
    </row>
    <row r="396" spans="1:13" ht="15.75" customHeight="1">
      <c r="A396" s="4"/>
      <c r="G396" s="2"/>
      <c r="H396" s="2"/>
      <c r="I396" s="2"/>
      <c r="K396" s="253"/>
      <c r="L396" s="2"/>
      <c r="M396" s="2"/>
    </row>
    <row r="397" spans="1:13" ht="15.75" customHeight="1">
      <c r="A397" s="4"/>
      <c r="G397" s="2"/>
      <c r="H397" s="2"/>
      <c r="I397" s="2"/>
      <c r="K397" s="253"/>
      <c r="L397" s="2"/>
      <c r="M397" s="2"/>
    </row>
    <row r="398" spans="1:13" ht="15.75" customHeight="1">
      <c r="A398" s="4"/>
      <c r="G398" s="2"/>
      <c r="H398" s="2"/>
      <c r="I398" s="2"/>
      <c r="K398" s="253"/>
      <c r="L398" s="2"/>
      <c r="M398" s="2"/>
    </row>
    <row r="399" spans="1:13" ht="15.75" customHeight="1">
      <c r="A399" s="4"/>
      <c r="G399" s="2"/>
      <c r="H399" s="2"/>
      <c r="I399" s="2"/>
      <c r="K399" s="253"/>
      <c r="L399" s="2"/>
      <c r="M399" s="2"/>
    </row>
    <row r="400" spans="1:13" ht="15.75" customHeight="1">
      <c r="A400" s="4"/>
      <c r="G400" s="2"/>
      <c r="H400" s="2"/>
      <c r="I400" s="2"/>
      <c r="K400" s="253"/>
      <c r="L400" s="2"/>
      <c r="M400" s="2"/>
    </row>
    <row r="401" spans="1:13" ht="15.75" customHeight="1">
      <c r="A401" s="4"/>
      <c r="G401" s="2"/>
      <c r="H401" s="2"/>
      <c r="I401" s="2"/>
      <c r="K401" s="253"/>
      <c r="L401" s="2"/>
      <c r="M401" s="2"/>
    </row>
    <row r="402" spans="1:13" ht="15.75" customHeight="1">
      <c r="A402" s="4"/>
      <c r="G402" s="2"/>
      <c r="H402" s="2"/>
      <c r="I402" s="2"/>
      <c r="K402" s="253"/>
      <c r="L402" s="2"/>
      <c r="M402" s="2"/>
    </row>
    <row r="403" spans="1:13" ht="15.75" customHeight="1">
      <c r="A403" s="4"/>
      <c r="G403" s="2"/>
      <c r="H403" s="2"/>
      <c r="I403" s="2"/>
      <c r="K403" s="253"/>
      <c r="L403" s="2"/>
      <c r="M403" s="2"/>
    </row>
    <row r="404" spans="1:13" ht="15.75" customHeight="1">
      <c r="A404" s="4"/>
      <c r="G404" s="2"/>
      <c r="H404" s="2"/>
      <c r="I404" s="2"/>
      <c r="K404" s="253"/>
      <c r="L404" s="2"/>
      <c r="M404" s="2"/>
    </row>
    <row r="405" spans="1:13" ht="15.75" customHeight="1">
      <c r="A405" s="4"/>
      <c r="G405" s="2"/>
      <c r="H405" s="2"/>
      <c r="I405" s="2"/>
      <c r="K405" s="253"/>
      <c r="L405" s="2"/>
      <c r="M405" s="2"/>
    </row>
    <row r="406" spans="1:13" ht="15.75" customHeight="1">
      <c r="A406" s="4"/>
      <c r="G406" s="2"/>
      <c r="H406" s="2"/>
      <c r="I406" s="2"/>
      <c r="K406" s="253"/>
      <c r="L406" s="2"/>
      <c r="M406" s="2"/>
    </row>
    <row r="407" spans="1:13" ht="15.75" customHeight="1">
      <c r="A407" s="4"/>
      <c r="G407" s="2"/>
      <c r="H407" s="2"/>
      <c r="I407" s="2"/>
      <c r="K407" s="253"/>
      <c r="L407" s="2"/>
      <c r="M407" s="2"/>
    </row>
    <row r="408" spans="1:13" ht="15.75" customHeight="1">
      <c r="A408" s="4"/>
      <c r="G408" s="2"/>
      <c r="H408" s="2"/>
      <c r="I408" s="2"/>
      <c r="K408" s="253"/>
      <c r="L408" s="2"/>
      <c r="M408" s="2"/>
    </row>
    <row r="409" spans="1:13" ht="15.75" customHeight="1">
      <c r="A409" s="4"/>
      <c r="G409" s="2"/>
      <c r="H409" s="2"/>
      <c r="I409" s="2"/>
      <c r="K409" s="253"/>
      <c r="L409" s="2"/>
      <c r="M409" s="2"/>
    </row>
    <row r="410" spans="1:13" ht="15.75" customHeight="1">
      <c r="A410" s="4"/>
      <c r="G410" s="2"/>
      <c r="H410" s="2"/>
      <c r="I410" s="2"/>
      <c r="K410" s="253"/>
      <c r="L410" s="2"/>
      <c r="M410" s="2"/>
    </row>
    <row r="411" spans="1:13" ht="15.75" customHeight="1">
      <c r="A411" s="4"/>
      <c r="G411" s="2"/>
      <c r="H411" s="2"/>
      <c r="I411" s="2"/>
      <c r="K411" s="253"/>
      <c r="L411" s="2"/>
      <c r="M411" s="2"/>
    </row>
    <row r="412" spans="1:13" ht="15.75" customHeight="1">
      <c r="A412" s="4"/>
      <c r="G412" s="2"/>
      <c r="H412" s="2"/>
      <c r="I412" s="2"/>
      <c r="K412" s="253"/>
      <c r="L412" s="2"/>
      <c r="M412" s="2"/>
    </row>
    <row r="413" spans="1:13" ht="15.75" customHeight="1">
      <c r="A413" s="4"/>
      <c r="G413" s="2"/>
      <c r="H413" s="2"/>
      <c r="I413" s="2"/>
      <c r="K413" s="253"/>
      <c r="L413" s="2"/>
      <c r="M413" s="2"/>
    </row>
    <row r="414" spans="1:13" ht="15.75" customHeight="1">
      <c r="A414" s="4"/>
      <c r="G414" s="2"/>
      <c r="H414" s="2"/>
      <c r="I414" s="2"/>
      <c r="K414" s="253"/>
      <c r="L414" s="2"/>
      <c r="M414" s="2"/>
    </row>
    <row r="415" spans="1:13" ht="15.75" customHeight="1">
      <c r="A415" s="4"/>
      <c r="G415" s="2"/>
      <c r="H415" s="2"/>
      <c r="I415" s="2"/>
      <c r="K415" s="253"/>
      <c r="L415" s="2"/>
      <c r="M415" s="2"/>
    </row>
    <row r="416" spans="1:13" ht="15.75" customHeight="1">
      <c r="A416" s="4"/>
      <c r="G416" s="2"/>
      <c r="H416" s="2"/>
      <c r="I416" s="2"/>
      <c r="K416" s="253"/>
      <c r="L416" s="2"/>
      <c r="M416" s="2"/>
    </row>
    <row r="417" spans="1:13" ht="15.75" customHeight="1">
      <c r="A417" s="4"/>
      <c r="G417" s="2"/>
      <c r="H417" s="2"/>
      <c r="I417" s="2"/>
      <c r="K417" s="253"/>
      <c r="L417" s="2"/>
      <c r="M417" s="2"/>
    </row>
    <row r="418" spans="1:13" ht="15.75" customHeight="1">
      <c r="A418" s="4"/>
      <c r="G418" s="2"/>
      <c r="H418" s="2"/>
      <c r="I418" s="2"/>
      <c r="K418" s="253"/>
      <c r="L418" s="2"/>
      <c r="M418" s="2"/>
    </row>
    <row r="419" spans="1:13" ht="15.75" customHeight="1">
      <c r="A419" s="4"/>
      <c r="G419" s="2"/>
      <c r="H419" s="2"/>
      <c r="I419" s="2"/>
      <c r="K419" s="253"/>
      <c r="L419" s="2"/>
      <c r="M419" s="2"/>
    </row>
    <row r="420" spans="1:13" ht="15.75" customHeight="1">
      <c r="A420" s="4"/>
      <c r="G420" s="2"/>
      <c r="H420" s="2"/>
      <c r="I420" s="2"/>
      <c r="K420" s="253"/>
      <c r="L420" s="2"/>
      <c r="M420" s="2"/>
    </row>
    <row r="421" spans="1:13" ht="15.75" customHeight="1">
      <c r="A421" s="4"/>
      <c r="G421" s="2"/>
      <c r="H421" s="2"/>
      <c r="I421" s="2"/>
      <c r="K421" s="253"/>
      <c r="L421" s="2"/>
      <c r="M421" s="2"/>
    </row>
    <row r="422" spans="1:13" ht="15.75" customHeight="1">
      <c r="A422" s="4"/>
      <c r="G422" s="2"/>
      <c r="H422" s="2"/>
      <c r="I422" s="2"/>
      <c r="K422" s="253"/>
      <c r="L422" s="2"/>
      <c r="M422" s="2"/>
    </row>
    <row r="423" spans="1:13" ht="15.75" customHeight="1">
      <c r="A423" s="4"/>
      <c r="G423" s="2"/>
      <c r="H423" s="2"/>
      <c r="I423" s="2"/>
      <c r="K423" s="253"/>
      <c r="L423" s="2"/>
      <c r="M423" s="2"/>
    </row>
    <row r="424" spans="1:13" ht="15.75" customHeight="1">
      <c r="A424" s="4"/>
      <c r="G424" s="2"/>
      <c r="H424" s="2"/>
      <c r="I424" s="2"/>
      <c r="K424" s="253"/>
      <c r="L424" s="2"/>
      <c r="M424" s="2"/>
    </row>
    <row r="425" spans="1:13" ht="15.75" customHeight="1">
      <c r="A425" s="4"/>
      <c r="G425" s="2"/>
      <c r="H425" s="2"/>
      <c r="I425" s="2"/>
      <c r="K425" s="253"/>
      <c r="L425" s="2"/>
      <c r="M425" s="2"/>
    </row>
    <row r="426" spans="1:13" ht="15.75" customHeight="1">
      <c r="A426" s="4"/>
      <c r="G426" s="2"/>
      <c r="H426" s="2"/>
      <c r="I426" s="2"/>
      <c r="K426" s="253"/>
      <c r="L426" s="2"/>
      <c r="M426" s="2"/>
    </row>
    <row r="427" spans="1:13" ht="15.75" customHeight="1">
      <c r="A427" s="4"/>
      <c r="G427" s="2"/>
      <c r="H427" s="2"/>
      <c r="I427" s="2"/>
      <c r="K427" s="253"/>
      <c r="L427" s="2"/>
      <c r="M427" s="2"/>
    </row>
    <row r="428" spans="1:13" ht="15.75" customHeight="1">
      <c r="A428" s="4"/>
      <c r="G428" s="2"/>
      <c r="H428" s="2"/>
      <c r="I428" s="2"/>
      <c r="K428" s="253"/>
      <c r="L428" s="2"/>
      <c r="M428" s="2"/>
    </row>
    <row r="429" spans="1:13" ht="15.75" customHeight="1">
      <c r="A429" s="4"/>
      <c r="G429" s="2"/>
      <c r="H429" s="2"/>
      <c r="I429" s="2"/>
      <c r="K429" s="253"/>
      <c r="L429" s="2"/>
      <c r="M429" s="2"/>
    </row>
    <row r="430" spans="1:13" ht="15.75" customHeight="1">
      <c r="A430" s="4"/>
      <c r="G430" s="2"/>
      <c r="H430" s="2"/>
      <c r="I430" s="2"/>
      <c r="K430" s="253"/>
      <c r="L430" s="2"/>
      <c r="M430" s="2"/>
    </row>
    <row r="431" spans="1:13" ht="15.75" customHeight="1">
      <c r="A431" s="4"/>
      <c r="G431" s="2"/>
      <c r="H431" s="2"/>
      <c r="I431" s="2"/>
      <c r="K431" s="253"/>
      <c r="L431" s="2"/>
      <c r="M431" s="2"/>
    </row>
    <row r="432" spans="1:13" ht="15.75" customHeight="1">
      <c r="A432" s="4"/>
      <c r="G432" s="2"/>
      <c r="H432" s="2"/>
      <c r="I432" s="2"/>
      <c r="K432" s="253"/>
      <c r="L432" s="2"/>
      <c r="M432" s="2"/>
    </row>
    <row r="433" spans="1:13" ht="15.75" customHeight="1">
      <c r="A433" s="4"/>
      <c r="G433" s="2"/>
      <c r="H433" s="2"/>
      <c r="I433" s="2"/>
      <c r="K433" s="253"/>
      <c r="L433" s="2"/>
      <c r="M433" s="2"/>
    </row>
    <row r="434" spans="1:13" ht="15.75" customHeight="1">
      <c r="A434" s="4"/>
      <c r="G434" s="2"/>
      <c r="H434" s="2"/>
      <c r="I434" s="2"/>
      <c r="K434" s="253"/>
      <c r="L434" s="2"/>
      <c r="M434" s="2"/>
    </row>
    <row r="435" spans="1:13" ht="15.75" customHeight="1">
      <c r="A435" s="4"/>
      <c r="G435" s="2"/>
      <c r="H435" s="2"/>
      <c r="I435" s="2"/>
      <c r="K435" s="253"/>
      <c r="L435" s="2"/>
      <c r="M435" s="2"/>
    </row>
    <row r="436" spans="1:13" ht="15.75" customHeight="1">
      <c r="A436" s="4"/>
      <c r="G436" s="2"/>
      <c r="H436" s="2"/>
      <c r="I436" s="2"/>
      <c r="K436" s="253"/>
      <c r="L436" s="2"/>
      <c r="M436" s="2"/>
    </row>
    <row r="437" spans="1:13" ht="15.75" customHeight="1">
      <c r="A437" s="4"/>
      <c r="G437" s="2"/>
      <c r="H437" s="2"/>
      <c r="I437" s="2"/>
      <c r="K437" s="253"/>
      <c r="L437" s="2"/>
      <c r="M437" s="2"/>
    </row>
    <row r="438" spans="1:13" ht="15.75" customHeight="1">
      <c r="A438" s="4"/>
      <c r="G438" s="2"/>
      <c r="H438" s="2"/>
      <c r="I438" s="2"/>
      <c r="K438" s="253"/>
      <c r="L438" s="2"/>
      <c r="M438" s="2"/>
    </row>
    <row r="439" spans="1:13" ht="15.75" customHeight="1">
      <c r="A439" s="4"/>
      <c r="G439" s="2"/>
      <c r="H439" s="2"/>
      <c r="I439" s="2"/>
      <c r="K439" s="253"/>
      <c r="L439" s="2"/>
      <c r="M439" s="2"/>
    </row>
    <row r="440" spans="1:13" ht="15.75" customHeight="1">
      <c r="A440" s="4"/>
      <c r="G440" s="2"/>
      <c r="H440" s="2"/>
      <c r="I440" s="2"/>
      <c r="K440" s="253"/>
      <c r="L440" s="2"/>
      <c r="M440" s="2"/>
    </row>
    <row r="441" spans="1:13" ht="15.75" customHeight="1">
      <c r="A441" s="4"/>
      <c r="G441" s="2"/>
      <c r="H441" s="2"/>
      <c r="I441" s="2"/>
      <c r="K441" s="253"/>
      <c r="L441" s="2"/>
      <c r="M441" s="2"/>
    </row>
    <row r="442" spans="1:13" ht="15.75" customHeight="1">
      <c r="A442" s="4"/>
      <c r="G442" s="2"/>
      <c r="H442" s="2"/>
      <c r="I442" s="2"/>
      <c r="K442" s="253"/>
      <c r="L442" s="2"/>
      <c r="M442" s="2"/>
    </row>
    <row r="443" spans="1:13" ht="15.75" customHeight="1">
      <c r="A443" s="4"/>
      <c r="G443" s="2"/>
      <c r="H443" s="2"/>
      <c r="I443" s="2"/>
      <c r="K443" s="253"/>
      <c r="L443" s="2"/>
      <c r="M443" s="2"/>
    </row>
    <row r="444" spans="1:13" ht="15.75" customHeight="1">
      <c r="A444" s="4"/>
      <c r="G444" s="2"/>
      <c r="H444" s="2"/>
      <c r="I444" s="2"/>
      <c r="K444" s="253"/>
      <c r="L444" s="2"/>
      <c r="M444" s="2"/>
    </row>
    <row r="445" spans="1:13" ht="15.75" customHeight="1">
      <c r="A445" s="4"/>
      <c r="G445" s="2"/>
      <c r="H445" s="2"/>
      <c r="I445" s="2"/>
      <c r="K445" s="253"/>
      <c r="L445" s="2"/>
      <c r="M445" s="2"/>
    </row>
    <row r="446" spans="1:13" ht="15.75" customHeight="1">
      <c r="A446" s="4"/>
      <c r="G446" s="2"/>
      <c r="H446" s="2"/>
      <c r="I446" s="2"/>
      <c r="K446" s="253"/>
      <c r="L446" s="2"/>
      <c r="M446" s="2"/>
    </row>
    <row r="447" spans="1:13" ht="15.75" customHeight="1">
      <c r="A447" s="4"/>
      <c r="G447" s="2"/>
      <c r="H447" s="2"/>
      <c r="I447" s="2"/>
      <c r="K447" s="253"/>
      <c r="L447" s="2"/>
      <c r="M447" s="2"/>
    </row>
    <row r="448" spans="1:13" ht="15.75" customHeight="1">
      <c r="A448" s="4"/>
      <c r="G448" s="2"/>
      <c r="H448" s="2"/>
      <c r="I448" s="2"/>
      <c r="K448" s="253"/>
      <c r="L448" s="2"/>
      <c r="M448" s="2"/>
    </row>
    <row r="449" spans="1:13" ht="15.75" customHeight="1">
      <c r="A449" s="4"/>
      <c r="G449" s="2"/>
      <c r="H449" s="2"/>
      <c r="I449" s="2"/>
      <c r="K449" s="253"/>
      <c r="L449" s="2"/>
      <c r="M449" s="2"/>
    </row>
    <row r="450" spans="1:13" ht="15.75" customHeight="1">
      <c r="A450" s="4"/>
      <c r="G450" s="2"/>
      <c r="H450" s="2"/>
      <c r="I450" s="2"/>
      <c r="K450" s="253"/>
      <c r="L450" s="2"/>
      <c r="M450" s="2"/>
    </row>
    <row r="451" spans="1:13" ht="15.75" customHeight="1">
      <c r="A451" s="4"/>
      <c r="G451" s="2"/>
      <c r="H451" s="2"/>
      <c r="I451" s="2"/>
      <c r="K451" s="253"/>
      <c r="L451" s="2"/>
      <c r="M451" s="2"/>
    </row>
    <row r="452" spans="1:13" ht="15.75" customHeight="1">
      <c r="A452" s="4"/>
      <c r="G452" s="2"/>
      <c r="H452" s="2"/>
      <c r="I452" s="2"/>
      <c r="K452" s="253"/>
      <c r="L452" s="2"/>
      <c r="M452" s="2"/>
    </row>
    <row r="453" spans="1:13" ht="15.75" customHeight="1">
      <c r="A453" s="4"/>
      <c r="G453" s="2"/>
      <c r="H453" s="2"/>
      <c r="I453" s="2"/>
      <c r="K453" s="253"/>
      <c r="L453" s="2"/>
      <c r="M453" s="2"/>
    </row>
    <row r="454" spans="1:13" ht="15.75" customHeight="1">
      <c r="A454" s="4"/>
      <c r="G454" s="2"/>
      <c r="H454" s="2"/>
      <c r="I454" s="2"/>
      <c r="K454" s="253"/>
      <c r="L454" s="2"/>
      <c r="M454" s="2"/>
    </row>
    <row r="455" spans="1:13" ht="15.75" customHeight="1">
      <c r="A455" s="4"/>
      <c r="G455" s="2"/>
      <c r="H455" s="2"/>
      <c r="I455" s="2"/>
      <c r="K455" s="253"/>
      <c r="L455" s="2"/>
      <c r="M455" s="2"/>
    </row>
    <row r="456" spans="1:13" ht="15.75" customHeight="1">
      <c r="A456" s="4"/>
      <c r="G456" s="2"/>
      <c r="H456" s="2"/>
      <c r="I456" s="2"/>
      <c r="K456" s="253"/>
      <c r="L456" s="2"/>
      <c r="M456" s="2"/>
    </row>
    <row r="457" spans="1:13" ht="15.75" customHeight="1">
      <c r="A457" s="4"/>
      <c r="G457" s="2"/>
      <c r="H457" s="2"/>
      <c r="I457" s="2"/>
      <c r="K457" s="253"/>
      <c r="L457" s="2"/>
      <c r="M457" s="2"/>
    </row>
    <row r="458" spans="1:13" ht="15.75" customHeight="1">
      <c r="A458" s="4"/>
      <c r="G458" s="2"/>
      <c r="H458" s="2"/>
      <c r="I458" s="2"/>
      <c r="K458" s="253"/>
      <c r="L458" s="2"/>
      <c r="M458" s="2"/>
    </row>
    <row r="459" spans="1:13" ht="15.75" customHeight="1">
      <c r="A459" s="4"/>
      <c r="G459" s="2"/>
      <c r="H459" s="2"/>
      <c r="I459" s="2"/>
      <c r="K459" s="253"/>
      <c r="L459" s="2"/>
      <c r="M459" s="2"/>
    </row>
    <row r="460" spans="1:13" ht="15.75" customHeight="1">
      <c r="A460" s="4"/>
      <c r="G460" s="2"/>
      <c r="H460" s="2"/>
      <c r="I460" s="2"/>
      <c r="K460" s="253"/>
      <c r="L460" s="2"/>
      <c r="M460" s="2"/>
    </row>
    <row r="461" spans="1:13" ht="15.75" customHeight="1">
      <c r="A461" s="4"/>
      <c r="G461" s="2"/>
      <c r="H461" s="2"/>
      <c r="I461" s="2"/>
      <c r="K461" s="253"/>
      <c r="L461" s="2"/>
      <c r="M461" s="2"/>
    </row>
    <row r="462" spans="1:13" ht="15.75" customHeight="1">
      <c r="A462" s="4"/>
      <c r="G462" s="2"/>
      <c r="H462" s="2"/>
      <c r="I462" s="2"/>
      <c r="K462" s="253"/>
      <c r="L462" s="2"/>
      <c r="M462" s="2"/>
    </row>
    <row r="463" spans="1:13" ht="15.75" customHeight="1">
      <c r="A463" s="4"/>
      <c r="G463" s="2"/>
      <c r="H463" s="2"/>
      <c r="I463" s="2"/>
      <c r="K463" s="253"/>
      <c r="L463" s="2"/>
      <c r="M463" s="2"/>
    </row>
    <row r="464" spans="1:13" ht="15.75" customHeight="1">
      <c r="A464" s="4"/>
      <c r="G464" s="2"/>
      <c r="H464" s="2"/>
      <c r="I464" s="2"/>
      <c r="K464" s="253"/>
      <c r="L464" s="2"/>
      <c r="M464" s="2"/>
    </row>
    <row r="465" spans="1:13" ht="15.75" customHeight="1">
      <c r="A465" s="4"/>
      <c r="G465" s="2"/>
      <c r="H465" s="2"/>
      <c r="I465" s="2"/>
      <c r="K465" s="253"/>
      <c r="L465" s="2"/>
      <c r="M465" s="2"/>
    </row>
    <row r="466" spans="1:13" ht="15.75" customHeight="1">
      <c r="A466" s="4"/>
      <c r="G466" s="2"/>
      <c r="H466" s="2"/>
      <c r="I466" s="2"/>
      <c r="K466" s="253"/>
      <c r="L466" s="2"/>
      <c r="M466" s="2"/>
    </row>
    <row r="467" spans="1:13" ht="15.75" customHeight="1">
      <c r="A467" s="4"/>
      <c r="G467" s="2"/>
      <c r="H467" s="2"/>
      <c r="I467" s="2"/>
      <c r="K467" s="253"/>
      <c r="L467" s="2"/>
      <c r="M467" s="2"/>
    </row>
    <row r="468" spans="1:13" ht="15.75" customHeight="1">
      <c r="A468" s="4"/>
      <c r="G468" s="2"/>
      <c r="H468" s="2"/>
      <c r="I468" s="2"/>
      <c r="K468" s="253"/>
      <c r="L468" s="2"/>
      <c r="M468" s="2"/>
    </row>
    <row r="469" spans="1:13" ht="15.75" customHeight="1">
      <c r="A469" s="4"/>
      <c r="G469" s="2"/>
      <c r="H469" s="2"/>
      <c r="I469" s="2"/>
      <c r="K469" s="253"/>
      <c r="L469" s="2"/>
      <c r="M469" s="2"/>
    </row>
    <row r="470" spans="1:13" ht="15.75" customHeight="1">
      <c r="A470" s="4"/>
      <c r="G470" s="2"/>
      <c r="H470" s="2"/>
      <c r="I470" s="2"/>
      <c r="K470" s="253"/>
      <c r="L470" s="2"/>
      <c r="M470" s="2"/>
    </row>
    <row r="471" spans="1:13" ht="15.75" customHeight="1">
      <c r="A471" s="4"/>
      <c r="G471" s="2"/>
      <c r="H471" s="2"/>
      <c r="I471" s="2"/>
      <c r="K471" s="253"/>
      <c r="L471" s="2"/>
      <c r="M471" s="2"/>
    </row>
    <row r="472" spans="1:13" ht="15.75" customHeight="1">
      <c r="A472" s="4"/>
      <c r="G472" s="2"/>
      <c r="H472" s="2"/>
      <c r="I472" s="2"/>
      <c r="K472" s="253"/>
      <c r="L472" s="2"/>
      <c r="M472" s="2"/>
    </row>
    <row r="473" spans="1:13" ht="15.75" customHeight="1">
      <c r="A473" s="4"/>
      <c r="G473" s="2"/>
      <c r="H473" s="2"/>
      <c r="I473" s="2"/>
      <c r="K473" s="253"/>
      <c r="L473" s="2"/>
      <c r="M473" s="2"/>
    </row>
    <row r="474" spans="1:13" ht="15.75" customHeight="1">
      <c r="A474" s="4"/>
      <c r="G474" s="2"/>
      <c r="H474" s="2"/>
      <c r="I474" s="2"/>
      <c r="K474" s="253"/>
      <c r="L474" s="2"/>
      <c r="M474" s="2"/>
    </row>
    <row r="475" spans="1:13" ht="15.75" customHeight="1">
      <c r="A475" s="4"/>
      <c r="G475" s="2"/>
      <c r="H475" s="2"/>
      <c r="I475" s="2"/>
      <c r="K475" s="253"/>
      <c r="L475" s="2"/>
      <c r="M475" s="2"/>
    </row>
    <row r="476" spans="1:13" ht="15.75" customHeight="1">
      <c r="A476" s="4"/>
      <c r="G476" s="2"/>
      <c r="H476" s="2"/>
      <c r="I476" s="2"/>
      <c r="K476" s="253"/>
      <c r="L476" s="2"/>
      <c r="M476" s="2"/>
    </row>
    <row r="477" spans="1:13" ht="15.75" customHeight="1">
      <c r="A477" s="4"/>
      <c r="G477" s="2"/>
      <c r="H477" s="2"/>
      <c r="I477" s="2"/>
      <c r="K477" s="253"/>
      <c r="L477" s="2"/>
      <c r="M477" s="2"/>
    </row>
    <row r="478" spans="1:13" ht="15.75" customHeight="1">
      <c r="A478" s="4"/>
      <c r="G478" s="2"/>
      <c r="H478" s="2"/>
      <c r="I478" s="2"/>
      <c r="K478" s="253"/>
      <c r="L478" s="2"/>
      <c r="M478" s="2"/>
    </row>
    <row r="479" spans="1:13" ht="15.75" customHeight="1">
      <c r="A479" s="4"/>
      <c r="G479" s="2"/>
      <c r="H479" s="2"/>
      <c r="I479" s="2"/>
      <c r="K479" s="253"/>
      <c r="L479" s="2"/>
      <c r="M479" s="2"/>
    </row>
    <row r="480" spans="1:13" ht="15.75" customHeight="1">
      <c r="A480" s="4"/>
      <c r="G480" s="2"/>
      <c r="H480" s="2"/>
      <c r="I480" s="2"/>
      <c r="K480" s="253"/>
      <c r="L480" s="2"/>
      <c r="M480" s="2"/>
    </row>
    <row r="481" spans="1:13" ht="15.75" customHeight="1">
      <c r="A481" s="4"/>
      <c r="G481" s="2"/>
      <c r="H481" s="2"/>
      <c r="I481" s="2"/>
      <c r="K481" s="253"/>
      <c r="L481" s="2"/>
      <c r="M481" s="2"/>
    </row>
    <row r="482" spans="1:13" ht="15.75" customHeight="1">
      <c r="A482" s="4"/>
      <c r="G482" s="2"/>
      <c r="H482" s="2"/>
      <c r="I482" s="2"/>
      <c r="K482" s="253"/>
      <c r="L482" s="2"/>
      <c r="M482" s="2"/>
    </row>
    <row r="483" spans="1:13" ht="15.75" customHeight="1">
      <c r="A483" s="4"/>
      <c r="G483" s="2"/>
      <c r="H483" s="2"/>
      <c r="I483" s="2"/>
      <c r="K483" s="253"/>
      <c r="L483" s="2"/>
      <c r="M483" s="2"/>
    </row>
    <row r="484" spans="1:13" ht="15.75" customHeight="1">
      <c r="A484" s="4"/>
      <c r="G484" s="2"/>
      <c r="H484" s="2"/>
      <c r="I484" s="2"/>
      <c r="K484" s="253"/>
      <c r="L484" s="2"/>
      <c r="M484" s="2"/>
    </row>
    <row r="485" spans="1:13" ht="15.75" customHeight="1">
      <c r="A485" s="4"/>
      <c r="G485" s="2"/>
      <c r="H485" s="2"/>
      <c r="I485" s="2"/>
      <c r="K485" s="253"/>
      <c r="L485" s="2"/>
      <c r="M485" s="2"/>
    </row>
    <row r="486" spans="1:13" ht="15.75" customHeight="1">
      <c r="A486" s="4"/>
      <c r="G486" s="2"/>
      <c r="H486" s="2"/>
      <c r="I486" s="2"/>
      <c r="K486" s="253"/>
      <c r="L486" s="2"/>
      <c r="M486" s="2"/>
    </row>
    <row r="487" spans="1:13" ht="15.75" customHeight="1">
      <c r="A487" s="4"/>
      <c r="G487" s="2"/>
      <c r="H487" s="2"/>
      <c r="I487" s="2"/>
      <c r="K487" s="253"/>
      <c r="L487" s="2"/>
      <c r="M487" s="2"/>
    </row>
    <row r="488" spans="1:13" ht="15.75" customHeight="1">
      <c r="A488" s="4"/>
      <c r="G488" s="2"/>
      <c r="H488" s="2"/>
      <c r="I488" s="2"/>
      <c r="K488" s="253"/>
      <c r="L488" s="2"/>
      <c r="M488" s="2"/>
    </row>
    <row r="489" spans="1:13" ht="15.75" customHeight="1">
      <c r="A489" s="4"/>
      <c r="G489" s="2"/>
      <c r="H489" s="2"/>
      <c r="I489" s="2"/>
      <c r="K489" s="253"/>
      <c r="L489" s="2"/>
      <c r="M489" s="2"/>
    </row>
    <row r="490" spans="1:13" ht="15.75" customHeight="1">
      <c r="A490" s="4"/>
      <c r="G490" s="2"/>
      <c r="H490" s="2"/>
      <c r="I490" s="2"/>
      <c r="K490" s="253"/>
      <c r="L490" s="2"/>
      <c r="M490" s="2"/>
    </row>
    <row r="491" spans="1:13" ht="15.75" customHeight="1">
      <c r="A491" s="4"/>
      <c r="G491" s="2"/>
      <c r="H491" s="2"/>
      <c r="I491" s="2"/>
      <c r="K491" s="253"/>
      <c r="L491" s="2"/>
      <c r="M491" s="2"/>
    </row>
    <row r="492" spans="1:13" ht="15.75" customHeight="1">
      <c r="A492" s="4"/>
      <c r="G492" s="2"/>
      <c r="H492" s="2"/>
      <c r="I492" s="2"/>
      <c r="K492" s="253"/>
      <c r="L492" s="2"/>
      <c r="M492" s="2"/>
    </row>
    <row r="493" spans="1:13" ht="15.75" customHeight="1">
      <c r="A493" s="4"/>
      <c r="G493" s="2"/>
      <c r="H493" s="2"/>
      <c r="I493" s="2"/>
      <c r="K493" s="253"/>
      <c r="L493" s="2"/>
      <c r="M493" s="2"/>
    </row>
    <row r="494" spans="1:13" ht="15.75" customHeight="1">
      <c r="A494" s="4"/>
      <c r="G494" s="2"/>
      <c r="H494" s="2"/>
      <c r="I494" s="2"/>
      <c r="K494" s="253"/>
      <c r="L494" s="2"/>
      <c r="M494" s="2"/>
    </row>
    <row r="495" spans="1:13" ht="15.75" customHeight="1">
      <c r="A495" s="4"/>
      <c r="G495" s="2"/>
      <c r="H495" s="2"/>
      <c r="I495" s="2"/>
      <c r="K495" s="253"/>
      <c r="L495" s="2"/>
      <c r="M495" s="2"/>
    </row>
    <row r="496" spans="1:13" ht="15.75" customHeight="1">
      <c r="A496" s="4"/>
      <c r="G496" s="2"/>
      <c r="H496" s="2"/>
      <c r="I496" s="2"/>
      <c r="K496" s="253"/>
      <c r="L496" s="2"/>
      <c r="M496" s="2"/>
    </row>
    <row r="497" spans="1:13" ht="15.75" customHeight="1">
      <c r="A497" s="4"/>
      <c r="G497" s="2"/>
      <c r="H497" s="2"/>
      <c r="I497" s="2"/>
      <c r="K497" s="253"/>
      <c r="L497" s="2"/>
      <c r="M497" s="2"/>
    </row>
    <row r="498" spans="1:13" ht="15.75" customHeight="1">
      <c r="A498" s="4"/>
      <c r="G498" s="2"/>
      <c r="H498" s="2"/>
      <c r="I498" s="2"/>
      <c r="K498" s="253"/>
      <c r="L498" s="2"/>
      <c r="M498" s="2"/>
    </row>
    <row r="499" spans="1:13" ht="15.75" customHeight="1">
      <c r="A499" s="4"/>
      <c r="G499" s="2"/>
      <c r="H499" s="2"/>
      <c r="I499" s="2"/>
      <c r="K499" s="253"/>
      <c r="L499" s="2"/>
      <c r="M499" s="2"/>
    </row>
    <row r="500" spans="1:13" ht="15.75" customHeight="1">
      <c r="A500" s="4"/>
      <c r="G500" s="2"/>
      <c r="H500" s="2"/>
      <c r="I500" s="2"/>
      <c r="K500" s="253"/>
      <c r="L500" s="2"/>
      <c r="M500" s="2"/>
    </row>
    <row r="501" spans="1:13" ht="15.75" customHeight="1">
      <c r="A501" s="4"/>
      <c r="G501" s="2"/>
      <c r="H501" s="2"/>
      <c r="I501" s="2"/>
      <c r="K501" s="253"/>
      <c r="L501" s="2"/>
      <c r="M501" s="2"/>
    </row>
    <row r="502" spans="1:13" ht="15.75" customHeight="1">
      <c r="A502" s="4"/>
      <c r="G502" s="2"/>
      <c r="H502" s="2"/>
      <c r="I502" s="2"/>
      <c r="K502" s="253"/>
      <c r="L502" s="2"/>
      <c r="M502" s="2"/>
    </row>
    <row r="503" spans="1:13" ht="15.75" customHeight="1">
      <c r="A503" s="4"/>
      <c r="G503" s="2"/>
      <c r="H503" s="2"/>
      <c r="I503" s="2"/>
      <c r="K503" s="253"/>
      <c r="L503" s="2"/>
      <c r="M503" s="2"/>
    </row>
    <row r="504" spans="1:13" ht="15.75" customHeight="1">
      <c r="A504" s="4"/>
      <c r="G504" s="2"/>
      <c r="H504" s="2"/>
      <c r="I504" s="2"/>
      <c r="K504" s="253"/>
      <c r="L504" s="2"/>
      <c r="M504" s="2"/>
    </row>
    <row r="505" spans="1:13" ht="15.75" customHeight="1">
      <c r="A505" s="4"/>
      <c r="G505" s="2"/>
      <c r="H505" s="2"/>
      <c r="I505" s="2"/>
      <c r="K505" s="253"/>
      <c r="L505" s="2"/>
      <c r="M505" s="2"/>
    </row>
    <row r="506" spans="1:13" ht="15.75" customHeight="1">
      <c r="A506" s="4"/>
      <c r="G506" s="2"/>
      <c r="H506" s="2"/>
      <c r="I506" s="2"/>
      <c r="K506" s="253"/>
      <c r="L506" s="2"/>
      <c r="M506" s="2"/>
    </row>
    <row r="507" spans="1:13" ht="15.75" customHeight="1">
      <c r="A507" s="4"/>
      <c r="G507" s="2"/>
      <c r="H507" s="2"/>
      <c r="I507" s="2"/>
      <c r="K507" s="253"/>
      <c r="L507" s="2"/>
      <c r="M507" s="2"/>
    </row>
    <row r="508" spans="1:13" ht="15.75" customHeight="1">
      <c r="A508" s="4"/>
      <c r="G508" s="2"/>
      <c r="H508" s="2"/>
      <c r="I508" s="2"/>
      <c r="K508" s="253"/>
      <c r="L508" s="2"/>
      <c r="M508" s="2"/>
    </row>
    <row r="509" spans="1:13" ht="15.75" customHeight="1">
      <c r="A509" s="4"/>
      <c r="G509" s="2"/>
      <c r="H509" s="2"/>
      <c r="I509" s="2"/>
      <c r="K509" s="253"/>
      <c r="L509" s="2"/>
      <c r="M509" s="2"/>
    </row>
    <row r="510" spans="1:13" ht="15.75" customHeight="1">
      <c r="A510" s="4"/>
      <c r="G510" s="2"/>
      <c r="H510" s="2"/>
      <c r="I510" s="2"/>
      <c r="K510" s="253"/>
      <c r="L510" s="2"/>
      <c r="M510" s="2"/>
    </row>
    <row r="511" spans="1:13" ht="15.75" customHeight="1">
      <c r="A511" s="4"/>
      <c r="G511" s="2"/>
      <c r="H511" s="2"/>
      <c r="I511" s="2"/>
      <c r="K511" s="253"/>
      <c r="L511" s="2"/>
      <c r="M511" s="2"/>
    </row>
    <row r="512" spans="1:13" ht="15.75" customHeight="1">
      <c r="A512" s="4"/>
      <c r="G512" s="2"/>
      <c r="H512" s="2"/>
      <c r="I512" s="2"/>
      <c r="K512" s="253"/>
      <c r="L512" s="2"/>
      <c r="M512" s="2"/>
    </row>
    <row r="513" spans="1:13" ht="15.75" customHeight="1">
      <c r="A513" s="4"/>
      <c r="G513" s="2"/>
      <c r="H513" s="2"/>
      <c r="I513" s="2"/>
      <c r="K513" s="253"/>
      <c r="L513" s="2"/>
      <c r="M513" s="2"/>
    </row>
    <row r="514" spans="1:13" ht="15.75" customHeight="1">
      <c r="A514" s="4"/>
      <c r="G514" s="2"/>
      <c r="H514" s="2"/>
      <c r="I514" s="2"/>
      <c r="K514" s="253"/>
      <c r="L514" s="2"/>
      <c r="M514" s="2"/>
    </row>
    <row r="515" spans="1:13" ht="15.75" customHeight="1">
      <c r="A515" s="4"/>
      <c r="G515" s="2"/>
      <c r="H515" s="2"/>
      <c r="I515" s="2"/>
      <c r="K515" s="253"/>
      <c r="L515" s="2"/>
      <c r="M515" s="2"/>
    </row>
    <row r="516" spans="1:13" ht="15.75" customHeight="1">
      <c r="A516" s="4"/>
      <c r="G516" s="2"/>
      <c r="H516" s="2"/>
      <c r="I516" s="2"/>
      <c r="K516" s="253"/>
      <c r="L516" s="2"/>
      <c r="M516" s="2"/>
    </row>
    <row r="517" spans="1:13" ht="15.75" customHeight="1">
      <c r="A517" s="4"/>
      <c r="G517" s="2"/>
      <c r="H517" s="2"/>
      <c r="I517" s="2"/>
      <c r="K517" s="253"/>
      <c r="L517" s="2"/>
      <c r="M517" s="2"/>
    </row>
    <row r="518" spans="1:13" ht="15.75" customHeight="1">
      <c r="A518" s="4"/>
      <c r="G518" s="2"/>
      <c r="H518" s="2"/>
      <c r="I518" s="2"/>
      <c r="K518" s="253"/>
      <c r="L518" s="2"/>
      <c r="M518" s="2"/>
    </row>
    <row r="519" spans="1:13" ht="15.75" customHeight="1">
      <c r="A519" s="4"/>
      <c r="G519" s="2"/>
      <c r="H519" s="2"/>
      <c r="I519" s="2"/>
      <c r="K519" s="253"/>
      <c r="L519" s="2"/>
      <c r="M519" s="2"/>
    </row>
    <row r="520" spans="1:13" ht="15.75" customHeight="1">
      <c r="A520" s="4"/>
      <c r="G520" s="2"/>
      <c r="H520" s="2"/>
      <c r="I520" s="2"/>
      <c r="K520" s="253"/>
      <c r="L520" s="2"/>
      <c r="M520" s="2"/>
    </row>
    <row r="521" spans="1:13" ht="15.75" customHeight="1">
      <c r="A521" s="4"/>
      <c r="G521" s="2"/>
      <c r="H521" s="2"/>
      <c r="I521" s="2"/>
      <c r="K521" s="253"/>
      <c r="L521" s="2"/>
      <c r="M521" s="2"/>
    </row>
    <row r="522" spans="1:13" ht="15.75" customHeight="1">
      <c r="A522" s="4"/>
      <c r="G522" s="2"/>
      <c r="H522" s="2"/>
      <c r="I522" s="2"/>
      <c r="K522" s="253"/>
      <c r="L522" s="2"/>
      <c r="M522" s="2"/>
    </row>
    <row r="523" spans="1:13" ht="15.75" customHeight="1">
      <c r="A523" s="4"/>
      <c r="G523" s="2"/>
      <c r="H523" s="2"/>
      <c r="I523" s="2"/>
      <c r="K523" s="253"/>
      <c r="L523" s="2"/>
      <c r="M523" s="2"/>
    </row>
    <row r="524" spans="1:13" ht="15.75" customHeight="1">
      <c r="A524" s="4"/>
      <c r="G524" s="2"/>
      <c r="H524" s="2"/>
      <c r="I524" s="2"/>
      <c r="K524" s="253"/>
      <c r="L524" s="2"/>
      <c r="M524" s="2"/>
    </row>
    <row r="525" spans="1:13" ht="15.75" customHeight="1">
      <c r="A525" s="4"/>
      <c r="G525" s="2"/>
      <c r="H525" s="2"/>
      <c r="I525" s="2"/>
      <c r="K525" s="253"/>
      <c r="L525" s="2"/>
      <c r="M525" s="2"/>
    </row>
    <row r="526" spans="1:13" ht="15.75" customHeight="1">
      <c r="A526" s="4"/>
      <c r="G526" s="2"/>
      <c r="H526" s="2"/>
      <c r="I526" s="2"/>
      <c r="K526" s="253"/>
      <c r="L526" s="2"/>
      <c r="M526" s="2"/>
    </row>
    <row r="527" spans="1:13" ht="15.75" customHeight="1">
      <c r="A527" s="4"/>
      <c r="G527" s="2"/>
      <c r="H527" s="2"/>
      <c r="I527" s="2"/>
      <c r="K527" s="253"/>
      <c r="L527" s="2"/>
      <c r="M527" s="2"/>
    </row>
    <row r="528" spans="1:13" ht="15.75" customHeight="1">
      <c r="A528" s="4"/>
      <c r="G528" s="2"/>
      <c r="H528" s="2"/>
      <c r="I528" s="2"/>
      <c r="K528" s="253"/>
      <c r="L528" s="2"/>
      <c r="M528" s="2"/>
    </row>
    <row r="529" spans="1:13" ht="15.75" customHeight="1">
      <c r="A529" s="4"/>
      <c r="G529" s="2"/>
      <c r="H529" s="2"/>
      <c r="I529" s="2"/>
      <c r="K529" s="253"/>
      <c r="L529" s="2"/>
      <c r="M529" s="2"/>
    </row>
    <row r="530" spans="1:13" ht="15.75" customHeight="1">
      <c r="A530" s="4"/>
      <c r="G530" s="2"/>
      <c r="H530" s="2"/>
      <c r="I530" s="2"/>
      <c r="K530" s="253"/>
      <c r="L530" s="2"/>
      <c r="M530" s="2"/>
    </row>
    <row r="531" spans="1:13" ht="15.75" customHeight="1">
      <c r="A531" s="4"/>
      <c r="G531" s="2"/>
      <c r="H531" s="2"/>
      <c r="I531" s="2"/>
      <c r="K531" s="253"/>
      <c r="L531" s="2"/>
      <c r="M531" s="2"/>
    </row>
    <row r="532" spans="1:13" ht="15.75" customHeight="1">
      <c r="A532" s="4"/>
      <c r="G532" s="2"/>
      <c r="H532" s="2"/>
      <c r="I532" s="2"/>
      <c r="K532" s="253"/>
      <c r="L532" s="2"/>
      <c r="M532" s="2"/>
    </row>
    <row r="533" spans="1:13" ht="15.75" customHeight="1">
      <c r="A533" s="4"/>
      <c r="G533" s="2"/>
      <c r="H533" s="2"/>
      <c r="I533" s="2"/>
      <c r="K533" s="253"/>
      <c r="L533" s="2"/>
      <c r="M533" s="2"/>
    </row>
    <row r="534" spans="1:13" ht="15.75" customHeight="1">
      <c r="A534" s="4"/>
      <c r="G534" s="2"/>
      <c r="H534" s="2"/>
      <c r="I534" s="2"/>
      <c r="K534" s="253"/>
      <c r="L534" s="2"/>
      <c r="M534" s="2"/>
    </row>
    <row r="535" spans="1:13" ht="15.75" customHeight="1">
      <c r="A535" s="4"/>
      <c r="G535" s="2"/>
      <c r="H535" s="2"/>
      <c r="I535" s="2"/>
      <c r="K535" s="253"/>
      <c r="L535" s="2"/>
      <c r="M535" s="2"/>
    </row>
    <row r="536" spans="1:13" ht="15.75" customHeight="1">
      <c r="A536" s="4"/>
      <c r="G536" s="2"/>
      <c r="H536" s="2"/>
      <c r="I536" s="2"/>
      <c r="K536" s="253"/>
      <c r="L536" s="2"/>
      <c r="M536" s="2"/>
    </row>
    <row r="537" spans="1:13" ht="15.75" customHeight="1">
      <c r="A537" s="4"/>
      <c r="G537" s="2"/>
      <c r="H537" s="2"/>
      <c r="I537" s="2"/>
      <c r="K537" s="253"/>
      <c r="L537" s="2"/>
      <c r="M537" s="2"/>
    </row>
    <row r="538" spans="1:13" ht="15.75" customHeight="1">
      <c r="A538" s="4"/>
      <c r="G538" s="2"/>
      <c r="H538" s="2"/>
      <c r="I538" s="2"/>
      <c r="K538" s="253"/>
      <c r="L538" s="2"/>
      <c r="M538" s="2"/>
    </row>
    <row r="539" spans="1:13" ht="15.75" customHeight="1">
      <c r="A539" s="4"/>
      <c r="G539" s="2"/>
      <c r="H539" s="2"/>
      <c r="I539" s="2"/>
      <c r="K539" s="253"/>
      <c r="L539" s="2"/>
      <c r="M539" s="2"/>
    </row>
    <row r="540" spans="1:13" ht="15.75" customHeight="1">
      <c r="A540" s="4"/>
      <c r="G540" s="2"/>
      <c r="H540" s="2"/>
      <c r="I540" s="2"/>
      <c r="K540" s="253"/>
      <c r="L540" s="2"/>
      <c r="M540" s="2"/>
    </row>
    <row r="541" spans="1:13" ht="15.75" customHeight="1">
      <c r="A541" s="4"/>
      <c r="G541" s="2"/>
      <c r="H541" s="2"/>
      <c r="I541" s="2"/>
      <c r="K541" s="253"/>
      <c r="L541" s="2"/>
      <c r="M541" s="2"/>
    </row>
    <row r="542" spans="1:13" ht="15.75" customHeight="1">
      <c r="A542" s="4"/>
      <c r="G542" s="2"/>
      <c r="H542" s="2"/>
      <c r="I542" s="2"/>
      <c r="K542" s="253"/>
      <c r="L542" s="2"/>
      <c r="M542" s="2"/>
    </row>
    <row r="543" spans="1:13" ht="15.75" customHeight="1">
      <c r="A543" s="4"/>
      <c r="G543" s="2"/>
      <c r="H543" s="2"/>
      <c r="I543" s="2"/>
      <c r="K543" s="253"/>
      <c r="L543" s="2"/>
      <c r="M543" s="2"/>
    </row>
    <row r="544" spans="1:13" ht="15.75" customHeight="1">
      <c r="A544" s="4"/>
      <c r="G544" s="2"/>
      <c r="H544" s="2"/>
      <c r="I544" s="2"/>
      <c r="K544" s="253"/>
      <c r="L544" s="2"/>
      <c r="M544" s="2"/>
    </row>
    <row r="545" spans="1:13" ht="15.75" customHeight="1">
      <c r="A545" s="4"/>
      <c r="G545" s="2"/>
      <c r="H545" s="2"/>
      <c r="I545" s="2"/>
      <c r="K545" s="253"/>
      <c r="L545" s="2"/>
      <c r="M545" s="2"/>
    </row>
    <row r="546" spans="1:13" ht="15.75" customHeight="1">
      <c r="A546" s="4"/>
      <c r="G546" s="2"/>
      <c r="H546" s="2"/>
      <c r="I546" s="2"/>
      <c r="K546" s="253"/>
      <c r="L546" s="2"/>
      <c r="M546" s="2"/>
    </row>
    <row r="547" spans="1:13" ht="15.75" customHeight="1">
      <c r="A547" s="4"/>
      <c r="G547" s="2"/>
      <c r="H547" s="2"/>
      <c r="I547" s="2"/>
      <c r="K547" s="253"/>
      <c r="L547" s="2"/>
      <c r="M547" s="2"/>
    </row>
    <row r="548" spans="1:13" ht="15.75" customHeight="1">
      <c r="A548" s="4"/>
      <c r="G548" s="2"/>
      <c r="H548" s="2"/>
      <c r="I548" s="2"/>
      <c r="K548" s="253"/>
      <c r="L548" s="2"/>
      <c r="M548" s="2"/>
    </row>
    <row r="549" spans="1:13" ht="15.75" customHeight="1">
      <c r="A549" s="4"/>
      <c r="G549" s="2"/>
      <c r="H549" s="2"/>
      <c r="I549" s="2"/>
      <c r="K549" s="253"/>
      <c r="L549" s="2"/>
      <c r="M549" s="2"/>
    </row>
    <row r="550" spans="1:13" ht="15.75" customHeight="1">
      <c r="A550" s="4"/>
      <c r="G550" s="2"/>
      <c r="H550" s="2"/>
      <c r="I550" s="2"/>
      <c r="K550" s="253"/>
      <c r="L550" s="2"/>
      <c r="M550" s="2"/>
    </row>
    <row r="551" spans="1:13" ht="15.75" customHeight="1">
      <c r="A551" s="4"/>
      <c r="G551" s="2"/>
      <c r="H551" s="2"/>
      <c r="I551" s="2"/>
      <c r="K551" s="253"/>
      <c r="L551" s="2"/>
      <c r="M551" s="2"/>
    </row>
    <row r="552" spans="1:13" ht="15.75" customHeight="1">
      <c r="A552" s="4"/>
      <c r="G552" s="2"/>
      <c r="H552" s="2"/>
      <c r="I552" s="2"/>
      <c r="K552" s="253"/>
      <c r="L552" s="2"/>
      <c r="M552" s="2"/>
    </row>
    <row r="553" spans="1:13" ht="15.75" customHeight="1">
      <c r="A553" s="4"/>
      <c r="G553" s="2"/>
      <c r="H553" s="2"/>
      <c r="I553" s="2"/>
      <c r="K553" s="253"/>
      <c r="L553" s="2"/>
      <c r="M553" s="2"/>
    </row>
    <row r="554" spans="1:13" ht="15.75" customHeight="1">
      <c r="A554" s="4"/>
      <c r="G554" s="2"/>
      <c r="H554" s="2"/>
      <c r="I554" s="2"/>
      <c r="K554" s="253"/>
      <c r="L554" s="2"/>
      <c r="M554" s="2"/>
    </row>
    <row r="555" spans="1:13" ht="15.75" customHeight="1">
      <c r="A555" s="4"/>
      <c r="G555" s="2"/>
      <c r="H555" s="2"/>
      <c r="I555" s="2"/>
      <c r="K555" s="253"/>
      <c r="L555" s="2"/>
      <c r="M555" s="2"/>
    </row>
    <row r="556" spans="1:13" ht="15.75" customHeight="1">
      <c r="A556" s="4"/>
      <c r="G556" s="2"/>
      <c r="H556" s="2"/>
      <c r="I556" s="2"/>
      <c r="K556" s="253"/>
      <c r="L556" s="2"/>
      <c r="M556" s="2"/>
    </row>
    <row r="557" spans="1:13" ht="15.75" customHeight="1">
      <c r="A557" s="4"/>
      <c r="G557" s="2"/>
      <c r="H557" s="2"/>
      <c r="I557" s="2"/>
      <c r="K557" s="253"/>
      <c r="L557" s="2"/>
      <c r="M557" s="2"/>
    </row>
    <row r="558" spans="1:13" ht="15.75" customHeight="1">
      <c r="A558" s="4"/>
      <c r="G558" s="2"/>
      <c r="H558" s="2"/>
      <c r="I558" s="2"/>
      <c r="K558" s="253"/>
      <c r="L558" s="2"/>
      <c r="M558" s="2"/>
    </row>
    <row r="559" spans="1:13" ht="15.75" customHeight="1">
      <c r="A559" s="4"/>
      <c r="G559" s="2"/>
      <c r="H559" s="2"/>
      <c r="I559" s="2"/>
      <c r="K559" s="253"/>
      <c r="L559" s="2"/>
      <c r="M559" s="2"/>
    </row>
    <row r="560" spans="1:13" ht="15.75" customHeight="1">
      <c r="A560" s="4"/>
      <c r="G560" s="2"/>
      <c r="H560" s="2"/>
      <c r="I560" s="2"/>
      <c r="K560" s="253"/>
      <c r="L560" s="2"/>
      <c r="M560" s="2"/>
    </row>
    <row r="561" spans="1:13" ht="15.75" customHeight="1">
      <c r="A561" s="4"/>
      <c r="G561" s="2"/>
      <c r="H561" s="2"/>
      <c r="I561" s="2"/>
      <c r="K561" s="253"/>
      <c r="L561" s="2"/>
      <c r="M561" s="2"/>
    </row>
    <row r="562" spans="1:13" ht="15.75" customHeight="1">
      <c r="A562" s="4"/>
      <c r="G562" s="2"/>
      <c r="H562" s="2"/>
      <c r="I562" s="2"/>
      <c r="K562" s="253"/>
      <c r="L562" s="2"/>
      <c r="M562" s="2"/>
    </row>
    <row r="563" spans="1:13" ht="15.75" customHeight="1">
      <c r="A563" s="4"/>
      <c r="G563" s="2"/>
      <c r="H563" s="2"/>
      <c r="I563" s="2"/>
      <c r="K563" s="253"/>
      <c r="L563" s="2"/>
      <c r="M563" s="2"/>
    </row>
    <row r="564" spans="1:13" ht="15.75" customHeight="1">
      <c r="A564" s="4"/>
      <c r="G564" s="2"/>
      <c r="H564" s="2"/>
      <c r="I564" s="2"/>
      <c r="K564" s="253"/>
      <c r="L564" s="2"/>
      <c r="M564" s="2"/>
    </row>
    <row r="565" spans="1:13" ht="15.75" customHeight="1">
      <c r="A565" s="4"/>
      <c r="G565" s="2"/>
      <c r="H565" s="2"/>
      <c r="I565" s="2"/>
      <c r="K565" s="253"/>
      <c r="L565" s="2"/>
      <c r="M565" s="2"/>
    </row>
    <row r="566" spans="1:13" ht="15.75" customHeight="1">
      <c r="A566" s="4"/>
      <c r="G566" s="2"/>
      <c r="H566" s="2"/>
      <c r="I566" s="2"/>
      <c r="K566" s="253"/>
      <c r="L566" s="2"/>
      <c r="M566" s="2"/>
    </row>
    <row r="567" spans="1:13" ht="15.75" customHeight="1">
      <c r="A567" s="4"/>
      <c r="G567" s="2"/>
      <c r="H567" s="2"/>
      <c r="I567" s="2"/>
      <c r="K567" s="253"/>
      <c r="L567" s="2"/>
      <c r="M567" s="2"/>
    </row>
    <row r="568" spans="1:13" ht="15.75" customHeight="1">
      <c r="A568" s="4"/>
      <c r="G568" s="2"/>
      <c r="H568" s="2"/>
      <c r="I568" s="2"/>
      <c r="K568" s="253"/>
      <c r="L568" s="2"/>
      <c r="M568" s="2"/>
    </row>
    <row r="569" spans="1:13" ht="15.75" customHeight="1">
      <c r="A569" s="4"/>
      <c r="G569" s="2"/>
      <c r="H569" s="2"/>
      <c r="I569" s="2"/>
      <c r="K569" s="253"/>
      <c r="L569" s="2"/>
      <c r="M569" s="2"/>
    </row>
    <row r="570" spans="1:13" ht="15.75" customHeight="1">
      <c r="A570" s="4"/>
      <c r="G570" s="2"/>
      <c r="H570" s="2"/>
      <c r="I570" s="2"/>
      <c r="K570" s="253"/>
      <c r="L570" s="2"/>
      <c r="M570" s="2"/>
    </row>
    <row r="571" spans="1:13" ht="15.75" customHeight="1">
      <c r="A571" s="4"/>
      <c r="G571" s="2"/>
      <c r="H571" s="2"/>
      <c r="I571" s="2"/>
      <c r="K571" s="253"/>
      <c r="L571" s="2"/>
      <c r="M571" s="2"/>
    </row>
    <row r="572" spans="1:13" ht="15.75" customHeight="1">
      <c r="A572" s="4"/>
      <c r="G572" s="2"/>
      <c r="H572" s="2"/>
      <c r="I572" s="2"/>
      <c r="K572" s="253"/>
      <c r="L572" s="2"/>
      <c r="M572" s="2"/>
    </row>
    <row r="573" spans="1:13" ht="15.75" customHeight="1">
      <c r="A573" s="4"/>
      <c r="G573" s="2"/>
      <c r="H573" s="2"/>
      <c r="I573" s="2"/>
      <c r="K573" s="253"/>
      <c r="L573" s="2"/>
      <c r="M573" s="2"/>
    </row>
    <row r="574" spans="1:13" ht="15.75" customHeight="1">
      <c r="A574" s="4"/>
      <c r="G574" s="2"/>
      <c r="H574" s="2"/>
      <c r="I574" s="2"/>
      <c r="K574" s="253"/>
      <c r="L574" s="2"/>
      <c r="M574" s="2"/>
    </row>
    <row r="575" spans="1:13" ht="15.75" customHeight="1">
      <c r="A575" s="4"/>
      <c r="G575" s="2"/>
      <c r="H575" s="2"/>
      <c r="I575" s="2"/>
      <c r="K575" s="253"/>
      <c r="L575" s="2"/>
      <c r="M575" s="2"/>
    </row>
    <row r="576" spans="1:13" ht="15.75" customHeight="1">
      <c r="A576" s="4"/>
      <c r="G576" s="2"/>
      <c r="H576" s="2"/>
      <c r="I576" s="2"/>
      <c r="K576" s="253"/>
      <c r="L576" s="2"/>
      <c r="M576" s="2"/>
    </row>
    <row r="577" spans="1:13" ht="15.75" customHeight="1">
      <c r="A577" s="4"/>
      <c r="G577" s="2"/>
      <c r="H577" s="2"/>
      <c r="I577" s="2"/>
      <c r="K577" s="253"/>
      <c r="L577" s="2"/>
      <c r="M577" s="2"/>
    </row>
    <row r="578" spans="1:13" ht="15.75" customHeight="1">
      <c r="A578" s="4"/>
      <c r="G578" s="2"/>
      <c r="H578" s="2"/>
      <c r="I578" s="2"/>
      <c r="K578" s="253"/>
      <c r="L578" s="2"/>
      <c r="M578" s="2"/>
    </row>
    <row r="579" spans="1:13" ht="15.75" customHeight="1">
      <c r="A579" s="4"/>
      <c r="G579" s="2"/>
      <c r="H579" s="2"/>
      <c r="I579" s="2"/>
      <c r="K579" s="253"/>
      <c r="L579" s="2"/>
      <c r="M579" s="2"/>
    </row>
    <row r="580" spans="1:13" ht="15.75" customHeight="1">
      <c r="A580" s="4"/>
      <c r="G580" s="2"/>
      <c r="H580" s="2"/>
      <c r="I580" s="2"/>
      <c r="K580" s="253"/>
      <c r="L580" s="2"/>
      <c r="M580" s="2"/>
    </row>
    <row r="581" spans="1:13" ht="15.75" customHeight="1">
      <c r="A581" s="4"/>
      <c r="G581" s="2"/>
      <c r="H581" s="2"/>
      <c r="I581" s="2"/>
      <c r="K581" s="253"/>
      <c r="L581" s="2"/>
      <c r="M581" s="2"/>
    </row>
    <row r="582" spans="1:13" ht="15.75" customHeight="1">
      <c r="A582" s="4"/>
      <c r="G582" s="2"/>
      <c r="H582" s="2"/>
      <c r="I582" s="2"/>
      <c r="K582" s="253"/>
      <c r="L582" s="2"/>
      <c r="M582" s="2"/>
    </row>
    <row r="583" spans="1:13" ht="15.75" customHeight="1">
      <c r="A583" s="4"/>
      <c r="G583" s="2"/>
      <c r="H583" s="2"/>
      <c r="I583" s="2"/>
      <c r="K583" s="253"/>
      <c r="L583" s="2"/>
      <c r="M583" s="2"/>
    </row>
    <row r="584" spans="1:13" ht="15.75" customHeight="1">
      <c r="A584" s="4"/>
      <c r="G584" s="2"/>
      <c r="H584" s="2"/>
      <c r="I584" s="2"/>
      <c r="K584" s="253"/>
      <c r="L584" s="2"/>
      <c r="M584" s="2"/>
    </row>
    <row r="585" spans="1:13" ht="15.75" customHeight="1">
      <c r="A585" s="4"/>
      <c r="G585" s="2"/>
      <c r="H585" s="2"/>
      <c r="I585" s="2"/>
      <c r="K585" s="253"/>
      <c r="L585" s="2"/>
      <c r="M585" s="2"/>
    </row>
    <row r="586" spans="1:13" ht="15.75" customHeight="1">
      <c r="A586" s="4"/>
      <c r="G586" s="2"/>
      <c r="H586" s="2"/>
      <c r="I586" s="2"/>
      <c r="K586" s="253"/>
      <c r="L586" s="2"/>
      <c r="M586" s="2"/>
    </row>
    <row r="587" spans="1:13" ht="15.75" customHeight="1">
      <c r="A587" s="4"/>
      <c r="G587" s="2"/>
      <c r="H587" s="2"/>
      <c r="I587" s="2"/>
      <c r="K587" s="253"/>
      <c r="L587" s="2"/>
      <c r="M587" s="2"/>
    </row>
    <row r="588" spans="1:13" ht="15.75" customHeight="1">
      <c r="A588" s="4"/>
      <c r="G588" s="2"/>
      <c r="H588" s="2"/>
      <c r="I588" s="2"/>
      <c r="K588" s="253"/>
      <c r="L588" s="2"/>
      <c r="M588" s="2"/>
    </row>
    <row r="589" spans="1:13" ht="15.75" customHeight="1">
      <c r="A589" s="4"/>
      <c r="G589" s="2"/>
      <c r="H589" s="2"/>
      <c r="I589" s="2"/>
      <c r="K589" s="253"/>
      <c r="L589" s="2"/>
      <c r="M589" s="2"/>
    </row>
    <row r="590" spans="1:13" ht="15.75" customHeight="1">
      <c r="A590" s="4"/>
      <c r="G590" s="2"/>
      <c r="H590" s="2"/>
      <c r="I590" s="2"/>
      <c r="K590" s="253"/>
      <c r="L590" s="2"/>
      <c r="M590" s="2"/>
    </row>
    <row r="591" spans="1:13" ht="15.75" customHeight="1">
      <c r="A591" s="4"/>
      <c r="G591" s="2"/>
      <c r="H591" s="2"/>
      <c r="I591" s="2"/>
      <c r="K591" s="253"/>
      <c r="L591" s="2"/>
      <c r="M591" s="2"/>
    </row>
    <row r="592" spans="1:13" ht="15.75" customHeight="1">
      <c r="A592" s="4"/>
      <c r="G592" s="2"/>
      <c r="H592" s="2"/>
      <c r="I592" s="2"/>
      <c r="K592" s="253"/>
      <c r="L592" s="2"/>
      <c r="M592" s="2"/>
    </row>
    <row r="593" spans="1:13" ht="15.75" customHeight="1">
      <c r="A593" s="4"/>
      <c r="G593" s="2"/>
      <c r="H593" s="2"/>
      <c r="I593" s="2"/>
      <c r="K593" s="253"/>
      <c r="L593" s="2"/>
      <c r="M593" s="2"/>
    </row>
    <row r="594" spans="1:13" ht="15.75" customHeight="1">
      <c r="A594" s="4"/>
      <c r="G594" s="2"/>
      <c r="H594" s="2"/>
      <c r="I594" s="2"/>
      <c r="K594" s="253"/>
      <c r="L594" s="2"/>
      <c r="M594" s="2"/>
    </row>
    <row r="595" spans="1:13" ht="15.75" customHeight="1">
      <c r="A595" s="4"/>
      <c r="G595" s="2"/>
      <c r="H595" s="2"/>
      <c r="I595" s="2"/>
      <c r="K595" s="253"/>
      <c r="L595" s="2"/>
      <c r="M595" s="2"/>
    </row>
    <row r="596" spans="1:13" ht="15.75" customHeight="1">
      <c r="A596" s="4"/>
      <c r="G596" s="2"/>
      <c r="H596" s="2"/>
      <c r="I596" s="2"/>
      <c r="K596" s="253"/>
      <c r="L596" s="2"/>
      <c r="M596" s="2"/>
    </row>
    <row r="597" spans="1:13" ht="15.75" customHeight="1">
      <c r="A597" s="4"/>
      <c r="G597" s="2"/>
      <c r="H597" s="2"/>
      <c r="I597" s="2"/>
      <c r="K597" s="253"/>
      <c r="L597" s="2"/>
      <c r="M597" s="2"/>
    </row>
    <row r="598" spans="1:13" ht="15.75" customHeight="1">
      <c r="A598" s="4"/>
      <c r="G598" s="2"/>
      <c r="H598" s="2"/>
      <c r="I598" s="2"/>
      <c r="K598" s="253"/>
      <c r="L598" s="2"/>
      <c r="M598" s="2"/>
    </row>
    <row r="599" spans="1:13" ht="15.75" customHeight="1">
      <c r="A599" s="4"/>
      <c r="G599" s="2"/>
      <c r="H599" s="2"/>
      <c r="I599" s="2"/>
      <c r="K599" s="253"/>
      <c r="L599" s="2"/>
      <c r="M599" s="2"/>
    </row>
    <row r="600" spans="1:13" ht="15.75" customHeight="1">
      <c r="A600" s="4"/>
      <c r="G600" s="2"/>
      <c r="H600" s="2"/>
      <c r="I600" s="2"/>
      <c r="K600" s="253"/>
      <c r="L600" s="2"/>
      <c r="M600" s="2"/>
    </row>
    <row r="601" spans="1:13" ht="15.75" customHeight="1">
      <c r="A601" s="4"/>
      <c r="G601" s="2"/>
      <c r="H601" s="2"/>
      <c r="I601" s="2"/>
      <c r="K601" s="253"/>
      <c r="L601" s="2"/>
      <c r="M601" s="2"/>
    </row>
    <row r="602" spans="1:13" ht="15.75" customHeight="1">
      <c r="A602" s="4"/>
      <c r="G602" s="2"/>
      <c r="H602" s="2"/>
      <c r="I602" s="2"/>
      <c r="K602" s="253"/>
      <c r="L602" s="2"/>
      <c r="M602" s="2"/>
    </row>
    <row r="603" spans="1:13" ht="15.75" customHeight="1">
      <c r="A603" s="4"/>
      <c r="G603" s="2"/>
      <c r="H603" s="2"/>
      <c r="I603" s="2"/>
      <c r="K603" s="253"/>
      <c r="L603" s="2"/>
      <c r="M603" s="2"/>
    </row>
    <row r="604" spans="1:13" ht="15.75" customHeight="1">
      <c r="A604" s="4"/>
      <c r="G604" s="2"/>
      <c r="H604" s="2"/>
      <c r="I604" s="2"/>
      <c r="K604" s="253"/>
      <c r="L604" s="2"/>
      <c r="M604" s="2"/>
    </row>
    <row r="605" spans="1:13" ht="15.75" customHeight="1">
      <c r="A605" s="4"/>
      <c r="G605" s="2"/>
      <c r="H605" s="2"/>
      <c r="I605" s="2"/>
      <c r="K605" s="253"/>
      <c r="L605" s="2"/>
      <c r="M605" s="2"/>
    </row>
    <row r="606" spans="1:13" ht="15.75" customHeight="1">
      <c r="A606" s="4"/>
      <c r="G606" s="2"/>
      <c r="H606" s="2"/>
      <c r="I606" s="2"/>
      <c r="K606" s="253"/>
      <c r="L606" s="2"/>
      <c r="M606" s="2"/>
    </row>
    <row r="607" spans="1:13" ht="15.75" customHeight="1">
      <c r="A607" s="4"/>
      <c r="G607" s="2"/>
      <c r="H607" s="2"/>
      <c r="I607" s="2"/>
      <c r="K607" s="253"/>
      <c r="L607" s="2"/>
      <c r="M607" s="2"/>
    </row>
    <row r="608" spans="1:13" ht="15.75" customHeight="1">
      <c r="A608" s="4"/>
      <c r="G608" s="2"/>
      <c r="H608" s="2"/>
      <c r="I608" s="2"/>
      <c r="K608" s="253"/>
      <c r="L608" s="2"/>
      <c r="M608" s="2"/>
    </row>
    <row r="609" spans="1:13" ht="15.75" customHeight="1">
      <c r="A609" s="4"/>
      <c r="G609" s="2"/>
      <c r="H609" s="2"/>
      <c r="I609" s="2"/>
      <c r="K609" s="253"/>
      <c r="L609" s="2"/>
      <c r="M609" s="2"/>
    </row>
    <row r="610" spans="1:13" ht="15.75" customHeight="1">
      <c r="A610" s="4"/>
      <c r="G610" s="2"/>
      <c r="H610" s="2"/>
      <c r="I610" s="2"/>
      <c r="K610" s="253"/>
      <c r="L610" s="2"/>
      <c r="M610" s="2"/>
    </row>
    <row r="611" spans="1:13" ht="15.75" customHeight="1">
      <c r="A611" s="4"/>
      <c r="G611" s="2"/>
      <c r="H611" s="2"/>
      <c r="I611" s="2"/>
      <c r="K611" s="253"/>
      <c r="L611" s="2"/>
      <c r="M611" s="2"/>
    </row>
    <row r="612" spans="1:13" ht="15.75" customHeight="1">
      <c r="A612" s="4"/>
      <c r="G612" s="2"/>
      <c r="H612" s="2"/>
      <c r="I612" s="2"/>
      <c r="K612" s="253"/>
      <c r="L612" s="2"/>
      <c r="M612" s="2"/>
    </row>
    <row r="613" spans="1:13" ht="15.75" customHeight="1">
      <c r="A613" s="4"/>
      <c r="G613" s="2"/>
      <c r="H613" s="2"/>
      <c r="I613" s="2"/>
      <c r="K613" s="253"/>
      <c r="L613" s="2"/>
      <c r="M613" s="2"/>
    </row>
    <row r="614" spans="1:13" ht="15.75" customHeight="1">
      <c r="A614" s="4"/>
      <c r="G614" s="2"/>
      <c r="H614" s="2"/>
      <c r="I614" s="2"/>
      <c r="K614" s="253"/>
      <c r="L614" s="2"/>
      <c r="M614" s="2"/>
    </row>
    <row r="615" spans="1:13" ht="15.75" customHeight="1">
      <c r="A615" s="4"/>
      <c r="G615" s="2"/>
      <c r="H615" s="2"/>
      <c r="I615" s="2"/>
      <c r="K615" s="253"/>
      <c r="L615" s="2"/>
      <c r="M615" s="2"/>
    </row>
    <row r="616" spans="1:13" ht="15.75" customHeight="1">
      <c r="A616" s="4"/>
      <c r="G616" s="2"/>
      <c r="H616" s="2"/>
      <c r="I616" s="2"/>
      <c r="K616" s="253"/>
      <c r="L616" s="2"/>
      <c r="M616" s="2"/>
    </row>
    <row r="617" spans="1:13" ht="15.75" customHeight="1">
      <c r="A617" s="4"/>
      <c r="G617" s="2"/>
      <c r="H617" s="2"/>
      <c r="I617" s="2"/>
      <c r="K617" s="253"/>
      <c r="L617" s="2"/>
      <c r="M617" s="2"/>
    </row>
    <row r="618" spans="1:13" ht="15.75" customHeight="1">
      <c r="A618" s="4"/>
      <c r="G618" s="2"/>
      <c r="H618" s="2"/>
      <c r="I618" s="2"/>
      <c r="K618" s="253"/>
      <c r="L618" s="2"/>
      <c r="M618" s="2"/>
    </row>
    <row r="619" spans="1:13" ht="15.75" customHeight="1">
      <c r="A619" s="4"/>
      <c r="G619" s="2"/>
      <c r="H619" s="2"/>
      <c r="I619" s="2"/>
      <c r="K619" s="253"/>
      <c r="L619" s="2"/>
      <c r="M619" s="2"/>
    </row>
    <row r="620" spans="1:13" ht="15.75" customHeight="1">
      <c r="A620" s="4"/>
      <c r="G620" s="2"/>
      <c r="H620" s="2"/>
      <c r="I620" s="2"/>
      <c r="K620" s="253"/>
      <c r="L620" s="2"/>
      <c r="M620" s="2"/>
    </row>
    <row r="621" spans="1:13" ht="15.75" customHeight="1">
      <c r="A621" s="4"/>
      <c r="G621" s="2"/>
      <c r="H621" s="2"/>
      <c r="I621" s="2"/>
      <c r="K621" s="253"/>
      <c r="L621" s="2"/>
      <c r="M621" s="2"/>
    </row>
    <row r="622" spans="1:13" ht="15.75" customHeight="1">
      <c r="A622" s="4"/>
      <c r="G622" s="2"/>
      <c r="H622" s="2"/>
      <c r="I622" s="2"/>
      <c r="K622" s="253"/>
      <c r="L622" s="2"/>
      <c r="M622" s="2"/>
    </row>
    <row r="623" spans="1:13" ht="15.75" customHeight="1">
      <c r="A623" s="4"/>
      <c r="G623" s="2"/>
      <c r="H623" s="2"/>
      <c r="I623" s="2"/>
      <c r="K623" s="253"/>
      <c r="L623" s="2"/>
      <c r="M623" s="2"/>
    </row>
    <row r="624" spans="1:13" ht="15.75" customHeight="1">
      <c r="A624" s="4"/>
      <c r="G624" s="2"/>
      <c r="H624" s="2"/>
      <c r="I624" s="2"/>
      <c r="K624" s="253"/>
      <c r="L624" s="2"/>
      <c r="M624" s="2"/>
    </row>
    <row r="625" spans="1:13" ht="15.75" customHeight="1">
      <c r="A625" s="4"/>
      <c r="G625" s="2"/>
      <c r="H625" s="2"/>
      <c r="I625" s="2"/>
      <c r="K625" s="253"/>
      <c r="L625" s="2"/>
      <c r="M625" s="2"/>
    </row>
    <row r="626" spans="1:13" ht="15.75" customHeight="1">
      <c r="A626" s="4"/>
      <c r="G626" s="2"/>
      <c r="H626" s="2"/>
      <c r="I626" s="2"/>
      <c r="K626" s="253"/>
      <c r="L626" s="2"/>
      <c r="M626" s="2"/>
    </row>
    <row r="627" spans="1:13" ht="15.75" customHeight="1">
      <c r="A627" s="4"/>
      <c r="G627" s="2"/>
      <c r="H627" s="2"/>
      <c r="I627" s="2"/>
      <c r="K627" s="253"/>
      <c r="L627" s="2"/>
      <c r="M627" s="2"/>
    </row>
    <row r="628" spans="1:13" ht="15.75" customHeight="1">
      <c r="A628" s="4"/>
      <c r="G628" s="2"/>
      <c r="H628" s="2"/>
      <c r="I628" s="2"/>
      <c r="K628" s="253"/>
      <c r="L628" s="2"/>
      <c r="M628" s="2"/>
    </row>
    <row r="629" spans="1:13" ht="15.75" customHeight="1">
      <c r="A629" s="4"/>
      <c r="G629" s="2"/>
      <c r="H629" s="2"/>
      <c r="I629" s="2"/>
      <c r="K629" s="253"/>
      <c r="L629" s="2"/>
      <c r="M629" s="2"/>
    </row>
    <row r="630" spans="1:13" ht="15.75" customHeight="1">
      <c r="A630" s="4"/>
      <c r="G630" s="2"/>
      <c r="H630" s="2"/>
      <c r="I630" s="2"/>
      <c r="K630" s="253"/>
      <c r="L630" s="2"/>
      <c r="M630" s="2"/>
    </row>
    <row r="631" spans="1:13" ht="15.75" customHeight="1">
      <c r="A631" s="4"/>
      <c r="G631" s="2"/>
      <c r="H631" s="2"/>
      <c r="I631" s="2"/>
      <c r="K631" s="253"/>
      <c r="L631" s="2"/>
      <c r="M631" s="2"/>
    </row>
    <row r="632" spans="1:13" ht="15.75" customHeight="1">
      <c r="A632" s="4"/>
      <c r="G632" s="2"/>
      <c r="H632" s="2"/>
      <c r="I632" s="2"/>
      <c r="K632" s="253"/>
      <c r="L632" s="2"/>
      <c r="M632" s="2"/>
    </row>
    <row r="633" spans="1:13" ht="15.75" customHeight="1">
      <c r="A633" s="4"/>
      <c r="G633" s="2"/>
      <c r="H633" s="2"/>
      <c r="I633" s="2"/>
      <c r="K633" s="253"/>
      <c r="L633" s="2"/>
      <c r="M633" s="2"/>
    </row>
    <row r="634" spans="1:13" ht="15.75" customHeight="1">
      <c r="A634" s="4"/>
      <c r="G634" s="2"/>
      <c r="H634" s="2"/>
      <c r="I634" s="2"/>
      <c r="K634" s="253"/>
      <c r="L634" s="2"/>
      <c r="M634" s="2"/>
    </row>
    <row r="635" spans="1:13" ht="15.75" customHeight="1">
      <c r="A635" s="4"/>
      <c r="G635" s="2"/>
      <c r="H635" s="2"/>
      <c r="I635" s="2"/>
      <c r="K635" s="253"/>
      <c r="L635" s="2"/>
      <c r="M635" s="2"/>
    </row>
    <row r="636" spans="1:13" ht="15.75" customHeight="1">
      <c r="A636" s="4"/>
      <c r="G636" s="2"/>
      <c r="H636" s="2"/>
      <c r="I636" s="2"/>
      <c r="K636" s="253"/>
      <c r="L636" s="2"/>
      <c r="M636" s="2"/>
    </row>
    <row r="637" spans="1:13" ht="15.75" customHeight="1">
      <c r="A637" s="4"/>
      <c r="G637" s="2"/>
      <c r="H637" s="2"/>
      <c r="I637" s="2"/>
      <c r="K637" s="253"/>
      <c r="L637" s="2"/>
      <c r="M637" s="2"/>
    </row>
    <row r="638" spans="1:13" ht="15.75" customHeight="1">
      <c r="A638" s="4"/>
      <c r="G638" s="2"/>
      <c r="H638" s="2"/>
      <c r="I638" s="2"/>
      <c r="K638" s="253"/>
      <c r="L638" s="2"/>
      <c r="M638" s="2"/>
    </row>
    <row r="639" spans="1:13" ht="15.75" customHeight="1">
      <c r="A639" s="4"/>
      <c r="G639" s="2"/>
      <c r="H639" s="2"/>
      <c r="I639" s="2"/>
      <c r="K639" s="253"/>
      <c r="L639" s="2"/>
      <c r="M639" s="2"/>
    </row>
    <row r="640" spans="1:13" ht="15.75" customHeight="1">
      <c r="A640" s="4"/>
      <c r="G640" s="2"/>
      <c r="H640" s="2"/>
      <c r="I640" s="2"/>
      <c r="K640" s="253"/>
      <c r="L640" s="2"/>
      <c r="M640" s="2"/>
    </row>
    <row r="641" spans="1:13" ht="15.75" customHeight="1">
      <c r="A641" s="4"/>
      <c r="G641" s="2"/>
      <c r="H641" s="2"/>
      <c r="I641" s="2"/>
      <c r="K641" s="253"/>
      <c r="L641" s="2"/>
      <c r="M641" s="2"/>
    </row>
    <row r="642" spans="1:13" ht="15.75" customHeight="1">
      <c r="A642" s="4"/>
      <c r="G642" s="2"/>
      <c r="H642" s="2"/>
      <c r="I642" s="2"/>
      <c r="K642" s="253"/>
      <c r="L642" s="2"/>
      <c r="M642" s="2"/>
    </row>
    <row r="643" spans="1:13" ht="15.75" customHeight="1">
      <c r="A643" s="4"/>
      <c r="G643" s="2"/>
      <c r="H643" s="2"/>
      <c r="I643" s="2"/>
      <c r="K643" s="253"/>
      <c r="L643" s="2"/>
      <c r="M643" s="2"/>
    </row>
    <row r="644" spans="1:13" ht="15.75" customHeight="1">
      <c r="A644" s="4"/>
      <c r="G644" s="2"/>
      <c r="H644" s="2"/>
      <c r="I644" s="2"/>
      <c r="K644" s="253"/>
      <c r="L644" s="2"/>
      <c r="M644" s="2"/>
    </row>
    <row r="645" spans="1:13" ht="15.75" customHeight="1">
      <c r="A645" s="4"/>
      <c r="G645" s="2"/>
      <c r="H645" s="2"/>
      <c r="I645" s="2"/>
      <c r="K645" s="253"/>
      <c r="L645" s="2"/>
      <c r="M645" s="2"/>
    </row>
    <row r="646" spans="1:13" ht="15.75" customHeight="1">
      <c r="A646" s="4"/>
      <c r="G646" s="2"/>
      <c r="H646" s="2"/>
      <c r="I646" s="2"/>
      <c r="K646" s="253"/>
      <c r="L646" s="2"/>
      <c r="M646" s="2"/>
    </row>
    <row r="647" spans="1:13" ht="15.75" customHeight="1">
      <c r="A647" s="4"/>
      <c r="G647" s="2"/>
      <c r="H647" s="2"/>
      <c r="I647" s="2"/>
      <c r="K647" s="253"/>
      <c r="L647" s="2"/>
      <c r="M647" s="2"/>
    </row>
    <row r="648" spans="1:13" ht="15.75" customHeight="1">
      <c r="A648" s="4"/>
      <c r="G648" s="2"/>
      <c r="H648" s="2"/>
      <c r="I648" s="2"/>
      <c r="K648" s="253"/>
      <c r="L648" s="2"/>
      <c r="M648" s="2"/>
    </row>
    <row r="649" spans="1:13" ht="15.75" customHeight="1">
      <c r="A649" s="4"/>
      <c r="G649" s="2"/>
      <c r="H649" s="2"/>
      <c r="I649" s="2"/>
      <c r="K649" s="253"/>
      <c r="L649" s="2"/>
      <c r="M649" s="2"/>
    </row>
    <row r="650" spans="1:13" ht="15.75" customHeight="1">
      <c r="A650" s="4"/>
      <c r="G650" s="2"/>
      <c r="H650" s="2"/>
      <c r="I650" s="2"/>
      <c r="K650" s="253"/>
      <c r="L650" s="2"/>
      <c r="M650" s="2"/>
    </row>
    <row r="651" spans="1:13" ht="15.75" customHeight="1">
      <c r="A651" s="4"/>
      <c r="G651" s="2"/>
      <c r="H651" s="2"/>
      <c r="I651" s="2"/>
      <c r="K651" s="253"/>
      <c r="L651" s="2"/>
      <c r="M651" s="2"/>
    </row>
    <row r="652" spans="1:13" ht="15.75" customHeight="1">
      <c r="A652" s="4"/>
      <c r="G652" s="2"/>
      <c r="H652" s="2"/>
      <c r="I652" s="2"/>
      <c r="K652" s="253"/>
      <c r="L652" s="2"/>
      <c r="M652" s="2"/>
    </row>
    <row r="653" spans="1:13" ht="15.75" customHeight="1">
      <c r="A653" s="4"/>
      <c r="G653" s="2"/>
      <c r="H653" s="2"/>
      <c r="I653" s="2"/>
      <c r="K653" s="253"/>
      <c r="L653" s="2"/>
      <c r="M653" s="2"/>
    </row>
    <row r="654" spans="1:13" ht="15.75" customHeight="1">
      <c r="A654" s="4"/>
      <c r="G654" s="2"/>
      <c r="H654" s="2"/>
      <c r="I654" s="2"/>
      <c r="K654" s="253"/>
      <c r="L654" s="2"/>
      <c r="M654" s="2"/>
    </row>
    <row r="655" spans="1:13" ht="15.75" customHeight="1">
      <c r="A655" s="4"/>
      <c r="G655" s="2"/>
      <c r="H655" s="2"/>
      <c r="I655" s="2"/>
      <c r="K655" s="253"/>
      <c r="L655" s="2"/>
      <c r="M655" s="2"/>
    </row>
    <row r="656" spans="1:13" ht="15.75" customHeight="1">
      <c r="A656" s="4"/>
      <c r="G656" s="2"/>
      <c r="H656" s="2"/>
      <c r="I656" s="2"/>
      <c r="K656" s="253"/>
      <c r="L656" s="2"/>
      <c r="M656" s="2"/>
    </row>
    <row r="657" spans="1:13" ht="15.75" customHeight="1">
      <c r="A657" s="4"/>
      <c r="G657" s="2"/>
      <c r="H657" s="2"/>
      <c r="I657" s="2"/>
      <c r="K657" s="253"/>
      <c r="L657" s="2"/>
      <c r="M657" s="2"/>
    </row>
    <row r="658" spans="1:13" ht="15.75" customHeight="1">
      <c r="A658" s="4"/>
      <c r="G658" s="2"/>
      <c r="H658" s="2"/>
      <c r="I658" s="2"/>
      <c r="K658" s="253"/>
      <c r="L658" s="2"/>
      <c r="M658" s="2"/>
    </row>
    <row r="659" spans="1:13" ht="15.75" customHeight="1">
      <c r="A659" s="4"/>
      <c r="G659" s="2"/>
      <c r="H659" s="2"/>
      <c r="I659" s="2"/>
      <c r="K659" s="253"/>
      <c r="L659" s="2"/>
      <c r="M659" s="2"/>
    </row>
    <row r="660" spans="1:13" ht="15.75" customHeight="1">
      <c r="A660" s="4"/>
      <c r="G660" s="2"/>
      <c r="H660" s="2"/>
      <c r="I660" s="2"/>
      <c r="K660" s="253"/>
      <c r="L660" s="2"/>
      <c r="M660" s="2"/>
    </row>
    <row r="661" spans="1:13" ht="15.75" customHeight="1">
      <c r="A661" s="4"/>
      <c r="G661" s="2"/>
      <c r="H661" s="2"/>
      <c r="I661" s="2"/>
      <c r="K661" s="253"/>
      <c r="L661" s="2"/>
      <c r="M661" s="2"/>
    </row>
    <row r="662" spans="1:13" ht="15.75" customHeight="1">
      <c r="A662" s="4"/>
      <c r="G662" s="2"/>
      <c r="H662" s="2"/>
      <c r="I662" s="2"/>
      <c r="K662" s="253"/>
      <c r="L662" s="2"/>
      <c r="M662" s="2"/>
    </row>
    <row r="663" spans="1:13" ht="15.75" customHeight="1">
      <c r="A663" s="4"/>
      <c r="G663" s="2"/>
      <c r="H663" s="2"/>
      <c r="I663" s="2"/>
      <c r="K663" s="253"/>
      <c r="L663" s="2"/>
      <c r="M663" s="2"/>
    </row>
    <row r="664" spans="1:13" ht="15.75" customHeight="1">
      <c r="A664" s="4"/>
      <c r="G664" s="2"/>
      <c r="H664" s="2"/>
      <c r="I664" s="2"/>
      <c r="K664" s="253"/>
      <c r="L664" s="2"/>
      <c r="M664" s="2"/>
    </row>
    <row r="665" spans="1:13" ht="15.75" customHeight="1">
      <c r="A665" s="4"/>
      <c r="G665" s="2"/>
      <c r="H665" s="2"/>
      <c r="I665" s="2"/>
      <c r="K665" s="253"/>
      <c r="L665" s="2"/>
      <c r="M665" s="2"/>
    </row>
    <row r="666" spans="1:13" ht="15.75" customHeight="1">
      <c r="A666" s="4"/>
      <c r="G666" s="2"/>
      <c r="H666" s="2"/>
      <c r="I666" s="2"/>
      <c r="K666" s="253"/>
      <c r="L666" s="2"/>
      <c r="M666" s="2"/>
    </row>
    <row r="667" spans="1:13" ht="15.75" customHeight="1">
      <c r="A667" s="4"/>
      <c r="G667" s="2"/>
      <c r="H667" s="2"/>
      <c r="I667" s="2"/>
      <c r="K667" s="253"/>
      <c r="L667" s="2"/>
      <c r="M667" s="2"/>
    </row>
    <row r="668" spans="1:13" ht="15.75" customHeight="1">
      <c r="A668" s="4"/>
      <c r="G668" s="2"/>
      <c r="H668" s="2"/>
      <c r="I668" s="2"/>
      <c r="K668" s="253"/>
      <c r="L668" s="2"/>
      <c r="M668" s="2"/>
    </row>
    <row r="669" spans="1:13" ht="15.75" customHeight="1">
      <c r="A669" s="4"/>
      <c r="G669" s="2"/>
      <c r="H669" s="2"/>
      <c r="I669" s="2"/>
      <c r="K669" s="253"/>
      <c r="L669" s="2"/>
      <c r="M669" s="2"/>
    </row>
    <row r="670" spans="1:13" ht="15.75" customHeight="1">
      <c r="A670" s="4"/>
      <c r="G670" s="2"/>
      <c r="H670" s="2"/>
      <c r="I670" s="2"/>
      <c r="K670" s="253"/>
      <c r="L670" s="2"/>
      <c r="M670" s="2"/>
    </row>
    <row r="671" spans="1:13" ht="15.75" customHeight="1">
      <c r="A671" s="4"/>
      <c r="G671" s="2"/>
      <c r="H671" s="2"/>
      <c r="I671" s="2"/>
      <c r="K671" s="253"/>
      <c r="L671" s="2"/>
      <c r="M671" s="2"/>
    </row>
    <row r="672" spans="1:13" ht="15.75" customHeight="1">
      <c r="A672" s="4"/>
      <c r="G672" s="2"/>
      <c r="H672" s="2"/>
      <c r="I672" s="2"/>
      <c r="K672" s="253"/>
      <c r="L672" s="2"/>
      <c r="M672" s="2"/>
    </row>
    <row r="673" spans="1:13" ht="15.75" customHeight="1">
      <c r="A673" s="4"/>
      <c r="G673" s="2"/>
      <c r="H673" s="2"/>
      <c r="I673" s="2"/>
      <c r="K673" s="253"/>
      <c r="L673" s="2"/>
      <c r="M673" s="2"/>
    </row>
    <row r="674" spans="1:13" ht="15.75" customHeight="1">
      <c r="A674" s="4"/>
      <c r="G674" s="2"/>
      <c r="H674" s="2"/>
      <c r="I674" s="2"/>
      <c r="K674" s="253"/>
      <c r="L674" s="2"/>
      <c r="M674" s="2"/>
    </row>
    <row r="675" spans="1:13" ht="15.75" customHeight="1">
      <c r="A675" s="4"/>
      <c r="G675" s="2"/>
      <c r="H675" s="2"/>
      <c r="I675" s="2"/>
      <c r="K675" s="253"/>
      <c r="L675" s="2"/>
      <c r="M675" s="2"/>
    </row>
    <row r="676" spans="1:13" ht="15.75" customHeight="1">
      <c r="A676" s="4"/>
      <c r="G676" s="2"/>
      <c r="H676" s="2"/>
      <c r="I676" s="2"/>
      <c r="K676" s="253"/>
      <c r="L676" s="2"/>
      <c r="M676" s="2"/>
    </row>
    <row r="677" spans="1:13" ht="15.75" customHeight="1">
      <c r="A677" s="4"/>
      <c r="G677" s="2"/>
      <c r="H677" s="2"/>
      <c r="I677" s="2"/>
      <c r="K677" s="253"/>
      <c r="L677" s="2"/>
      <c r="M677" s="2"/>
    </row>
    <row r="678" spans="1:13" ht="15.75" customHeight="1">
      <c r="A678" s="4"/>
      <c r="G678" s="2"/>
      <c r="H678" s="2"/>
      <c r="I678" s="2"/>
      <c r="K678" s="253"/>
      <c r="L678" s="2"/>
      <c r="M678" s="2"/>
    </row>
    <row r="679" spans="1:13" ht="15.75" customHeight="1">
      <c r="A679" s="4"/>
      <c r="G679" s="2"/>
      <c r="H679" s="2"/>
      <c r="I679" s="2"/>
      <c r="K679" s="253"/>
      <c r="L679" s="2"/>
      <c r="M679" s="2"/>
    </row>
    <row r="680" spans="1:13" ht="15.75" customHeight="1">
      <c r="A680" s="4"/>
      <c r="G680" s="2"/>
      <c r="H680" s="2"/>
      <c r="I680" s="2"/>
      <c r="K680" s="253"/>
      <c r="L680" s="2"/>
      <c r="M680" s="2"/>
    </row>
    <row r="681" spans="1:13" ht="15.75" customHeight="1">
      <c r="A681" s="4"/>
      <c r="G681" s="2"/>
      <c r="H681" s="2"/>
      <c r="I681" s="2"/>
      <c r="K681" s="253"/>
      <c r="L681" s="2"/>
      <c r="M681" s="2"/>
    </row>
    <row r="682" spans="1:13" ht="15.75" customHeight="1">
      <c r="A682" s="4"/>
      <c r="G682" s="2"/>
      <c r="H682" s="2"/>
      <c r="I682" s="2"/>
      <c r="K682" s="253"/>
      <c r="L682" s="2"/>
      <c r="M682" s="2"/>
    </row>
    <row r="683" spans="1:13" ht="15.75" customHeight="1">
      <c r="A683" s="4"/>
      <c r="G683" s="2"/>
      <c r="H683" s="2"/>
      <c r="I683" s="2"/>
      <c r="K683" s="253"/>
      <c r="L683" s="2"/>
      <c r="M683" s="2"/>
    </row>
    <row r="684" spans="1:13" ht="15.75" customHeight="1">
      <c r="A684" s="4"/>
      <c r="G684" s="2"/>
      <c r="H684" s="2"/>
      <c r="I684" s="2"/>
      <c r="K684" s="253"/>
      <c r="L684" s="2"/>
      <c r="M684" s="2"/>
    </row>
    <row r="685" spans="1:13" ht="15.75" customHeight="1">
      <c r="A685" s="4"/>
      <c r="G685" s="2"/>
      <c r="H685" s="2"/>
      <c r="I685" s="2"/>
      <c r="K685" s="253"/>
      <c r="L685" s="2"/>
      <c r="M685" s="2"/>
    </row>
    <row r="686" spans="1:13" ht="15.75" customHeight="1">
      <c r="A686" s="4"/>
      <c r="G686" s="2"/>
      <c r="H686" s="2"/>
      <c r="I686" s="2"/>
      <c r="K686" s="253"/>
      <c r="L686" s="2"/>
      <c r="M686" s="2"/>
    </row>
    <row r="687" spans="1:13" ht="15.75" customHeight="1">
      <c r="A687" s="4"/>
      <c r="G687" s="2"/>
      <c r="H687" s="2"/>
      <c r="I687" s="2"/>
      <c r="K687" s="253"/>
      <c r="L687" s="2"/>
      <c r="M687" s="2"/>
    </row>
    <row r="688" spans="1:13" ht="15.75" customHeight="1">
      <c r="A688" s="4"/>
      <c r="G688" s="2"/>
      <c r="H688" s="2"/>
      <c r="I688" s="2"/>
      <c r="K688" s="253"/>
      <c r="L688" s="2"/>
      <c r="M688" s="2"/>
    </row>
    <row r="689" spans="1:13" ht="15.75" customHeight="1">
      <c r="A689" s="4"/>
      <c r="G689" s="2"/>
      <c r="H689" s="2"/>
      <c r="I689" s="2"/>
      <c r="K689" s="253"/>
      <c r="L689" s="2"/>
      <c r="M689" s="2"/>
    </row>
    <row r="690" spans="1:13" ht="15.75" customHeight="1">
      <c r="A690" s="4"/>
      <c r="G690" s="2"/>
      <c r="H690" s="2"/>
      <c r="I690" s="2"/>
      <c r="K690" s="253"/>
      <c r="L690" s="2"/>
      <c r="M690" s="2"/>
    </row>
    <row r="691" spans="1:13" ht="15.75" customHeight="1">
      <c r="A691" s="4"/>
      <c r="G691" s="2"/>
      <c r="H691" s="2"/>
      <c r="I691" s="2"/>
      <c r="K691" s="253"/>
      <c r="L691" s="2"/>
      <c r="M691" s="2"/>
    </row>
    <row r="692" spans="1:13" ht="15.75" customHeight="1">
      <c r="A692" s="4"/>
      <c r="G692" s="2"/>
      <c r="H692" s="2"/>
      <c r="I692" s="2"/>
      <c r="K692" s="253"/>
      <c r="L692" s="2"/>
      <c r="M692" s="2"/>
    </row>
    <row r="693" spans="1:13" ht="15.75" customHeight="1">
      <c r="A693" s="4"/>
      <c r="G693" s="2"/>
      <c r="H693" s="2"/>
      <c r="I693" s="2"/>
      <c r="K693" s="253"/>
      <c r="L693" s="2"/>
      <c r="M693" s="2"/>
    </row>
    <row r="694" spans="1:13" ht="15.75" customHeight="1">
      <c r="A694" s="4"/>
      <c r="G694" s="2"/>
      <c r="H694" s="2"/>
      <c r="I694" s="2"/>
      <c r="K694" s="253"/>
      <c r="L694" s="2"/>
      <c r="M694" s="2"/>
    </row>
    <row r="695" spans="1:13" ht="15.75" customHeight="1">
      <c r="A695" s="4"/>
      <c r="G695" s="2"/>
      <c r="H695" s="2"/>
      <c r="I695" s="2"/>
      <c r="K695" s="253"/>
      <c r="L695" s="2"/>
      <c r="M695" s="2"/>
    </row>
    <row r="696" spans="1:13" ht="15.75" customHeight="1">
      <c r="A696" s="4"/>
      <c r="G696" s="2"/>
      <c r="H696" s="2"/>
      <c r="I696" s="2"/>
      <c r="K696" s="253"/>
      <c r="L696" s="2"/>
      <c r="M696" s="2"/>
    </row>
    <row r="697" spans="1:13" ht="15.75" customHeight="1">
      <c r="A697" s="4"/>
      <c r="G697" s="2"/>
      <c r="H697" s="2"/>
      <c r="I697" s="2"/>
      <c r="K697" s="253"/>
      <c r="L697" s="2"/>
      <c r="M697" s="2"/>
    </row>
    <row r="698" spans="1:13" ht="15.75" customHeight="1">
      <c r="A698" s="4"/>
      <c r="G698" s="2"/>
      <c r="H698" s="2"/>
      <c r="I698" s="2"/>
      <c r="K698" s="253"/>
      <c r="L698" s="2"/>
      <c r="M698" s="2"/>
    </row>
    <row r="699" spans="1:13" ht="15.75" customHeight="1">
      <c r="A699" s="4"/>
      <c r="G699" s="2"/>
      <c r="H699" s="2"/>
      <c r="I699" s="2"/>
      <c r="K699" s="253"/>
      <c r="L699" s="2"/>
      <c r="M699" s="2"/>
    </row>
    <row r="700" spans="1:13" ht="15.75" customHeight="1">
      <c r="A700" s="4"/>
      <c r="G700" s="2"/>
      <c r="H700" s="2"/>
      <c r="I700" s="2"/>
      <c r="K700" s="253"/>
      <c r="L700" s="2"/>
      <c r="M700" s="2"/>
    </row>
    <row r="701" spans="1:13" ht="15.75" customHeight="1">
      <c r="A701" s="4"/>
      <c r="G701" s="2"/>
      <c r="H701" s="2"/>
      <c r="I701" s="2"/>
      <c r="K701" s="253"/>
      <c r="L701" s="2"/>
      <c r="M701" s="2"/>
    </row>
    <row r="702" spans="1:13" ht="15.75" customHeight="1">
      <c r="A702" s="4"/>
      <c r="G702" s="2"/>
      <c r="H702" s="2"/>
      <c r="I702" s="2"/>
      <c r="K702" s="253"/>
      <c r="L702" s="2"/>
      <c r="M702" s="2"/>
    </row>
    <row r="703" spans="1:13" ht="15.75" customHeight="1">
      <c r="A703" s="4"/>
      <c r="G703" s="2"/>
      <c r="H703" s="2"/>
      <c r="I703" s="2"/>
      <c r="K703" s="253"/>
      <c r="L703" s="2"/>
      <c r="M703" s="2"/>
    </row>
    <row r="704" spans="1:13" ht="15.75" customHeight="1">
      <c r="A704" s="4"/>
      <c r="G704" s="2"/>
      <c r="H704" s="2"/>
      <c r="I704" s="2"/>
      <c r="K704" s="253"/>
      <c r="L704" s="2"/>
      <c r="M704" s="2"/>
    </row>
    <row r="705" spans="1:13" ht="15.75" customHeight="1">
      <c r="A705" s="4"/>
      <c r="G705" s="2"/>
      <c r="H705" s="2"/>
      <c r="I705" s="2"/>
      <c r="K705" s="253"/>
      <c r="L705" s="2"/>
      <c r="M705" s="2"/>
    </row>
    <row r="706" spans="1:13" ht="15.75" customHeight="1">
      <c r="A706" s="4"/>
      <c r="G706" s="2"/>
      <c r="H706" s="2"/>
      <c r="I706" s="2"/>
      <c r="K706" s="253"/>
      <c r="L706" s="2"/>
      <c r="M706" s="2"/>
    </row>
    <row r="707" spans="1:13" ht="15.75" customHeight="1">
      <c r="A707" s="4"/>
      <c r="G707" s="2"/>
      <c r="H707" s="2"/>
      <c r="I707" s="2"/>
      <c r="K707" s="253"/>
      <c r="L707" s="2"/>
      <c r="M707" s="2"/>
    </row>
    <row r="708" spans="1:13" ht="15.75" customHeight="1">
      <c r="A708" s="4"/>
      <c r="G708" s="2"/>
      <c r="H708" s="2"/>
      <c r="I708" s="2"/>
      <c r="K708" s="253"/>
      <c r="L708" s="2"/>
      <c r="M708" s="2"/>
    </row>
    <row r="709" spans="1:13" ht="15.75" customHeight="1">
      <c r="A709" s="4"/>
      <c r="G709" s="2"/>
      <c r="H709" s="2"/>
      <c r="I709" s="2"/>
      <c r="K709" s="253"/>
      <c r="L709" s="2"/>
      <c r="M709" s="2"/>
    </row>
    <row r="710" spans="1:13" ht="15.75" customHeight="1">
      <c r="A710" s="4"/>
      <c r="G710" s="2"/>
      <c r="H710" s="2"/>
      <c r="I710" s="2"/>
      <c r="K710" s="253"/>
      <c r="L710" s="2"/>
      <c r="M710" s="2"/>
    </row>
    <row r="711" spans="1:13" ht="15.75" customHeight="1">
      <c r="A711" s="4"/>
      <c r="G711" s="2"/>
      <c r="H711" s="2"/>
      <c r="I711" s="2"/>
      <c r="K711" s="253"/>
      <c r="L711" s="2"/>
      <c r="M711" s="2"/>
    </row>
    <row r="712" spans="1:13" ht="15.75" customHeight="1">
      <c r="A712" s="4"/>
      <c r="G712" s="2"/>
      <c r="H712" s="2"/>
      <c r="I712" s="2"/>
      <c r="K712" s="253"/>
      <c r="L712" s="2"/>
      <c r="M712" s="2"/>
    </row>
    <row r="713" spans="1:13" ht="15.75" customHeight="1">
      <c r="A713" s="4"/>
      <c r="G713" s="2"/>
      <c r="H713" s="2"/>
      <c r="I713" s="2"/>
      <c r="K713" s="253"/>
      <c r="L713" s="2"/>
      <c r="M713" s="2"/>
    </row>
    <row r="714" spans="1:13" ht="15.75" customHeight="1">
      <c r="A714" s="4"/>
      <c r="G714" s="2"/>
      <c r="H714" s="2"/>
      <c r="I714" s="2"/>
      <c r="K714" s="253"/>
      <c r="L714" s="2"/>
      <c r="M714" s="2"/>
    </row>
    <row r="715" spans="1:13" ht="15.75" customHeight="1">
      <c r="A715" s="4"/>
      <c r="G715" s="2"/>
      <c r="H715" s="2"/>
      <c r="I715" s="2"/>
      <c r="K715" s="253"/>
      <c r="L715" s="2"/>
      <c r="M715" s="2"/>
    </row>
    <row r="716" spans="1:13" ht="15.75" customHeight="1">
      <c r="A716" s="4"/>
      <c r="G716" s="2"/>
      <c r="H716" s="2"/>
      <c r="I716" s="2"/>
      <c r="K716" s="253"/>
      <c r="L716" s="2"/>
      <c r="M716" s="2"/>
    </row>
    <row r="717" spans="1:13" ht="15.75" customHeight="1">
      <c r="A717" s="4"/>
      <c r="G717" s="2"/>
      <c r="H717" s="2"/>
      <c r="I717" s="2"/>
      <c r="K717" s="253"/>
      <c r="L717" s="2"/>
      <c r="M717" s="2"/>
    </row>
    <row r="718" spans="1:13" ht="15.75" customHeight="1">
      <c r="A718" s="4"/>
      <c r="G718" s="2"/>
      <c r="H718" s="2"/>
      <c r="I718" s="2"/>
      <c r="K718" s="253"/>
      <c r="L718" s="2"/>
      <c r="M718" s="2"/>
    </row>
    <row r="719" spans="1:13" ht="15.75" customHeight="1">
      <c r="A719" s="4"/>
      <c r="G719" s="2"/>
      <c r="H719" s="2"/>
      <c r="I719" s="2"/>
      <c r="K719" s="253"/>
      <c r="L719" s="2"/>
      <c r="M719" s="2"/>
    </row>
    <row r="720" spans="1:13" ht="15.75" customHeight="1">
      <c r="A720" s="4"/>
      <c r="G720" s="2"/>
      <c r="H720" s="2"/>
      <c r="I720" s="2"/>
      <c r="K720" s="253"/>
      <c r="L720" s="2"/>
      <c r="M720" s="2"/>
    </row>
    <row r="721" spans="1:13" ht="15.75" customHeight="1">
      <c r="A721" s="4"/>
      <c r="G721" s="2"/>
      <c r="H721" s="2"/>
      <c r="I721" s="2"/>
      <c r="K721" s="253"/>
      <c r="L721" s="2"/>
      <c r="M721" s="2"/>
    </row>
    <row r="722" spans="1:13" ht="15.75" customHeight="1">
      <c r="A722" s="4"/>
      <c r="G722" s="2"/>
      <c r="H722" s="2"/>
      <c r="I722" s="2"/>
      <c r="K722" s="253"/>
      <c r="L722" s="2"/>
      <c r="M722" s="2"/>
    </row>
    <row r="723" spans="1:13" ht="15.75" customHeight="1">
      <c r="A723" s="4"/>
      <c r="G723" s="2"/>
      <c r="H723" s="2"/>
      <c r="I723" s="2"/>
      <c r="K723" s="253"/>
      <c r="L723" s="2"/>
      <c r="M723" s="2"/>
    </row>
    <row r="724" spans="1:13" ht="15.75" customHeight="1">
      <c r="A724" s="4"/>
      <c r="G724" s="2"/>
      <c r="H724" s="2"/>
      <c r="I724" s="2"/>
      <c r="K724" s="253"/>
      <c r="L724" s="2"/>
      <c r="M724" s="2"/>
    </row>
    <row r="725" spans="1:13" ht="15.75" customHeight="1">
      <c r="A725" s="4"/>
      <c r="G725" s="2"/>
      <c r="H725" s="2"/>
      <c r="I725" s="2"/>
      <c r="K725" s="253"/>
      <c r="L725" s="2"/>
      <c r="M725" s="2"/>
    </row>
    <row r="726" spans="1:13" ht="15.75" customHeight="1">
      <c r="A726" s="4"/>
      <c r="G726" s="2"/>
      <c r="H726" s="2"/>
      <c r="I726" s="2"/>
      <c r="K726" s="253"/>
      <c r="L726" s="2"/>
      <c r="M726" s="2"/>
    </row>
    <row r="727" spans="1:13" ht="15.75" customHeight="1">
      <c r="A727" s="4"/>
      <c r="G727" s="2"/>
      <c r="H727" s="2"/>
      <c r="I727" s="2"/>
      <c r="K727" s="253"/>
      <c r="L727" s="2"/>
      <c r="M727" s="2"/>
    </row>
    <row r="728" spans="1:13" ht="15.75" customHeight="1">
      <c r="A728" s="4"/>
      <c r="G728" s="2"/>
      <c r="H728" s="2"/>
      <c r="I728" s="2"/>
      <c r="K728" s="253"/>
      <c r="L728" s="2"/>
      <c r="M728" s="2"/>
    </row>
    <row r="729" spans="1:13" ht="15.75" customHeight="1">
      <c r="A729" s="4"/>
      <c r="G729" s="2"/>
      <c r="H729" s="2"/>
      <c r="I729" s="2"/>
      <c r="K729" s="253"/>
      <c r="L729" s="2"/>
      <c r="M729" s="2"/>
    </row>
    <row r="730" spans="1:13" ht="15.75" customHeight="1">
      <c r="A730" s="4"/>
      <c r="G730" s="2"/>
      <c r="H730" s="2"/>
      <c r="I730" s="2"/>
      <c r="K730" s="253"/>
      <c r="L730" s="2"/>
      <c r="M730" s="2"/>
    </row>
    <row r="731" spans="1:13" ht="15.75" customHeight="1">
      <c r="A731" s="4"/>
      <c r="G731" s="2"/>
      <c r="H731" s="2"/>
      <c r="I731" s="2"/>
      <c r="K731" s="253"/>
      <c r="L731" s="2"/>
      <c r="M731" s="2"/>
    </row>
    <row r="732" spans="1:13" ht="15.75" customHeight="1">
      <c r="A732" s="4"/>
      <c r="G732" s="2"/>
      <c r="H732" s="2"/>
      <c r="I732" s="2"/>
      <c r="K732" s="253"/>
      <c r="L732" s="2"/>
      <c r="M732" s="2"/>
    </row>
    <row r="733" spans="1:13" ht="15.75" customHeight="1">
      <c r="A733" s="4"/>
      <c r="G733" s="2"/>
      <c r="H733" s="2"/>
      <c r="I733" s="2"/>
      <c r="K733" s="253"/>
      <c r="L733" s="2"/>
      <c r="M733" s="2"/>
    </row>
    <row r="734" spans="1:13" ht="15.75" customHeight="1">
      <c r="A734" s="4"/>
      <c r="G734" s="2"/>
      <c r="H734" s="2"/>
      <c r="I734" s="2"/>
      <c r="K734" s="253"/>
      <c r="L734" s="2"/>
      <c r="M734" s="2"/>
    </row>
    <row r="735" spans="1:13" ht="15.75" customHeight="1">
      <c r="A735" s="4"/>
      <c r="G735" s="2"/>
      <c r="H735" s="2"/>
      <c r="I735" s="2"/>
      <c r="K735" s="253"/>
      <c r="L735" s="2"/>
      <c r="M735" s="2"/>
    </row>
    <row r="736" spans="1:13" ht="15.75" customHeight="1">
      <c r="A736" s="4"/>
      <c r="G736" s="2"/>
      <c r="H736" s="2"/>
      <c r="I736" s="2"/>
      <c r="K736" s="253"/>
      <c r="L736" s="2"/>
      <c r="M736" s="2"/>
    </row>
    <row r="737" spans="1:13" ht="15.75" customHeight="1">
      <c r="A737" s="4"/>
      <c r="G737" s="2"/>
      <c r="H737" s="2"/>
      <c r="I737" s="2"/>
      <c r="K737" s="253"/>
      <c r="L737" s="2"/>
      <c r="M737" s="2"/>
    </row>
    <row r="738" spans="1:13" ht="15.75" customHeight="1">
      <c r="A738" s="4"/>
      <c r="G738" s="2"/>
      <c r="H738" s="2"/>
      <c r="I738" s="2"/>
      <c r="K738" s="253"/>
      <c r="L738" s="2"/>
      <c r="M738" s="2"/>
    </row>
    <row r="739" spans="1:13" ht="15.75" customHeight="1">
      <c r="A739" s="4"/>
      <c r="G739" s="2"/>
      <c r="H739" s="2"/>
      <c r="I739" s="2"/>
      <c r="K739" s="253"/>
      <c r="L739" s="2"/>
      <c r="M739" s="2"/>
    </row>
    <row r="740" spans="1:13" ht="15.75" customHeight="1">
      <c r="A740" s="4"/>
      <c r="G740" s="2"/>
      <c r="H740" s="2"/>
      <c r="I740" s="2"/>
      <c r="K740" s="253"/>
      <c r="L740" s="2"/>
      <c r="M740" s="2"/>
    </row>
    <row r="741" spans="1:13" ht="15.75" customHeight="1">
      <c r="A741" s="4"/>
      <c r="G741" s="2"/>
      <c r="H741" s="2"/>
      <c r="I741" s="2"/>
      <c r="K741" s="253"/>
      <c r="L741" s="2"/>
      <c r="M741" s="2"/>
    </row>
    <row r="742" spans="1:13" ht="15.75" customHeight="1">
      <c r="A742" s="4"/>
      <c r="G742" s="2"/>
      <c r="H742" s="2"/>
      <c r="I742" s="2"/>
      <c r="K742" s="253"/>
      <c r="L742" s="2"/>
      <c r="M742" s="2"/>
    </row>
    <row r="743" spans="1:13" ht="15.75" customHeight="1">
      <c r="A743" s="4"/>
      <c r="G743" s="2"/>
      <c r="H743" s="2"/>
      <c r="I743" s="2"/>
      <c r="K743" s="253"/>
      <c r="L743" s="2"/>
      <c r="M743" s="2"/>
    </row>
    <row r="744" spans="1:13" ht="15.75" customHeight="1">
      <c r="A744" s="4"/>
      <c r="G744" s="2"/>
      <c r="H744" s="2"/>
      <c r="I744" s="2"/>
      <c r="K744" s="253"/>
      <c r="L744" s="2"/>
      <c r="M744" s="2"/>
    </row>
    <row r="745" spans="1:13" ht="15.75" customHeight="1">
      <c r="A745" s="4"/>
      <c r="G745" s="2"/>
      <c r="H745" s="2"/>
      <c r="I745" s="2"/>
      <c r="K745" s="253"/>
      <c r="L745" s="2"/>
      <c r="M745" s="2"/>
    </row>
    <row r="746" spans="1:13" ht="15.75" customHeight="1">
      <c r="A746" s="4"/>
      <c r="G746" s="2"/>
      <c r="H746" s="2"/>
      <c r="I746" s="2"/>
      <c r="K746" s="253"/>
      <c r="L746" s="2"/>
      <c r="M746" s="2"/>
    </row>
    <row r="747" spans="1:13" ht="15.75" customHeight="1">
      <c r="A747" s="4"/>
      <c r="G747" s="2"/>
      <c r="H747" s="2"/>
      <c r="I747" s="2"/>
      <c r="K747" s="253"/>
      <c r="L747" s="2"/>
      <c r="M747" s="2"/>
    </row>
    <row r="748" spans="1:13" ht="15.75" customHeight="1">
      <c r="A748" s="4"/>
      <c r="G748" s="2"/>
      <c r="H748" s="2"/>
      <c r="I748" s="2"/>
      <c r="K748" s="253"/>
      <c r="L748" s="2"/>
      <c r="M748" s="2"/>
    </row>
    <row r="749" spans="1:13" ht="15.75" customHeight="1">
      <c r="A749" s="4"/>
      <c r="G749" s="2"/>
      <c r="H749" s="2"/>
      <c r="I749" s="2"/>
      <c r="K749" s="253"/>
      <c r="L749" s="2"/>
      <c r="M749" s="2"/>
    </row>
    <row r="750" spans="1:13" ht="15.75" customHeight="1">
      <c r="A750" s="4"/>
      <c r="G750" s="2"/>
      <c r="H750" s="2"/>
      <c r="I750" s="2"/>
      <c r="K750" s="253"/>
      <c r="L750" s="2"/>
      <c r="M750" s="2"/>
    </row>
    <row r="751" spans="1:13" ht="15.75" customHeight="1">
      <c r="A751" s="4"/>
      <c r="G751" s="2"/>
      <c r="H751" s="2"/>
      <c r="I751" s="2"/>
      <c r="K751" s="253"/>
      <c r="L751" s="2"/>
      <c r="M751" s="2"/>
    </row>
    <row r="752" spans="1:13" ht="15.75" customHeight="1">
      <c r="A752" s="4"/>
      <c r="G752" s="2"/>
      <c r="H752" s="2"/>
      <c r="I752" s="2"/>
      <c r="K752" s="253"/>
      <c r="L752" s="2"/>
      <c r="M752" s="2"/>
    </row>
    <row r="753" spans="1:13" ht="15.75" customHeight="1">
      <c r="A753" s="4"/>
      <c r="G753" s="2"/>
      <c r="H753" s="2"/>
      <c r="I753" s="2"/>
      <c r="K753" s="253"/>
      <c r="L753" s="2"/>
      <c r="M753" s="2"/>
    </row>
    <row r="754" spans="1:13" ht="15.75" customHeight="1">
      <c r="A754" s="4"/>
      <c r="G754" s="2"/>
      <c r="H754" s="2"/>
      <c r="I754" s="2"/>
      <c r="K754" s="253"/>
      <c r="L754" s="2"/>
      <c r="M754" s="2"/>
    </row>
    <row r="755" spans="1:13" ht="15.75" customHeight="1">
      <c r="A755" s="4"/>
      <c r="G755" s="2"/>
      <c r="H755" s="2"/>
      <c r="I755" s="2"/>
      <c r="K755" s="253"/>
      <c r="L755" s="2"/>
      <c r="M755" s="2"/>
    </row>
    <row r="756" spans="1:13" ht="15.75" customHeight="1">
      <c r="A756" s="4"/>
      <c r="G756" s="2"/>
      <c r="H756" s="2"/>
      <c r="I756" s="2"/>
      <c r="K756" s="253"/>
      <c r="L756" s="2"/>
      <c r="M756" s="2"/>
    </row>
    <row r="757" spans="1:13" ht="15.75" customHeight="1">
      <c r="A757" s="4"/>
      <c r="G757" s="2"/>
      <c r="H757" s="2"/>
      <c r="I757" s="2"/>
      <c r="K757" s="253"/>
      <c r="L757" s="2"/>
      <c r="M757" s="2"/>
    </row>
    <row r="758" spans="1:13" ht="15.75" customHeight="1">
      <c r="A758" s="4"/>
      <c r="G758" s="2"/>
      <c r="H758" s="2"/>
      <c r="I758" s="2"/>
      <c r="K758" s="253"/>
      <c r="L758" s="2"/>
      <c r="M758" s="2"/>
    </row>
    <row r="759" spans="1:13" ht="15.75" customHeight="1">
      <c r="A759" s="4"/>
      <c r="G759" s="2"/>
      <c r="H759" s="2"/>
      <c r="I759" s="2"/>
      <c r="K759" s="253"/>
      <c r="L759" s="2"/>
      <c r="M759" s="2"/>
    </row>
    <row r="760" spans="1:13" ht="15.75" customHeight="1">
      <c r="A760" s="4"/>
      <c r="G760" s="2"/>
      <c r="H760" s="2"/>
      <c r="I760" s="2"/>
      <c r="K760" s="253"/>
      <c r="L760" s="2"/>
      <c r="M760" s="2"/>
    </row>
    <row r="761" spans="1:13" ht="15.75" customHeight="1">
      <c r="A761" s="4"/>
      <c r="G761" s="2"/>
      <c r="H761" s="2"/>
      <c r="I761" s="2"/>
      <c r="K761" s="253"/>
      <c r="L761" s="2"/>
      <c r="M761" s="2"/>
    </row>
    <row r="762" spans="1:13" ht="15.75" customHeight="1">
      <c r="A762" s="4"/>
      <c r="G762" s="2"/>
      <c r="H762" s="2"/>
      <c r="I762" s="2"/>
      <c r="K762" s="253"/>
      <c r="L762" s="2"/>
      <c r="M762" s="2"/>
    </row>
    <row r="763" spans="1:13" ht="15.75" customHeight="1">
      <c r="A763" s="4"/>
      <c r="G763" s="2"/>
      <c r="H763" s="2"/>
      <c r="I763" s="2"/>
      <c r="K763" s="253"/>
      <c r="L763" s="2"/>
      <c r="M763" s="2"/>
    </row>
    <row r="764" spans="1:13" ht="15.75" customHeight="1">
      <c r="A764" s="4"/>
      <c r="G764" s="2"/>
      <c r="H764" s="2"/>
      <c r="I764" s="2"/>
      <c r="K764" s="253"/>
      <c r="L764" s="2"/>
      <c r="M764" s="2"/>
    </row>
    <row r="765" spans="1:13" ht="15.75" customHeight="1">
      <c r="A765" s="4"/>
      <c r="G765" s="2"/>
      <c r="H765" s="2"/>
      <c r="I765" s="2"/>
      <c r="K765" s="253"/>
      <c r="L765" s="2"/>
      <c r="M765" s="2"/>
    </row>
    <row r="766" spans="1:13" ht="15.75" customHeight="1">
      <c r="A766" s="4"/>
      <c r="G766" s="2"/>
      <c r="H766" s="2"/>
      <c r="I766" s="2"/>
      <c r="K766" s="253"/>
      <c r="L766" s="2"/>
      <c r="M766" s="2"/>
    </row>
    <row r="767" spans="1:13" ht="15.75" customHeight="1">
      <c r="A767" s="4"/>
      <c r="G767" s="2"/>
      <c r="H767" s="2"/>
      <c r="I767" s="2"/>
      <c r="K767" s="253"/>
      <c r="L767" s="2"/>
      <c r="M767" s="2"/>
    </row>
    <row r="768" spans="1:13" ht="15.75" customHeight="1">
      <c r="A768" s="4"/>
      <c r="G768" s="2"/>
      <c r="H768" s="2"/>
      <c r="I768" s="2"/>
      <c r="K768" s="253"/>
      <c r="L768" s="2"/>
      <c r="M768" s="2"/>
    </row>
    <row r="769" spans="1:13" ht="15.75" customHeight="1">
      <c r="A769" s="4"/>
      <c r="G769" s="2"/>
      <c r="H769" s="2"/>
      <c r="I769" s="2"/>
      <c r="K769" s="253"/>
      <c r="L769" s="2"/>
      <c r="M769" s="2"/>
    </row>
    <row r="770" spans="1:13" ht="15.75" customHeight="1">
      <c r="A770" s="4"/>
      <c r="G770" s="2"/>
      <c r="H770" s="2"/>
      <c r="I770" s="2"/>
      <c r="K770" s="253"/>
      <c r="L770" s="2"/>
      <c r="M770" s="2"/>
    </row>
    <row r="771" spans="1:13" ht="15.75" customHeight="1">
      <c r="A771" s="4"/>
      <c r="G771" s="2"/>
      <c r="H771" s="2"/>
      <c r="I771" s="2"/>
      <c r="K771" s="253"/>
      <c r="L771" s="2"/>
      <c r="M771" s="2"/>
    </row>
    <row r="772" spans="1:13" ht="15.75" customHeight="1">
      <c r="A772" s="4"/>
      <c r="G772" s="2"/>
      <c r="H772" s="2"/>
      <c r="I772" s="2"/>
      <c r="K772" s="253"/>
      <c r="L772" s="2"/>
      <c r="M772" s="2"/>
    </row>
    <row r="773" spans="1:13" ht="15.75" customHeight="1">
      <c r="A773" s="4"/>
      <c r="G773" s="2"/>
      <c r="H773" s="2"/>
      <c r="I773" s="2"/>
      <c r="K773" s="253"/>
      <c r="L773" s="2"/>
      <c r="M773" s="2"/>
    </row>
    <row r="774" spans="1:13" ht="15.75" customHeight="1">
      <c r="A774" s="4"/>
      <c r="G774" s="2"/>
      <c r="H774" s="2"/>
      <c r="I774" s="2"/>
      <c r="K774" s="253"/>
      <c r="L774" s="2"/>
      <c r="M774" s="2"/>
    </row>
    <row r="775" spans="1:13" ht="15.75" customHeight="1">
      <c r="A775" s="4"/>
      <c r="G775" s="2"/>
      <c r="H775" s="2"/>
      <c r="I775" s="2"/>
      <c r="K775" s="253"/>
      <c r="L775" s="2"/>
      <c r="M775" s="2"/>
    </row>
    <row r="776" spans="1:13" ht="15.75" customHeight="1">
      <c r="A776" s="4"/>
      <c r="G776" s="2"/>
      <c r="H776" s="2"/>
      <c r="I776" s="2"/>
      <c r="K776" s="253"/>
      <c r="L776" s="2"/>
      <c r="M776" s="2"/>
    </row>
    <row r="777" spans="1:13" ht="15.75" customHeight="1">
      <c r="A777" s="4"/>
      <c r="G777" s="2"/>
      <c r="H777" s="2"/>
      <c r="I777" s="2"/>
      <c r="K777" s="253"/>
      <c r="L777" s="2"/>
      <c r="M777" s="2"/>
    </row>
    <row r="778" spans="1:13" ht="15.75" customHeight="1">
      <c r="A778" s="4"/>
      <c r="G778" s="2"/>
      <c r="H778" s="2"/>
      <c r="I778" s="2"/>
      <c r="K778" s="253"/>
      <c r="L778" s="2"/>
      <c r="M778" s="2"/>
    </row>
    <row r="779" spans="1:13" ht="15.75" customHeight="1">
      <c r="A779" s="4"/>
      <c r="G779" s="2"/>
      <c r="H779" s="2"/>
      <c r="I779" s="2"/>
      <c r="K779" s="253"/>
      <c r="L779" s="2"/>
      <c r="M779" s="2"/>
    </row>
    <row r="780" spans="1:13" ht="15.75" customHeight="1">
      <c r="A780" s="4"/>
      <c r="G780" s="2"/>
      <c r="H780" s="2"/>
      <c r="I780" s="2"/>
      <c r="K780" s="253"/>
      <c r="L780" s="2"/>
      <c r="M780" s="2"/>
    </row>
    <row r="781" spans="1:13" ht="15.75" customHeight="1">
      <c r="A781" s="4"/>
      <c r="G781" s="2"/>
      <c r="H781" s="2"/>
      <c r="I781" s="2"/>
      <c r="K781" s="253"/>
      <c r="L781" s="2"/>
      <c r="M781" s="2"/>
    </row>
    <row r="782" spans="1:13" ht="15.75" customHeight="1">
      <c r="A782" s="4"/>
      <c r="G782" s="2"/>
      <c r="H782" s="2"/>
      <c r="I782" s="2"/>
      <c r="K782" s="253"/>
      <c r="L782" s="2"/>
      <c r="M782" s="2"/>
    </row>
    <row r="783" spans="1:13" ht="15.75" customHeight="1">
      <c r="A783" s="4"/>
      <c r="G783" s="2"/>
      <c r="H783" s="2"/>
      <c r="I783" s="2"/>
      <c r="K783" s="253"/>
      <c r="L783" s="2"/>
      <c r="M783" s="2"/>
    </row>
    <row r="784" spans="1:13" ht="15.75" customHeight="1">
      <c r="A784" s="4"/>
      <c r="G784" s="2"/>
      <c r="H784" s="2"/>
      <c r="I784" s="2"/>
      <c r="K784" s="253"/>
      <c r="L784" s="2"/>
      <c r="M784" s="2"/>
    </row>
    <row r="785" spans="1:13" ht="15.75" customHeight="1">
      <c r="A785" s="4"/>
      <c r="G785" s="2"/>
      <c r="H785" s="2"/>
      <c r="I785" s="2"/>
      <c r="K785" s="253"/>
      <c r="L785" s="2"/>
      <c r="M785" s="2"/>
    </row>
    <row r="786" spans="1:13" ht="15.75" customHeight="1">
      <c r="A786" s="4"/>
      <c r="G786" s="2"/>
      <c r="H786" s="2"/>
      <c r="I786" s="2"/>
      <c r="K786" s="253"/>
      <c r="L786" s="2"/>
      <c r="M786" s="2"/>
    </row>
    <row r="787" spans="1:13" ht="15.75" customHeight="1">
      <c r="A787" s="4"/>
      <c r="G787" s="2"/>
      <c r="H787" s="2"/>
      <c r="I787" s="2"/>
      <c r="K787" s="253"/>
      <c r="L787" s="2"/>
      <c r="M787" s="2"/>
    </row>
    <row r="788" spans="1:13" ht="15.75" customHeight="1">
      <c r="A788" s="4"/>
      <c r="G788" s="2"/>
      <c r="H788" s="2"/>
      <c r="I788" s="2"/>
      <c r="K788" s="253"/>
      <c r="L788" s="2"/>
      <c r="M788" s="2"/>
    </row>
    <row r="789" spans="1:13" ht="15.75" customHeight="1">
      <c r="A789" s="4"/>
      <c r="G789" s="2"/>
      <c r="H789" s="2"/>
      <c r="I789" s="2"/>
      <c r="K789" s="253"/>
      <c r="L789" s="2"/>
      <c r="M789" s="2"/>
    </row>
    <row r="790" spans="1:13" ht="15.75" customHeight="1">
      <c r="A790" s="4"/>
      <c r="G790" s="2"/>
      <c r="H790" s="2"/>
      <c r="I790" s="2"/>
      <c r="K790" s="253"/>
      <c r="L790" s="2"/>
      <c r="M790" s="2"/>
    </row>
    <row r="791" spans="1:13" ht="15.75" customHeight="1">
      <c r="A791" s="4"/>
      <c r="G791" s="2"/>
      <c r="H791" s="2"/>
      <c r="I791" s="2"/>
      <c r="K791" s="253"/>
      <c r="L791" s="2"/>
      <c r="M791" s="2"/>
    </row>
    <row r="792" spans="1:13" ht="15.75" customHeight="1">
      <c r="A792" s="4"/>
      <c r="G792" s="2"/>
      <c r="H792" s="2"/>
      <c r="I792" s="2"/>
      <c r="K792" s="253"/>
      <c r="L792" s="2"/>
      <c r="M792" s="2"/>
    </row>
    <row r="793" spans="1:13" ht="15.75" customHeight="1">
      <c r="A793" s="4"/>
      <c r="G793" s="2"/>
      <c r="H793" s="2"/>
      <c r="I793" s="2"/>
      <c r="K793" s="253"/>
      <c r="L793" s="2"/>
      <c r="M793" s="2"/>
    </row>
    <row r="794" spans="1:13" ht="15.75" customHeight="1">
      <c r="A794" s="4"/>
      <c r="G794" s="2"/>
      <c r="H794" s="2"/>
      <c r="I794" s="2"/>
      <c r="K794" s="253"/>
      <c r="L794" s="2"/>
      <c r="M794" s="2"/>
    </row>
    <row r="795" spans="1:13" ht="15.75" customHeight="1">
      <c r="A795" s="4"/>
      <c r="G795" s="2"/>
      <c r="H795" s="2"/>
      <c r="I795" s="2"/>
      <c r="K795" s="253"/>
      <c r="L795" s="2"/>
      <c r="M795" s="2"/>
    </row>
    <row r="796" spans="1:13" ht="15.75" customHeight="1">
      <c r="A796" s="4"/>
      <c r="G796" s="2"/>
      <c r="H796" s="2"/>
      <c r="I796" s="2"/>
      <c r="K796" s="253"/>
      <c r="L796" s="2"/>
      <c r="M796" s="2"/>
    </row>
    <row r="797" spans="1:13" ht="15.75" customHeight="1">
      <c r="A797" s="4"/>
      <c r="G797" s="2"/>
      <c r="H797" s="2"/>
      <c r="I797" s="2"/>
      <c r="K797" s="253"/>
      <c r="L797" s="2"/>
      <c r="M797" s="2"/>
    </row>
    <row r="798" spans="1:13" ht="15.75" customHeight="1">
      <c r="A798" s="4"/>
      <c r="G798" s="2"/>
      <c r="H798" s="2"/>
      <c r="I798" s="2"/>
      <c r="K798" s="253"/>
      <c r="L798" s="2"/>
      <c r="M798" s="2"/>
    </row>
    <row r="799" spans="1:13" ht="15.75" customHeight="1">
      <c r="A799" s="4"/>
      <c r="G799" s="2"/>
      <c r="H799" s="2"/>
      <c r="I799" s="2"/>
      <c r="K799" s="253"/>
      <c r="L799" s="2"/>
      <c r="M799" s="2"/>
    </row>
    <row r="800" spans="1:13" ht="15.75" customHeight="1">
      <c r="A800" s="4"/>
      <c r="G800" s="2"/>
      <c r="H800" s="2"/>
      <c r="I800" s="2"/>
      <c r="K800" s="253"/>
      <c r="L800" s="2"/>
      <c r="M800" s="2"/>
    </row>
    <row r="801" spans="1:13" ht="15.75" customHeight="1">
      <c r="A801" s="4"/>
      <c r="G801" s="2"/>
      <c r="H801" s="2"/>
      <c r="I801" s="2"/>
      <c r="K801" s="253"/>
      <c r="L801" s="2"/>
      <c r="M801" s="2"/>
    </row>
    <row r="802" spans="1:13" ht="15.75" customHeight="1">
      <c r="A802" s="4"/>
      <c r="G802" s="2"/>
      <c r="H802" s="2"/>
      <c r="I802" s="2"/>
      <c r="K802" s="253"/>
      <c r="L802" s="2"/>
      <c r="M802" s="2"/>
    </row>
    <row r="803" spans="1:13" ht="15.75" customHeight="1">
      <c r="A803" s="4"/>
      <c r="G803" s="2"/>
      <c r="H803" s="2"/>
      <c r="I803" s="2"/>
      <c r="K803" s="253"/>
      <c r="L803" s="2"/>
      <c r="M803" s="2"/>
    </row>
    <row r="804" spans="1:13" ht="15.75" customHeight="1">
      <c r="A804" s="4"/>
      <c r="G804" s="2"/>
      <c r="H804" s="2"/>
      <c r="I804" s="2"/>
      <c r="K804" s="253"/>
      <c r="L804" s="2"/>
      <c r="M804" s="2"/>
    </row>
    <row r="805" spans="1:13" ht="15.75" customHeight="1">
      <c r="A805" s="4"/>
      <c r="G805" s="2"/>
      <c r="H805" s="2"/>
      <c r="I805" s="2"/>
      <c r="K805" s="253"/>
      <c r="L805" s="2"/>
      <c r="M805" s="2"/>
    </row>
    <row r="806" spans="1:13" ht="15.75" customHeight="1">
      <c r="A806" s="4"/>
      <c r="G806" s="2"/>
      <c r="H806" s="2"/>
      <c r="I806" s="2"/>
      <c r="K806" s="253"/>
      <c r="L806" s="2"/>
      <c r="M806" s="2"/>
    </row>
    <row r="807" spans="1:13" ht="15.75" customHeight="1">
      <c r="A807" s="4"/>
      <c r="G807" s="2"/>
      <c r="H807" s="2"/>
      <c r="I807" s="2"/>
      <c r="K807" s="253"/>
      <c r="L807" s="2"/>
      <c r="M807" s="2"/>
    </row>
    <row r="808" spans="1:13" ht="15.75" customHeight="1">
      <c r="A808" s="4"/>
      <c r="G808" s="2"/>
      <c r="H808" s="2"/>
      <c r="I808" s="2"/>
      <c r="K808" s="253"/>
      <c r="L808" s="2"/>
      <c r="M808" s="2"/>
    </row>
    <row r="809" spans="1:13" ht="15.75" customHeight="1">
      <c r="A809" s="4"/>
      <c r="G809" s="2"/>
      <c r="H809" s="2"/>
      <c r="I809" s="2"/>
      <c r="K809" s="253"/>
      <c r="L809" s="2"/>
      <c r="M809" s="2"/>
    </row>
    <row r="810" spans="1:13" ht="15.75" customHeight="1">
      <c r="A810" s="4"/>
      <c r="G810" s="2"/>
      <c r="H810" s="2"/>
      <c r="I810" s="2"/>
      <c r="K810" s="253"/>
      <c r="L810" s="2"/>
      <c r="M810" s="2"/>
    </row>
    <row r="811" spans="1:13" ht="15.75" customHeight="1">
      <c r="A811" s="4"/>
      <c r="G811" s="2"/>
      <c r="H811" s="2"/>
      <c r="I811" s="2"/>
      <c r="K811" s="253"/>
      <c r="L811" s="2"/>
      <c r="M811" s="2"/>
    </row>
    <row r="812" spans="1:13" ht="15.75" customHeight="1">
      <c r="A812" s="4"/>
      <c r="G812" s="2"/>
      <c r="H812" s="2"/>
      <c r="I812" s="2"/>
      <c r="K812" s="253"/>
      <c r="L812" s="2"/>
      <c r="M812" s="2"/>
    </row>
    <row r="813" spans="1:13" ht="15.75" customHeight="1">
      <c r="A813" s="4"/>
      <c r="G813" s="2"/>
      <c r="H813" s="2"/>
      <c r="I813" s="2"/>
      <c r="K813" s="253"/>
      <c r="L813" s="2"/>
      <c r="M813" s="2"/>
    </row>
    <row r="814" spans="1:13" ht="15.75" customHeight="1">
      <c r="A814" s="4"/>
      <c r="G814" s="2"/>
      <c r="H814" s="2"/>
      <c r="I814" s="2"/>
      <c r="K814" s="253"/>
      <c r="L814" s="2"/>
      <c r="M814" s="2"/>
    </row>
    <row r="815" spans="1:13" ht="15.75" customHeight="1">
      <c r="A815" s="4"/>
      <c r="G815" s="2"/>
      <c r="H815" s="2"/>
      <c r="I815" s="2"/>
      <c r="K815" s="253"/>
      <c r="L815" s="2"/>
      <c r="M815" s="2"/>
    </row>
    <row r="816" spans="1:13" ht="15.75" customHeight="1">
      <c r="A816" s="4"/>
      <c r="G816" s="2"/>
      <c r="H816" s="2"/>
      <c r="I816" s="2"/>
      <c r="K816" s="253"/>
      <c r="L816" s="2"/>
      <c r="M816" s="2"/>
    </row>
    <row r="817" spans="1:13" ht="15.75" customHeight="1">
      <c r="A817" s="4"/>
      <c r="G817" s="2"/>
      <c r="H817" s="2"/>
      <c r="I817" s="2"/>
      <c r="K817" s="253"/>
      <c r="L817" s="2"/>
      <c r="M817" s="2"/>
    </row>
    <row r="818" spans="1:13" ht="15.75" customHeight="1">
      <c r="A818" s="4"/>
      <c r="G818" s="2"/>
      <c r="H818" s="2"/>
      <c r="I818" s="2"/>
      <c r="K818" s="253"/>
      <c r="L818" s="2"/>
      <c r="M818" s="2"/>
    </row>
    <row r="819" spans="1:13" ht="15.75" customHeight="1">
      <c r="A819" s="4"/>
      <c r="G819" s="2"/>
      <c r="H819" s="2"/>
      <c r="I819" s="2"/>
      <c r="K819" s="253"/>
      <c r="L819" s="2"/>
      <c r="M819" s="2"/>
    </row>
    <row r="820" spans="1:13" ht="15.75" customHeight="1">
      <c r="A820" s="4"/>
      <c r="G820" s="2"/>
      <c r="H820" s="2"/>
      <c r="I820" s="2"/>
      <c r="K820" s="253"/>
      <c r="L820" s="2"/>
      <c r="M820" s="2"/>
    </row>
    <row r="821" spans="1:13" ht="15.75" customHeight="1">
      <c r="A821" s="4"/>
      <c r="G821" s="2"/>
      <c r="H821" s="2"/>
      <c r="I821" s="2"/>
      <c r="K821" s="253"/>
      <c r="L821" s="2"/>
      <c r="M821" s="2"/>
    </row>
    <row r="822" spans="1:13" ht="15.75" customHeight="1">
      <c r="A822" s="4"/>
      <c r="G822" s="2"/>
      <c r="H822" s="2"/>
      <c r="I822" s="2"/>
      <c r="K822" s="253"/>
      <c r="L822" s="2"/>
      <c r="M822" s="2"/>
    </row>
    <row r="823" spans="1:13" ht="15.75" customHeight="1">
      <c r="A823" s="4"/>
      <c r="G823" s="2"/>
      <c r="H823" s="2"/>
      <c r="I823" s="2"/>
      <c r="K823" s="253"/>
      <c r="L823" s="2"/>
      <c r="M823" s="2"/>
    </row>
    <row r="824" spans="1:13" ht="15.75" customHeight="1">
      <c r="A824" s="4"/>
      <c r="G824" s="2"/>
      <c r="H824" s="2"/>
      <c r="I824" s="2"/>
      <c r="K824" s="253"/>
      <c r="L824" s="2"/>
      <c r="M824" s="2"/>
    </row>
    <row r="825" spans="1:13" ht="15.75" customHeight="1">
      <c r="A825" s="4"/>
      <c r="G825" s="2"/>
      <c r="H825" s="2"/>
      <c r="I825" s="2"/>
      <c r="K825" s="253"/>
      <c r="L825" s="2"/>
      <c r="M825" s="2"/>
    </row>
    <row r="826" spans="1:13" ht="15.75" customHeight="1">
      <c r="A826" s="4"/>
      <c r="G826" s="2"/>
      <c r="H826" s="2"/>
      <c r="I826" s="2"/>
      <c r="K826" s="253"/>
      <c r="L826" s="2"/>
      <c r="M826" s="2"/>
    </row>
    <row r="827" spans="1:13" ht="15.75" customHeight="1">
      <c r="A827" s="4"/>
      <c r="G827" s="2"/>
      <c r="H827" s="2"/>
      <c r="I827" s="2"/>
      <c r="K827" s="253"/>
      <c r="L827" s="2"/>
      <c r="M827" s="2"/>
    </row>
    <row r="828" spans="1:13" ht="15.75" customHeight="1">
      <c r="A828" s="4"/>
      <c r="G828" s="2"/>
      <c r="H828" s="2"/>
      <c r="I828" s="2"/>
      <c r="K828" s="253"/>
      <c r="L828" s="2"/>
      <c r="M828" s="2"/>
    </row>
    <row r="829" spans="1:13" ht="15.75" customHeight="1">
      <c r="A829" s="4"/>
      <c r="G829" s="2"/>
      <c r="H829" s="2"/>
      <c r="I829" s="2"/>
      <c r="K829" s="253"/>
      <c r="L829" s="2"/>
      <c r="M829" s="2"/>
    </row>
    <row r="830" spans="1:13" ht="15.75" customHeight="1">
      <c r="A830" s="4"/>
      <c r="G830" s="2"/>
      <c r="H830" s="2"/>
      <c r="I830" s="2"/>
      <c r="K830" s="253"/>
      <c r="L830" s="2"/>
      <c r="M830" s="2"/>
    </row>
    <row r="831" spans="1:13" ht="15.75" customHeight="1">
      <c r="A831" s="4"/>
      <c r="G831" s="2"/>
      <c r="H831" s="2"/>
      <c r="I831" s="2"/>
      <c r="K831" s="253"/>
      <c r="L831" s="2"/>
      <c r="M831" s="2"/>
    </row>
    <row r="832" spans="1:13" ht="15.75" customHeight="1">
      <c r="A832" s="4"/>
      <c r="G832" s="2"/>
      <c r="H832" s="2"/>
      <c r="I832" s="2"/>
      <c r="K832" s="253"/>
      <c r="L832" s="2"/>
      <c r="M832" s="2"/>
    </row>
    <row r="833" spans="1:13" ht="15.75" customHeight="1">
      <c r="A833" s="4"/>
      <c r="G833" s="2"/>
      <c r="H833" s="2"/>
      <c r="I833" s="2"/>
      <c r="K833" s="253"/>
      <c r="L833" s="2"/>
      <c r="M833" s="2"/>
    </row>
    <row r="834" spans="1:13" ht="15.75" customHeight="1">
      <c r="A834" s="4"/>
      <c r="G834" s="2"/>
      <c r="H834" s="2"/>
      <c r="I834" s="2"/>
      <c r="K834" s="253"/>
      <c r="L834" s="2"/>
      <c r="M834" s="2"/>
    </row>
    <row r="835" spans="1:13" ht="15.75" customHeight="1">
      <c r="A835" s="4"/>
      <c r="G835" s="2"/>
      <c r="H835" s="2"/>
      <c r="I835" s="2"/>
      <c r="K835" s="253"/>
      <c r="L835" s="2"/>
      <c r="M835" s="2"/>
    </row>
    <row r="836" spans="1:13" ht="15.75" customHeight="1">
      <c r="A836" s="4"/>
      <c r="G836" s="2"/>
      <c r="H836" s="2"/>
      <c r="I836" s="2"/>
      <c r="K836" s="253"/>
      <c r="L836" s="2"/>
      <c r="M836" s="2"/>
    </row>
    <row r="837" spans="1:13" ht="15.75" customHeight="1">
      <c r="A837" s="4"/>
      <c r="G837" s="2"/>
      <c r="H837" s="2"/>
      <c r="I837" s="2"/>
      <c r="K837" s="253"/>
      <c r="L837" s="2"/>
      <c r="M837" s="2"/>
    </row>
    <row r="838" spans="1:13" ht="15.75" customHeight="1">
      <c r="A838" s="4"/>
      <c r="G838" s="2"/>
      <c r="H838" s="2"/>
      <c r="I838" s="2"/>
      <c r="K838" s="253"/>
      <c r="L838" s="2"/>
      <c r="M838" s="2"/>
    </row>
    <row r="839" spans="1:13" ht="15.75" customHeight="1">
      <c r="A839" s="4"/>
      <c r="G839" s="2"/>
      <c r="H839" s="2"/>
      <c r="I839" s="2"/>
      <c r="K839" s="253"/>
      <c r="L839" s="2"/>
      <c r="M839" s="2"/>
    </row>
    <row r="840" spans="1:13" ht="15.75" customHeight="1">
      <c r="A840" s="4"/>
      <c r="G840" s="2"/>
      <c r="H840" s="2"/>
      <c r="I840" s="2"/>
      <c r="K840" s="253"/>
      <c r="L840" s="2"/>
      <c r="M840" s="2"/>
    </row>
    <row r="841" spans="1:13" ht="15.75" customHeight="1">
      <c r="A841" s="4"/>
      <c r="G841" s="2"/>
      <c r="H841" s="2"/>
      <c r="I841" s="2"/>
      <c r="K841" s="253"/>
      <c r="L841" s="2"/>
      <c r="M841" s="2"/>
    </row>
    <row r="842" spans="1:13" ht="15.75" customHeight="1">
      <c r="A842" s="4"/>
      <c r="G842" s="2"/>
      <c r="H842" s="2"/>
      <c r="I842" s="2"/>
      <c r="K842" s="253"/>
      <c r="L842" s="2"/>
      <c r="M842" s="2"/>
    </row>
    <row r="843" spans="1:13" ht="15.75" customHeight="1">
      <c r="A843" s="4"/>
      <c r="G843" s="2"/>
      <c r="H843" s="2"/>
      <c r="I843" s="2"/>
      <c r="K843" s="253"/>
      <c r="L843" s="2"/>
      <c r="M843" s="2"/>
    </row>
    <row r="844" spans="1:13" ht="15.75" customHeight="1">
      <c r="A844" s="4"/>
      <c r="G844" s="2"/>
      <c r="H844" s="2"/>
      <c r="I844" s="2"/>
      <c r="K844" s="253"/>
      <c r="L844" s="2"/>
      <c r="M844" s="2"/>
    </row>
    <row r="845" spans="1:13" ht="15.75" customHeight="1">
      <c r="A845" s="4"/>
      <c r="G845" s="2"/>
      <c r="H845" s="2"/>
      <c r="I845" s="2"/>
      <c r="K845" s="253"/>
      <c r="L845" s="2"/>
      <c r="M845" s="2"/>
    </row>
    <row r="846" spans="1:13" ht="15.75" customHeight="1">
      <c r="A846" s="4"/>
      <c r="G846" s="2"/>
      <c r="H846" s="2"/>
      <c r="I846" s="2"/>
      <c r="K846" s="253"/>
      <c r="L846" s="2"/>
      <c r="M846" s="2"/>
    </row>
    <row r="847" spans="1:13" ht="15.75" customHeight="1">
      <c r="A847" s="4"/>
      <c r="G847" s="2"/>
      <c r="H847" s="2"/>
      <c r="I847" s="2"/>
      <c r="K847" s="253"/>
      <c r="L847" s="2"/>
      <c r="M847" s="2"/>
    </row>
    <row r="848" spans="1:13" ht="15.75" customHeight="1">
      <c r="A848" s="4"/>
      <c r="G848" s="2"/>
      <c r="H848" s="2"/>
      <c r="I848" s="2"/>
      <c r="K848" s="253"/>
      <c r="L848" s="2"/>
      <c r="M848" s="2"/>
    </row>
    <row r="849" spans="1:13" ht="15.75" customHeight="1">
      <c r="A849" s="4"/>
      <c r="G849" s="2"/>
      <c r="H849" s="2"/>
      <c r="I849" s="2"/>
      <c r="K849" s="253"/>
      <c r="L849" s="2"/>
      <c r="M849" s="2"/>
    </row>
    <row r="850" spans="1:13" ht="15.75" customHeight="1">
      <c r="A850" s="4"/>
      <c r="G850" s="2"/>
      <c r="H850" s="2"/>
      <c r="I850" s="2"/>
      <c r="K850" s="253"/>
      <c r="L850" s="2"/>
      <c r="M850" s="2"/>
    </row>
    <row r="851" spans="1:13" ht="15.75" customHeight="1">
      <c r="A851" s="4"/>
      <c r="G851" s="2"/>
      <c r="H851" s="2"/>
      <c r="I851" s="2"/>
      <c r="K851" s="253"/>
      <c r="L851" s="2"/>
      <c r="M851" s="2"/>
    </row>
    <row r="852" spans="1:13" ht="15.75" customHeight="1">
      <c r="A852" s="4"/>
      <c r="G852" s="2"/>
      <c r="H852" s="2"/>
      <c r="I852" s="2"/>
      <c r="K852" s="253"/>
      <c r="L852" s="2"/>
      <c r="M852" s="2"/>
    </row>
    <row r="853" spans="1:13" ht="15.75" customHeight="1">
      <c r="A853" s="4"/>
      <c r="G853" s="2"/>
      <c r="H853" s="2"/>
      <c r="I853" s="2"/>
      <c r="K853" s="253"/>
      <c r="L853" s="2"/>
      <c r="M853" s="2"/>
    </row>
    <row r="854" spans="1:13" ht="15.75" customHeight="1">
      <c r="A854" s="4"/>
      <c r="G854" s="2"/>
      <c r="H854" s="2"/>
      <c r="I854" s="2"/>
      <c r="K854" s="253"/>
      <c r="L854" s="2"/>
      <c r="M854" s="2"/>
    </row>
    <row r="855" spans="1:13" ht="15.75" customHeight="1">
      <c r="A855" s="4"/>
      <c r="G855" s="2"/>
      <c r="H855" s="2"/>
      <c r="I855" s="2"/>
      <c r="K855" s="253"/>
      <c r="L855" s="2"/>
      <c r="M855" s="2"/>
    </row>
    <row r="856" spans="1:13" ht="15.75" customHeight="1">
      <c r="A856" s="4"/>
      <c r="G856" s="2"/>
      <c r="H856" s="2"/>
      <c r="I856" s="2"/>
      <c r="K856" s="253"/>
      <c r="L856" s="2"/>
      <c r="M856" s="2"/>
    </row>
    <row r="857" spans="1:13" ht="15.75" customHeight="1">
      <c r="A857" s="4"/>
      <c r="G857" s="2"/>
      <c r="H857" s="2"/>
      <c r="I857" s="2"/>
      <c r="K857" s="253"/>
      <c r="L857" s="2"/>
      <c r="M857" s="2"/>
    </row>
    <row r="858" spans="1:13" ht="15.75" customHeight="1">
      <c r="A858" s="4"/>
      <c r="G858" s="2"/>
      <c r="H858" s="2"/>
      <c r="I858" s="2"/>
      <c r="K858" s="253"/>
      <c r="L858" s="2"/>
      <c r="M858" s="2"/>
    </row>
    <row r="859" spans="1:13" ht="15.75" customHeight="1">
      <c r="A859" s="4"/>
      <c r="G859" s="2"/>
      <c r="H859" s="2"/>
      <c r="I859" s="2"/>
      <c r="K859" s="253"/>
      <c r="L859" s="2"/>
      <c r="M859" s="2"/>
    </row>
    <row r="860" spans="1:13" ht="15.75" customHeight="1">
      <c r="A860" s="4"/>
      <c r="G860" s="2"/>
      <c r="H860" s="2"/>
      <c r="I860" s="2"/>
      <c r="K860" s="253"/>
      <c r="L860" s="2"/>
      <c r="M860" s="2"/>
    </row>
    <row r="861" spans="1:13" ht="15.75" customHeight="1">
      <c r="A861" s="4"/>
      <c r="G861" s="2"/>
      <c r="H861" s="2"/>
      <c r="I861" s="2"/>
      <c r="K861" s="253"/>
      <c r="L861" s="2"/>
      <c r="M861" s="2"/>
    </row>
    <row r="862" spans="1:13" ht="15.75" customHeight="1">
      <c r="A862" s="4"/>
      <c r="G862" s="2"/>
      <c r="H862" s="2"/>
      <c r="I862" s="2"/>
      <c r="K862" s="253"/>
      <c r="L862" s="2"/>
      <c r="M862" s="2"/>
    </row>
    <row r="863" spans="1:13" ht="15.75" customHeight="1">
      <c r="A863" s="4"/>
      <c r="G863" s="2"/>
      <c r="H863" s="2"/>
      <c r="I863" s="2"/>
      <c r="K863" s="253"/>
      <c r="L863" s="2"/>
      <c r="M863" s="2"/>
    </row>
    <row r="864" spans="1:13" ht="15.75" customHeight="1">
      <c r="A864" s="4"/>
      <c r="G864" s="2"/>
      <c r="H864" s="2"/>
      <c r="I864" s="2"/>
      <c r="K864" s="253"/>
      <c r="L864" s="2"/>
      <c r="M864" s="2"/>
    </row>
    <row r="865" spans="1:13" ht="15.75" customHeight="1">
      <c r="A865" s="4"/>
      <c r="G865" s="2"/>
      <c r="H865" s="2"/>
      <c r="I865" s="2"/>
      <c r="K865" s="253"/>
      <c r="L865" s="2"/>
      <c r="M865" s="2"/>
    </row>
    <row r="866" spans="1:13" ht="15.75" customHeight="1">
      <c r="A866" s="4"/>
      <c r="G866" s="2"/>
      <c r="H866" s="2"/>
      <c r="I866" s="2"/>
      <c r="K866" s="253"/>
      <c r="L866" s="2"/>
      <c r="M866" s="2"/>
    </row>
    <row r="867" spans="1:13" ht="15.75" customHeight="1">
      <c r="A867" s="4"/>
      <c r="G867" s="2"/>
      <c r="H867" s="2"/>
      <c r="I867" s="2"/>
      <c r="K867" s="253"/>
      <c r="L867" s="2"/>
      <c r="M867" s="2"/>
    </row>
    <row r="868" spans="1:13" ht="15.75" customHeight="1">
      <c r="A868" s="4"/>
      <c r="G868" s="2"/>
      <c r="H868" s="2"/>
      <c r="I868" s="2"/>
      <c r="K868" s="253"/>
      <c r="L868" s="2"/>
      <c r="M868" s="2"/>
    </row>
    <row r="869" spans="1:13" ht="15.75" customHeight="1">
      <c r="A869" s="4"/>
      <c r="G869" s="2"/>
      <c r="H869" s="2"/>
      <c r="I869" s="2"/>
      <c r="K869" s="253"/>
      <c r="L869" s="2"/>
      <c r="M869" s="2"/>
    </row>
    <row r="870" spans="1:13" ht="15.75" customHeight="1">
      <c r="A870" s="4"/>
      <c r="G870" s="2"/>
      <c r="H870" s="2"/>
      <c r="I870" s="2"/>
      <c r="K870" s="253"/>
      <c r="L870" s="2"/>
      <c r="M870" s="2"/>
    </row>
    <row r="871" spans="1:13" ht="15.75" customHeight="1">
      <c r="A871" s="4"/>
      <c r="G871" s="2"/>
      <c r="H871" s="2"/>
      <c r="I871" s="2"/>
      <c r="K871" s="253"/>
      <c r="L871" s="2"/>
      <c r="M871" s="2"/>
    </row>
    <row r="872" spans="1:13" ht="15.75" customHeight="1">
      <c r="A872" s="4"/>
      <c r="G872" s="2"/>
      <c r="H872" s="2"/>
      <c r="I872" s="2"/>
      <c r="K872" s="253"/>
      <c r="L872" s="2"/>
      <c r="M872" s="2"/>
    </row>
    <row r="873" spans="1:13" ht="15.75" customHeight="1">
      <c r="A873" s="4"/>
      <c r="G873" s="2"/>
      <c r="H873" s="2"/>
      <c r="I873" s="2"/>
      <c r="K873" s="253"/>
      <c r="L873" s="2"/>
      <c r="M873" s="2"/>
    </row>
    <row r="874" spans="1:13" ht="15.75" customHeight="1">
      <c r="A874" s="4"/>
      <c r="G874" s="2"/>
      <c r="H874" s="2"/>
      <c r="I874" s="2"/>
      <c r="K874" s="253"/>
      <c r="L874" s="2"/>
      <c r="M874" s="2"/>
    </row>
    <row r="875" spans="1:13" ht="15.75" customHeight="1">
      <c r="A875" s="4"/>
      <c r="G875" s="2"/>
      <c r="H875" s="2"/>
      <c r="I875" s="2"/>
      <c r="K875" s="253"/>
      <c r="L875" s="2"/>
      <c r="M875" s="2"/>
    </row>
    <row r="876" spans="1:13" ht="15.75" customHeight="1">
      <c r="A876" s="4"/>
      <c r="G876" s="2"/>
      <c r="H876" s="2"/>
      <c r="I876" s="2"/>
      <c r="K876" s="253"/>
      <c r="L876" s="2"/>
      <c r="M876" s="2"/>
    </row>
    <row r="877" spans="1:13" ht="15.75" customHeight="1">
      <c r="A877" s="4"/>
      <c r="G877" s="2"/>
      <c r="H877" s="2"/>
      <c r="I877" s="2"/>
      <c r="K877" s="253"/>
      <c r="L877" s="2"/>
      <c r="M877" s="2"/>
    </row>
    <row r="878" spans="1:13" ht="15.75" customHeight="1">
      <c r="A878" s="4"/>
      <c r="G878" s="2"/>
      <c r="H878" s="2"/>
      <c r="I878" s="2"/>
      <c r="K878" s="253"/>
      <c r="L878" s="2"/>
      <c r="M878" s="2"/>
    </row>
    <row r="879" spans="1:13" ht="15.75" customHeight="1">
      <c r="A879" s="4"/>
      <c r="G879" s="2"/>
      <c r="H879" s="2"/>
      <c r="I879" s="2"/>
      <c r="K879" s="253"/>
      <c r="L879" s="2"/>
      <c r="M879" s="2"/>
    </row>
    <row r="880" spans="1:13" ht="15.75" customHeight="1">
      <c r="A880" s="4"/>
      <c r="G880" s="2"/>
      <c r="H880" s="2"/>
      <c r="I880" s="2"/>
      <c r="K880" s="253"/>
      <c r="L880" s="2"/>
      <c r="M880" s="2"/>
    </row>
    <row r="881" spans="1:13" ht="15.75" customHeight="1">
      <c r="A881" s="4"/>
      <c r="G881" s="2"/>
      <c r="H881" s="2"/>
      <c r="I881" s="2"/>
      <c r="K881" s="253"/>
      <c r="L881" s="2"/>
      <c r="M881" s="2"/>
    </row>
    <row r="882" spans="1:13" ht="15.75" customHeight="1">
      <c r="A882" s="4"/>
      <c r="G882" s="2"/>
      <c r="H882" s="2"/>
      <c r="I882" s="2"/>
      <c r="K882" s="253"/>
      <c r="L882" s="2"/>
      <c r="M882" s="2"/>
    </row>
    <row r="883" spans="1:13" ht="15.75" customHeight="1">
      <c r="A883" s="4"/>
      <c r="G883" s="2"/>
      <c r="H883" s="2"/>
      <c r="I883" s="2"/>
      <c r="K883" s="253"/>
      <c r="L883" s="2"/>
      <c r="M883" s="2"/>
    </row>
    <row r="884" spans="1:13" ht="15.75" customHeight="1">
      <c r="A884" s="4"/>
      <c r="G884" s="2"/>
      <c r="H884" s="2"/>
      <c r="I884" s="2"/>
      <c r="K884" s="253"/>
      <c r="L884" s="2"/>
      <c r="M884" s="2"/>
    </row>
    <row r="885" spans="1:13" ht="15.75" customHeight="1">
      <c r="A885" s="4"/>
      <c r="G885" s="2"/>
      <c r="H885" s="2"/>
      <c r="I885" s="2"/>
      <c r="K885" s="253"/>
      <c r="L885" s="2"/>
      <c r="M885" s="2"/>
    </row>
    <row r="886" spans="1:13" ht="15.75" customHeight="1">
      <c r="A886" s="4"/>
      <c r="G886" s="2"/>
      <c r="H886" s="2"/>
      <c r="I886" s="2"/>
      <c r="K886" s="253"/>
      <c r="L886" s="2"/>
      <c r="M886" s="2"/>
    </row>
    <row r="887" spans="1:13" ht="15.75" customHeight="1">
      <c r="A887" s="4"/>
      <c r="G887" s="2"/>
      <c r="H887" s="2"/>
      <c r="I887" s="2"/>
      <c r="K887" s="253"/>
      <c r="L887" s="2"/>
      <c r="M887" s="2"/>
    </row>
    <row r="888" spans="1:13" ht="15.75" customHeight="1">
      <c r="A888" s="4"/>
      <c r="G888" s="2"/>
      <c r="H888" s="2"/>
      <c r="I888" s="2"/>
      <c r="K888" s="253"/>
      <c r="L888" s="2"/>
      <c r="M888" s="2"/>
    </row>
    <row r="889" spans="1:13" ht="15.75" customHeight="1">
      <c r="A889" s="4"/>
      <c r="G889" s="2"/>
      <c r="H889" s="2"/>
      <c r="I889" s="2"/>
      <c r="K889" s="253"/>
      <c r="L889" s="2"/>
      <c r="M889" s="2"/>
    </row>
    <row r="890" spans="1:13" ht="15.75" customHeight="1">
      <c r="A890" s="4"/>
      <c r="G890" s="2"/>
      <c r="H890" s="2"/>
      <c r="I890" s="2"/>
      <c r="K890" s="253"/>
      <c r="L890" s="2"/>
      <c r="M890" s="2"/>
    </row>
    <row r="891" spans="1:13" ht="15.75" customHeight="1">
      <c r="A891" s="4"/>
      <c r="G891" s="2"/>
      <c r="H891" s="2"/>
      <c r="I891" s="2"/>
      <c r="K891" s="253"/>
      <c r="L891" s="2"/>
      <c r="M891" s="2"/>
    </row>
    <row r="892" spans="1:13" ht="15.75" customHeight="1">
      <c r="A892" s="4"/>
      <c r="G892" s="2"/>
      <c r="H892" s="2"/>
      <c r="I892" s="2"/>
      <c r="K892" s="253"/>
      <c r="L892" s="2"/>
      <c r="M892" s="2"/>
    </row>
    <row r="893" spans="1:13" ht="15.75" customHeight="1">
      <c r="A893" s="4"/>
      <c r="G893" s="2"/>
      <c r="H893" s="2"/>
      <c r="I893" s="2"/>
      <c r="K893" s="253"/>
      <c r="L893" s="2"/>
      <c r="M893" s="2"/>
    </row>
    <row r="894" spans="1:13" ht="15.75" customHeight="1">
      <c r="A894" s="4"/>
      <c r="G894" s="2"/>
      <c r="H894" s="2"/>
      <c r="I894" s="2"/>
      <c r="K894" s="253"/>
      <c r="L894" s="2"/>
      <c r="M894" s="2"/>
    </row>
    <row r="895" spans="1:13" ht="15.75" customHeight="1">
      <c r="A895" s="4"/>
      <c r="G895" s="2"/>
      <c r="H895" s="2"/>
      <c r="I895" s="2"/>
      <c r="K895" s="253"/>
      <c r="L895" s="2"/>
      <c r="M895" s="2"/>
    </row>
    <row r="896" spans="1:13" ht="15.75" customHeight="1">
      <c r="A896" s="4"/>
      <c r="G896" s="2"/>
      <c r="H896" s="2"/>
      <c r="I896" s="2"/>
      <c r="K896" s="253"/>
      <c r="L896" s="2"/>
      <c r="M896" s="2"/>
    </row>
    <row r="897" spans="1:13" ht="15.75" customHeight="1">
      <c r="A897" s="4"/>
      <c r="G897" s="2"/>
      <c r="H897" s="2"/>
      <c r="I897" s="2"/>
      <c r="K897" s="253"/>
      <c r="L897" s="2"/>
      <c r="M897" s="2"/>
    </row>
    <row r="898" spans="1:13" ht="15.75" customHeight="1">
      <c r="A898" s="4"/>
      <c r="G898" s="2"/>
      <c r="H898" s="2"/>
      <c r="I898" s="2"/>
      <c r="K898" s="253"/>
      <c r="L898" s="2"/>
      <c r="M898" s="2"/>
    </row>
    <row r="899" spans="1:13" ht="15.75" customHeight="1">
      <c r="A899" s="4"/>
      <c r="G899" s="2"/>
      <c r="H899" s="2"/>
      <c r="I899" s="2"/>
      <c r="K899" s="253"/>
      <c r="L899" s="2"/>
      <c r="M899" s="2"/>
    </row>
    <row r="900" spans="1:13" ht="15.75" customHeight="1">
      <c r="A900" s="4"/>
      <c r="G900" s="2"/>
      <c r="H900" s="2"/>
      <c r="I900" s="2"/>
      <c r="K900" s="253"/>
      <c r="L900" s="2"/>
      <c r="M900" s="2"/>
    </row>
    <row r="901" spans="1:13" ht="15.75" customHeight="1">
      <c r="A901" s="4"/>
      <c r="G901" s="2"/>
      <c r="H901" s="2"/>
      <c r="I901" s="2"/>
      <c r="K901" s="253"/>
      <c r="L901" s="2"/>
      <c r="M901" s="2"/>
    </row>
    <row r="902" spans="1:13" ht="15.75" customHeight="1">
      <c r="A902" s="4"/>
      <c r="G902" s="2"/>
      <c r="H902" s="2"/>
      <c r="I902" s="2"/>
      <c r="K902" s="253"/>
      <c r="L902" s="2"/>
      <c r="M902" s="2"/>
    </row>
    <row r="903" spans="1:13" ht="15.75" customHeight="1">
      <c r="A903" s="4"/>
      <c r="G903" s="2"/>
      <c r="H903" s="2"/>
      <c r="I903" s="2"/>
      <c r="K903" s="253"/>
      <c r="L903" s="2"/>
      <c r="M903" s="2"/>
    </row>
    <row r="904" spans="1:13" ht="15.75" customHeight="1">
      <c r="A904" s="4"/>
      <c r="G904" s="2"/>
      <c r="H904" s="2"/>
      <c r="I904" s="2"/>
      <c r="K904" s="253"/>
      <c r="L904" s="2"/>
      <c r="M904" s="2"/>
    </row>
    <row r="905" spans="1:13" ht="15.75" customHeight="1">
      <c r="A905" s="4"/>
      <c r="G905" s="2"/>
      <c r="H905" s="2"/>
      <c r="I905" s="2"/>
      <c r="K905" s="253"/>
      <c r="L905" s="2"/>
      <c r="M905" s="2"/>
    </row>
    <row r="906" spans="1:13" ht="15.75" customHeight="1">
      <c r="A906" s="4"/>
      <c r="G906" s="2"/>
      <c r="H906" s="2"/>
      <c r="I906" s="2"/>
      <c r="K906" s="253"/>
      <c r="L906" s="2"/>
      <c r="M906" s="2"/>
    </row>
    <row r="907" spans="1:13" ht="15.75" customHeight="1">
      <c r="A907" s="4"/>
      <c r="G907" s="2"/>
      <c r="H907" s="2"/>
      <c r="I907" s="2"/>
      <c r="K907" s="253"/>
      <c r="L907" s="2"/>
      <c r="M907" s="2"/>
    </row>
    <row r="908" spans="1:13" ht="15.75" customHeight="1">
      <c r="A908" s="4"/>
      <c r="G908" s="2"/>
      <c r="H908" s="2"/>
      <c r="I908" s="2"/>
      <c r="K908" s="253"/>
      <c r="L908" s="2"/>
      <c r="M908" s="2"/>
    </row>
    <row r="909" spans="1:13" ht="15.75" customHeight="1">
      <c r="A909" s="4"/>
      <c r="G909" s="2"/>
      <c r="H909" s="2"/>
      <c r="I909" s="2"/>
      <c r="K909" s="253"/>
      <c r="L909" s="2"/>
      <c r="M909" s="2"/>
    </row>
    <row r="910" spans="1:13" ht="15.75" customHeight="1">
      <c r="A910" s="4"/>
      <c r="G910" s="2"/>
      <c r="H910" s="2"/>
      <c r="I910" s="2"/>
      <c r="K910" s="253"/>
      <c r="L910" s="2"/>
      <c r="M910" s="2"/>
    </row>
    <row r="911" spans="1:13" ht="15.75" customHeight="1">
      <c r="A911" s="4"/>
      <c r="G911" s="2"/>
      <c r="H911" s="2"/>
      <c r="I911" s="2"/>
      <c r="K911" s="253"/>
      <c r="L911" s="2"/>
      <c r="M911" s="2"/>
    </row>
    <row r="912" spans="1:13" ht="15.75" customHeight="1">
      <c r="A912" s="4"/>
      <c r="G912" s="2"/>
      <c r="H912" s="2"/>
      <c r="I912" s="2"/>
      <c r="K912" s="253"/>
      <c r="L912" s="2"/>
      <c r="M912" s="2"/>
    </row>
    <row r="913" spans="1:13" ht="15.75" customHeight="1">
      <c r="A913" s="4"/>
      <c r="G913" s="2"/>
      <c r="H913" s="2"/>
      <c r="I913" s="2"/>
      <c r="K913" s="253"/>
      <c r="L913" s="2"/>
      <c r="M913" s="2"/>
    </row>
    <row r="914" spans="1:13" ht="15.75" customHeight="1">
      <c r="A914" s="4"/>
      <c r="G914" s="2"/>
      <c r="H914" s="2"/>
      <c r="I914" s="2"/>
      <c r="K914" s="253"/>
      <c r="L914" s="2"/>
      <c r="M914" s="2"/>
    </row>
    <row r="915" spans="1:13" ht="15.75" customHeight="1">
      <c r="A915" s="4"/>
      <c r="G915" s="2"/>
      <c r="H915" s="2"/>
      <c r="I915" s="2"/>
      <c r="K915" s="253"/>
      <c r="L915" s="2"/>
      <c r="M915" s="2"/>
    </row>
    <row r="916" spans="1:13" ht="15.75" customHeight="1">
      <c r="A916" s="4"/>
      <c r="G916" s="2"/>
      <c r="H916" s="2"/>
      <c r="I916" s="2"/>
      <c r="K916" s="253"/>
      <c r="L916" s="2"/>
      <c r="M916" s="2"/>
    </row>
    <row r="917" spans="1:13" ht="15.75" customHeight="1">
      <c r="A917" s="4"/>
      <c r="G917" s="2"/>
      <c r="H917" s="2"/>
      <c r="I917" s="2"/>
      <c r="K917" s="253"/>
      <c r="L917" s="2"/>
      <c r="M917" s="2"/>
    </row>
    <row r="918" spans="1:13" ht="15.75" customHeight="1">
      <c r="A918" s="4"/>
      <c r="G918" s="2"/>
      <c r="H918" s="2"/>
      <c r="I918" s="2"/>
      <c r="K918" s="253"/>
      <c r="L918" s="2"/>
      <c r="M918" s="2"/>
    </row>
    <row r="919" spans="1:13" ht="15.75" customHeight="1">
      <c r="A919" s="4"/>
      <c r="G919" s="2"/>
      <c r="H919" s="2"/>
      <c r="I919" s="2"/>
      <c r="K919" s="253"/>
      <c r="L919" s="2"/>
      <c r="M919" s="2"/>
    </row>
    <row r="920" spans="1:13" ht="15.75" customHeight="1">
      <c r="A920" s="4"/>
      <c r="G920" s="2"/>
      <c r="H920" s="2"/>
      <c r="I920" s="2"/>
      <c r="K920" s="253"/>
      <c r="L920" s="2"/>
      <c r="M920" s="2"/>
    </row>
    <row r="921" spans="1:13" ht="15.75" customHeight="1">
      <c r="A921" s="4"/>
      <c r="G921" s="2"/>
      <c r="H921" s="2"/>
      <c r="I921" s="2"/>
      <c r="K921" s="253"/>
      <c r="L921" s="2"/>
      <c r="M921" s="2"/>
    </row>
    <row r="922" spans="1:13" ht="15.75" customHeight="1">
      <c r="A922" s="4"/>
      <c r="G922" s="2"/>
      <c r="H922" s="2"/>
      <c r="I922" s="2"/>
      <c r="K922" s="253"/>
      <c r="L922" s="2"/>
      <c r="M922" s="2"/>
    </row>
    <row r="923" spans="1:13" ht="15.75" customHeight="1">
      <c r="A923" s="4"/>
      <c r="G923" s="2"/>
      <c r="H923" s="2"/>
      <c r="I923" s="2"/>
      <c r="K923" s="253"/>
      <c r="L923" s="2"/>
      <c r="M923" s="2"/>
    </row>
    <row r="924" spans="1:13" ht="15.75" customHeight="1">
      <c r="A924" s="4"/>
      <c r="G924" s="2"/>
      <c r="H924" s="2"/>
      <c r="I924" s="2"/>
      <c r="K924" s="253"/>
      <c r="L924" s="2"/>
      <c r="M924" s="2"/>
    </row>
    <row r="925" spans="1:13" ht="15.75" customHeight="1">
      <c r="A925" s="4"/>
      <c r="G925" s="2"/>
      <c r="H925" s="2"/>
      <c r="I925" s="2"/>
      <c r="K925" s="253"/>
      <c r="L925" s="2"/>
      <c r="M925" s="2"/>
    </row>
    <row r="926" spans="1:13" ht="15.75" customHeight="1">
      <c r="A926" s="4"/>
      <c r="G926" s="2"/>
      <c r="H926" s="2"/>
      <c r="I926" s="2"/>
      <c r="K926" s="253"/>
      <c r="L926" s="2"/>
      <c r="M926" s="2"/>
    </row>
    <row r="927" spans="1:13" ht="15.75" customHeight="1">
      <c r="A927" s="4"/>
      <c r="G927" s="2"/>
      <c r="H927" s="2"/>
      <c r="I927" s="2"/>
      <c r="K927" s="253"/>
      <c r="L927" s="2"/>
      <c r="M927" s="2"/>
    </row>
    <row r="928" spans="1:13" ht="15.75" customHeight="1">
      <c r="A928" s="4"/>
      <c r="G928" s="2"/>
      <c r="H928" s="2"/>
      <c r="I928" s="2"/>
      <c r="K928" s="253"/>
      <c r="L928" s="2"/>
      <c r="M928" s="2"/>
    </row>
    <row r="929" spans="1:13" ht="15.75" customHeight="1">
      <c r="A929" s="4"/>
      <c r="G929" s="2"/>
      <c r="H929" s="2"/>
      <c r="I929" s="2"/>
      <c r="K929" s="253"/>
      <c r="L929" s="2"/>
      <c r="M929" s="2"/>
    </row>
    <row r="930" spans="1:13" ht="15.75" customHeight="1">
      <c r="A930" s="4"/>
      <c r="G930" s="2"/>
      <c r="H930" s="2"/>
      <c r="I930" s="2"/>
      <c r="K930" s="253"/>
      <c r="L930" s="2"/>
      <c r="M930" s="2"/>
    </row>
    <row r="931" spans="1:13" ht="15.75" customHeight="1">
      <c r="A931" s="4"/>
      <c r="G931" s="2"/>
      <c r="H931" s="2"/>
      <c r="I931" s="2"/>
      <c r="K931" s="253"/>
      <c r="L931" s="2"/>
      <c r="M931" s="2"/>
    </row>
    <row r="932" spans="1:13" ht="15.75" customHeight="1">
      <c r="A932" s="4"/>
      <c r="G932" s="2"/>
      <c r="H932" s="2"/>
      <c r="I932" s="2"/>
      <c r="K932" s="253"/>
      <c r="L932" s="2"/>
      <c r="M932" s="2"/>
    </row>
    <row r="933" spans="1:13" ht="15.75" customHeight="1">
      <c r="A933" s="4"/>
      <c r="G933" s="2"/>
      <c r="H933" s="2"/>
      <c r="I933" s="2"/>
      <c r="K933" s="253"/>
      <c r="L933" s="2"/>
      <c r="M933" s="2"/>
    </row>
    <row r="934" spans="1:13" ht="15.75" customHeight="1">
      <c r="A934" s="4"/>
      <c r="G934" s="2"/>
      <c r="H934" s="2"/>
      <c r="I934" s="2"/>
      <c r="K934" s="253"/>
      <c r="L934" s="2"/>
      <c r="M934" s="2"/>
    </row>
    <row r="935" spans="1:13" ht="15.75" customHeight="1">
      <c r="A935" s="4"/>
      <c r="G935" s="2"/>
      <c r="H935" s="2"/>
      <c r="I935" s="2"/>
      <c r="K935" s="253"/>
      <c r="L935" s="2"/>
      <c r="M935" s="2"/>
    </row>
    <row r="936" spans="1:13" ht="15.75" customHeight="1">
      <c r="A936" s="4"/>
      <c r="G936" s="2"/>
      <c r="H936" s="2"/>
      <c r="I936" s="2"/>
      <c r="K936" s="253"/>
      <c r="L936" s="2"/>
      <c r="M936" s="2"/>
    </row>
    <row r="937" spans="1:13" ht="15.75" customHeight="1">
      <c r="A937" s="4"/>
      <c r="G937" s="2"/>
      <c r="H937" s="2"/>
      <c r="I937" s="2"/>
      <c r="K937" s="253"/>
      <c r="L937" s="2"/>
      <c r="M937" s="2"/>
    </row>
    <row r="938" spans="1:13" ht="15.75" customHeight="1">
      <c r="A938" s="4"/>
      <c r="G938" s="2"/>
      <c r="H938" s="2"/>
      <c r="I938" s="2"/>
      <c r="K938" s="253"/>
      <c r="L938" s="2"/>
      <c r="M938" s="2"/>
    </row>
    <row r="939" spans="1:13" ht="15.75" customHeight="1">
      <c r="A939" s="4"/>
      <c r="G939" s="2"/>
      <c r="H939" s="2"/>
      <c r="I939" s="2"/>
      <c r="K939" s="253"/>
      <c r="L939" s="2"/>
      <c r="M939" s="2"/>
    </row>
    <row r="940" spans="1:13" ht="15.75" customHeight="1">
      <c r="A940" s="4"/>
      <c r="G940" s="2"/>
      <c r="H940" s="2"/>
      <c r="I940" s="2"/>
      <c r="K940" s="253"/>
      <c r="L940" s="2"/>
      <c r="M940" s="2"/>
    </row>
    <row r="941" spans="1:13" ht="15.75" customHeight="1">
      <c r="A941" s="4"/>
      <c r="G941" s="2"/>
      <c r="H941" s="2"/>
      <c r="I941" s="2"/>
      <c r="K941" s="253"/>
      <c r="L941" s="2"/>
      <c r="M941" s="2"/>
    </row>
    <row r="942" spans="1:13" ht="15.75" customHeight="1">
      <c r="A942" s="4"/>
      <c r="G942" s="2"/>
      <c r="H942" s="2"/>
      <c r="I942" s="2"/>
      <c r="K942" s="253"/>
      <c r="L942" s="2"/>
      <c r="M942" s="2"/>
    </row>
    <row r="943" spans="1:13" ht="15.75" customHeight="1">
      <c r="A943" s="4"/>
      <c r="G943" s="2"/>
      <c r="H943" s="2"/>
      <c r="I943" s="2"/>
      <c r="K943" s="253"/>
      <c r="L943" s="2"/>
      <c r="M943" s="2"/>
    </row>
    <row r="944" spans="1:13" ht="15.75" customHeight="1">
      <c r="A944" s="4"/>
      <c r="G944" s="2"/>
      <c r="H944" s="2"/>
      <c r="I944" s="2"/>
      <c r="K944" s="253"/>
      <c r="L944" s="2"/>
      <c r="M944" s="2"/>
    </row>
    <row r="945" spans="1:13" ht="15.75" customHeight="1">
      <c r="A945" s="4"/>
      <c r="G945" s="2"/>
      <c r="H945" s="2"/>
      <c r="I945" s="2"/>
      <c r="K945" s="253"/>
      <c r="L945" s="2"/>
      <c r="M945" s="2"/>
    </row>
    <row r="946" spans="1:13" ht="15.75" customHeight="1">
      <c r="A946" s="4"/>
      <c r="G946" s="2"/>
      <c r="H946" s="2"/>
      <c r="I946" s="2"/>
      <c r="K946" s="253"/>
      <c r="L946" s="2"/>
      <c r="M946" s="2"/>
    </row>
    <row r="947" spans="1:13" ht="15.75" customHeight="1">
      <c r="A947" s="4"/>
      <c r="G947" s="2"/>
      <c r="H947" s="2"/>
      <c r="I947" s="2"/>
      <c r="K947" s="253"/>
      <c r="L947" s="2"/>
      <c r="M947" s="2"/>
    </row>
    <row r="948" spans="1:13" ht="15.75" customHeight="1">
      <c r="A948" s="4"/>
      <c r="G948" s="2"/>
      <c r="H948" s="2"/>
      <c r="I948" s="2"/>
      <c r="K948" s="253"/>
      <c r="L948" s="2"/>
      <c r="M948" s="2"/>
    </row>
    <row r="949" spans="1:13" ht="15.75" customHeight="1">
      <c r="A949" s="4"/>
      <c r="G949" s="2"/>
      <c r="H949" s="2"/>
      <c r="I949" s="2"/>
      <c r="K949" s="253"/>
      <c r="L949" s="2"/>
      <c r="M949" s="2"/>
    </row>
    <row r="950" spans="1:13" ht="15.75" customHeight="1">
      <c r="A950" s="4"/>
      <c r="G950" s="2"/>
      <c r="H950" s="2"/>
      <c r="I950" s="2"/>
      <c r="K950" s="253"/>
      <c r="L950" s="2"/>
      <c r="M950" s="2"/>
    </row>
    <row r="951" spans="1:13" ht="15.75" customHeight="1">
      <c r="A951" s="4"/>
      <c r="G951" s="2"/>
      <c r="H951" s="2"/>
      <c r="I951" s="2"/>
      <c r="K951" s="253"/>
      <c r="L951" s="2"/>
      <c r="M951" s="2"/>
    </row>
    <row r="952" spans="1:13" ht="15.75" customHeight="1">
      <c r="A952" s="4"/>
      <c r="G952" s="2"/>
      <c r="H952" s="2"/>
      <c r="I952" s="2"/>
      <c r="K952" s="253"/>
      <c r="L952" s="2"/>
      <c r="M952" s="2"/>
    </row>
    <row r="953" spans="1:13" ht="15.75" customHeight="1">
      <c r="A953" s="4"/>
      <c r="G953" s="2"/>
      <c r="H953" s="2"/>
      <c r="I953" s="2"/>
      <c r="K953" s="253"/>
      <c r="L953" s="2"/>
      <c r="M953" s="2"/>
    </row>
    <row r="954" spans="1:13" ht="15.75" customHeight="1">
      <c r="A954" s="4"/>
      <c r="G954" s="2"/>
      <c r="H954" s="2"/>
      <c r="I954" s="2"/>
      <c r="K954" s="253"/>
      <c r="L954" s="2"/>
      <c r="M954" s="2"/>
    </row>
    <row r="955" spans="1:13" ht="15.75" customHeight="1">
      <c r="A955" s="4"/>
      <c r="G955" s="2"/>
      <c r="H955" s="2"/>
      <c r="I955" s="2"/>
      <c r="K955" s="253"/>
      <c r="L955" s="2"/>
      <c r="M955" s="2"/>
    </row>
    <row r="956" spans="1:13" ht="15.75" customHeight="1">
      <c r="A956" s="4"/>
      <c r="G956" s="2"/>
      <c r="H956" s="2"/>
      <c r="I956" s="2"/>
      <c r="K956" s="253"/>
      <c r="L956" s="2"/>
      <c r="M956" s="2"/>
    </row>
    <row r="957" spans="1:13" ht="15.75" customHeight="1">
      <c r="A957" s="4"/>
      <c r="G957" s="2"/>
      <c r="H957" s="2"/>
      <c r="I957" s="2"/>
      <c r="K957" s="253"/>
      <c r="L957" s="2"/>
      <c r="M957" s="2"/>
    </row>
    <row r="958" spans="1:13" ht="15.75" customHeight="1">
      <c r="A958" s="4"/>
      <c r="G958" s="2"/>
      <c r="H958" s="2"/>
      <c r="I958" s="2"/>
      <c r="K958" s="253"/>
      <c r="L958" s="2"/>
      <c r="M958" s="2"/>
    </row>
    <row r="959" spans="1:13" ht="15.75" customHeight="1">
      <c r="A959" s="4"/>
      <c r="G959" s="2"/>
      <c r="H959" s="2"/>
      <c r="I959" s="2"/>
      <c r="K959" s="253"/>
      <c r="L959" s="2"/>
      <c r="M959" s="2"/>
    </row>
    <row r="960" spans="1:13" ht="15.75" customHeight="1">
      <c r="A960" s="4"/>
      <c r="G960" s="2"/>
      <c r="H960" s="2"/>
      <c r="I960" s="2"/>
      <c r="K960" s="253"/>
      <c r="L960" s="2"/>
      <c r="M960" s="2"/>
    </row>
    <row r="961" spans="1:13" ht="15.75" customHeight="1">
      <c r="A961" s="4"/>
      <c r="G961" s="2"/>
      <c r="H961" s="2"/>
      <c r="I961" s="2"/>
      <c r="K961" s="253"/>
      <c r="L961" s="2"/>
      <c r="M961" s="2"/>
    </row>
    <row r="962" spans="1:13" ht="15.75" customHeight="1">
      <c r="A962" s="4"/>
      <c r="G962" s="2"/>
      <c r="H962" s="2"/>
      <c r="I962" s="2"/>
      <c r="K962" s="253"/>
      <c r="L962" s="2"/>
      <c r="M962" s="2"/>
    </row>
    <row r="963" spans="1:13" ht="15.75" customHeight="1">
      <c r="A963" s="4"/>
      <c r="G963" s="2"/>
      <c r="H963" s="2"/>
      <c r="I963" s="2"/>
      <c r="K963" s="253"/>
      <c r="L963" s="2"/>
      <c r="M963" s="2"/>
    </row>
    <row r="964" spans="1:13" ht="15.75" customHeight="1">
      <c r="A964" s="4"/>
      <c r="G964" s="2"/>
      <c r="H964" s="2"/>
      <c r="I964" s="2"/>
      <c r="K964" s="253"/>
      <c r="L964" s="2"/>
      <c r="M964" s="2"/>
    </row>
    <row r="965" spans="1:13" ht="15.75" customHeight="1">
      <c r="A965" s="4"/>
      <c r="G965" s="2"/>
      <c r="H965" s="2"/>
      <c r="I965" s="2"/>
      <c r="K965" s="253"/>
      <c r="L965" s="2"/>
      <c r="M965" s="2"/>
    </row>
    <row r="966" spans="1:13" ht="15.75" customHeight="1">
      <c r="A966" s="4"/>
      <c r="G966" s="2"/>
      <c r="H966" s="2"/>
      <c r="I966" s="2"/>
      <c r="K966" s="253"/>
      <c r="L966" s="2"/>
      <c r="M966" s="2"/>
    </row>
    <row r="967" spans="1:13" ht="15.75" customHeight="1">
      <c r="A967" s="4"/>
      <c r="G967" s="2"/>
      <c r="H967" s="2"/>
      <c r="I967" s="2"/>
      <c r="K967" s="253"/>
      <c r="L967" s="2"/>
      <c r="M967" s="2"/>
    </row>
    <row r="968" spans="1:13" ht="15.75" customHeight="1">
      <c r="A968" s="4"/>
      <c r="G968" s="2"/>
      <c r="H968" s="2"/>
      <c r="I968" s="2"/>
      <c r="K968" s="253"/>
      <c r="L968" s="2"/>
      <c r="M968" s="2"/>
    </row>
    <row r="969" spans="1:13" ht="15.75" customHeight="1">
      <c r="A969" s="4"/>
      <c r="G969" s="2"/>
      <c r="H969" s="2"/>
      <c r="I969" s="2"/>
      <c r="K969" s="253"/>
      <c r="L969" s="2"/>
      <c r="M969" s="2"/>
    </row>
    <row r="970" spans="1:13" ht="15.75" customHeight="1">
      <c r="A970" s="4"/>
      <c r="G970" s="2"/>
      <c r="H970" s="2"/>
      <c r="I970" s="2"/>
      <c r="K970" s="253"/>
      <c r="L970" s="2"/>
      <c r="M970" s="2"/>
    </row>
    <row r="971" spans="1:13" ht="15.75" customHeight="1">
      <c r="A971" s="4"/>
      <c r="G971" s="2"/>
      <c r="H971" s="2"/>
      <c r="I971" s="2"/>
      <c r="K971" s="253"/>
      <c r="L971" s="2"/>
      <c r="M971" s="2"/>
    </row>
    <row r="972" spans="1:13" ht="15.75" customHeight="1">
      <c r="A972" s="4"/>
      <c r="G972" s="2"/>
      <c r="H972" s="2"/>
      <c r="I972" s="2"/>
      <c r="K972" s="253"/>
      <c r="L972" s="2"/>
      <c r="M972" s="2"/>
    </row>
    <row r="973" spans="1:13" ht="15.75" customHeight="1">
      <c r="A973" s="4"/>
      <c r="G973" s="2"/>
      <c r="H973" s="2"/>
      <c r="I973" s="2"/>
      <c r="K973" s="253"/>
      <c r="L973" s="2"/>
      <c r="M973" s="2"/>
    </row>
    <row r="974" spans="1:13" ht="15.75" customHeight="1">
      <c r="A974" s="4"/>
      <c r="G974" s="2"/>
      <c r="H974" s="2"/>
      <c r="I974" s="2"/>
      <c r="K974" s="253"/>
      <c r="L974" s="2"/>
      <c r="M974" s="2"/>
    </row>
    <row r="975" spans="1:13" ht="15.75" customHeight="1">
      <c r="A975" s="4"/>
      <c r="G975" s="2"/>
      <c r="H975" s="2"/>
      <c r="I975" s="2"/>
      <c r="K975" s="253"/>
      <c r="L975" s="2"/>
      <c r="M975" s="2"/>
    </row>
    <row r="976" spans="1:13" ht="15.75" customHeight="1">
      <c r="A976" s="4"/>
      <c r="G976" s="2"/>
      <c r="H976" s="2"/>
      <c r="I976" s="2"/>
      <c r="K976" s="253"/>
      <c r="L976" s="2"/>
      <c r="M976" s="2"/>
    </row>
    <row r="977" spans="1:13" ht="15.75" customHeight="1">
      <c r="A977" s="4"/>
      <c r="G977" s="2"/>
      <c r="H977" s="2"/>
      <c r="I977" s="2"/>
      <c r="K977" s="253"/>
      <c r="L977" s="2"/>
      <c r="M977" s="2"/>
    </row>
    <row r="978" spans="1:13" ht="15.75" customHeight="1">
      <c r="A978" s="4"/>
      <c r="G978" s="2"/>
      <c r="H978" s="2"/>
      <c r="I978" s="2"/>
      <c r="K978" s="253"/>
      <c r="L978" s="2"/>
      <c r="M978" s="2"/>
    </row>
    <row r="979" spans="1:13" ht="15.75" customHeight="1">
      <c r="A979" s="4"/>
      <c r="G979" s="2"/>
      <c r="H979" s="2"/>
      <c r="I979" s="2"/>
      <c r="K979" s="253"/>
      <c r="L979" s="2"/>
      <c r="M979" s="2"/>
    </row>
    <row r="980" spans="1:13" ht="15.75" customHeight="1">
      <c r="A980" s="4"/>
      <c r="G980" s="2"/>
      <c r="H980" s="2"/>
      <c r="I980" s="2"/>
      <c r="K980" s="253"/>
      <c r="L980" s="2"/>
      <c r="M980" s="2"/>
    </row>
    <row r="981" spans="1:13" ht="15.75" customHeight="1">
      <c r="A981" s="4"/>
      <c r="G981" s="2"/>
      <c r="H981" s="2"/>
      <c r="I981" s="2"/>
      <c r="K981" s="253"/>
      <c r="L981" s="2"/>
      <c r="M981" s="2"/>
    </row>
    <row r="982" spans="1:13" ht="15.75" customHeight="1">
      <c r="A982" s="4"/>
      <c r="G982" s="2"/>
      <c r="H982" s="2"/>
      <c r="I982" s="2"/>
      <c r="K982" s="253"/>
      <c r="L982" s="2"/>
      <c r="M982" s="2"/>
    </row>
    <row r="983" spans="1:13" ht="15.75" customHeight="1">
      <c r="A983" s="4"/>
      <c r="G983" s="2"/>
      <c r="H983" s="2"/>
      <c r="I983" s="2"/>
      <c r="K983" s="253"/>
      <c r="L983" s="2"/>
      <c r="M983" s="2"/>
    </row>
    <row r="984" spans="1:13" ht="15.75" customHeight="1">
      <c r="A984" s="4"/>
      <c r="G984" s="2"/>
      <c r="H984" s="2"/>
      <c r="I984" s="2"/>
      <c r="K984" s="253"/>
      <c r="L984" s="2"/>
      <c r="M984" s="2"/>
    </row>
    <row r="985" spans="1:13" ht="15.75" customHeight="1">
      <c r="A985" s="4"/>
      <c r="G985" s="2"/>
      <c r="H985" s="2"/>
      <c r="I985" s="2"/>
      <c r="K985" s="253"/>
      <c r="L985" s="2"/>
      <c r="M985" s="2"/>
    </row>
    <row r="986" spans="1:13" ht="15.75" customHeight="1">
      <c r="A986" s="4"/>
      <c r="G986" s="2"/>
      <c r="H986" s="2"/>
      <c r="I986" s="2"/>
      <c r="K986" s="253"/>
      <c r="L986" s="2"/>
      <c r="M986" s="2"/>
    </row>
    <row r="987" spans="1:13" ht="15.75" customHeight="1">
      <c r="A987" s="4"/>
      <c r="G987" s="2"/>
      <c r="H987" s="2"/>
      <c r="I987" s="2"/>
      <c r="K987" s="253"/>
      <c r="L987" s="2"/>
      <c r="M987" s="2"/>
    </row>
    <row r="988" spans="1:13" ht="15.75" customHeight="1">
      <c r="A988" s="4"/>
      <c r="G988" s="2"/>
      <c r="H988" s="2"/>
      <c r="I988" s="2"/>
      <c r="K988" s="253"/>
      <c r="L988" s="2"/>
      <c r="M988" s="2"/>
    </row>
    <row r="989" spans="1:13" ht="15.75" customHeight="1">
      <c r="A989" s="4"/>
      <c r="G989" s="2"/>
      <c r="H989" s="2"/>
      <c r="I989" s="2"/>
      <c r="K989" s="253"/>
      <c r="L989" s="2"/>
      <c r="M989" s="2"/>
    </row>
    <row r="990" spans="1:13" ht="15.75" customHeight="1">
      <c r="A990" s="4"/>
      <c r="G990" s="2"/>
      <c r="H990" s="2"/>
      <c r="I990" s="2"/>
      <c r="K990" s="253"/>
      <c r="L990" s="2"/>
      <c r="M990" s="2"/>
    </row>
    <row r="991" spans="1:13" ht="15.75" customHeight="1">
      <c r="A991" s="4"/>
      <c r="G991" s="2"/>
      <c r="H991" s="2"/>
      <c r="I991" s="2"/>
      <c r="K991" s="253"/>
      <c r="L991" s="2"/>
      <c r="M991" s="2"/>
    </row>
    <row r="992" spans="1:13" ht="15.75" customHeight="1">
      <c r="A992" s="4"/>
      <c r="G992" s="2"/>
      <c r="H992" s="2"/>
      <c r="I992" s="2"/>
      <c r="K992" s="253"/>
      <c r="L992" s="2"/>
      <c r="M992" s="2"/>
    </row>
    <row r="993" spans="1:13" ht="15.75" customHeight="1">
      <c r="A993" s="4"/>
      <c r="G993" s="2"/>
      <c r="H993" s="2"/>
      <c r="I993" s="2"/>
      <c r="K993" s="253"/>
      <c r="L993" s="2"/>
      <c r="M993" s="2"/>
    </row>
    <row r="994" spans="1:13" ht="15.75" customHeight="1">
      <c r="A994" s="4"/>
      <c r="G994" s="2"/>
      <c r="H994" s="2"/>
      <c r="I994" s="2"/>
      <c r="K994" s="253"/>
      <c r="L994" s="2"/>
      <c r="M994" s="2"/>
    </row>
    <row r="995" spans="1:13" ht="15.75" customHeight="1">
      <c r="A995" s="4"/>
      <c r="G995" s="2"/>
      <c r="H995" s="2"/>
      <c r="I995" s="2"/>
      <c r="K995" s="253"/>
      <c r="L995" s="2"/>
      <c r="M995" s="2"/>
    </row>
    <row r="996" spans="1:13" ht="15.75" customHeight="1">
      <c r="A996" s="4"/>
      <c r="G996" s="2"/>
      <c r="H996" s="2"/>
      <c r="I996" s="2"/>
      <c r="K996" s="253"/>
      <c r="L996" s="2"/>
      <c r="M996" s="2"/>
    </row>
    <row r="997" spans="1:13" ht="15.75" customHeight="1">
      <c r="A997" s="4"/>
      <c r="G997" s="2"/>
      <c r="H997" s="2"/>
      <c r="I997" s="2"/>
      <c r="K997" s="253"/>
      <c r="L997" s="2"/>
      <c r="M997" s="2"/>
    </row>
    <row r="998" spans="1:13" ht="15.75" customHeight="1">
      <c r="A998" s="4"/>
      <c r="G998" s="2"/>
      <c r="H998" s="2"/>
      <c r="I998" s="2"/>
      <c r="K998" s="253"/>
      <c r="L998" s="2"/>
      <c r="M998" s="2"/>
    </row>
    <row r="999" spans="1:13" ht="15.75" customHeight="1">
      <c r="A999" s="4"/>
      <c r="G999" s="2"/>
      <c r="H999" s="2"/>
      <c r="I999" s="2"/>
      <c r="K999" s="253"/>
      <c r="L999" s="2"/>
      <c r="M999" s="2"/>
    </row>
    <row r="1000" spans="1:13" ht="15.75" customHeight="1">
      <c r="A1000" s="4"/>
      <c r="G1000" s="2"/>
      <c r="H1000" s="2"/>
      <c r="I1000" s="2"/>
      <c r="K1000" s="253"/>
      <c r="L1000" s="2"/>
      <c r="M1000" s="2"/>
    </row>
  </sheetData>
  <mergeCells count="30">
    <mergeCell ref="P224:Q224"/>
    <mergeCell ref="E281:G281"/>
    <mergeCell ref="E282:H282"/>
    <mergeCell ref="P225:Q225"/>
    <mergeCell ref="P229:Q229"/>
    <mergeCell ref="P264:Q264"/>
    <mergeCell ref="P265:Q265"/>
    <mergeCell ref="P269:Q269"/>
    <mergeCell ref="P271:Q271"/>
    <mergeCell ref="P273:Q273"/>
    <mergeCell ref="P144:Q144"/>
    <mergeCell ref="P191:Q191"/>
    <mergeCell ref="P192:Q192"/>
    <mergeCell ref="P196:Q196"/>
    <mergeCell ref="P200:Q200"/>
    <mergeCell ref="P71:Q71"/>
    <mergeCell ref="P133:Q133"/>
    <mergeCell ref="P134:Q134"/>
    <mergeCell ref="P138:Q138"/>
    <mergeCell ref="P140:Q140"/>
    <mergeCell ref="A8:B8"/>
    <mergeCell ref="P58:Q58"/>
    <mergeCell ref="P59:Q59"/>
    <mergeCell ref="P63:Q63"/>
    <mergeCell ref="P67:Q67"/>
    <mergeCell ref="A1:I1"/>
    <mergeCell ref="C2:G2"/>
    <mergeCell ref="J3:K3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O1000"/>
  <sheetViews>
    <sheetView topLeftCell="A9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6.28515625" customWidth="1"/>
    <col min="10" max="10" width="11.85546875" customWidth="1"/>
    <col min="11" max="11" width="13.7109375" customWidth="1"/>
    <col min="12" max="12" width="17.285156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1815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1816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1817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1818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1819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105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2</v>
      </c>
      <c r="B12" s="48" t="s">
        <v>1820</v>
      </c>
      <c r="C12" s="48"/>
      <c r="D12" s="48" t="s">
        <v>132</v>
      </c>
      <c r="E12" s="48" t="s">
        <v>47</v>
      </c>
      <c r="F12" s="48"/>
      <c r="G12" s="117" t="s">
        <v>1821</v>
      </c>
      <c r="H12" s="118" t="s">
        <v>1249</v>
      </c>
      <c r="I12" s="74">
        <v>8000</v>
      </c>
      <c r="J12" s="295" t="s">
        <v>1586</v>
      </c>
      <c r="K12" s="324" t="s">
        <v>1822</v>
      </c>
      <c r="L12" s="114" t="s">
        <v>32</v>
      </c>
      <c r="N12" s="3"/>
      <c r="O12" s="3"/>
    </row>
    <row r="13" spans="1:15">
      <c r="A13" s="48">
        <v>2</v>
      </c>
      <c r="B13" s="120" t="s">
        <v>1823</v>
      </c>
      <c r="C13" s="48"/>
      <c r="D13" s="120" t="s">
        <v>153</v>
      </c>
      <c r="E13" s="120" t="s">
        <v>89</v>
      </c>
      <c r="F13" s="48"/>
      <c r="G13" s="120" t="s">
        <v>1824</v>
      </c>
      <c r="H13" s="118" t="s">
        <v>1249</v>
      </c>
      <c r="I13" s="74">
        <v>3000</v>
      </c>
      <c r="J13" s="113" t="s">
        <v>1586</v>
      </c>
      <c r="K13" s="324" t="s">
        <v>1579</v>
      </c>
      <c r="L13" s="114" t="s">
        <v>32</v>
      </c>
    </row>
    <row r="14" spans="1:15">
      <c r="A14" s="48">
        <v>2</v>
      </c>
      <c r="B14" s="255" t="s">
        <v>1574</v>
      </c>
      <c r="C14" s="120"/>
      <c r="D14" s="120" t="s">
        <v>100</v>
      </c>
      <c r="E14" s="120" t="s">
        <v>209</v>
      </c>
      <c r="F14" s="48"/>
      <c r="G14" s="120" t="s">
        <v>1825</v>
      </c>
      <c r="H14" s="118" t="s">
        <v>1249</v>
      </c>
      <c r="I14" s="51">
        <v>3500</v>
      </c>
      <c r="J14" s="296" t="s">
        <v>1586</v>
      </c>
      <c r="K14" s="324"/>
      <c r="L14" s="324" t="s">
        <v>32</v>
      </c>
    </row>
    <row r="15" spans="1:15">
      <c r="A15" s="48">
        <v>2</v>
      </c>
      <c r="B15" s="255" t="s">
        <v>1574</v>
      </c>
      <c r="C15" s="58"/>
      <c r="D15" s="120" t="s">
        <v>100</v>
      </c>
      <c r="E15" s="120" t="s">
        <v>209</v>
      </c>
      <c r="F15" s="58"/>
      <c r="G15" s="58"/>
      <c r="H15" s="122" t="s">
        <v>30</v>
      </c>
      <c r="I15" s="59">
        <v>1000</v>
      </c>
      <c r="J15" s="325" t="s">
        <v>1586</v>
      </c>
      <c r="K15" s="326"/>
      <c r="L15" s="326" t="s">
        <v>32</v>
      </c>
    </row>
    <row r="16" spans="1:15" ht="26.25">
      <c r="A16" s="327">
        <v>3</v>
      </c>
      <c r="B16" s="328" t="s">
        <v>1826</v>
      </c>
      <c r="C16" s="329"/>
      <c r="D16" s="330" t="s">
        <v>804</v>
      </c>
      <c r="E16" s="330" t="s">
        <v>41</v>
      </c>
      <c r="F16" s="327"/>
      <c r="G16" s="330" t="s">
        <v>1827</v>
      </c>
      <c r="H16" s="331" t="s">
        <v>30</v>
      </c>
      <c r="I16" s="332">
        <v>5000</v>
      </c>
      <c r="J16" s="333" t="s">
        <v>1586</v>
      </c>
      <c r="K16" s="334" t="s">
        <v>1828</v>
      </c>
      <c r="L16" s="334" t="s">
        <v>32</v>
      </c>
      <c r="M16" s="126">
        <v>1000</v>
      </c>
    </row>
    <row r="17" spans="1:15">
      <c r="A17" s="48">
        <v>3</v>
      </c>
      <c r="B17" s="120" t="s">
        <v>1829</v>
      </c>
      <c r="C17" s="48"/>
      <c r="D17" s="120" t="s">
        <v>760</v>
      </c>
      <c r="E17" s="120" t="s">
        <v>41</v>
      </c>
      <c r="F17" s="48"/>
      <c r="G17" s="120" t="s">
        <v>1830</v>
      </c>
      <c r="H17" s="120" t="s">
        <v>1249</v>
      </c>
      <c r="I17" s="51">
        <v>10000</v>
      </c>
      <c r="J17" s="113" t="s">
        <v>1586</v>
      </c>
      <c r="K17" s="324" t="s">
        <v>1822</v>
      </c>
      <c r="L17" s="324" t="s">
        <v>32</v>
      </c>
      <c r="O17" s="3"/>
    </row>
    <row r="18" spans="1:15">
      <c r="A18" s="335">
        <v>3</v>
      </c>
      <c r="B18" s="336" t="s">
        <v>1829</v>
      </c>
      <c r="C18" s="58"/>
      <c r="D18" s="337" t="s">
        <v>363</v>
      </c>
      <c r="E18" s="336" t="s">
        <v>41</v>
      </c>
      <c r="F18" s="335"/>
      <c r="G18" s="337" t="s">
        <v>558</v>
      </c>
      <c r="H18" s="337" t="s">
        <v>1249</v>
      </c>
      <c r="I18" s="338">
        <v>5000</v>
      </c>
      <c r="J18" s="339" t="s">
        <v>1586</v>
      </c>
      <c r="K18" s="340" t="s">
        <v>1822</v>
      </c>
      <c r="L18" s="324" t="s">
        <v>32</v>
      </c>
    </row>
    <row r="19" spans="1:15">
      <c r="A19" s="341">
        <v>23</v>
      </c>
      <c r="B19" s="209" t="s">
        <v>1831</v>
      </c>
      <c r="C19" s="62"/>
      <c r="D19" s="208"/>
      <c r="E19" s="209" t="s">
        <v>584</v>
      </c>
      <c r="F19" s="341"/>
      <c r="G19" s="208" t="s">
        <v>1832</v>
      </c>
      <c r="H19" s="208" t="s">
        <v>30</v>
      </c>
      <c r="I19" s="342">
        <v>1400</v>
      </c>
      <c r="J19" s="343" t="s">
        <v>1586</v>
      </c>
      <c r="K19" s="344"/>
      <c r="L19" s="324" t="s">
        <v>32</v>
      </c>
    </row>
    <row r="20" spans="1:15">
      <c r="A20" s="256">
        <v>23</v>
      </c>
      <c r="B20" s="209" t="s">
        <v>1831</v>
      </c>
      <c r="C20" s="62"/>
      <c r="D20" s="208"/>
      <c r="E20" s="209" t="s">
        <v>584</v>
      </c>
      <c r="F20" s="256"/>
      <c r="G20" s="262"/>
      <c r="H20" s="345" t="s">
        <v>561</v>
      </c>
      <c r="I20" s="346">
        <v>200</v>
      </c>
      <c r="J20" s="257" t="s">
        <v>1586</v>
      </c>
      <c r="K20" s="264"/>
      <c r="L20" s="324" t="s">
        <v>32</v>
      </c>
    </row>
    <row r="21" spans="1:15" ht="15.75" customHeight="1">
      <c r="A21" s="256">
        <v>23</v>
      </c>
      <c r="B21" s="261" t="s">
        <v>1833</v>
      </c>
      <c r="C21" s="48"/>
      <c r="D21" s="262" t="s">
        <v>100</v>
      </c>
      <c r="E21" s="261" t="s">
        <v>36</v>
      </c>
      <c r="F21" s="256"/>
      <c r="G21" s="262" t="s">
        <v>1012</v>
      </c>
      <c r="H21" s="262" t="s">
        <v>30</v>
      </c>
      <c r="I21" s="263">
        <v>10500</v>
      </c>
      <c r="J21" s="257" t="s">
        <v>1586</v>
      </c>
      <c r="K21" s="264"/>
      <c r="L21" s="324" t="s">
        <v>32</v>
      </c>
    </row>
    <row r="22" spans="1:15" ht="15.75" customHeight="1">
      <c r="A22" s="58">
        <v>23</v>
      </c>
      <c r="B22" s="261" t="s">
        <v>1833</v>
      </c>
      <c r="C22" s="48"/>
      <c r="D22" s="262" t="s">
        <v>100</v>
      </c>
      <c r="E22" s="261" t="s">
        <v>36</v>
      </c>
      <c r="F22" s="58"/>
      <c r="G22" s="58"/>
      <c r="H22" s="58" t="s">
        <v>1249</v>
      </c>
      <c r="I22" s="59">
        <v>465</v>
      </c>
      <c r="J22" s="58" t="s">
        <v>1586</v>
      </c>
      <c r="K22" s="347"/>
      <c r="L22" s="324" t="s">
        <v>32</v>
      </c>
    </row>
    <row r="23" spans="1:15" ht="15.75" customHeight="1">
      <c r="A23" s="230">
        <v>24</v>
      </c>
      <c r="B23" s="230" t="s">
        <v>547</v>
      </c>
      <c r="C23" s="230"/>
      <c r="D23" s="230"/>
      <c r="E23" s="230" t="s">
        <v>245</v>
      </c>
      <c r="F23" s="230"/>
      <c r="G23" s="230" t="s">
        <v>548</v>
      </c>
      <c r="H23" s="230" t="s">
        <v>30</v>
      </c>
      <c r="I23" s="231">
        <v>31700</v>
      </c>
      <c r="J23" s="230" t="s">
        <v>1586</v>
      </c>
      <c r="K23" s="348"/>
      <c r="L23" s="324" t="s">
        <v>32</v>
      </c>
      <c r="M23" s="126">
        <v>8000</v>
      </c>
    </row>
    <row r="24" spans="1:15" ht="15.75" customHeight="1">
      <c r="A24" s="62">
        <v>26</v>
      </c>
      <c r="B24" s="62" t="s">
        <v>1834</v>
      </c>
      <c r="C24" s="62"/>
      <c r="D24" s="62"/>
      <c r="E24" s="62" t="s">
        <v>484</v>
      </c>
      <c r="F24" s="62"/>
      <c r="G24" s="62" t="s">
        <v>1835</v>
      </c>
      <c r="H24" s="62" t="s">
        <v>30</v>
      </c>
      <c r="I24" s="63">
        <v>8000</v>
      </c>
      <c r="J24" s="62" t="s">
        <v>1586</v>
      </c>
      <c r="K24" s="107"/>
      <c r="L24" s="324" t="s">
        <v>32</v>
      </c>
    </row>
    <row r="25" spans="1:15" ht="15.75" customHeight="1">
      <c r="A25" s="48"/>
      <c r="B25" s="48"/>
      <c r="C25" s="48"/>
      <c r="D25" s="48"/>
      <c r="E25" s="48"/>
      <c r="F25" s="48"/>
      <c r="G25" s="48"/>
      <c r="H25" s="48"/>
      <c r="I25" s="51"/>
      <c r="J25" s="48"/>
      <c r="K25" s="114"/>
      <c r="L25" s="114"/>
    </row>
    <row r="26" spans="1:15" ht="15.75" customHeight="1">
      <c r="A26" s="48"/>
      <c r="B26" s="48"/>
      <c r="C26" s="48"/>
      <c r="D26" s="48"/>
      <c r="E26" s="48"/>
      <c r="F26" s="48"/>
      <c r="G26" s="48"/>
      <c r="H26" s="48"/>
      <c r="I26" s="51"/>
      <c r="J26" s="48"/>
      <c r="K26" s="114"/>
      <c r="L26" s="114"/>
    </row>
    <row r="27" spans="1:15" ht="15.75" customHeight="1">
      <c r="A27" s="48"/>
      <c r="B27" s="48"/>
      <c r="C27" s="48"/>
      <c r="D27" s="48"/>
      <c r="E27" s="48"/>
      <c r="F27" s="48"/>
      <c r="G27" s="48"/>
      <c r="H27" s="48"/>
      <c r="I27" s="51"/>
      <c r="J27" s="48"/>
      <c r="K27" s="114"/>
      <c r="L27" s="114"/>
    </row>
    <row r="28" spans="1:15" ht="15.75" customHeight="1">
      <c r="A28" s="48"/>
      <c r="B28" s="48"/>
      <c r="C28" s="48"/>
      <c r="D28" s="48"/>
      <c r="E28" s="48"/>
      <c r="F28" s="48"/>
      <c r="G28" s="48"/>
      <c r="H28" s="48"/>
      <c r="I28" s="51"/>
      <c r="J28" s="48"/>
      <c r="K28" s="114"/>
      <c r="L28" s="114"/>
    </row>
    <row r="29" spans="1:15" ht="15.75" customHeight="1">
      <c r="A29" s="48"/>
      <c r="B29" s="48"/>
      <c r="C29" s="48"/>
      <c r="D29" s="48"/>
      <c r="E29" s="48"/>
      <c r="F29" s="48"/>
      <c r="G29" s="48"/>
      <c r="H29" s="48"/>
      <c r="I29" s="51"/>
      <c r="J29" s="48"/>
      <c r="K29" s="114"/>
      <c r="L29" s="114"/>
    </row>
    <row r="30" spans="1:15" ht="15.75" customHeight="1">
      <c r="A30" s="48"/>
      <c r="B30" s="48"/>
      <c r="C30" s="48"/>
      <c r="D30" s="48"/>
      <c r="E30" s="48"/>
      <c r="F30" s="48"/>
      <c r="G30" s="48"/>
      <c r="H30" s="48"/>
      <c r="I30" s="51"/>
      <c r="J30" s="48"/>
      <c r="K30" s="114"/>
      <c r="L30" s="114"/>
    </row>
    <row r="31" spans="1:15" ht="15.75" customHeight="1">
      <c r="A31" s="265"/>
      <c r="B31" s="265"/>
      <c r="C31" s="265"/>
      <c r="D31" s="265"/>
      <c r="E31" s="265"/>
      <c r="F31" s="265"/>
      <c r="G31" s="265"/>
      <c r="H31" s="265"/>
      <c r="I31" s="266"/>
      <c r="J31" s="267"/>
      <c r="K31" s="268"/>
      <c r="L31" s="268"/>
    </row>
    <row r="32" spans="1:15" ht="15.75" customHeight="1">
      <c r="I32" s="83"/>
      <c r="J32" s="83"/>
    </row>
    <row r="33" spans="2:10" ht="15.75" customHeight="1">
      <c r="J33" s="137" t="s">
        <v>508</v>
      </c>
    </row>
    <row r="34" spans="2:10" ht="15.75" customHeight="1">
      <c r="J34" s="83" t="s">
        <v>511</v>
      </c>
    </row>
    <row r="35" spans="2:10" ht="15.75" customHeight="1">
      <c r="B35" s="126" t="s">
        <v>509</v>
      </c>
      <c r="E35" s="126" t="s">
        <v>510</v>
      </c>
      <c r="J35" s="83" t="s">
        <v>513</v>
      </c>
    </row>
    <row r="36" spans="2:10" ht="15.75" customHeight="1">
      <c r="J36" s="83" t="s">
        <v>946</v>
      </c>
    </row>
    <row r="37" spans="2:10" ht="15.75" customHeight="1">
      <c r="J37" s="83" t="s">
        <v>947</v>
      </c>
    </row>
    <row r="38" spans="2:10" ht="15.75" customHeight="1">
      <c r="B38" s="139" t="s">
        <v>516</v>
      </c>
      <c r="E38" s="737" t="s">
        <v>517</v>
      </c>
      <c r="F38" s="711"/>
      <c r="G38" s="711"/>
      <c r="H38" s="711"/>
      <c r="J38" s="83" t="s">
        <v>950</v>
      </c>
    </row>
    <row r="39" spans="2:10" ht="15.75" customHeight="1">
      <c r="B39" s="4" t="s">
        <v>980</v>
      </c>
      <c r="E39" s="732" t="s">
        <v>521</v>
      </c>
      <c r="F39" s="711"/>
      <c r="G39" s="711"/>
      <c r="H39" s="711"/>
      <c r="J39" s="83" t="s">
        <v>564</v>
      </c>
    </row>
    <row r="40" spans="2:10" ht="15.75" customHeight="1">
      <c r="J40" s="83" t="s">
        <v>525</v>
      </c>
    </row>
    <row r="41" spans="2:10" ht="15.75" customHeight="1">
      <c r="J41" s="10" t="s">
        <v>565</v>
      </c>
    </row>
    <row r="42" spans="2:10" ht="15.75" customHeight="1">
      <c r="J42" s="10" t="s">
        <v>953</v>
      </c>
    </row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38:H38"/>
    <mergeCell ref="E39:H39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9594"/>
  </sheetPr>
  <dimension ref="A1:O1000"/>
  <sheetViews>
    <sheetView topLeftCell="A5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6.28515625" customWidth="1"/>
    <col min="10" max="10" width="11.85546875" customWidth="1"/>
    <col min="11" max="11" width="13.7109375" customWidth="1"/>
    <col min="12" max="12" width="17.285156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1836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1837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1838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1839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1840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98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15</v>
      </c>
      <c r="B12" s="48" t="s">
        <v>1841</v>
      </c>
      <c r="C12" s="48"/>
      <c r="D12" s="48"/>
      <c r="E12" s="48" t="s">
        <v>140</v>
      </c>
      <c r="F12" s="48"/>
      <c r="G12" s="117" t="s">
        <v>1842</v>
      </c>
      <c r="H12" s="349" t="s">
        <v>30</v>
      </c>
      <c r="I12" s="74">
        <v>18280</v>
      </c>
      <c r="J12" s="295" t="s">
        <v>1586</v>
      </c>
      <c r="K12" s="324"/>
      <c r="L12" s="113" t="s">
        <v>32</v>
      </c>
      <c r="N12" s="3"/>
      <c r="O12" s="3"/>
    </row>
    <row r="13" spans="1:15">
      <c r="A13" s="58">
        <v>15</v>
      </c>
      <c r="B13" s="122" t="s">
        <v>1843</v>
      </c>
      <c r="C13" s="58"/>
      <c r="D13" s="122"/>
      <c r="E13" s="122" t="s">
        <v>148</v>
      </c>
      <c r="F13" s="58"/>
      <c r="G13" s="122" t="s">
        <v>1844</v>
      </c>
      <c r="H13" s="350" t="s">
        <v>30</v>
      </c>
      <c r="I13" s="75">
        <v>6500</v>
      </c>
      <c r="J13" s="351" t="s">
        <v>1586</v>
      </c>
      <c r="K13" s="326"/>
      <c r="L13" s="351" t="s">
        <v>32</v>
      </c>
    </row>
    <row r="14" spans="1:15">
      <c r="A14" s="292">
        <v>21</v>
      </c>
      <c r="B14" s="352" t="s">
        <v>1845</v>
      </c>
      <c r="C14" s="353"/>
      <c r="D14" s="353"/>
      <c r="E14" s="353" t="s">
        <v>44</v>
      </c>
      <c r="F14" s="292"/>
      <c r="G14" s="353" t="s">
        <v>1846</v>
      </c>
      <c r="H14" s="354" t="s">
        <v>579</v>
      </c>
      <c r="I14" s="293">
        <v>190</v>
      </c>
      <c r="J14" s="355" t="s">
        <v>1586</v>
      </c>
      <c r="K14" s="356"/>
      <c r="L14" s="357" t="s">
        <v>32</v>
      </c>
    </row>
    <row r="15" spans="1:15">
      <c r="A15" s="48"/>
      <c r="B15" s="48"/>
      <c r="C15" s="48"/>
      <c r="D15" s="48"/>
      <c r="E15" s="48"/>
      <c r="F15" s="48"/>
      <c r="G15" s="48"/>
      <c r="H15" s="120"/>
      <c r="I15" s="51"/>
      <c r="J15" s="296"/>
      <c r="K15" s="324"/>
      <c r="L15" s="358"/>
    </row>
    <row r="16" spans="1:15">
      <c r="I16" s="83"/>
      <c r="J16" s="83"/>
    </row>
    <row r="17" spans="2:11">
      <c r="J17" s="137" t="s">
        <v>508</v>
      </c>
    </row>
    <row r="18" spans="2:11">
      <c r="J18" s="83" t="s">
        <v>511</v>
      </c>
    </row>
    <row r="19" spans="2:11">
      <c r="B19" s="126" t="s">
        <v>509</v>
      </c>
      <c r="E19" s="126" t="s">
        <v>510</v>
      </c>
      <c r="J19" s="83" t="s">
        <v>1847</v>
      </c>
    </row>
    <row r="20" spans="2:11">
      <c r="J20" s="83" t="s">
        <v>946</v>
      </c>
    </row>
    <row r="21" spans="2:11" ht="15.75" customHeight="1">
      <c r="J21" s="83" t="s">
        <v>947</v>
      </c>
    </row>
    <row r="22" spans="2:11" ht="15.75" customHeight="1">
      <c r="B22" s="139" t="s">
        <v>516</v>
      </c>
      <c r="E22" s="737" t="s">
        <v>517</v>
      </c>
      <c r="F22" s="711"/>
      <c r="G22" s="711"/>
      <c r="H22" s="711"/>
      <c r="J22" s="83" t="s">
        <v>950</v>
      </c>
      <c r="K22" s="359" t="s">
        <v>1848</v>
      </c>
    </row>
    <row r="23" spans="2:11" ht="15.75" customHeight="1">
      <c r="B23" s="4" t="s">
        <v>980</v>
      </c>
      <c r="E23" s="732" t="s">
        <v>521</v>
      </c>
      <c r="F23" s="711"/>
      <c r="G23" s="711"/>
      <c r="H23" s="711"/>
      <c r="J23" s="83" t="s">
        <v>564</v>
      </c>
    </row>
    <row r="24" spans="2:11" ht="15.75" customHeight="1">
      <c r="J24" s="83" t="s">
        <v>525</v>
      </c>
    </row>
    <row r="25" spans="2:11" ht="15.75" customHeight="1">
      <c r="J25" s="10" t="s">
        <v>565</v>
      </c>
    </row>
    <row r="26" spans="2:11" ht="15.75" customHeight="1">
      <c r="J26" s="10" t="s">
        <v>953</v>
      </c>
    </row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22:H22"/>
    <mergeCell ref="E23:H23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9594"/>
  </sheetPr>
  <dimension ref="A1:Z1000"/>
  <sheetViews>
    <sheetView topLeftCell="A11"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2" width="9.140625" customWidth="1"/>
    <col min="13" max="14" width="8.7109375" customWidth="1"/>
    <col min="15" max="15" width="6.7109375" customWidth="1"/>
    <col min="16" max="16" width="12" customWidth="1"/>
    <col min="17" max="17" width="15.85546875" customWidth="1"/>
    <col min="18" max="18" width="14.7109375" customWidth="1"/>
    <col min="19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  <c r="L1" s="2"/>
    </row>
    <row r="2" spans="1:13" ht="18">
      <c r="A2" s="4"/>
      <c r="B2" s="5"/>
      <c r="C2" s="712" t="s">
        <v>1849</v>
      </c>
      <c r="D2" s="711"/>
      <c r="E2" s="711"/>
      <c r="F2" s="711"/>
      <c r="G2" s="711"/>
      <c r="H2" s="6"/>
      <c r="I2" s="140"/>
      <c r="J2" s="8"/>
      <c r="K2" s="285"/>
      <c r="L2" s="2"/>
    </row>
    <row r="3" spans="1:13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  <c r="L3" s="2"/>
    </row>
    <row r="4" spans="1:13">
      <c r="A4" s="4"/>
      <c r="B4" s="5"/>
      <c r="C4" s="10"/>
      <c r="D4" s="5"/>
      <c r="E4" s="5"/>
      <c r="G4" s="10"/>
      <c r="H4" s="6"/>
      <c r="I4" s="141"/>
      <c r="J4" s="1" t="s">
        <v>569</v>
      </c>
      <c r="K4" s="214"/>
      <c r="L4" s="2"/>
    </row>
    <row r="5" spans="1:13">
      <c r="A5" s="4"/>
      <c r="B5" s="5"/>
      <c r="C5" s="10"/>
      <c r="D5" s="5"/>
      <c r="E5" s="5"/>
      <c r="G5" s="10"/>
      <c r="H5" s="6"/>
      <c r="I5" s="141"/>
      <c r="J5" s="1" t="s">
        <v>4</v>
      </c>
      <c r="K5" s="214"/>
      <c r="L5" s="2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  <c r="L6" s="2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  <c r="L7" s="2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  <c r="L8" s="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  <c r="L9" s="2"/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  <c r="L10" s="2"/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2"/>
    </row>
    <row r="12" spans="1:13">
      <c r="A12" s="50">
        <v>1</v>
      </c>
      <c r="B12" s="48" t="s">
        <v>1850</v>
      </c>
      <c r="C12" s="48" t="s">
        <v>27</v>
      </c>
      <c r="D12" s="48" t="s">
        <v>1851</v>
      </c>
      <c r="E12" s="48" t="s">
        <v>169</v>
      </c>
      <c r="F12" s="48"/>
      <c r="G12" s="48" t="s">
        <v>30</v>
      </c>
      <c r="H12" s="51">
        <v>12000</v>
      </c>
      <c r="I12" s="119">
        <v>2400</v>
      </c>
      <c r="J12" s="48" t="s">
        <v>31</v>
      </c>
      <c r="K12" s="48" t="s">
        <v>32</v>
      </c>
      <c r="L12" s="2"/>
      <c r="M12" s="126">
        <v>2500</v>
      </c>
    </row>
    <row r="13" spans="1:13">
      <c r="A13" s="50">
        <v>1</v>
      </c>
      <c r="B13" s="48" t="s">
        <v>272</v>
      </c>
      <c r="C13" s="48" t="s">
        <v>27</v>
      </c>
      <c r="D13" s="48" t="s">
        <v>114</v>
      </c>
      <c r="E13" s="48" t="s">
        <v>273</v>
      </c>
      <c r="F13" s="48"/>
      <c r="G13" s="48" t="s">
        <v>30</v>
      </c>
      <c r="H13" s="51">
        <v>17000</v>
      </c>
      <c r="I13" s="119">
        <v>3400</v>
      </c>
      <c r="J13" s="48" t="s">
        <v>31</v>
      </c>
      <c r="K13" s="48" t="s">
        <v>32</v>
      </c>
      <c r="L13" s="2"/>
      <c r="M13" s="126">
        <v>1000</v>
      </c>
    </row>
    <row r="14" spans="1:13">
      <c r="A14" s="50">
        <v>1</v>
      </c>
      <c r="B14" s="48" t="s">
        <v>1852</v>
      </c>
      <c r="C14" s="48" t="s">
        <v>39</v>
      </c>
      <c r="D14" s="48" t="s">
        <v>191</v>
      </c>
      <c r="E14" s="48" t="s">
        <v>36</v>
      </c>
      <c r="F14" s="48"/>
      <c r="G14" s="48" t="s">
        <v>30</v>
      </c>
      <c r="H14" s="51">
        <v>2000</v>
      </c>
      <c r="I14" s="119">
        <v>400</v>
      </c>
      <c r="J14" s="48" t="s">
        <v>31</v>
      </c>
      <c r="K14" s="48" t="s">
        <v>32</v>
      </c>
      <c r="L14" s="2"/>
      <c r="M14" s="126">
        <v>400</v>
      </c>
    </row>
    <row r="15" spans="1:13">
      <c r="A15" s="50">
        <v>1</v>
      </c>
      <c r="B15" s="48" t="s">
        <v>1853</v>
      </c>
      <c r="C15" s="48" t="s">
        <v>27</v>
      </c>
      <c r="D15" s="48" t="s">
        <v>256</v>
      </c>
      <c r="E15" s="48" t="s">
        <v>245</v>
      </c>
      <c r="F15" s="48"/>
      <c r="G15" s="48" t="s">
        <v>30</v>
      </c>
      <c r="H15" s="51">
        <v>1200</v>
      </c>
      <c r="I15" s="119">
        <v>240</v>
      </c>
      <c r="J15" s="48" t="s">
        <v>31</v>
      </c>
      <c r="K15" s="48" t="s">
        <v>32</v>
      </c>
      <c r="L15" s="2"/>
      <c r="M15" s="126">
        <v>200</v>
      </c>
    </row>
    <row r="16" spans="1:13">
      <c r="A16" s="50">
        <v>1</v>
      </c>
      <c r="B16" s="48" t="s">
        <v>1854</v>
      </c>
      <c r="C16" s="48" t="s">
        <v>39</v>
      </c>
      <c r="D16" s="48" t="s">
        <v>211</v>
      </c>
      <c r="E16" s="48" t="s">
        <v>245</v>
      </c>
      <c r="F16" s="48"/>
      <c r="G16" s="48" t="s">
        <v>30</v>
      </c>
      <c r="H16" s="51">
        <v>2000</v>
      </c>
      <c r="I16" s="49">
        <v>400</v>
      </c>
      <c r="J16" s="48" t="s">
        <v>31</v>
      </c>
      <c r="K16" s="48" t="s">
        <v>32</v>
      </c>
      <c r="L16" s="2"/>
      <c r="M16" s="126">
        <v>150</v>
      </c>
    </row>
    <row r="17" spans="1:13">
      <c r="A17" s="50">
        <v>1</v>
      </c>
      <c r="B17" s="48" t="s">
        <v>1855</v>
      </c>
      <c r="C17" s="48" t="s">
        <v>39</v>
      </c>
      <c r="D17" s="48" t="s">
        <v>712</v>
      </c>
      <c r="E17" s="48" t="s">
        <v>145</v>
      </c>
      <c r="F17" s="48"/>
      <c r="G17" s="48" t="s">
        <v>30</v>
      </c>
      <c r="H17" s="51">
        <v>4000</v>
      </c>
      <c r="I17" s="119">
        <v>800</v>
      </c>
      <c r="J17" s="48" t="s">
        <v>31</v>
      </c>
      <c r="K17" s="48" t="s">
        <v>32</v>
      </c>
      <c r="L17" s="2"/>
      <c r="M17" s="126">
        <v>900</v>
      </c>
    </row>
    <row r="18" spans="1:13">
      <c r="A18" s="50">
        <v>1</v>
      </c>
      <c r="B18" s="48" t="s">
        <v>203</v>
      </c>
      <c r="C18" s="48" t="s">
        <v>27</v>
      </c>
      <c r="D18" s="48" t="s">
        <v>81</v>
      </c>
      <c r="E18" s="48" t="s">
        <v>145</v>
      </c>
      <c r="F18" s="48"/>
      <c r="G18" s="48" t="s">
        <v>30</v>
      </c>
      <c r="H18" s="51">
        <v>4000</v>
      </c>
      <c r="I18" s="119">
        <v>800</v>
      </c>
      <c r="J18" s="48" t="s">
        <v>31</v>
      </c>
      <c r="K18" s="48" t="s">
        <v>32</v>
      </c>
      <c r="L18" s="2"/>
      <c r="M18" s="126">
        <v>900</v>
      </c>
    </row>
    <row r="19" spans="1:13">
      <c r="A19" s="50">
        <v>1</v>
      </c>
      <c r="B19" s="48" t="s">
        <v>1856</v>
      </c>
      <c r="C19" s="48" t="s">
        <v>27</v>
      </c>
      <c r="D19" s="48" t="s">
        <v>301</v>
      </c>
      <c r="E19" s="48" t="s">
        <v>51</v>
      </c>
      <c r="F19" s="48"/>
      <c r="G19" s="48" t="s">
        <v>30</v>
      </c>
      <c r="H19" s="51">
        <v>2000</v>
      </c>
      <c r="I19" s="119">
        <v>400</v>
      </c>
      <c r="J19" s="48" t="s">
        <v>31</v>
      </c>
      <c r="K19" s="48" t="s">
        <v>32</v>
      </c>
      <c r="L19" s="2"/>
      <c r="M19" s="126">
        <v>200</v>
      </c>
    </row>
    <row r="20" spans="1:13">
      <c r="A20" s="50">
        <v>1</v>
      </c>
      <c r="B20" s="48" t="s">
        <v>1857</v>
      </c>
      <c r="C20" s="48" t="s">
        <v>27</v>
      </c>
      <c r="D20" s="48" t="s">
        <v>1772</v>
      </c>
      <c r="E20" s="48" t="s">
        <v>86</v>
      </c>
      <c r="F20" s="48"/>
      <c r="G20" s="48" t="s">
        <v>30</v>
      </c>
      <c r="H20" s="51">
        <v>1000</v>
      </c>
      <c r="I20" s="119">
        <v>200</v>
      </c>
      <c r="J20" s="48" t="s">
        <v>31</v>
      </c>
      <c r="K20" s="48" t="s">
        <v>32</v>
      </c>
      <c r="L20" s="2"/>
      <c r="M20" s="126">
        <v>300</v>
      </c>
    </row>
    <row r="21" spans="1:13" ht="15.75" customHeight="1">
      <c r="A21" s="50">
        <v>1</v>
      </c>
      <c r="B21" s="48" t="s">
        <v>271</v>
      </c>
      <c r="C21" s="48" t="s">
        <v>27</v>
      </c>
      <c r="D21" s="48" t="s">
        <v>128</v>
      </c>
      <c r="E21" s="48" t="s">
        <v>44</v>
      </c>
      <c r="F21" s="48"/>
      <c r="G21" s="48" t="s">
        <v>30</v>
      </c>
      <c r="H21" s="51">
        <v>2500</v>
      </c>
      <c r="I21" s="119">
        <v>500</v>
      </c>
      <c r="J21" s="48" t="s">
        <v>31</v>
      </c>
      <c r="K21" s="48" t="s">
        <v>32</v>
      </c>
      <c r="L21" s="2"/>
      <c r="M21" s="126">
        <v>500</v>
      </c>
    </row>
    <row r="22" spans="1:13" ht="15.75" customHeight="1">
      <c r="A22" s="50">
        <v>1</v>
      </c>
      <c r="B22" s="48" t="s">
        <v>1218</v>
      </c>
      <c r="C22" s="48" t="s">
        <v>27</v>
      </c>
      <c r="D22" s="48" t="s">
        <v>1219</v>
      </c>
      <c r="E22" s="48" t="s">
        <v>44</v>
      </c>
      <c r="F22" s="48"/>
      <c r="G22" s="48" t="s">
        <v>30</v>
      </c>
      <c r="H22" s="51">
        <v>1000</v>
      </c>
      <c r="I22" s="119">
        <v>200</v>
      </c>
      <c r="J22" s="48" t="s">
        <v>31</v>
      </c>
      <c r="K22" s="48" t="s">
        <v>32</v>
      </c>
      <c r="L22" s="2"/>
      <c r="M22" s="126">
        <v>200</v>
      </c>
    </row>
    <row r="23" spans="1:13" ht="15.75" customHeight="1">
      <c r="A23" s="50">
        <v>1</v>
      </c>
      <c r="B23" s="48" t="s">
        <v>1858</v>
      </c>
      <c r="C23" s="48" t="s">
        <v>27</v>
      </c>
      <c r="D23" s="48" t="s">
        <v>289</v>
      </c>
      <c r="E23" s="48" t="s">
        <v>36</v>
      </c>
      <c r="F23" s="48"/>
      <c r="G23" s="48" t="s">
        <v>30</v>
      </c>
      <c r="H23" s="51">
        <v>1500</v>
      </c>
      <c r="I23" s="119">
        <v>300</v>
      </c>
      <c r="J23" s="48" t="s">
        <v>31</v>
      </c>
      <c r="K23" s="48" t="s">
        <v>32</v>
      </c>
      <c r="L23" s="2"/>
      <c r="M23" s="126">
        <v>250</v>
      </c>
    </row>
    <row r="24" spans="1:13" ht="15.75" customHeight="1">
      <c r="A24" s="50">
        <v>1</v>
      </c>
      <c r="B24" s="48" t="s">
        <v>1859</v>
      </c>
      <c r="C24" s="48" t="s">
        <v>27</v>
      </c>
      <c r="D24" s="48" t="s">
        <v>70</v>
      </c>
      <c r="E24" s="48" t="s">
        <v>36</v>
      </c>
      <c r="F24" s="48"/>
      <c r="G24" s="48" t="s">
        <v>30</v>
      </c>
      <c r="H24" s="51">
        <v>100</v>
      </c>
      <c r="I24" s="119" t="s">
        <v>1586</v>
      </c>
      <c r="J24" s="48" t="s">
        <v>31</v>
      </c>
      <c r="K24" s="48" t="s">
        <v>32</v>
      </c>
      <c r="L24" s="2"/>
      <c r="M24" s="126">
        <v>10</v>
      </c>
    </row>
    <row r="25" spans="1:13" ht="15.75" customHeight="1">
      <c r="A25" s="50">
        <v>1</v>
      </c>
      <c r="B25" s="48" t="s">
        <v>1860</v>
      </c>
      <c r="C25" s="48" t="s">
        <v>27</v>
      </c>
      <c r="D25" s="48" t="s">
        <v>1861</v>
      </c>
      <c r="E25" s="48" t="s">
        <v>191</v>
      </c>
      <c r="F25" s="48"/>
      <c r="G25" s="48" t="s">
        <v>30</v>
      </c>
      <c r="H25" s="51">
        <v>500</v>
      </c>
      <c r="I25" s="119" t="s">
        <v>1586</v>
      </c>
      <c r="J25" s="48" t="s">
        <v>31</v>
      </c>
      <c r="K25" s="48" t="s">
        <v>32</v>
      </c>
      <c r="L25" s="2"/>
      <c r="M25" s="126">
        <v>300</v>
      </c>
    </row>
    <row r="26" spans="1:13" ht="15.75" customHeight="1">
      <c r="A26" s="50">
        <v>1</v>
      </c>
      <c r="B26" s="48" t="s">
        <v>1860</v>
      </c>
      <c r="C26" s="48" t="s">
        <v>27</v>
      </c>
      <c r="D26" s="48" t="s">
        <v>1861</v>
      </c>
      <c r="E26" s="48" t="s">
        <v>191</v>
      </c>
      <c r="F26" s="48"/>
      <c r="G26" s="48" t="s">
        <v>30</v>
      </c>
      <c r="H26" s="51">
        <v>1000</v>
      </c>
      <c r="I26" s="119">
        <v>200</v>
      </c>
      <c r="J26" s="48" t="s">
        <v>31</v>
      </c>
      <c r="K26" s="48" t="s">
        <v>32</v>
      </c>
      <c r="L26" s="2"/>
    </row>
    <row r="27" spans="1:13" ht="15.75" customHeight="1">
      <c r="A27" s="50">
        <v>1</v>
      </c>
      <c r="B27" s="48" t="s">
        <v>1862</v>
      </c>
      <c r="C27" s="48" t="s">
        <v>27</v>
      </c>
      <c r="D27" s="48" t="s">
        <v>391</v>
      </c>
      <c r="E27" s="48" t="s">
        <v>73</v>
      </c>
      <c r="F27" s="48"/>
      <c r="G27" s="48" t="s">
        <v>30</v>
      </c>
      <c r="H27" s="51">
        <v>1000</v>
      </c>
      <c r="I27" s="119">
        <v>200</v>
      </c>
      <c r="J27" s="48" t="s">
        <v>31</v>
      </c>
      <c r="K27" s="48" t="s">
        <v>32</v>
      </c>
      <c r="L27" s="2"/>
      <c r="M27" s="126">
        <v>300</v>
      </c>
    </row>
    <row r="28" spans="1:13" ht="15.75" customHeight="1">
      <c r="A28" s="50">
        <v>1</v>
      </c>
      <c r="B28" s="48" t="s">
        <v>1863</v>
      </c>
      <c r="C28" s="48" t="s">
        <v>39</v>
      </c>
      <c r="D28" s="48" t="s">
        <v>1864</v>
      </c>
      <c r="E28" s="48" t="s">
        <v>54</v>
      </c>
      <c r="F28" s="48"/>
      <c r="G28" s="48" t="s">
        <v>30</v>
      </c>
      <c r="H28" s="51">
        <v>12000</v>
      </c>
      <c r="I28" s="49">
        <v>2400</v>
      </c>
      <c r="J28" s="48" t="s">
        <v>31</v>
      </c>
      <c r="K28" s="48" t="s">
        <v>32</v>
      </c>
      <c r="L28" s="2"/>
      <c r="M28" s="126">
        <v>1600</v>
      </c>
    </row>
    <row r="29" spans="1:13" ht="15.75" customHeight="1">
      <c r="A29" s="50">
        <v>1</v>
      </c>
      <c r="B29" s="48" t="s">
        <v>1865</v>
      </c>
      <c r="C29" s="48" t="s">
        <v>27</v>
      </c>
      <c r="D29" s="48" t="s">
        <v>326</v>
      </c>
      <c r="E29" s="48" t="s">
        <v>84</v>
      </c>
      <c r="F29" s="48"/>
      <c r="G29" s="48" t="s">
        <v>30</v>
      </c>
      <c r="H29" s="51">
        <v>1600</v>
      </c>
      <c r="I29" s="119">
        <v>320</v>
      </c>
      <c r="J29" s="48" t="s">
        <v>31</v>
      </c>
      <c r="K29" s="48" t="s">
        <v>32</v>
      </c>
      <c r="L29" s="2"/>
      <c r="M29" s="126">
        <v>300</v>
      </c>
    </row>
    <row r="30" spans="1:13" ht="15.75" customHeight="1">
      <c r="A30" s="50">
        <v>1</v>
      </c>
      <c r="B30" s="48" t="s">
        <v>1866</v>
      </c>
      <c r="C30" s="48" t="s">
        <v>27</v>
      </c>
      <c r="D30" s="48" t="s">
        <v>1110</v>
      </c>
      <c r="E30" s="48" t="s">
        <v>237</v>
      </c>
      <c r="F30" s="48"/>
      <c r="G30" s="48" t="s">
        <v>30</v>
      </c>
      <c r="H30" s="51">
        <v>2000</v>
      </c>
      <c r="I30" s="119">
        <v>400</v>
      </c>
      <c r="J30" s="48" t="s">
        <v>31</v>
      </c>
      <c r="K30" s="48" t="s">
        <v>32</v>
      </c>
      <c r="L30" s="2"/>
      <c r="M30" s="126">
        <v>900</v>
      </c>
    </row>
    <row r="31" spans="1:13" ht="15.75" customHeight="1">
      <c r="A31" s="50">
        <v>1</v>
      </c>
      <c r="B31" s="48" t="s">
        <v>1867</v>
      </c>
      <c r="C31" s="48" t="s">
        <v>27</v>
      </c>
      <c r="D31" s="48" t="s">
        <v>153</v>
      </c>
      <c r="E31" s="48" t="s">
        <v>36</v>
      </c>
      <c r="F31" s="48"/>
      <c r="G31" s="48" t="s">
        <v>30</v>
      </c>
      <c r="H31" s="51">
        <v>2000</v>
      </c>
      <c r="I31" s="119">
        <v>400</v>
      </c>
      <c r="J31" s="48" t="s">
        <v>31</v>
      </c>
      <c r="K31" s="48" t="s">
        <v>32</v>
      </c>
      <c r="L31" s="2"/>
      <c r="M31" s="126">
        <v>400</v>
      </c>
    </row>
    <row r="32" spans="1:13" ht="15.75" customHeight="1">
      <c r="A32" s="50">
        <v>1</v>
      </c>
      <c r="B32" s="48" t="s">
        <v>1867</v>
      </c>
      <c r="C32" s="48" t="s">
        <v>27</v>
      </c>
      <c r="D32" s="48" t="s">
        <v>153</v>
      </c>
      <c r="E32" s="48" t="s">
        <v>36</v>
      </c>
      <c r="F32" s="48"/>
      <c r="G32" s="48" t="s">
        <v>115</v>
      </c>
      <c r="H32" s="51">
        <v>20</v>
      </c>
      <c r="I32" s="119">
        <v>20</v>
      </c>
      <c r="J32" s="48" t="s">
        <v>31</v>
      </c>
      <c r="K32" s="48" t="s">
        <v>32</v>
      </c>
      <c r="L32" s="2"/>
    </row>
    <row r="33" spans="1:13" ht="15.75" customHeight="1">
      <c r="A33" s="50">
        <v>1</v>
      </c>
      <c r="B33" s="48" t="s">
        <v>1868</v>
      </c>
      <c r="C33" s="48" t="s">
        <v>27</v>
      </c>
      <c r="D33" s="48" t="s">
        <v>217</v>
      </c>
      <c r="E33" s="48" t="s">
        <v>209</v>
      </c>
      <c r="F33" s="48"/>
      <c r="G33" s="48" t="s">
        <v>30</v>
      </c>
      <c r="H33" s="51">
        <v>1500</v>
      </c>
      <c r="I33" s="119">
        <v>300</v>
      </c>
      <c r="J33" s="48" t="s">
        <v>31</v>
      </c>
      <c r="K33" s="48" t="s">
        <v>32</v>
      </c>
      <c r="L33" s="2"/>
      <c r="M33" s="126">
        <v>400</v>
      </c>
    </row>
    <row r="34" spans="1:13" ht="15.75" customHeight="1">
      <c r="A34" s="50">
        <v>1</v>
      </c>
      <c r="B34" s="48" t="s">
        <v>1869</v>
      </c>
      <c r="C34" s="48" t="s">
        <v>27</v>
      </c>
      <c r="D34" s="48" t="s">
        <v>637</v>
      </c>
      <c r="E34" s="48" t="s">
        <v>54</v>
      </c>
      <c r="F34" s="48"/>
      <c r="G34" s="48" t="s">
        <v>30</v>
      </c>
      <c r="H34" s="51">
        <v>4000</v>
      </c>
      <c r="I34" s="119">
        <v>800</v>
      </c>
      <c r="J34" s="48" t="s">
        <v>31</v>
      </c>
      <c r="K34" s="48" t="s">
        <v>32</v>
      </c>
      <c r="L34" s="2"/>
      <c r="M34" s="126">
        <v>1000</v>
      </c>
    </row>
    <row r="35" spans="1:13" ht="15.75" customHeight="1">
      <c r="A35" s="50">
        <v>1</v>
      </c>
      <c r="B35" s="48" t="s">
        <v>1869</v>
      </c>
      <c r="C35" s="48" t="s">
        <v>27</v>
      </c>
      <c r="D35" s="48" t="s">
        <v>637</v>
      </c>
      <c r="E35" s="48" t="s">
        <v>54</v>
      </c>
      <c r="F35" s="48"/>
      <c r="G35" s="48" t="s">
        <v>115</v>
      </c>
      <c r="H35" s="51">
        <v>20</v>
      </c>
      <c r="I35" s="119">
        <v>20</v>
      </c>
      <c r="J35" s="48" t="s">
        <v>31</v>
      </c>
      <c r="K35" s="48" t="s">
        <v>32</v>
      </c>
      <c r="L35" s="2"/>
    </row>
    <row r="36" spans="1:13" ht="15.75" customHeight="1">
      <c r="A36" s="50">
        <v>1</v>
      </c>
      <c r="B36" s="48" t="s">
        <v>1870</v>
      </c>
      <c r="C36" s="48" t="s">
        <v>27</v>
      </c>
      <c r="D36" s="48" t="s">
        <v>1871</v>
      </c>
      <c r="E36" s="48" t="s">
        <v>29</v>
      </c>
      <c r="F36" s="48"/>
      <c r="G36" s="48" t="s">
        <v>30</v>
      </c>
      <c r="H36" s="51">
        <v>5500</v>
      </c>
      <c r="I36" s="119">
        <v>1100</v>
      </c>
      <c r="J36" s="48" t="s">
        <v>31</v>
      </c>
      <c r="K36" s="48" t="s">
        <v>32</v>
      </c>
      <c r="L36" s="2"/>
      <c r="M36" s="126">
        <v>1200</v>
      </c>
    </row>
    <row r="37" spans="1:13" ht="15.75" customHeight="1">
      <c r="A37" s="50">
        <v>1</v>
      </c>
      <c r="B37" s="48" t="s">
        <v>1872</v>
      </c>
      <c r="C37" s="48" t="s">
        <v>27</v>
      </c>
      <c r="D37" s="48" t="s">
        <v>1873</v>
      </c>
      <c r="E37" s="48" t="s">
        <v>191</v>
      </c>
      <c r="F37" s="48"/>
      <c r="G37" s="48" t="s">
        <v>30</v>
      </c>
      <c r="H37" s="51">
        <v>5000</v>
      </c>
      <c r="I37" s="119">
        <v>1000</v>
      </c>
      <c r="J37" s="48" t="s">
        <v>31</v>
      </c>
      <c r="K37" s="48" t="s">
        <v>32</v>
      </c>
      <c r="L37" s="2"/>
      <c r="M37" s="126">
        <v>1000</v>
      </c>
    </row>
    <row r="38" spans="1:13" ht="15.75" customHeight="1">
      <c r="A38" s="360">
        <v>1</v>
      </c>
      <c r="B38" s="104" t="s">
        <v>1874</v>
      </c>
      <c r="C38" s="104" t="s">
        <v>27</v>
      </c>
      <c r="D38" s="104" t="s">
        <v>100</v>
      </c>
      <c r="E38" s="104" t="s">
        <v>145</v>
      </c>
      <c r="F38" s="104"/>
      <c r="G38" s="104" t="s">
        <v>30</v>
      </c>
      <c r="H38" s="361">
        <v>2000</v>
      </c>
      <c r="I38" s="362">
        <v>400</v>
      </c>
      <c r="J38" s="48" t="s">
        <v>31</v>
      </c>
      <c r="K38" s="48" t="s">
        <v>32</v>
      </c>
      <c r="L38" s="2"/>
      <c r="M38" s="126">
        <v>600</v>
      </c>
    </row>
    <row r="39" spans="1:13" ht="15.75" customHeight="1">
      <c r="A39" s="65">
        <v>1</v>
      </c>
      <c r="B39" s="58" t="s">
        <v>1875</v>
      </c>
      <c r="C39" s="58" t="s">
        <v>27</v>
      </c>
      <c r="D39" s="58" t="s">
        <v>153</v>
      </c>
      <c r="E39" s="58" t="s">
        <v>36</v>
      </c>
      <c r="F39" s="58"/>
      <c r="G39" s="58" t="s">
        <v>30</v>
      </c>
      <c r="H39" s="59">
        <v>100</v>
      </c>
      <c r="I39" s="160" t="s">
        <v>1586</v>
      </c>
      <c r="J39" s="48" t="s">
        <v>31</v>
      </c>
      <c r="K39" s="48" t="s">
        <v>32</v>
      </c>
      <c r="L39" s="2"/>
      <c r="M39" s="126">
        <v>10</v>
      </c>
    </row>
    <row r="40" spans="1:13" ht="15.75" customHeight="1">
      <c r="A40" s="61">
        <v>2</v>
      </c>
      <c r="B40" s="62" t="s">
        <v>1876</v>
      </c>
      <c r="C40" s="62" t="s">
        <v>39</v>
      </c>
      <c r="D40" s="62" t="s">
        <v>104</v>
      </c>
      <c r="E40" s="62" t="s">
        <v>36</v>
      </c>
      <c r="F40" s="62"/>
      <c r="G40" s="62" t="s">
        <v>30</v>
      </c>
      <c r="H40" s="63">
        <v>500</v>
      </c>
      <c r="I40" s="159">
        <v>100</v>
      </c>
      <c r="J40" s="48" t="s">
        <v>31</v>
      </c>
      <c r="K40" s="48" t="s">
        <v>32</v>
      </c>
      <c r="L40" s="2"/>
      <c r="M40" s="126">
        <v>150</v>
      </c>
    </row>
    <row r="41" spans="1:13" ht="15.75" customHeight="1">
      <c r="A41" s="61">
        <v>2</v>
      </c>
      <c r="B41" s="48" t="s">
        <v>443</v>
      </c>
      <c r="C41" s="48" t="s">
        <v>27</v>
      </c>
      <c r="D41" s="48" t="s">
        <v>53</v>
      </c>
      <c r="E41" s="48" t="s">
        <v>54</v>
      </c>
      <c r="F41" s="48"/>
      <c r="G41" s="48" t="s">
        <v>30</v>
      </c>
      <c r="H41" s="51">
        <v>2000</v>
      </c>
      <c r="I41" s="119">
        <v>400</v>
      </c>
      <c r="J41" s="48" t="s">
        <v>31</v>
      </c>
      <c r="K41" s="48" t="s">
        <v>32</v>
      </c>
      <c r="L41" s="2"/>
      <c r="M41" s="126">
        <v>30</v>
      </c>
    </row>
    <row r="42" spans="1:13" ht="15.75" customHeight="1">
      <c r="A42" s="61">
        <v>2</v>
      </c>
      <c r="B42" s="48" t="s">
        <v>1877</v>
      </c>
      <c r="C42" s="48" t="s">
        <v>39</v>
      </c>
      <c r="D42" s="48" t="s">
        <v>712</v>
      </c>
      <c r="E42" s="48" t="s">
        <v>145</v>
      </c>
      <c r="F42" s="48"/>
      <c r="G42" s="48" t="s">
        <v>30</v>
      </c>
      <c r="H42" s="51">
        <v>1000</v>
      </c>
      <c r="I42" s="119">
        <v>200</v>
      </c>
      <c r="J42" s="48" t="s">
        <v>31</v>
      </c>
      <c r="K42" s="48" t="s">
        <v>32</v>
      </c>
      <c r="L42" s="2"/>
      <c r="M42" s="126">
        <v>400</v>
      </c>
    </row>
    <row r="43" spans="1:13" ht="15.75" customHeight="1">
      <c r="A43" s="61">
        <v>2</v>
      </c>
      <c r="B43" s="48" t="s">
        <v>1878</v>
      </c>
      <c r="C43" s="48" t="s">
        <v>27</v>
      </c>
      <c r="D43" s="48" t="s">
        <v>607</v>
      </c>
      <c r="E43" s="48" t="s">
        <v>36</v>
      </c>
      <c r="F43" s="48"/>
      <c r="G43" s="48" t="s">
        <v>30</v>
      </c>
      <c r="H43" s="51">
        <v>700</v>
      </c>
      <c r="I43" s="119">
        <v>140</v>
      </c>
      <c r="J43" s="48" t="s">
        <v>31</v>
      </c>
      <c r="K43" s="48" t="s">
        <v>32</v>
      </c>
      <c r="L43" s="2"/>
      <c r="M43" s="126">
        <v>120</v>
      </c>
    </row>
    <row r="44" spans="1:13" ht="15.75" customHeight="1">
      <c r="A44" s="61">
        <v>2</v>
      </c>
      <c r="B44" s="48" t="s">
        <v>1879</v>
      </c>
      <c r="C44" s="48" t="s">
        <v>27</v>
      </c>
      <c r="D44" s="48" t="s">
        <v>666</v>
      </c>
      <c r="E44" s="48" t="s">
        <v>36</v>
      </c>
      <c r="F44" s="48"/>
      <c r="G44" s="48" t="s">
        <v>30</v>
      </c>
      <c r="H44" s="51">
        <v>1200</v>
      </c>
      <c r="I44" s="119">
        <v>240</v>
      </c>
      <c r="J44" s="48" t="s">
        <v>31</v>
      </c>
      <c r="K44" s="48" t="s">
        <v>32</v>
      </c>
      <c r="L44" s="2"/>
      <c r="M44" s="126">
        <v>250</v>
      </c>
    </row>
    <row r="45" spans="1:13" ht="15.75" customHeight="1">
      <c r="A45" s="61">
        <v>2</v>
      </c>
      <c r="B45" s="48" t="s">
        <v>1880</v>
      </c>
      <c r="C45" s="48" t="s">
        <v>27</v>
      </c>
      <c r="D45" s="151" t="s">
        <v>934</v>
      </c>
      <c r="E45" s="48" t="s">
        <v>44</v>
      </c>
      <c r="F45" s="48"/>
      <c r="G45" s="48" t="s">
        <v>30</v>
      </c>
      <c r="H45" s="51">
        <v>200</v>
      </c>
      <c r="I45" s="119">
        <v>40</v>
      </c>
      <c r="J45" s="48" t="s">
        <v>31</v>
      </c>
      <c r="K45" s="48" t="s">
        <v>32</v>
      </c>
      <c r="L45" s="2"/>
      <c r="M45" s="126">
        <v>50</v>
      </c>
    </row>
    <row r="46" spans="1:13" ht="15.75" customHeight="1">
      <c r="A46" s="61">
        <v>2</v>
      </c>
      <c r="B46" s="48" t="s">
        <v>1881</v>
      </c>
      <c r="C46" s="48" t="s">
        <v>27</v>
      </c>
      <c r="D46" s="48" t="s">
        <v>128</v>
      </c>
      <c r="E46" s="48" t="s">
        <v>44</v>
      </c>
      <c r="F46" s="48"/>
      <c r="G46" s="48" t="s">
        <v>30</v>
      </c>
      <c r="H46" s="51">
        <v>500</v>
      </c>
      <c r="I46" s="119">
        <v>100</v>
      </c>
      <c r="J46" s="48" t="s">
        <v>31</v>
      </c>
      <c r="K46" s="48" t="s">
        <v>32</v>
      </c>
      <c r="L46" s="2"/>
      <c r="M46" s="126">
        <v>100</v>
      </c>
    </row>
    <row r="47" spans="1:13" ht="15.75" customHeight="1">
      <c r="A47" s="61">
        <v>2</v>
      </c>
      <c r="B47" s="48" t="s">
        <v>1882</v>
      </c>
      <c r="C47" s="48" t="s">
        <v>27</v>
      </c>
      <c r="D47" s="48" t="s">
        <v>137</v>
      </c>
      <c r="E47" s="48" t="s">
        <v>84</v>
      </c>
      <c r="F47" s="48"/>
      <c r="G47" s="48" t="s">
        <v>30</v>
      </c>
      <c r="H47" s="51">
        <v>1000</v>
      </c>
      <c r="I47" s="119">
        <v>200</v>
      </c>
      <c r="J47" s="48" t="s">
        <v>31</v>
      </c>
      <c r="K47" s="48" t="s">
        <v>32</v>
      </c>
      <c r="L47" s="2"/>
      <c r="M47" s="126">
        <v>300</v>
      </c>
    </row>
    <row r="48" spans="1:13" ht="15.75" customHeight="1">
      <c r="A48" s="61">
        <v>2</v>
      </c>
      <c r="B48" s="48" t="s">
        <v>1883</v>
      </c>
      <c r="C48" s="48" t="s">
        <v>27</v>
      </c>
      <c r="D48" s="48" t="s">
        <v>35</v>
      </c>
      <c r="E48" s="48" t="s">
        <v>54</v>
      </c>
      <c r="F48" s="48"/>
      <c r="G48" s="48" t="s">
        <v>30</v>
      </c>
      <c r="H48" s="51">
        <v>1000</v>
      </c>
      <c r="I48" s="119">
        <v>200</v>
      </c>
      <c r="J48" s="48" t="s">
        <v>31</v>
      </c>
      <c r="K48" s="48" t="s">
        <v>32</v>
      </c>
      <c r="L48" s="2"/>
      <c r="M48" s="126">
        <v>250</v>
      </c>
    </row>
    <row r="49" spans="1:13" ht="15.75" customHeight="1">
      <c r="A49" s="61">
        <v>2</v>
      </c>
      <c r="B49" s="48" t="s">
        <v>1883</v>
      </c>
      <c r="C49" s="48" t="s">
        <v>27</v>
      </c>
      <c r="D49" s="48" t="s">
        <v>35</v>
      </c>
      <c r="E49" s="48" t="s">
        <v>54</v>
      </c>
      <c r="F49" s="48"/>
      <c r="G49" s="48" t="s">
        <v>115</v>
      </c>
      <c r="H49" s="51">
        <v>1000</v>
      </c>
      <c r="I49" s="119">
        <v>1000</v>
      </c>
      <c r="J49" s="48" t="s">
        <v>31</v>
      </c>
      <c r="K49" s="48" t="s">
        <v>32</v>
      </c>
      <c r="L49" s="2"/>
    </row>
    <row r="50" spans="1:13" ht="15.75" customHeight="1">
      <c r="A50" s="61">
        <v>2</v>
      </c>
      <c r="B50" s="48" t="s">
        <v>1884</v>
      </c>
      <c r="C50" s="48" t="s">
        <v>27</v>
      </c>
      <c r="D50" s="48" t="s">
        <v>728</v>
      </c>
      <c r="E50" s="48" t="s">
        <v>86</v>
      </c>
      <c r="F50" s="48"/>
      <c r="G50" s="48" t="s">
        <v>30</v>
      </c>
      <c r="H50" s="51">
        <v>600</v>
      </c>
      <c r="I50" s="119">
        <v>120</v>
      </c>
      <c r="J50" s="48" t="s">
        <v>31</v>
      </c>
      <c r="K50" s="48" t="s">
        <v>32</v>
      </c>
      <c r="L50" s="2"/>
      <c r="M50" s="126">
        <v>150</v>
      </c>
    </row>
    <row r="51" spans="1:13" ht="15.75" customHeight="1">
      <c r="A51" s="61">
        <v>2</v>
      </c>
      <c r="B51" s="48" t="s">
        <v>1885</v>
      </c>
      <c r="C51" s="48" t="s">
        <v>27</v>
      </c>
      <c r="D51" s="48" t="s">
        <v>1886</v>
      </c>
      <c r="E51" s="48" t="s">
        <v>223</v>
      </c>
      <c r="F51" s="48"/>
      <c r="G51" s="48" t="s">
        <v>30</v>
      </c>
      <c r="H51" s="51">
        <v>100</v>
      </c>
      <c r="I51" s="119">
        <v>20</v>
      </c>
      <c r="J51" s="48" t="s">
        <v>31</v>
      </c>
      <c r="K51" s="48" t="s">
        <v>32</v>
      </c>
      <c r="L51" s="2"/>
      <c r="M51" s="126">
        <v>20</v>
      </c>
    </row>
    <row r="52" spans="1:13" ht="15.75" customHeight="1">
      <c r="A52" s="61">
        <v>2</v>
      </c>
      <c r="B52" s="48" t="s">
        <v>1887</v>
      </c>
      <c r="C52" s="48" t="s">
        <v>27</v>
      </c>
      <c r="D52" s="48" t="s">
        <v>712</v>
      </c>
      <c r="E52" s="48" t="s">
        <v>145</v>
      </c>
      <c r="F52" s="48"/>
      <c r="G52" s="48" t="s">
        <v>30</v>
      </c>
      <c r="H52" s="51">
        <v>500</v>
      </c>
      <c r="I52" s="119">
        <v>100</v>
      </c>
      <c r="J52" s="48" t="s">
        <v>31</v>
      </c>
      <c r="K52" s="48" t="s">
        <v>32</v>
      </c>
      <c r="L52" s="2"/>
      <c r="M52" s="126">
        <v>400</v>
      </c>
    </row>
    <row r="53" spans="1:13" ht="15.75" customHeight="1">
      <c r="A53" s="61">
        <v>2</v>
      </c>
      <c r="B53" s="48" t="s">
        <v>1887</v>
      </c>
      <c r="C53" s="48" t="s">
        <v>27</v>
      </c>
      <c r="D53" s="48" t="s">
        <v>712</v>
      </c>
      <c r="E53" s="48" t="s">
        <v>145</v>
      </c>
      <c r="F53" s="48"/>
      <c r="G53" s="48" t="s">
        <v>30</v>
      </c>
      <c r="H53" s="51">
        <v>500</v>
      </c>
      <c r="I53" s="119" t="s">
        <v>1586</v>
      </c>
      <c r="J53" s="48" t="s">
        <v>31</v>
      </c>
      <c r="K53" s="48" t="s">
        <v>32</v>
      </c>
      <c r="L53" s="2"/>
    </row>
    <row r="54" spans="1:13" ht="15.75" customHeight="1">
      <c r="A54" s="61">
        <v>2</v>
      </c>
      <c r="B54" s="48" t="s">
        <v>1888</v>
      </c>
      <c r="C54" s="48" t="s">
        <v>27</v>
      </c>
      <c r="D54" s="48" t="s">
        <v>712</v>
      </c>
      <c r="E54" s="48" t="s">
        <v>145</v>
      </c>
      <c r="F54" s="48"/>
      <c r="G54" s="48" t="s">
        <v>30</v>
      </c>
      <c r="H54" s="51">
        <v>500</v>
      </c>
      <c r="I54" s="119">
        <v>100</v>
      </c>
      <c r="J54" s="48" t="s">
        <v>31</v>
      </c>
      <c r="K54" s="48" t="s">
        <v>32</v>
      </c>
      <c r="L54" s="2"/>
      <c r="M54" s="126">
        <v>400</v>
      </c>
    </row>
    <row r="55" spans="1:13" ht="15.75" customHeight="1">
      <c r="A55" s="61">
        <v>2</v>
      </c>
      <c r="B55" s="48" t="s">
        <v>1888</v>
      </c>
      <c r="C55" s="48" t="s">
        <v>27</v>
      </c>
      <c r="D55" s="48" t="s">
        <v>712</v>
      </c>
      <c r="E55" s="48" t="s">
        <v>145</v>
      </c>
      <c r="F55" s="48"/>
      <c r="G55" s="48" t="s">
        <v>30</v>
      </c>
      <c r="H55" s="51">
        <v>500</v>
      </c>
      <c r="I55" s="119" t="s">
        <v>1586</v>
      </c>
      <c r="J55" s="48" t="s">
        <v>31</v>
      </c>
      <c r="K55" s="48" t="s">
        <v>32</v>
      </c>
      <c r="L55" s="2"/>
    </row>
    <row r="56" spans="1:13" ht="15.75" customHeight="1">
      <c r="A56" s="61">
        <v>2</v>
      </c>
      <c r="B56" s="48" t="s">
        <v>1889</v>
      </c>
      <c r="C56" s="48" t="s">
        <v>27</v>
      </c>
      <c r="D56" s="48" t="s">
        <v>100</v>
      </c>
      <c r="E56" s="48" t="s">
        <v>145</v>
      </c>
      <c r="F56" s="48"/>
      <c r="G56" s="48" t="s">
        <v>30</v>
      </c>
      <c r="H56" s="51">
        <v>1500</v>
      </c>
      <c r="I56" s="119">
        <v>300</v>
      </c>
      <c r="J56" s="48" t="s">
        <v>31</v>
      </c>
      <c r="K56" s="48" t="s">
        <v>32</v>
      </c>
      <c r="L56" s="2"/>
      <c r="M56" s="126">
        <v>600</v>
      </c>
    </row>
    <row r="57" spans="1:13" ht="15.75" customHeight="1">
      <c r="A57" s="61">
        <v>2</v>
      </c>
      <c r="B57" s="48" t="s">
        <v>1889</v>
      </c>
      <c r="C57" s="48" t="s">
        <v>27</v>
      </c>
      <c r="D57" s="48" t="s">
        <v>100</v>
      </c>
      <c r="E57" s="48" t="s">
        <v>145</v>
      </c>
      <c r="F57" s="48"/>
      <c r="G57" s="48" t="s">
        <v>30</v>
      </c>
      <c r="H57" s="51">
        <v>500</v>
      </c>
      <c r="I57" s="119" t="s">
        <v>1586</v>
      </c>
      <c r="J57" s="48" t="s">
        <v>31</v>
      </c>
      <c r="K57" s="48" t="s">
        <v>32</v>
      </c>
      <c r="L57" s="2"/>
    </row>
    <row r="58" spans="1:13" ht="15.75" customHeight="1">
      <c r="A58" s="61">
        <v>2</v>
      </c>
      <c r="B58" s="48" t="s">
        <v>909</v>
      </c>
      <c r="C58" s="48" t="s">
        <v>27</v>
      </c>
      <c r="D58" s="48" t="s">
        <v>910</v>
      </c>
      <c r="E58" s="48" t="s">
        <v>36</v>
      </c>
      <c r="F58" s="48"/>
      <c r="G58" s="48" t="s">
        <v>30</v>
      </c>
      <c r="H58" s="51">
        <v>4000</v>
      </c>
      <c r="I58" s="119">
        <v>800</v>
      </c>
      <c r="J58" s="48" t="s">
        <v>31</v>
      </c>
      <c r="K58" s="48" t="s">
        <v>32</v>
      </c>
      <c r="L58" s="2"/>
      <c r="M58" s="126">
        <v>1000</v>
      </c>
    </row>
    <row r="59" spans="1:13" ht="15.75" customHeight="1">
      <c r="A59" s="61">
        <v>2</v>
      </c>
      <c r="B59" s="48" t="s">
        <v>324</v>
      </c>
      <c r="C59" s="48" t="s">
        <v>39</v>
      </c>
      <c r="D59" s="48" t="s">
        <v>100</v>
      </c>
      <c r="E59" s="48" t="s">
        <v>145</v>
      </c>
      <c r="F59" s="48"/>
      <c r="G59" s="48" t="s">
        <v>30</v>
      </c>
      <c r="H59" s="51">
        <v>1300</v>
      </c>
      <c r="I59" s="119">
        <v>260</v>
      </c>
      <c r="J59" s="48" t="s">
        <v>31</v>
      </c>
      <c r="K59" s="48" t="s">
        <v>32</v>
      </c>
      <c r="L59" s="2"/>
      <c r="M59" s="126">
        <v>300</v>
      </c>
    </row>
    <row r="60" spans="1:13" ht="15.75" customHeight="1">
      <c r="A60" s="61">
        <v>2</v>
      </c>
      <c r="B60" s="48" t="s">
        <v>1890</v>
      </c>
      <c r="C60" s="48" t="s">
        <v>27</v>
      </c>
      <c r="D60" s="48" t="s">
        <v>499</v>
      </c>
      <c r="E60" s="48" t="s">
        <v>145</v>
      </c>
      <c r="F60" s="48"/>
      <c r="G60" s="48" t="s">
        <v>30</v>
      </c>
      <c r="H60" s="51">
        <v>500</v>
      </c>
      <c r="I60" s="119">
        <v>100</v>
      </c>
      <c r="J60" s="48" t="s">
        <v>31</v>
      </c>
      <c r="K60" s="48" t="s">
        <v>32</v>
      </c>
      <c r="L60" s="2"/>
      <c r="M60" s="126">
        <v>250</v>
      </c>
    </row>
    <row r="61" spans="1:13" ht="15.75" customHeight="1">
      <c r="A61" s="61">
        <v>2</v>
      </c>
      <c r="B61" s="48" t="s">
        <v>1890</v>
      </c>
      <c r="C61" s="48" t="s">
        <v>27</v>
      </c>
      <c r="D61" s="48" t="s">
        <v>499</v>
      </c>
      <c r="E61" s="48" t="s">
        <v>145</v>
      </c>
      <c r="F61" s="48"/>
      <c r="G61" s="48" t="s">
        <v>30</v>
      </c>
      <c r="H61" s="51">
        <v>500</v>
      </c>
      <c r="I61" s="119" t="s">
        <v>1586</v>
      </c>
      <c r="J61" s="48" t="s">
        <v>31</v>
      </c>
      <c r="K61" s="48" t="s">
        <v>32</v>
      </c>
      <c r="L61" s="2"/>
    </row>
    <row r="62" spans="1:13" ht="15.75" customHeight="1">
      <c r="A62" s="61">
        <v>2</v>
      </c>
      <c r="B62" s="48" t="s">
        <v>1891</v>
      </c>
      <c r="C62" s="48" t="s">
        <v>27</v>
      </c>
      <c r="D62" s="48" t="s">
        <v>100</v>
      </c>
      <c r="E62" s="48" t="s">
        <v>89</v>
      </c>
      <c r="F62" s="48"/>
      <c r="G62" s="48" t="s">
        <v>1300</v>
      </c>
      <c r="H62" s="51">
        <v>100</v>
      </c>
      <c r="I62" s="119">
        <v>1000</v>
      </c>
      <c r="J62" s="48" t="s">
        <v>31</v>
      </c>
      <c r="K62" s="48" t="s">
        <v>32</v>
      </c>
      <c r="L62" s="2"/>
    </row>
    <row r="63" spans="1:13" ht="15.75" customHeight="1">
      <c r="A63" s="61">
        <v>2</v>
      </c>
      <c r="B63" s="48" t="s">
        <v>1892</v>
      </c>
      <c r="C63" s="48" t="s">
        <v>27</v>
      </c>
      <c r="D63" s="48" t="s">
        <v>297</v>
      </c>
      <c r="E63" s="48" t="s">
        <v>44</v>
      </c>
      <c r="F63" s="48"/>
      <c r="G63" s="48" t="s">
        <v>30</v>
      </c>
      <c r="H63" s="51">
        <v>500</v>
      </c>
      <c r="I63" s="119">
        <v>100</v>
      </c>
      <c r="J63" s="48" t="s">
        <v>31</v>
      </c>
      <c r="K63" s="48" t="s">
        <v>32</v>
      </c>
      <c r="L63" s="2"/>
      <c r="M63" s="126">
        <v>100</v>
      </c>
    </row>
    <row r="64" spans="1:13" ht="15.75" customHeight="1">
      <c r="A64" s="61">
        <v>2</v>
      </c>
      <c r="B64" s="48" t="s">
        <v>1892</v>
      </c>
      <c r="C64" s="48" t="s">
        <v>27</v>
      </c>
      <c r="D64" s="48" t="s">
        <v>297</v>
      </c>
      <c r="E64" s="48" t="s">
        <v>44</v>
      </c>
      <c r="F64" s="48"/>
      <c r="G64" s="48" t="s">
        <v>1300</v>
      </c>
      <c r="H64" s="51">
        <v>15</v>
      </c>
      <c r="I64" s="119">
        <v>150</v>
      </c>
      <c r="J64" s="48" t="s">
        <v>31</v>
      </c>
      <c r="K64" s="48" t="s">
        <v>32</v>
      </c>
      <c r="L64" s="2"/>
    </row>
    <row r="65" spans="1:13" ht="15.75" customHeight="1">
      <c r="A65" s="61">
        <v>2</v>
      </c>
      <c r="B65" s="48" t="s">
        <v>1893</v>
      </c>
      <c r="C65" s="48" t="s">
        <v>27</v>
      </c>
      <c r="D65" s="48" t="s">
        <v>1503</v>
      </c>
      <c r="E65" s="48" t="s">
        <v>145</v>
      </c>
      <c r="F65" s="48"/>
      <c r="G65" s="48" t="s">
        <v>30</v>
      </c>
      <c r="H65" s="51">
        <v>1000</v>
      </c>
      <c r="I65" s="119">
        <v>200</v>
      </c>
      <c r="J65" s="48" t="s">
        <v>31</v>
      </c>
      <c r="K65" s="48" t="s">
        <v>32</v>
      </c>
      <c r="L65" s="2"/>
      <c r="M65" s="126">
        <v>300</v>
      </c>
    </row>
    <row r="66" spans="1:13" ht="15.75" customHeight="1">
      <c r="A66" s="61">
        <v>2</v>
      </c>
      <c r="B66" s="48" t="s">
        <v>1893</v>
      </c>
      <c r="C66" s="48" t="s">
        <v>27</v>
      </c>
      <c r="D66" s="48" t="s">
        <v>1503</v>
      </c>
      <c r="E66" s="48" t="s">
        <v>145</v>
      </c>
      <c r="F66" s="48"/>
      <c r="G66" s="48" t="s">
        <v>30</v>
      </c>
      <c r="H66" s="51">
        <v>500</v>
      </c>
      <c r="I66" s="119" t="s">
        <v>1586</v>
      </c>
      <c r="J66" s="48" t="s">
        <v>31</v>
      </c>
      <c r="K66" s="48" t="s">
        <v>32</v>
      </c>
      <c r="L66" s="2"/>
    </row>
    <row r="67" spans="1:13" ht="15.75" customHeight="1">
      <c r="A67" s="61">
        <v>2</v>
      </c>
      <c r="B67" s="48" t="s">
        <v>1894</v>
      </c>
      <c r="C67" s="48" t="s">
        <v>27</v>
      </c>
      <c r="D67" s="48" t="s">
        <v>50</v>
      </c>
      <c r="E67" s="48" t="s">
        <v>145</v>
      </c>
      <c r="F67" s="48"/>
      <c r="G67" s="48" t="s">
        <v>30</v>
      </c>
      <c r="H67" s="51">
        <v>1000</v>
      </c>
      <c r="I67" s="119">
        <v>200</v>
      </c>
      <c r="J67" s="48" t="s">
        <v>31</v>
      </c>
      <c r="K67" s="48" t="s">
        <v>32</v>
      </c>
      <c r="L67" s="2"/>
      <c r="M67" s="126">
        <v>300</v>
      </c>
    </row>
    <row r="68" spans="1:13" ht="15.75" customHeight="1">
      <c r="A68" s="61">
        <v>2</v>
      </c>
      <c r="B68" s="48" t="s">
        <v>1895</v>
      </c>
      <c r="C68" s="48" t="s">
        <v>27</v>
      </c>
      <c r="D68" s="48" t="s">
        <v>191</v>
      </c>
      <c r="E68" s="48" t="s">
        <v>36</v>
      </c>
      <c r="F68" s="48"/>
      <c r="G68" s="48" t="s">
        <v>30</v>
      </c>
      <c r="H68" s="51">
        <v>1500</v>
      </c>
      <c r="I68" s="119">
        <v>300</v>
      </c>
      <c r="J68" s="48" t="s">
        <v>31</v>
      </c>
      <c r="K68" s="48" t="s">
        <v>32</v>
      </c>
      <c r="L68" s="2"/>
      <c r="M68" s="126">
        <v>300</v>
      </c>
    </row>
    <row r="69" spans="1:13" ht="15.75" customHeight="1">
      <c r="A69" s="61">
        <v>2</v>
      </c>
      <c r="B69" s="48" t="s">
        <v>1896</v>
      </c>
      <c r="C69" s="48" t="s">
        <v>27</v>
      </c>
      <c r="D69" s="48" t="s">
        <v>1503</v>
      </c>
      <c r="E69" s="48" t="s">
        <v>145</v>
      </c>
      <c r="F69" s="48"/>
      <c r="G69" s="48" t="s">
        <v>30</v>
      </c>
      <c r="H69" s="51">
        <v>1000</v>
      </c>
      <c r="I69" s="119">
        <v>200</v>
      </c>
      <c r="J69" s="48" t="s">
        <v>31</v>
      </c>
      <c r="K69" s="48" t="s">
        <v>32</v>
      </c>
      <c r="L69" s="2"/>
      <c r="M69" s="126">
        <v>300</v>
      </c>
    </row>
    <row r="70" spans="1:13" ht="15.75" customHeight="1">
      <c r="A70" s="61">
        <v>2</v>
      </c>
      <c r="B70" s="48" t="s">
        <v>1896</v>
      </c>
      <c r="C70" s="48" t="s">
        <v>27</v>
      </c>
      <c r="D70" s="48" t="s">
        <v>1503</v>
      </c>
      <c r="E70" s="48" t="s">
        <v>145</v>
      </c>
      <c r="F70" s="48"/>
      <c r="G70" s="48" t="s">
        <v>30</v>
      </c>
      <c r="H70" s="51">
        <v>500</v>
      </c>
      <c r="I70" s="119" t="s">
        <v>1586</v>
      </c>
      <c r="J70" s="48" t="s">
        <v>31</v>
      </c>
      <c r="K70" s="48" t="s">
        <v>32</v>
      </c>
      <c r="L70" s="2"/>
    </row>
    <row r="71" spans="1:13" ht="15.75" customHeight="1">
      <c r="A71" s="50">
        <v>2</v>
      </c>
      <c r="B71" s="48" t="s">
        <v>1897</v>
      </c>
      <c r="C71" s="48" t="s">
        <v>27</v>
      </c>
      <c r="D71" s="48" t="s">
        <v>499</v>
      </c>
      <c r="E71" s="48" t="s">
        <v>145</v>
      </c>
      <c r="F71" s="48"/>
      <c r="G71" s="48" t="s">
        <v>30</v>
      </c>
      <c r="H71" s="51">
        <v>500</v>
      </c>
      <c r="I71" s="49" t="s">
        <v>1586</v>
      </c>
      <c r="J71" s="48" t="s">
        <v>31</v>
      </c>
      <c r="K71" s="48" t="s">
        <v>32</v>
      </c>
      <c r="L71" s="269"/>
      <c r="M71" s="2">
        <v>300</v>
      </c>
    </row>
    <row r="72" spans="1:13" ht="15.75" customHeight="1">
      <c r="A72" s="65">
        <v>2</v>
      </c>
      <c r="B72" s="58" t="s">
        <v>1898</v>
      </c>
      <c r="C72" s="58" t="s">
        <v>27</v>
      </c>
      <c r="D72" s="58" t="s">
        <v>499</v>
      </c>
      <c r="E72" s="58" t="s">
        <v>145</v>
      </c>
      <c r="F72" s="58"/>
      <c r="G72" s="58" t="s">
        <v>30</v>
      </c>
      <c r="H72" s="59">
        <v>500</v>
      </c>
      <c r="I72" s="160" t="s">
        <v>1586</v>
      </c>
      <c r="J72" s="48" t="s">
        <v>31</v>
      </c>
      <c r="K72" s="48" t="s">
        <v>32</v>
      </c>
      <c r="L72" s="2"/>
      <c r="M72" s="126">
        <v>20</v>
      </c>
    </row>
    <row r="73" spans="1:13" ht="15.75" customHeight="1">
      <c r="A73" s="61">
        <v>3</v>
      </c>
      <c r="B73" s="62" t="s">
        <v>1899</v>
      </c>
      <c r="C73" s="62" t="s">
        <v>27</v>
      </c>
      <c r="D73" s="62" t="s">
        <v>1503</v>
      </c>
      <c r="E73" s="62" t="s">
        <v>145</v>
      </c>
      <c r="F73" s="62"/>
      <c r="G73" s="62" t="s">
        <v>30</v>
      </c>
      <c r="H73" s="63">
        <v>500</v>
      </c>
      <c r="I73" s="159" t="s">
        <v>1586</v>
      </c>
      <c r="J73" s="48" t="s">
        <v>31</v>
      </c>
      <c r="K73" s="48" t="s">
        <v>32</v>
      </c>
      <c r="L73" s="2"/>
      <c r="M73" s="126">
        <v>378</v>
      </c>
    </row>
    <row r="74" spans="1:13" ht="15.75" customHeight="1">
      <c r="A74" s="61">
        <v>3</v>
      </c>
      <c r="B74" s="62" t="s">
        <v>1899</v>
      </c>
      <c r="C74" s="62" t="s">
        <v>27</v>
      </c>
      <c r="D74" s="62" t="s">
        <v>1503</v>
      </c>
      <c r="E74" s="62" t="s">
        <v>145</v>
      </c>
      <c r="F74" s="48"/>
      <c r="G74" s="48" t="s">
        <v>30</v>
      </c>
      <c r="H74" s="51">
        <v>1500</v>
      </c>
      <c r="I74" s="119">
        <v>300</v>
      </c>
      <c r="J74" s="48" t="s">
        <v>31</v>
      </c>
      <c r="K74" s="48" t="s">
        <v>32</v>
      </c>
      <c r="L74" s="2"/>
    </row>
    <row r="75" spans="1:13" ht="15.75" customHeight="1">
      <c r="A75" s="61">
        <v>3</v>
      </c>
      <c r="B75" s="48" t="s">
        <v>1900</v>
      </c>
      <c r="C75" s="48" t="s">
        <v>27</v>
      </c>
      <c r="D75" s="48" t="s">
        <v>1901</v>
      </c>
      <c r="E75" s="48" t="s">
        <v>79</v>
      </c>
      <c r="F75" s="48"/>
      <c r="G75" s="48" t="s">
        <v>30</v>
      </c>
      <c r="H75" s="51">
        <v>500</v>
      </c>
      <c r="I75" s="119">
        <v>100</v>
      </c>
      <c r="J75" s="48" t="s">
        <v>31</v>
      </c>
      <c r="K75" s="48" t="s">
        <v>32</v>
      </c>
      <c r="L75" s="2"/>
      <c r="M75" s="126">
        <v>384</v>
      </c>
    </row>
    <row r="76" spans="1:13" ht="15.75" customHeight="1">
      <c r="A76" s="61">
        <v>3</v>
      </c>
      <c r="B76" s="48" t="s">
        <v>1900</v>
      </c>
      <c r="C76" s="48" t="s">
        <v>27</v>
      </c>
      <c r="D76" s="48" t="s">
        <v>1901</v>
      </c>
      <c r="E76" s="48" t="s">
        <v>79</v>
      </c>
      <c r="F76" s="48"/>
      <c r="G76" s="48" t="s">
        <v>30</v>
      </c>
      <c r="H76" s="51">
        <v>500</v>
      </c>
      <c r="I76" s="119" t="s">
        <v>1586</v>
      </c>
      <c r="J76" s="48" t="s">
        <v>31</v>
      </c>
      <c r="K76" s="48" t="s">
        <v>32</v>
      </c>
      <c r="L76" s="2"/>
    </row>
    <row r="77" spans="1:13" ht="15.75" customHeight="1">
      <c r="A77" s="61">
        <v>3</v>
      </c>
      <c r="B77" s="48" t="s">
        <v>71</v>
      </c>
      <c r="C77" s="48" t="s">
        <v>27</v>
      </c>
      <c r="D77" s="48" t="s">
        <v>1902</v>
      </c>
      <c r="E77" s="48" t="s">
        <v>73</v>
      </c>
      <c r="F77" s="48"/>
      <c r="G77" s="48" t="s">
        <v>30</v>
      </c>
      <c r="H77" s="51">
        <v>1500</v>
      </c>
      <c r="I77" s="119">
        <v>600</v>
      </c>
      <c r="J77" s="48" t="s">
        <v>31</v>
      </c>
      <c r="K77" s="48" t="s">
        <v>32</v>
      </c>
      <c r="L77" s="2"/>
      <c r="M77" s="126">
        <v>600</v>
      </c>
    </row>
    <row r="78" spans="1:13" ht="15.75" customHeight="1">
      <c r="A78" s="61">
        <v>3</v>
      </c>
      <c r="B78" s="48" t="s">
        <v>1903</v>
      </c>
      <c r="C78" s="48" t="s">
        <v>27</v>
      </c>
      <c r="D78" s="48" t="s">
        <v>1904</v>
      </c>
      <c r="E78" s="48" t="s">
        <v>68</v>
      </c>
      <c r="F78" s="48"/>
      <c r="G78" s="48" t="s">
        <v>1300</v>
      </c>
      <c r="H78" s="51">
        <v>30</v>
      </c>
      <c r="I78" s="119">
        <v>300</v>
      </c>
      <c r="J78" s="48" t="s">
        <v>31</v>
      </c>
      <c r="K78" s="48" t="s">
        <v>32</v>
      </c>
      <c r="L78" s="2"/>
    </row>
    <row r="79" spans="1:13" ht="15.75" customHeight="1">
      <c r="A79" s="61">
        <v>3</v>
      </c>
      <c r="B79" s="48" t="s">
        <v>1905</v>
      </c>
      <c r="C79" s="48" t="s">
        <v>27</v>
      </c>
      <c r="D79" s="48" t="s">
        <v>889</v>
      </c>
      <c r="E79" s="48" t="s">
        <v>36</v>
      </c>
      <c r="F79" s="48"/>
      <c r="G79" s="48" t="s">
        <v>30</v>
      </c>
      <c r="H79" s="51">
        <v>5000</v>
      </c>
      <c r="I79" s="119">
        <v>1000</v>
      </c>
      <c r="J79" s="48" t="s">
        <v>31</v>
      </c>
      <c r="K79" s="48" t="s">
        <v>32</v>
      </c>
      <c r="L79" s="2"/>
      <c r="M79" s="126">
        <v>1000</v>
      </c>
    </row>
    <row r="80" spans="1:13" ht="15.75" customHeight="1">
      <c r="A80" s="61">
        <v>3</v>
      </c>
      <c r="B80" s="48" t="s">
        <v>1905</v>
      </c>
      <c r="C80" s="48" t="s">
        <v>27</v>
      </c>
      <c r="D80" s="48" t="s">
        <v>889</v>
      </c>
      <c r="E80" s="48" t="s">
        <v>36</v>
      </c>
      <c r="F80" s="48"/>
      <c r="G80" s="48" t="s">
        <v>1300</v>
      </c>
      <c r="H80" s="51">
        <v>10</v>
      </c>
      <c r="I80" s="119">
        <v>100</v>
      </c>
      <c r="J80" s="48" t="s">
        <v>31</v>
      </c>
      <c r="K80" s="48" t="s">
        <v>32</v>
      </c>
      <c r="L80" s="2"/>
    </row>
    <row r="81" spans="1:13" ht="15.75" customHeight="1">
      <c r="A81" s="61">
        <v>3</v>
      </c>
      <c r="B81" s="48" t="s">
        <v>1906</v>
      </c>
      <c r="C81" s="48" t="s">
        <v>27</v>
      </c>
      <c r="D81" s="48" t="s">
        <v>499</v>
      </c>
      <c r="E81" s="48" t="s">
        <v>145</v>
      </c>
      <c r="F81" s="48"/>
      <c r="G81" s="48" t="s">
        <v>30</v>
      </c>
      <c r="H81" s="51">
        <v>3000</v>
      </c>
      <c r="I81" s="119">
        <v>600</v>
      </c>
      <c r="J81" s="48" t="s">
        <v>31</v>
      </c>
      <c r="K81" s="48" t="s">
        <v>32</v>
      </c>
      <c r="L81" s="2"/>
      <c r="M81" s="126">
        <v>768</v>
      </c>
    </row>
    <row r="82" spans="1:13" ht="15.75" customHeight="1">
      <c r="A82" s="61">
        <v>3</v>
      </c>
      <c r="B82" s="48" t="s">
        <v>1906</v>
      </c>
      <c r="C82" s="48" t="s">
        <v>27</v>
      </c>
      <c r="D82" s="48" t="s">
        <v>499</v>
      </c>
      <c r="E82" s="48" t="s">
        <v>145</v>
      </c>
      <c r="F82" s="48"/>
      <c r="G82" s="48" t="s">
        <v>30</v>
      </c>
      <c r="H82" s="51">
        <v>500</v>
      </c>
      <c r="I82" s="119" t="s">
        <v>1586</v>
      </c>
      <c r="J82" s="48" t="s">
        <v>31</v>
      </c>
      <c r="K82" s="48" t="s">
        <v>32</v>
      </c>
      <c r="L82" s="2"/>
    </row>
    <row r="83" spans="1:13" ht="15.75" customHeight="1">
      <c r="A83" s="61">
        <v>3</v>
      </c>
      <c r="B83" s="48" t="s">
        <v>1907</v>
      </c>
      <c r="C83" s="48" t="s">
        <v>27</v>
      </c>
      <c r="D83" s="48" t="s">
        <v>193</v>
      </c>
      <c r="E83" s="48" t="s">
        <v>36</v>
      </c>
      <c r="F83" s="48"/>
      <c r="G83" s="48" t="s">
        <v>30</v>
      </c>
      <c r="H83" s="51">
        <v>12000</v>
      </c>
      <c r="I83" s="119">
        <v>2400</v>
      </c>
      <c r="J83" s="48" t="s">
        <v>31</v>
      </c>
      <c r="K83" s="48" t="s">
        <v>32</v>
      </c>
      <c r="L83" s="2"/>
      <c r="M83" s="126">
        <v>2500</v>
      </c>
    </row>
    <row r="84" spans="1:13" ht="15.75" customHeight="1">
      <c r="A84" s="61">
        <v>3</v>
      </c>
      <c r="B84" s="48" t="s">
        <v>1908</v>
      </c>
      <c r="C84" s="48" t="s">
        <v>27</v>
      </c>
      <c r="D84" s="48" t="s">
        <v>361</v>
      </c>
      <c r="E84" s="48" t="s">
        <v>79</v>
      </c>
      <c r="F84" s="48"/>
      <c r="G84" s="48" t="s">
        <v>30</v>
      </c>
      <c r="H84" s="51">
        <v>5000</v>
      </c>
      <c r="I84" s="119">
        <v>1000</v>
      </c>
      <c r="J84" s="48" t="s">
        <v>31</v>
      </c>
      <c r="K84" s="48" t="s">
        <v>32</v>
      </c>
      <c r="L84" s="2"/>
      <c r="M84" s="126">
        <v>1200</v>
      </c>
    </row>
    <row r="85" spans="1:13" ht="15.75" customHeight="1">
      <c r="A85" s="61">
        <v>3</v>
      </c>
      <c r="B85" s="48" t="s">
        <v>1909</v>
      </c>
      <c r="C85" s="48" t="s">
        <v>27</v>
      </c>
      <c r="D85" s="48" t="s">
        <v>1674</v>
      </c>
      <c r="E85" s="48" t="s">
        <v>36</v>
      </c>
      <c r="F85" s="48"/>
      <c r="G85" s="48" t="s">
        <v>30</v>
      </c>
      <c r="H85" s="51">
        <v>4000</v>
      </c>
      <c r="I85" s="119">
        <v>800</v>
      </c>
      <c r="J85" s="48" t="s">
        <v>31</v>
      </c>
      <c r="K85" s="48" t="s">
        <v>32</v>
      </c>
      <c r="L85" s="2"/>
      <c r="M85" s="126">
        <v>900</v>
      </c>
    </row>
    <row r="86" spans="1:13" ht="15.75" customHeight="1">
      <c r="A86" s="61">
        <v>3</v>
      </c>
      <c r="B86" s="48" t="s">
        <v>1910</v>
      </c>
      <c r="C86" s="48" t="s">
        <v>39</v>
      </c>
      <c r="D86" s="48" t="s">
        <v>108</v>
      </c>
      <c r="E86" s="48" t="s">
        <v>36</v>
      </c>
      <c r="F86" s="48"/>
      <c r="G86" s="48" t="s">
        <v>30</v>
      </c>
      <c r="H86" s="51">
        <v>1500</v>
      </c>
      <c r="I86" s="119">
        <v>300</v>
      </c>
      <c r="J86" s="48" t="s">
        <v>31</v>
      </c>
      <c r="K86" s="48" t="s">
        <v>32</v>
      </c>
      <c r="L86" s="2"/>
      <c r="M86" s="126">
        <v>450</v>
      </c>
    </row>
    <row r="87" spans="1:13" ht="15.75" customHeight="1">
      <c r="A87" s="61">
        <v>3</v>
      </c>
      <c r="B87" s="48" t="s">
        <v>1911</v>
      </c>
      <c r="C87" s="48" t="s">
        <v>27</v>
      </c>
      <c r="D87" s="48" t="s">
        <v>108</v>
      </c>
      <c r="E87" s="48" t="s">
        <v>169</v>
      </c>
      <c r="F87" s="48"/>
      <c r="G87" s="48" t="s">
        <v>30</v>
      </c>
      <c r="H87" s="51">
        <v>4500</v>
      </c>
      <c r="I87" s="119">
        <v>900</v>
      </c>
      <c r="J87" s="48" t="s">
        <v>31</v>
      </c>
      <c r="K87" s="48" t="s">
        <v>32</v>
      </c>
      <c r="L87" s="2"/>
      <c r="M87" s="126">
        <v>700</v>
      </c>
    </row>
    <row r="88" spans="1:13" ht="15.75" customHeight="1">
      <c r="A88" s="61">
        <v>3</v>
      </c>
      <c r="B88" s="48" t="s">
        <v>1912</v>
      </c>
      <c r="C88" s="48" t="s">
        <v>27</v>
      </c>
      <c r="D88" s="48" t="s">
        <v>211</v>
      </c>
      <c r="E88" s="48" t="s">
        <v>245</v>
      </c>
      <c r="F88" s="48"/>
      <c r="G88" s="48" t="s">
        <v>30</v>
      </c>
      <c r="H88" s="51">
        <v>2500</v>
      </c>
      <c r="I88" s="119">
        <v>500</v>
      </c>
      <c r="J88" s="48" t="s">
        <v>31</v>
      </c>
      <c r="K88" s="48" t="s">
        <v>32</v>
      </c>
      <c r="L88" s="2"/>
      <c r="M88" s="126">
        <v>800</v>
      </c>
    </row>
    <row r="89" spans="1:13" ht="15.75" customHeight="1">
      <c r="A89" s="61">
        <v>3</v>
      </c>
      <c r="B89" s="48" t="s">
        <v>1913</v>
      </c>
      <c r="C89" s="48" t="s">
        <v>27</v>
      </c>
      <c r="D89" s="48" t="s">
        <v>1914</v>
      </c>
      <c r="E89" s="48" t="s">
        <v>73</v>
      </c>
      <c r="F89" s="48"/>
      <c r="G89" s="48" t="s">
        <v>30</v>
      </c>
      <c r="H89" s="51">
        <v>1500</v>
      </c>
      <c r="I89" s="119">
        <v>300</v>
      </c>
      <c r="J89" s="48" t="s">
        <v>31</v>
      </c>
      <c r="K89" s="48" t="s">
        <v>32</v>
      </c>
      <c r="L89" s="2"/>
      <c r="M89" s="126">
        <v>150</v>
      </c>
    </row>
    <row r="90" spans="1:13" ht="15.75" customHeight="1">
      <c r="A90" s="61">
        <v>3</v>
      </c>
      <c r="B90" s="48" t="s">
        <v>1509</v>
      </c>
      <c r="C90" s="48" t="s">
        <v>27</v>
      </c>
      <c r="D90" s="48" t="s">
        <v>1439</v>
      </c>
      <c r="E90" s="48" t="s">
        <v>54</v>
      </c>
      <c r="F90" s="48"/>
      <c r="G90" s="48" t="s">
        <v>30</v>
      </c>
      <c r="H90" s="51">
        <v>4000</v>
      </c>
      <c r="I90" s="119">
        <v>800</v>
      </c>
      <c r="J90" s="48" t="s">
        <v>31</v>
      </c>
      <c r="K90" s="48" t="s">
        <v>32</v>
      </c>
      <c r="L90" s="2"/>
      <c r="M90" s="126">
        <v>1200</v>
      </c>
    </row>
    <row r="91" spans="1:13" ht="15.75" customHeight="1">
      <c r="A91" s="61">
        <v>3</v>
      </c>
      <c r="B91" s="48" t="s">
        <v>1915</v>
      </c>
      <c r="C91" s="48" t="s">
        <v>27</v>
      </c>
      <c r="D91" s="48" t="s">
        <v>391</v>
      </c>
      <c r="E91" s="48" t="s">
        <v>73</v>
      </c>
      <c r="F91" s="48"/>
      <c r="G91" s="48" t="s">
        <v>30</v>
      </c>
      <c r="H91" s="51">
        <v>600</v>
      </c>
      <c r="I91" s="119">
        <v>120</v>
      </c>
      <c r="J91" s="48" t="s">
        <v>31</v>
      </c>
      <c r="K91" s="48" t="s">
        <v>32</v>
      </c>
      <c r="L91" s="2"/>
      <c r="M91" s="126">
        <v>120</v>
      </c>
    </row>
    <row r="92" spans="1:13" ht="15.75" customHeight="1">
      <c r="A92" s="61">
        <v>3</v>
      </c>
      <c r="B92" s="48" t="s">
        <v>1916</v>
      </c>
      <c r="C92" s="48" t="s">
        <v>27</v>
      </c>
      <c r="D92" s="48" t="s">
        <v>1917</v>
      </c>
      <c r="E92" s="48" t="s">
        <v>68</v>
      </c>
      <c r="F92" s="48"/>
      <c r="G92" s="48" t="s">
        <v>30</v>
      </c>
      <c r="H92" s="51">
        <v>3500</v>
      </c>
      <c r="I92" s="119">
        <v>700</v>
      </c>
      <c r="J92" s="48" t="s">
        <v>31</v>
      </c>
      <c r="K92" s="48" t="s">
        <v>32</v>
      </c>
      <c r="L92" s="2"/>
      <c r="M92" s="126">
        <v>600</v>
      </c>
    </row>
    <row r="93" spans="1:13" ht="15.75" customHeight="1">
      <c r="A93" s="61">
        <v>3</v>
      </c>
      <c r="B93" s="48" t="s">
        <v>1918</v>
      </c>
      <c r="C93" s="48" t="s">
        <v>27</v>
      </c>
      <c r="D93" s="48" t="s">
        <v>910</v>
      </c>
      <c r="E93" s="48" t="s">
        <v>36</v>
      </c>
      <c r="F93" s="48"/>
      <c r="G93" s="48" t="s">
        <v>30</v>
      </c>
      <c r="H93" s="51">
        <v>15000</v>
      </c>
      <c r="I93" s="119">
        <v>3000</v>
      </c>
      <c r="J93" s="48" t="s">
        <v>31</v>
      </c>
      <c r="K93" s="48" t="s">
        <v>32</v>
      </c>
      <c r="L93" s="2"/>
      <c r="M93" s="126">
        <v>3000</v>
      </c>
    </row>
    <row r="94" spans="1:13" ht="15.75" customHeight="1">
      <c r="A94" s="61">
        <v>3</v>
      </c>
      <c r="B94" s="48" t="s">
        <v>1919</v>
      </c>
      <c r="C94" s="48" t="s">
        <v>27</v>
      </c>
      <c r="D94" s="48" t="s">
        <v>79</v>
      </c>
      <c r="E94" s="48" t="s">
        <v>68</v>
      </c>
      <c r="F94" s="48"/>
      <c r="G94" s="48" t="s">
        <v>30</v>
      </c>
      <c r="H94" s="51">
        <v>1500</v>
      </c>
      <c r="I94" s="119">
        <v>300</v>
      </c>
      <c r="J94" s="48" t="s">
        <v>31</v>
      </c>
      <c r="K94" s="48" t="s">
        <v>32</v>
      </c>
      <c r="L94" s="2"/>
      <c r="M94" s="126">
        <v>300</v>
      </c>
    </row>
    <row r="95" spans="1:13" ht="15.75" customHeight="1">
      <c r="A95" s="61">
        <v>3</v>
      </c>
      <c r="B95" s="48" t="s">
        <v>1920</v>
      </c>
      <c r="C95" s="48" t="s">
        <v>27</v>
      </c>
      <c r="D95" s="48" t="s">
        <v>100</v>
      </c>
      <c r="E95" s="48" t="s">
        <v>169</v>
      </c>
      <c r="F95" s="48"/>
      <c r="G95" s="48" t="s">
        <v>30</v>
      </c>
      <c r="H95" s="51">
        <v>2000</v>
      </c>
      <c r="I95" s="119">
        <v>400</v>
      </c>
      <c r="J95" s="48" t="s">
        <v>31</v>
      </c>
      <c r="K95" s="48" t="s">
        <v>32</v>
      </c>
      <c r="L95" s="2"/>
      <c r="M95" s="126">
        <v>300</v>
      </c>
    </row>
    <row r="96" spans="1:13" ht="15.75" customHeight="1">
      <c r="A96" s="61">
        <v>3</v>
      </c>
      <c r="B96" s="48" t="s">
        <v>1920</v>
      </c>
      <c r="C96" s="48" t="s">
        <v>27</v>
      </c>
      <c r="D96" s="48" t="s">
        <v>100</v>
      </c>
      <c r="E96" s="48" t="s">
        <v>169</v>
      </c>
      <c r="F96" s="48"/>
      <c r="G96" s="48" t="s">
        <v>1300</v>
      </c>
      <c r="H96" s="51">
        <v>30</v>
      </c>
      <c r="I96" s="119">
        <v>300</v>
      </c>
      <c r="J96" s="48" t="s">
        <v>31</v>
      </c>
      <c r="K96" s="48" t="s">
        <v>32</v>
      </c>
      <c r="L96" s="2"/>
    </row>
    <row r="97" spans="1:13" ht="15.75" customHeight="1">
      <c r="A97" s="61">
        <v>3</v>
      </c>
      <c r="B97" s="48" t="s">
        <v>1921</v>
      </c>
      <c r="C97" s="48" t="s">
        <v>27</v>
      </c>
      <c r="D97" s="48" t="s">
        <v>100</v>
      </c>
      <c r="E97" s="48" t="s">
        <v>84</v>
      </c>
      <c r="F97" s="48"/>
      <c r="G97" s="48" t="s">
        <v>30</v>
      </c>
      <c r="H97" s="51">
        <v>3500</v>
      </c>
      <c r="I97" s="119">
        <v>700</v>
      </c>
      <c r="J97" s="48" t="s">
        <v>31</v>
      </c>
      <c r="K97" s="48" t="s">
        <v>32</v>
      </c>
      <c r="L97" s="2"/>
      <c r="M97" s="126">
        <v>600</v>
      </c>
    </row>
    <row r="98" spans="1:13" ht="15.75" customHeight="1">
      <c r="A98" s="61">
        <v>3</v>
      </c>
      <c r="B98" s="48" t="s">
        <v>1922</v>
      </c>
      <c r="C98" s="48" t="s">
        <v>27</v>
      </c>
      <c r="D98" s="151" t="s">
        <v>934</v>
      </c>
      <c r="E98" s="48" t="s">
        <v>44</v>
      </c>
      <c r="F98" s="48"/>
      <c r="G98" s="48" t="s">
        <v>30</v>
      </c>
      <c r="H98" s="51">
        <v>1200</v>
      </c>
      <c r="I98" s="119">
        <v>240</v>
      </c>
      <c r="J98" s="48" t="s">
        <v>31</v>
      </c>
      <c r="K98" s="48" t="s">
        <v>32</v>
      </c>
      <c r="L98" s="2"/>
      <c r="M98" s="126">
        <v>250</v>
      </c>
    </row>
    <row r="99" spans="1:13" ht="15.75" customHeight="1">
      <c r="A99" s="61">
        <v>3</v>
      </c>
      <c r="B99" s="48" t="s">
        <v>1923</v>
      </c>
      <c r="C99" s="48" t="s">
        <v>27</v>
      </c>
      <c r="D99" s="48" t="s">
        <v>88</v>
      </c>
      <c r="E99" s="48" t="s">
        <v>54</v>
      </c>
      <c r="F99" s="48"/>
      <c r="G99" s="48" t="s">
        <v>30</v>
      </c>
      <c r="H99" s="51">
        <v>5000</v>
      </c>
      <c r="I99" s="119">
        <v>1000</v>
      </c>
      <c r="J99" s="48" t="s">
        <v>31</v>
      </c>
      <c r="K99" s="48" t="s">
        <v>32</v>
      </c>
      <c r="L99" s="2"/>
      <c r="M99" s="126">
        <v>1000</v>
      </c>
    </row>
    <row r="100" spans="1:13" ht="15.75" customHeight="1">
      <c r="A100" s="61">
        <v>3</v>
      </c>
      <c r="B100" s="48" t="s">
        <v>1740</v>
      </c>
      <c r="C100" s="48" t="s">
        <v>27</v>
      </c>
      <c r="D100" s="48" t="s">
        <v>1076</v>
      </c>
      <c r="E100" s="48" t="s">
        <v>89</v>
      </c>
      <c r="F100" s="48"/>
      <c r="G100" s="48" t="s">
        <v>30</v>
      </c>
      <c r="H100" s="51">
        <v>2000</v>
      </c>
      <c r="I100" s="119">
        <v>400</v>
      </c>
      <c r="J100" s="48" t="s">
        <v>31</v>
      </c>
      <c r="K100" s="48" t="s">
        <v>32</v>
      </c>
      <c r="L100" s="2"/>
      <c r="M100" s="126">
        <v>300</v>
      </c>
    </row>
    <row r="101" spans="1:13" ht="15.75" customHeight="1">
      <c r="A101" s="61">
        <v>3</v>
      </c>
      <c r="B101" s="48" t="s">
        <v>1740</v>
      </c>
      <c r="C101" s="48" t="s">
        <v>27</v>
      </c>
      <c r="D101" s="48" t="s">
        <v>1076</v>
      </c>
      <c r="E101" s="48" t="s">
        <v>89</v>
      </c>
      <c r="F101" s="48"/>
      <c r="G101" s="48" t="s">
        <v>30</v>
      </c>
      <c r="H101" s="51">
        <v>500</v>
      </c>
      <c r="I101" s="119" t="s">
        <v>1586</v>
      </c>
      <c r="J101" s="48" t="s">
        <v>31</v>
      </c>
      <c r="K101" s="48" t="s">
        <v>32</v>
      </c>
      <c r="L101" s="2"/>
    </row>
    <row r="102" spans="1:13" ht="15.75" customHeight="1">
      <c r="A102" s="65">
        <v>3</v>
      </c>
      <c r="B102" s="58" t="s">
        <v>1846</v>
      </c>
      <c r="C102" s="58" t="s">
        <v>27</v>
      </c>
      <c r="D102" s="58" t="s">
        <v>733</v>
      </c>
      <c r="E102" s="58" t="s">
        <v>44</v>
      </c>
      <c r="F102" s="58"/>
      <c r="G102" s="58" t="s">
        <v>30</v>
      </c>
      <c r="H102" s="59">
        <v>1500</v>
      </c>
      <c r="I102" s="160" t="s">
        <v>1586</v>
      </c>
      <c r="J102" s="48" t="s">
        <v>31</v>
      </c>
      <c r="K102" s="48" t="s">
        <v>32</v>
      </c>
      <c r="L102" s="2"/>
      <c r="M102" s="126">
        <v>300</v>
      </c>
    </row>
    <row r="103" spans="1:13" ht="15.75" customHeight="1">
      <c r="A103" s="61">
        <v>4</v>
      </c>
      <c r="B103" s="62" t="s">
        <v>1924</v>
      </c>
      <c r="C103" s="62" t="s">
        <v>27</v>
      </c>
      <c r="D103" s="62" t="s">
        <v>1925</v>
      </c>
      <c r="E103" s="62" t="s">
        <v>1291</v>
      </c>
      <c r="F103" s="62"/>
      <c r="G103" s="62" t="s">
        <v>30</v>
      </c>
      <c r="H103" s="63">
        <v>1000</v>
      </c>
      <c r="I103" s="159">
        <v>200</v>
      </c>
      <c r="J103" s="48" t="s">
        <v>31</v>
      </c>
      <c r="K103" s="48" t="s">
        <v>32</v>
      </c>
      <c r="L103" s="2"/>
      <c r="M103" s="126">
        <v>150</v>
      </c>
    </row>
    <row r="104" spans="1:13" ht="15.75" customHeight="1">
      <c r="A104" s="61">
        <v>4</v>
      </c>
      <c r="B104" s="48" t="s">
        <v>1926</v>
      </c>
      <c r="C104" s="48" t="s">
        <v>27</v>
      </c>
      <c r="D104" s="48" t="s">
        <v>1120</v>
      </c>
      <c r="E104" s="48" t="s">
        <v>84</v>
      </c>
      <c r="F104" s="48"/>
      <c r="G104" s="48" t="s">
        <v>30</v>
      </c>
      <c r="H104" s="51">
        <v>500</v>
      </c>
      <c r="I104" s="119">
        <v>100</v>
      </c>
      <c r="J104" s="48" t="s">
        <v>31</v>
      </c>
      <c r="K104" s="48" t="s">
        <v>32</v>
      </c>
      <c r="L104" s="2"/>
      <c r="M104" s="126">
        <v>100</v>
      </c>
    </row>
    <row r="105" spans="1:13" ht="15.75" customHeight="1">
      <c r="A105" s="61">
        <v>4</v>
      </c>
      <c r="B105" s="48" t="s">
        <v>1926</v>
      </c>
      <c r="C105" s="48" t="s">
        <v>27</v>
      </c>
      <c r="D105" s="48" t="s">
        <v>1120</v>
      </c>
      <c r="E105" s="48" t="s">
        <v>84</v>
      </c>
      <c r="F105" s="48"/>
      <c r="G105" s="48" t="s">
        <v>1300</v>
      </c>
      <c r="H105" s="51">
        <v>20</v>
      </c>
      <c r="I105" s="119">
        <v>200</v>
      </c>
      <c r="J105" s="48" t="s">
        <v>31</v>
      </c>
      <c r="K105" s="48" t="s">
        <v>32</v>
      </c>
      <c r="L105" s="2"/>
    </row>
    <row r="106" spans="1:13" ht="15.75" customHeight="1">
      <c r="A106" s="61">
        <v>4</v>
      </c>
      <c r="B106" s="48" t="s">
        <v>1927</v>
      </c>
      <c r="C106" s="48" t="s">
        <v>27</v>
      </c>
      <c r="D106" s="48" t="s">
        <v>607</v>
      </c>
      <c r="E106" s="48" t="s">
        <v>36</v>
      </c>
      <c r="F106" s="48"/>
      <c r="G106" s="48" t="s">
        <v>30</v>
      </c>
      <c r="H106" s="51">
        <v>5000</v>
      </c>
      <c r="I106" s="119">
        <v>1000</v>
      </c>
      <c r="J106" s="48" t="s">
        <v>31</v>
      </c>
      <c r="K106" s="48" t="s">
        <v>32</v>
      </c>
      <c r="L106" s="2"/>
      <c r="M106" s="126">
        <v>1000</v>
      </c>
    </row>
    <row r="107" spans="1:13" ht="15.75" customHeight="1">
      <c r="A107" s="61">
        <v>4</v>
      </c>
      <c r="B107" s="48" t="s">
        <v>1927</v>
      </c>
      <c r="C107" s="48" t="s">
        <v>27</v>
      </c>
      <c r="D107" s="48" t="s">
        <v>607</v>
      </c>
      <c r="E107" s="48" t="s">
        <v>36</v>
      </c>
      <c r="F107" s="48"/>
      <c r="G107" s="48" t="s">
        <v>1300</v>
      </c>
      <c r="H107" s="51">
        <v>30</v>
      </c>
      <c r="I107" s="119">
        <v>300</v>
      </c>
      <c r="J107" s="48" t="s">
        <v>31</v>
      </c>
      <c r="K107" s="48" t="s">
        <v>32</v>
      </c>
      <c r="L107" s="2"/>
    </row>
    <row r="108" spans="1:13" ht="15.75" customHeight="1">
      <c r="A108" s="61">
        <v>4</v>
      </c>
      <c r="B108" s="48" t="s">
        <v>1928</v>
      </c>
      <c r="C108" s="48" t="s">
        <v>27</v>
      </c>
      <c r="D108" s="48" t="s">
        <v>266</v>
      </c>
      <c r="E108" s="48" t="s">
        <v>73</v>
      </c>
      <c r="F108" s="48"/>
      <c r="G108" s="48" t="s">
        <v>30</v>
      </c>
      <c r="H108" s="51">
        <v>2500</v>
      </c>
      <c r="I108" s="119">
        <v>500</v>
      </c>
      <c r="J108" s="48" t="s">
        <v>31</v>
      </c>
      <c r="K108" s="48" t="s">
        <v>32</v>
      </c>
      <c r="L108" s="2"/>
      <c r="M108" s="126">
        <v>500</v>
      </c>
    </row>
    <row r="109" spans="1:13" ht="15.75" customHeight="1">
      <c r="A109" s="61">
        <v>4</v>
      </c>
      <c r="B109" s="48" t="s">
        <v>1929</v>
      </c>
      <c r="C109" s="48" t="s">
        <v>27</v>
      </c>
      <c r="D109" s="48" t="s">
        <v>483</v>
      </c>
      <c r="E109" s="48" t="s">
        <v>484</v>
      </c>
      <c r="F109" s="48"/>
      <c r="G109" s="48" t="s">
        <v>30</v>
      </c>
      <c r="H109" s="51">
        <v>1000</v>
      </c>
      <c r="I109" s="119">
        <v>200</v>
      </c>
      <c r="J109" s="48" t="s">
        <v>31</v>
      </c>
      <c r="K109" s="48" t="s">
        <v>32</v>
      </c>
      <c r="L109" s="2"/>
      <c r="M109" s="126">
        <v>200</v>
      </c>
    </row>
    <row r="110" spans="1:13" ht="15.75" customHeight="1">
      <c r="A110" s="61">
        <v>4</v>
      </c>
      <c r="B110" s="48" t="s">
        <v>1930</v>
      </c>
      <c r="C110" s="48" t="s">
        <v>27</v>
      </c>
      <c r="D110" s="48" t="s">
        <v>108</v>
      </c>
      <c r="E110" s="48" t="s">
        <v>36</v>
      </c>
      <c r="F110" s="48"/>
      <c r="G110" s="48" t="s">
        <v>30</v>
      </c>
      <c r="H110" s="51">
        <v>100</v>
      </c>
      <c r="I110" s="119">
        <v>20</v>
      </c>
      <c r="J110" s="48" t="s">
        <v>31</v>
      </c>
      <c r="K110" s="48" t="s">
        <v>32</v>
      </c>
      <c r="L110" s="2"/>
    </row>
    <row r="111" spans="1:13" ht="15.75" customHeight="1">
      <c r="A111" s="61">
        <v>4</v>
      </c>
      <c r="B111" s="48" t="s">
        <v>1930</v>
      </c>
      <c r="C111" s="48" t="s">
        <v>27</v>
      </c>
      <c r="D111" s="48" t="s">
        <v>108</v>
      </c>
      <c r="E111" s="48" t="s">
        <v>36</v>
      </c>
      <c r="F111" s="48"/>
      <c r="G111" s="48" t="s">
        <v>30</v>
      </c>
      <c r="H111" s="51">
        <v>500</v>
      </c>
      <c r="I111" s="119" t="s">
        <v>1586</v>
      </c>
      <c r="J111" s="48" t="s">
        <v>31</v>
      </c>
      <c r="K111" s="48" t="s">
        <v>32</v>
      </c>
      <c r="L111" s="2"/>
    </row>
    <row r="112" spans="1:13" ht="15.75" customHeight="1">
      <c r="A112" s="50">
        <v>4</v>
      </c>
      <c r="B112" s="48" t="s">
        <v>1931</v>
      </c>
      <c r="C112" s="48" t="s">
        <v>27</v>
      </c>
      <c r="D112" s="48" t="s">
        <v>81</v>
      </c>
      <c r="E112" s="48" t="s">
        <v>79</v>
      </c>
      <c r="F112" s="48"/>
      <c r="G112" s="48" t="s">
        <v>30</v>
      </c>
      <c r="H112" s="51">
        <v>1000</v>
      </c>
      <c r="I112" s="119">
        <v>200</v>
      </c>
      <c r="J112" s="48" t="s">
        <v>31</v>
      </c>
      <c r="K112" s="48" t="s">
        <v>32</v>
      </c>
      <c r="L112" s="2"/>
      <c r="M112" s="126">
        <v>300</v>
      </c>
    </row>
    <row r="113" spans="1:13" ht="15.75" customHeight="1">
      <c r="A113" s="50">
        <v>4</v>
      </c>
      <c r="B113" s="48" t="s">
        <v>1932</v>
      </c>
      <c r="C113" s="48" t="s">
        <v>27</v>
      </c>
      <c r="D113" s="48" t="s">
        <v>295</v>
      </c>
      <c r="E113" s="48" t="s">
        <v>54</v>
      </c>
      <c r="F113" s="48"/>
      <c r="G113" s="48" t="s">
        <v>30</v>
      </c>
      <c r="H113" s="51">
        <v>500</v>
      </c>
      <c r="I113" s="119">
        <v>100</v>
      </c>
      <c r="J113" s="48" t="s">
        <v>31</v>
      </c>
      <c r="K113" s="48" t="s">
        <v>32</v>
      </c>
      <c r="L113" s="2"/>
      <c r="M113" s="126">
        <v>100</v>
      </c>
    </row>
    <row r="114" spans="1:13" ht="15.75" customHeight="1">
      <c r="A114" s="50">
        <v>4</v>
      </c>
      <c r="B114" s="48" t="s">
        <v>1933</v>
      </c>
      <c r="C114" s="48" t="s">
        <v>27</v>
      </c>
      <c r="D114" s="48" t="s">
        <v>114</v>
      </c>
      <c r="E114" s="48" t="s">
        <v>44</v>
      </c>
      <c r="F114" s="48"/>
      <c r="G114" s="48" t="s">
        <v>30</v>
      </c>
      <c r="H114" s="51">
        <v>1000</v>
      </c>
      <c r="I114" s="119">
        <v>200</v>
      </c>
      <c r="J114" s="48" t="s">
        <v>31</v>
      </c>
      <c r="K114" s="48" t="s">
        <v>32</v>
      </c>
      <c r="L114" s="2"/>
      <c r="M114" s="126">
        <v>225</v>
      </c>
    </row>
    <row r="115" spans="1:13" ht="15.75" customHeight="1">
      <c r="A115" s="50">
        <v>4</v>
      </c>
      <c r="B115" s="48" t="s">
        <v>1934</v>
      </c>
      <c r="C115" s="48" t="s">
        <v>27</v>
      </c>
      <c r="D115" s="48" t="s">
        <v>81</v>
      </c>
      <c r="E115" s="48" t="s">
        <v>209</v>
      </c>
      <c r="F115" s="48"/>
      <c r="G115" s="48" t="s">
        <v>30</v>
      </c>
      <c r="H115" s="51">
        <v>1000</v>
      </c>
      <c r="I115" s="119">
        <v>200</v>
      </c>
      <c r="J115" s="48" t="s">
        <v>31</v>
      </c>
      <c r="K115" s="48" t="s">
        <v>32</v>
      </c>
      <c r="L115" s="2"/>
      <c r="M115" s="126">
        <v>300</v>
      </c>
    </row>
    <row r="116" spans="1:13" ht="15.75" customHeight="1">
      <c r="A116" s="50">
        <v>4</v>
      </c>
      <c r="B116" s="48" t="s">
        <v>1935</v>
      </c>
      <c r="C116" s="48" t="s">
        <v>27</v>
      </c>
      <c r="D116" s="48" t="s">
        <v>319</v>
      </c>
      <c r="E116" s="48" t="s">
        <v>36</v>
      </c>
      <c r="F116" s="48"/>
      <c r="G116" s="48" t="s">
        <v>30</v>
      </c>
      <c r="H116" s="51">
        <v>1000</v>
      </c>
      <c r="I116" s="119">
        <v>200</v>
      </c>
      <c r="J116" s="48" t="s">
        <v>31</v>
      </c>
      <c r="K116" s="48" t="s">
        <v>32</v>
      </c>
      <c r="L116" s="2"/>
      <c r="M116" s="126">
        <v>300</v>
      </c>
    </row>
    <row r="117" spans="1:13" ht="15.75" customHeight="1">
      <c r="A117" s="65">
        <v>4</v>
      </c>
      <c r="B117" s="58" t="s">
        <v>1936</v>
      </c>
      <c r="C117" s="58" t="s">
        <v>27</v>
      </c>
      <c r="D117" s="58" t="s">
        <v>1937</v>
      </c>
      <c r="E117" s="58" t="s">
        <v>245</v>
      </c>
      <c r="F117" s="58"/>
      <c r="G117" s="58" t="s">
        <v>30</v>
      </c>
      <c r="H117" s="59">
        <v>500</v>
      </c>
      <c r="I117" s="160">
        <v>100</v>
      </c>
      <c r="J117" s="48" t="s">
        <v>31</v>
      </c>
      <c r="K117" s="48" t="s">
        <v>32</v>
      </c>
      <c r="L117" s="2"/>
      <c r="M117" s="126">
        <v>100</v>
      </c>
    </row>
    <row r="118" spans="1:13" ht="15.75" customHeight="1">
      <c r="A118" s="61">
        <v>5</v>
      </c>
      <c r="B118" s="62" t="s">
        <v>1938</v>
      </c>
      <c r="C118" s="62" t="s">
        <v>27</v>
      </c>
      <c r="D118" s="62" t="s">
        <v>1939</v>
      </c>
      <c r="E118" s="62" t="s">
        <v>334</v>
      </c>
      <c r="F118" s="62"/>
      <c r="G118" s="62" t="s">
        <v>30</v>
      </c>
      <c r="H118" s="63">
        <v>1500</v>
      </c>
      <c r="I118" s="159">
        <v>300</v>
      </c>
      <c r="J118" s="48" t="s">
        <v>31</v>
      </c>
      <c r="K118" s="48" t="s">
        <v>32</v>
      </c>
      <c r="L118" s="2"/>
      <c r="M118" s="126">
        <v>300</v>
      </c>
    </row>
    <row r="119" spans="1:13" ht="15.75" customHeight="1">
      <c r="A119" s="61">
        <v>5</v>
      </c>
      <c r="B119" s="48" t="s">
        <v>1940</v>
      </c>
      <c r="C119" s="48" t="s">
        <v>27</v>
      </c>
      <c r="D119" s="48" t="s">
        <v>439</v>
      </c>
      <c r="E119" s="48" t="s">
        <v>145</v>
      </c>
      <c r="F119" s="48"/>
      <c r="G119" s="48" t="s">
        <v>30</v>
      </c>
      <c r="H119" s="51">
        <v>1000</v>
      </c>
      <c r="I119" s="119">
        <v>200</v>
      </c>
      <c r="J119" s="48" t="s">
        <v>31</v>
      </c>
      <c r="K119" s="48" t="s">
        <v>32</v>
      </c>
      <c r="L119" s="2"/>
      <c r="M119" s="126">
        <v>300</v>
      </c>
    </row>
    <row r="120" spans="1:13" ht="15.75" customHeight="1">
      <c r="A120" s="61">
        <v>5</v>
      </c>
      <c r="B120" s="48" t="s">
        <v>1940</v>
      </c>
      <c r="C120" s="48" t="s">
        <v>27</v>
      </c>
      <c r="D120" s="48" t="s">
        <v>439</v>
      </c>
      <c r="E120" s="48" t="s">
        <v>145</v>
      </c>
      <c r="F120" s="48"/>
      <c r="G120" s="48" t="s">
        <v>30</v>
      </c>
      <c r="H120" s="51">
        <v>500</v>
      </c>
      <c r="I120" s="119" t="s">
        <v>1586</v>
      </c>
      <c r="J120" s="48" t="s">
        <v>31</v>
      </c>
      <c r="K120" s="48" t="s">
        <v>32</v>
      </c>
      <c r="L120" s="2"/>
    </row>
    <row r="121" spans="1:13" ht="15.75" customHeight="1">
      <c r="A121" s="61">
        <v>5</v>
      </c>
      <c r="B121" s="48" t="s">
        <v>1941</v>
      </c>
      <c r="C121" s="48" t="s">
        <v>27</v>
      </c>
      <c r="D121" s="48" t="s">
        <v>439</v>
      </c>
      <c r="E121" s="48" t="s">
        <v>145</v>
      </c>
      <c r="F121" s="48"/>
      <c r="G121" s="48" t="s">
        <v>30</v>
      </c>
      <c r="H121" s="51">
        <v>500</v>
      </c>
      <c r="I121" s="119">
        <v>100</v>
      </c>
      <c r="J121" s="48" t="s">
        <v>31</v>
      </c>
      <c r="K121" s="48" t="s">
        <v>32</v>
      </c>
      <c r="L121" s="2"/>
      <c r="M121" s="126">
        <v>200</v>
      </c>
    </row>
    <row r="122" spans="1:13" ht="15.75" customHeight="1">
      <c r="A122" s="61">
        <v>5</v>
      </c>
      <c r="B122" s="48" t="s">
        <v>1941</v>
      </c>
      <c r="C122" s="48" t="s">
        <v>27</v>
      </c>
      <c r="D122" s="48" t="s">
        <v>439</v>
      </c>
      <c r="E122" s="48" t="s">
        <v>145</v>
      </c>
      <c r="F122" s="48"/>
      <c r="G122" s="48" t="s">
        <v>30</v>
      </c>
      <c r="H122" s="51">
        <v>500</v>
      </c>
      <c r="I122" s="119" t="s">
        <v>1586</v>
      </c>
      <c r="J122" s="48" t="s">
        <v>31</v>
      </c>
      <c r="K122" s="48" t="s">
        <v>32</v>
      </c>
      <c r="L122" s="2"/>
    </row>
    <row r="123" spans="1:13" ht="15.75" customHeight="1">
      <c r="A123" s="61">
        <v>5</v>
      </c>
      <c r="B123" s="48" t="s">
        <v>1942</v>
      </c>
      <c r="C123" s="48" t="s">
        <v>27</v>
      </c>
      <c r="D123" s="48" t="s">
        <v>866</v>
      </c>
      <c r="E123" s="48" t="s">
        <v>273</v>
      </c>
      <c r="F123" s="48"/>
      <c r="G123" s="48" t="s">
        <v>30</v>
      </c>
      <c r="H123" s="51">
        <v>2000</v>
      </c>
      <c r="I123" s="119">
        <v>400</v>
      </c>
      <c r="J123" s="48" t="s">
        <v>31</v>
      </c>
      <c r="K123" s="48" t="s">
        <v>32</v>
      </c>
      <c r="L123" s="2"/>
      <c r="M123" s="126">
        <v>500</v>
      </c>
    </row>
    <row r="124" spans="1:13" ht="15.75" customHeight="1">
      <c r="A124" s="61">
        <v>5</v>
      </c>
      <c r="B124" s="48" t="s">
        <v>1088</v>
      </c>
      <c r="C124" s="48" t="s">
        <v>27</v>
      </c>
      <c r="D124" s="48" t="s">
        <v>1089</v>
      </c>
      <c r="E124" s="48" t="s">
        <v>56</v>
      </c>
      <c r="F124" s="48"/>
      <c r="G124" s="48" t="s">
        <v>30</v>
      </c>
      <c r="H124" s="51">
        <v>2000</v>
      </c>
      <c r="I124" s="119">
        <v>400</v>
      </c>
      <c r="J124" s="48" t="s">
        <v>31</v>
      </c>
      <c r="K124" s="48" t="s">
        <v>32</v>
      </c>
      <c r="L124" s="2"/>
      <c r="M124" s="126">
        <v>300</v>
      </c>
    </row>
    <row r="125" spans="1:13" ht="15.75" customHeight="1">
      <c r="A125" s="61">
        <v>5</v>
      </c>
      <c r="B125" s="48" t="s">
        <v>1088</v>
      </c>
      <c r="C125" s="48" t="s">
        <v>27</v>
      </c>
      <c r="D125" s="48" t="s">
        <v>1089</v>
      </c>
      <c r="E125" s="48" t="s">
        <v>56</v>
      </c>
      <c r="F125" s="48"/>
      <c r="G125" s="48" t="s">
        <v>115</v>
      </c>
      <c r="H125" s="51">
        <v>200</v>
      </c>
      <c r="I125" s="119">
        <v>200</v>
      </c>
      <c r="J125" s="48" t="s">
        <v>31</v>
      </c>
      <c r="K125" s="48" t="s">
        <v>32</v>
      </c>
      <c r="L125" s="2"/>
    </row>
    <row r="126" spans="1:13" ht="15.75" customHeight="1">
      <c r="A126" s="50">
        <v>5</v>
      </c>
      <c r="B126" s="48" t="s">
        <v>1943</v>
      </c>
      <c r="C126" s="48" t="s">
        <v>27</v>
      </c>
      <c r="D126" s="48" t="s">
        <v>88</v>
      </c>
      <c r="E126" s="48" t="s">
        <v>54</v>
      </c>
      <c r="F126" s="48"/>
      <c r="G126" s="48" t="s">
        <v>30</v>
      </c>
      <c r="H126" s="51">
        <v>2700</v>
      </c>
      <c r="I126" s="119">
        <v>540</v>
      </c>
      <c r="J126" s="48" t="s">
        <v>31</v>
      </c>
      <c r="K126" s="48" t="s">
        <v>32</v>
      </c>
      <c r="L126" s="2"/>
      <c r="M126" s="126">
        <v>600</v>
      </c>
    </row>
    <row r="127" spans="1:13" ht="15.75" customHeight="1">
      <c r="A127" s="50">
        <v>5</v>
      </c>
      <c r="B127" s="48" t="s">
        <v>1944</v>
      </c>
      <c r="C127" s="48" t="s">
        <v>27</v>
      </c>
      <c r="D127" s="48" t="s">
        <v>728</v>
      </c>
      <c r="E127" s="48" t="s">
        <v>86</v>
      </c>
      <c r="F127" s="48"/>
      <c r="G127" s="48" t="s">
        <v>30</v>
      </c>
      <c r="H127" s="51">
        <v>500</v>
      </c>
      <c r="I127" s="119">
        <v>100</v>
      </c>
      <c r="J127" s="48" t="s">
        <v>31</v>
      </c>
      <c r="K127" s="48" t="s">
        <v>32</v>
      </c>
      <c r="L127" s="2"/>
      <c r="M127" s="126">
        <v>50</v>
      </c>
    </row>
    <row r="128" spans="1:13" ht="15.75" customHeight="1">
      <c r="A128" s="50">
        <v>5</v>
      </c>
      <c r="B128" s="48" t="s">
        <v>1349</v>
      </c>
      <c r="C128" s="48" t="s">
        <v>27</v>
      </c>
      <c r="D128" s="48" t="s">
        <v>205</v>
      </c>
      <c r="E128" s="48" t="s">
        <v>191</v>
      </c>
      <c r="F128" s="48"/>
      <c r="G128" s="48" t="s">
        <v>30</v>
      </c>
      <c r="H128" s="51">
        <v>1500</v>
      </c>
      <c r="I128" s="119">
        <v>300</v>
      </c>
      <c r="J128" s="48" t="s">
        <v>31</v>
      </c>
      <c r="K128" s="48" t="s">
        <v>32</v>
      </c>
      <c r="L128" s="2"/>
      <c r="M128" s="126">
        <v>600</v>
      </c>
    </row>
    <row r="129" spans="1:19" ht="15.75" customHeight="1">
      <c r="A129" s="50">
        <v>5</v>
      </c>
      <c r="B129" s="48" t="s">
        <v>1945</v>
      </c>
      <c r="C129" s="48" t="s">
        <v>27</v>
      </c>
      <c r="D129" s="48" t="s">
        <v>53</v>
      </c>
      <c r="E129" s="48" t="s">
        <v>54</v>
      </c>
      <c r="F129" s="48"/>
      <c r="G129" s="48" t="s">
        <v>30</v>
      </c>
      <c r="H129" s="51">
        <v>6000</v>
      </c>
      <c r="I129" s="119">
        <v>1200</v>
      </c>
      <c r="J129" s="48" t="s">
        <v>31</v>
      </c>
      <c r="K129" s="48" t="s">
        <v>32</v>
      </c>
      <c r="L129" s="2"/>
      <c r="M129" s="126">
        <v>1200</v>
      </c>
    </row>
    <row r="130" spans="1:19" ht="15.75" customHeight="1">
      <c r="A130" s="50">
        <v>5</v>
      </c>
      <c r="B130" s="48" t="s">
        <v>1946</v>
      </c>
      <c r="C130" s="48" t="s">
        <v>27</v>
      </c>
      <c r="D130" s="48" t="s">
        <v>108</v>
      </c>
      <c r="E130" s="48" t="s">
        <v>36</v>
      </c>
      <c r="F130" s="48"/>
      <c r="G130" s="48" t="s">
        <v>30</v>
      </c>
      <c r="H130" s="51">
        <v>6000</v>
      </c>
      <c r="I130" s="119">
        <v>1200</v>
      </c>
      <c r="J130" s="48" t="s">
        <v>31</v>
      </c>
      <c r="K130" s="48" t="s">
        <v>32</v>
      </c>
      <c r="L130" s="2"/>
      <c r="M130" s="126">
        <v>1200</v>
      </c>
    </row>
    <row r="131" spans="1:19" ht="15.75" customHeight="1">
      <c r="A131" s="50">
        <v>5</v>
      </c>
      <c r="B131" s="48" t="s">
        <v>1947</v>
      </c>
      <c r="C131" s="48" t="s">
        <v>27</v>
      </c>
      <c r="D131" s="48" t="s">
        <v>108</v>
      </c>
      <c r="E131" s="48" t="s">
        <v>36</v>
      </c>
      <c r="F131" s="48"/>
      <c r="G131" s="48" t="s">
        <v>30</v>
      </c>
      <c r="H131" s="51">
        <v>2500</v>
      </c>
      <c r="I131" s="119">
        <v>500</v>
      </c>
      <c r="J131" s="48" t="s">
        <v>31</v>
      </c>
      <c r="K131" s="48" t="s">
        <v>32</v>
      </c>
      <c r="L131" s="2"/>
      <c r="M131" s="126">
        <v>400</v>
      </c>
    </row>
    <row r="132" spans="1:19" ht="15.75" customHeight="1">
      <c r="A132" s="50">
        <v>5</v>
      </c>
      <c r="B132" s="48" t="s">
        <v>1948</v>
      </c>
      <c r="C132" s="48" t="s">
        <v>27</v>
      </c>
      <c r="D132" s="48" t="s">
        <v>712</v>
      </c>
      <c r="E132" s="48" t="s">
        <v>145</v>
      </c>
      <c r="F132" s="48"/>
      <c r="G132" s="48" t="s">
        <v>30</v>
      </c>
      <c r="H132" s="51">
        <v>1000</v>
      </c>
      <c r="I132" s="119">
        <v>200</v>
      </c>
      <c r="J132" s="48" t="s">
        <v>31</v>
      </c>
      <c r="K132" s="48" t="s">
        <v>32</v>
      </c>
      <c r="L132" s="2"/>
      <c r="M132" s="126">
        <v>400</v>
      </c>
    </row>
    <row r="133" spans="1:19" ht="15.75" customHeight="1">
      <c r="A133" s="50">
        <v>5</v>
      </c>
      <c r="B133" s="48" t="s">
        <v>1948</v>
      </c>
      <c r="C133" s="48" t="s">
        <v>27</v>
      </c>
      <c r="D133" s="48" t="s">
        <v>712</v>
      </c>
      <c r="E133" s="48" t="s">
        <v>145</v>
      </c>
      <c r="F133" s="58"/>
      <c r="G133" s="58" t="s">
        <v>30</v>
      </c>
      <c r="H133" s="59">
        <v>500</v>
      </c>
      <c r="I133" s="160" t="s">
        <v>1586</v>
      </c>
      <c r="J133" s="48" t="s">
        <v>31</v>
      </c>
      <c r="K133" s="48" t="s">
        <v>32</v>
      </c>
      <c r="L133" s="2"/>
    </row>
    <row r="134" spans="1:19" ht="15.75" customHeight="1">
      <c r="A134" s="61">
        <v>6</v>
      </c>
      <c r="B134" s="62" t="s">
        <v>1949</v>
      </c>
      <c r="C134" s="62" t="s">
        <v>27</v>
      </c>
      <c r="D134" s="62" t="s">
        <v>400</v>
      </c>
      <c r="E134" s="62" t="s">
        <v>44</v>
      </c>
      <c r="F134" s="62"/>
      <c r="G134" s="62" t="s">
        <v>30</v>
      </c>
      <c r="H134" s="63">
        <v>1500</v>
      </c>
      <c r="I134" s="159">
        <v>300</v>
      </c>
      <c r="J134" s="48" t="s">
        <v>31</v>
      </c>
      <c r="K134" s="48" t="s">
        <v>32</v>
      </c>
      <c r="L134" s="2"/>
      <c r="M134" s="126">
        <v>300</v>
      </c>
    </row>
    <row r="135" spans="1:19" ht="15.75" customHeight="1">
      <c r="A135" s="61">
        <v>6</v>
      </c>
      <c r="B135" s="48" t="s">
        <v>1950</v>
      </c>
      <c r="C135" s="48" t="s">
        <v>27</v>
      </c>
      <c r="D135" s="48" t="s">
        <v>43</v>
      </c>
      <c r="E135" s="48" t="s">
        <v>44</v>
      </c>
      <c r="F135" s="48"/>
      <c r="G135" s="48" t="s">
        <v>30</v>
      </c>
      <c r="H135" s="51">
        <v>1000</v>
      </c>
      <c r="I135" s="119">
        <v>200</v>
      </c>
      <c r="J135" s="48" t="s">
        <v>31</v>
      </c>
      <c r="K135" s="48" t="s">
        <v>32</v>
      </c>
      <c r="L135" s="2"/>
      <c r="M135" s="126">
        <v>200</v>
      </c>
    </row>
    <row r="136" spans="1:19" ht="15.75" customHeight="1">
      <c r="A136" s="61">
        <v>6</v>
      </c>
      <c r="B136" s="48" t="s">
        <v>1951</v>
      </c>
      <c r="C136" s="48" t="s">
        <v>27</v>
      </c>
      <c r="D136" s="48" t="s">
        <v>1952</v>
      </c>
      <c r="E136" s="48" t="s">
        <v>86</v>
      </c>
      <c r="F136" s="48"/>
      <c r="G136" s="48" t="s">
        <v>30</v>
      </c>
      <c r="H136" s="51">
        <v>1500</v>
      </c>
      <c r="I136" s="119">
        <v>300</v>
      </c>
      <c r="J136" s="48" t="s">
        <v>31</v>
      </c>
      <c r="K136" s="48" t="s">
        <v>32</v>
      </c>
      <c r="L136" s="2"/>
      <c r="M136" s="126">
        <v>300</v>
      </c>
      <c r="P136" s="783" t="s">
        <v>1953</v>
      </c>
      <c r="Q136" s="719"/>
    </row>
    <row r="137" spans="1:19" ht="15.75" customHeight="1">
      <c r="A137" s="61">
        <v>6</v>
      </c>
      <c r="B137" s="48" t="s">
        <v>1954</v>
      </c>
      <c r="C137" s="48" t="s">
        <v>27</v>
      </c>
      <c r="D137" s="48" t="s">
        <v>211</v>
      </c>
      <c r="E137" s="48" t="s">
        <v>245</v>
      </c>
      <c r="F137" s="48"/>
      <c r="G137" s="48" t="s">
        <v>30</v>
      </c>
      <c r="H137" s="51">
        <v>5000</v>
      </c>
      <c r="I137" s="119">
        <v>1000</v>
      </c>
      <c r="J137" s="48" t="s">
        <v>31</v>
      </c>
      <c r="K137" s="48" t="s">
        <v>32</v>
      </c>
      <c r="L137" s="2"/>
      <c r="M137" s="126">
        <v>1000</v>
      </c>
      <c r="P137" s="786" t="s">
        <v>25</v>
      </c>
      <c r="Q137" s="719"/>
    </row>
    <row r="138" spans="1:19" ht="15.75" customHeight="1">
      <c r="A138" s="61">
        <v>6</v>
      </c>
      <c r="B138" s="48" t="s">
        <v>993</v>
      </c>
      <c r="C138" s="48" t="s">
        <v>27</v>
      </c>
      <c r="D138" s="48" t="s">
        <v>108</v>
      </c>
      <c r="E138" s="48" t="s">
        <v>36</v>
      </c>
      <c r="F138" s="48"/>
      <c r="G138" s="48" t="s">
        <v>30</v>
      </c>
      <c r="H138" s="51">
        <v>1000</v>
      </c>
      <c r="I138" s="119">
        <v>200</v>
      </c>
      <c r="J138" s="48" t="s">
        <v>31</v>
      </c>
      <c r="K138" s="48" t="s">
        <v>32</v>
      </c>
      <c r="L138" s="2"/>
      <c r="M138" s="126">
        <v>120</v>
      </c>
      <c r="P138" s="363" t="s">
        <v>33</v>
      </c>
      <c r="Q138" s="364">
        <v>249000</v>
      </c>
      <c r="R138" s="55"/>
      <c r="S138" s="55"/>
    </row>
    <row r="139" spans="1:19" ht="15.75" customHeight="1">
      <c r="A139" s="50">
        <v>6</v>
      </c>
      <c r="B139" s="48" t="s">
        <v>993</v>
      </c>
      <c r="C139" s="48" t="s">
        <v>27</v>
      </c>
      <c r="D139" s="48" t="s">
        <v>108</v>
      </c>
      <c r="E139" s="48" t="s">
        <v>36</v>
      </c>
      <c r="F139" s="48"/>
      <c r="G139" s="48" t="s">
        <v>115</v>
      </c>
      <c r="H139" s="51">
        <v>300</v>
      </c>
      <c r="I139" s="119">
        <v>300</v>
      </c>
      <c r="J139" s="48" t="s">
        <v>31</v>
      </c>
      <c r="K139" s="48" t="s">
        <v>32</v>
      </c>
      <c r="L139" s="2"/>
      <c r="P139" s="363" t="s">
        <v>37</v>
      </c>
      <c r="Q139" s="364">
        <v>11200</v>
      </c>
      <c r="R139" s="55"/>
    </row>
    <row r="140" spans="1:19" ht="15.75" customHeight="1">
      <c r="A140" s="50">
        <v>6</v>
      </c>
      <c r="B140" s="48" t="s">
        <v>1955</v>
      </c>
      <c r="C140" s="48" t="s">
        <v>39</v>
      </c>
      <c r="D140" s="48" t="s">
        <v>114</v>
      </c>
      <c r="E140" s="48" t="s">
        <v>44</v>
      </c>
      <c r="F140" s="48"/>
      <c r="G140" s="48" t="s">
        <v>30</v>
      </c>
      <c r="H140" s="51">
        <v>2000</v>
      </c>
      <c r="I140" s="119">
        <v>400</v>
      </c>
      <c r="J140" s="48" t="s">
        <v>31</v>
      </c>
      <c r="K140" s="48" t="s">
        <v>32</v>
      </c>
      <c r="L140" s="2"/>
      <c r="M140" s="126">
        <v>400</v>
      </c>
      <c r="P140" s="365" t="s">
        <v>576</v>
      </c>
      <c r="Q140" s="366">
        <v>260200</v>
      </c>
      <c r="R140" s="55"/>
    </row>
    <row r="141" spans="1:19" ht="15.75" customHeight="1">
      <c r="A141" s="50">
        <v>6</v>
      </c>
      <c r="B141" s="48" t="s">
        <v>1956</v>
      </c>
      <c r="C141" s="48" t="s">
        <v>27</v>
      </c>
      <c r="D141" s="48" t="s">
        <v>100</v>
      </c>
      <c r="E141" s="48" t="s">
        <v>86</v>
      </c>
      <c r="F141" s="48"/>
      <c r="G141" s="48" t="s">
        <v>30</v>
      </c>
      <c r="H141" s="51">
        <v>700</v>
      </c>
      <c r="I141" s="119">
        <v>140</v>
      </c>
      <c r="J141" s="48" t="s">
        <v>31</v>
      </c>
      <c r="K141" s="48" t="s">
        <v>32</v>
      </c>
      <c r="L141" s="2"/>
      <c r="M141" s="126">
        <v>150</v>
      </c>
      <c r="P141" s="751" t="s">
        <v>286</v>
      </c>
      <c r="Q141" s="719"/>
    </row>
    <row r="142" spans="1:19" ht="15.75" customHeight="1">
      <c r="A142" s="50">
        <v>6</v>
      </c>
      <c r="B142" s="48" t="s">
        <v>1957</v>
      </c>
      <c r="C142" s="48" t="s">
        <v>27</v>
      </c>
      <c r="D142" s="48" t="s">
        <v>347</v>
      </c>
      <c r="E142" s="48" t="s">
        <v>245</v>
      </c>
      <c r="F142" s="48"/>
      <c r="G142" s="48" t="s">
        <v>30</v>
      </c>
      <c r="H142" s="51">
        <v>800</v>
      </c>
      <c r="I142" s="119">
        <v>160</v>
      </c>
      <c r="J142" s="48" t="s">
        <v>31</v>
      </c>
      <c r="K142" s="48" t="s">
        <v>32</v>
      </c>
      <c r="L142" s="2"/>
      <c r="M142" s="126">
        <v>150</v>
      </c>
      <c r="P142" s="363" t="s">
        <v>580</v>
      </c>
      <c r="Q142" s="365">
        <v>235</v>
      </c>
      <c r="R142" s="55"/>
    </row>
    <row r="143" spans="1:19" ht="15.75" customHeight="1">
      <c r="A143" s="50">
        <v>6</v>
      </c>
      <c r="B143" s="48" t="s">
        <v>1958</v>
      </c>
      <c r="C143" s="48" t="s">
        <v>27</v>
      </c>
      <c r="D143" s="48" t="s">
        <v>1959</v>
      </c>
      <c r="E143" s="48" t="s">
        <v>484</v>
      </c>
      <c r="F143" s="48"/>
      <c r="G143" s="48" t="s">
        <v>30</v>
      </c>
      <c r="H143" s="51">
        <v>2000</v>
      </c>
      <c r="I143" s="119">
        <v>400</v>
      </c>
      <c r="J143" s="48" t="s">
        <v>31</v>
      </c>
      <c r="K143" s="48" t="s">
        <v>32</v>
      </c>
      <c r="L143" s="2"/>
      <c r="M143" s="126">
        <v>1000</v>
      </c>
      <c r="P143" s="751" t="s">
        <v>57</v>
      </c>
      <c r="Q143" s="719"/>
    </row>
    <row r="144" spans="1:19" ht="15.75" customHeight="1">
      <c r="A144" s="50">
        <v>6</v>
      </c>
      <c r="B144" s="48" t="s">
        <v>1960</v>
      </c>
      <c r="C144" s="48" t="s">
        <v>27</v>
      </c>
      <c r="D144" s="48" t="s">
        <v>1961</v>
      </c>
      <c r="E144" s="48" t="s">
        <v>86</v>
      </c>
      <c r="F144" s="48"/>
      <c r="G144" s="48" t="s">
        <v>30</v>
      </c>
      <c r="H144" s="51">
        <v>500</v>
      </c>
      <c r="I144" s="119">
        <v>100</v>
      </c>
      <c r="J144" s="48" t="s">
        <v>31</v>
      </c>
      <c r="K144" s="48" t="s">
        <v>32</v>
      </c>
      <c r="L144" s="2"/>
      <c r="M144" s="126">
        <v>150</v>
      </c>
      <c r="P144" s="363" t="s">
        <v>33</v>
      </c>
      <c r="Q144" s="366">
        <v>1540</v>
      </c>
      <c r="R144" s="55"/>
    </row>
    <row r="145" spans="1:18" ht="15.75" customHeight="1">
      <c r="A145" s="787">
        <v>6</v>
      </c>
      <c r="B145" s="784" t="s">
        <v>1962</v>
      </c>
      <c r="C145" s="48" t="s">
        <v>27</v>
      </c>
      <c r="D145" s="48" t="s">
        <v>712</v>
      </c>
      <c r="E145" s="48" t="s">
        <v>145</v>
      </c>
      <c r="F145" s="48"/>
      <c r="G145" s="48" t="s">
        <v>30</v>
      </c>
      <c r="H145" s="51">
        <v>1000</v>
      </c>
      <c r="I145" s="119">
        <v>200</v>
      </c>
      <c r="J145" s="48" t="s">
        <v>31</v>
      </c>
      <c r="K145" s="48" t="s">
        <v>32</v>
      </c>
      <c r="L145" s="2"/>
      <c r="M145" s="126">
        <v>400</v>
      </c>
      <c r="R145" s="55"/>
    </row>
    <row r="146" spans="1:18" ht="15.75" customHeight="1">
      <c r="A146" s="788"/>
      <c r="B146" s="788"/>
      <c r="C146" s="48"/>
      <c r="D146" s="48"/>
      <c r="E146" s="48"/>
      <c r="F146" s="48"/>
      <c r="G146" s="48" t="s">
        <v>30</v>
      </c>
      <c r="H146" s="51">
        <v>500</v>
      </c>
      <c r="I146" s="119" t="s">
        <v>1586</v>
      </c>
      <c r="J146" s="48" t="s">
        <v>31</v>
      </c>
      <c r="K146" s="48" t="s">
        <v>32</v>
      </c>
      <c r="L146" s="2"/>
    </row>
    <row r="147" spans="1:18" ht="15.75" customHeight="1">
      <c r="A147" s="787">
        <v>6</v>
      </c>
      <c r="B147" s="784" t="s">
        <v>1963</v>
      </c>
      <c r="C147" s="784" t="s">
        <v>27</v>
      </c>
      <c r="D147" s="784" t="s">
        <v>712</v>
      </c>
      <c r="E147" s="784" t="s">
        <v>145</v>
      </c>
      <c r="F147" s="789"/>
      <c r="G147" s="48" t="s">
        <v>30</v>
      </c>
      <c r="H147" s="51">
        <v>1000</v>
      </c>
      <c r="I147" s="119">
        <v>200</v>
      </c>
      <c r="J147" s="48" t="s">
        <v>31</v>
      </c>
      <c r="K147" s="48" t="s">
        <v>32</v>
      </c>
      <c r="L147" s="2"/>
      <c r="M147" s="126">
        <v>380</v>
      </c>
    </row>
    <row r="148" spans="1:18" ht="15.75" customHeight="1">
      <c r="A148" s="785"/>
      <c r="B148" s="785"/>
      <c r="C148" s="785"/>
      <c r="D148" s="785"/>
      <c r="E148" s="785"/>
      <c r="F148" s="785"/>
      <c r="G148" s="58" t="s">
        <v>30</v>
      </c>
      <c r="H148" s="59">
        <v>500</v>
      </c>
      <c r="I148" s="160" t="s">
        <v>1586</v>
      </c>
      <c r="J148" s="48" t="s">
        <v>31</v>
      </c>
      <c r="K148" s="48" t="s">
        <v>32</v>
      </c>
      <c r="L148" s="2"/>
    </row>
    <row r="149" spans="1:18" ht="15.75" customHeight="1">
      <c r="A149" s="61">
        <v>7</v>
      </c>
      <c r="B149" s="62" t="s">
        <v>1964</v>
      </c>
      <c r="C149" s="62" t="s">
        <v>27</v>
      </c>
      <c r="D149" s="62" t="s">
        <v>68</v>
      </c>
      <c r="E149" s="62" t="s">
        <v>79</v>
      </c>
      <c r="F149" s="62"/>
      <c r="G149" s="62" t="s">
        <v>30</v>
      </c>
      <c r="H149" s="63">
        <v>5000</v>
      </c>
      <c r="I149" s="159">
        <v>1000</v>
      </c>
      <c r="J149" s="48" t="s">
        <v>31</v>
      </c>
      <c r="K149" s="48" t="s">
        <v>32</v>
      </c>
      <c r="L149" s="2"/>
      <c r="M149" s="126">
        <v>2500</v>
      </c>
    </row>
    <row r="150" spans="1:18" ht="15.75" customHeight="1">
      <c r="A150" s="61">
        <v>7</v>
      </c>
      <c r="B150" s="48" t="s">
        <v>1965</v>
      </c>
      <c r="C150" s="48" t="s">
        <v>39</v>
      </c>
      <c r="D150" s="48" t="s">
        <v>804</v>
      </c>
      <c r="E150" s="48" t="s">
        <v>73</v>
      </c>
      <c r="F150" s="48"/>
      <c r="G150" s="48" t="s">
        <v>30</v>
      </c>
      <c r="H150" s="51">
        <v>1000</v>
      </c>
      <c r="I150" s="119">
        <v>200</v>
      </c>
      <c r="J150" s="48" t="s">
        <v>31</v>
      </c>
      <c r="K150" s="48" t="s">
        <v>32</v>
      </c>
      <c r="L150" s="2"/>
      <c r="M150" s="126">
        <v>200</v>
      </c>
    </row>
    <row r="151" spans="1:18" ht="15.75" customHeight="1">
      <c r="A151" s="61">
        <v>7</v>
      </c>
      <c r="B151" s="48" t="s">
        <v>1966</v>
      </c>
      <c r="C151" s="48" t="s">
        <v>27</v>
      </c>
      <c r="D151" s="48" t="s">
        <v>108</v>
      </c>
      <c r="E151" s="48" t="s">
        <v>36</v>
      </c>
      <c r="F151" s="48"/>
      <c r="G151" s="48" t="s">
        <v>30</v>
      </c>
      <c r="H151" s="51">
        <v>500</v>
      </c>
      <c r="I151" s="119" t="s">
        <v>1586</v>
      </c>
      <c r="J151" s="48" t="s">
        <v>31</v>
      </c>
      <c r="K151" s="48" t="s">
        <v>32</v>
      </c>
      <c r="L151" s="2"/>
      <c r="M151" s="126">
        <v>400</v>
      </c>
    </row>
    <row r="152" spans="1:18" ht="15.75" customHeight="1">
      <c r="A152" s="61">
        <v>7</v>
      </c>
      <c r="B152" s="48" t="s">
        <v>1966</v>
      </c>
      <c r="C152" s="48" t="s">
        <v>27</v>
      </c>
      <c r="D152" s="48" t="s">
        <v>108</v>
      </c>
      <c r="E152" s="48" t="s">
        <v>36</v>
      </c>
      <c r="F152" s="48"/>
      <c r="G152" s="48" t="s">
        <v>30</v>
      </c>
      <c r="H152" s="51">
        <v>500</v>
      </c>
      <c r="I152" s="119">
        <v>100</v>
      </c>
      <c r="J152" s="48" t="s">
        <v>31</v>
      </c>
      <c r="K152" s="48" t="s">
        <v>32</v>
      </c>
      <c r="L152" s="2"/>
    </row>
    <row r="153" spans="1:18" ht="15.75" customHeight="1">
      <c r="A153" s="61">
        <v>7</v>
      </c>
      <c r="B153" s="48" t="s">
        <v>1967</v>
      </c>
      <c r="C153" s="48" t="s">
        <v>39</v>
      </c>
      <c r="D153" s="48" t="s">
        <v>108</v>
      </c>
      <c r="E153" s="48" t="s">
        <v>36</v>
      </c>
      <c r="F153" s="48"/>
      <c r="G153" s="48" t="s">
        <v>30</v>
      </c>
      <c r="H153" s="51">
        <v>500</v>
      </c>
      <c r="I153" s="119" t="s">
        <v>1586</v>
      </c>
      <c r="J153" s="48" t="s">
        <v>31</v>
      </c>
      <c r="K153" s="48" t="s">
        <v>32</v>
      </c>
      <c r="L153" s="2"/>
      <c r="M153" s="126">
        <v>400</v>
      </c>
    </row>
    <row r="154" spans="1:18" ht="15.75" customHeight="1">
      <c r="A154" s="61">
        <v>7</v>
      </c>
      <c r="B154" s="48" t="s">
        <v>1967</v>
      </c>
      <c r="C154" s="48" t="s">
        <v>39</v>
      </c>
      <c r="D154" s="48" t="s">
        <v>108</v>
      </c>
      <c r="E154" s="48" t="s">
        <v>36</v>
      </c>
      <c r="F154" s="48"/>
      <c r="G154" s="48" t="s">
        <v>30</v>
      </c>
      <c r="H154" s="51">
        <v>500</v>
      </c>
      <c r="I154" s="119">
        <v>100</v>
      </c>
      <c r="J154" s="48" t="s">
        <v>31</v>
      </c>
      <c r="K154" s="48" t="s">
        <v>32</v>
      </c>
      <c r="L154" s="2"/>
    </row>
    <row r="155" spans="1:18" ht="15.75" customHeight="1">
      <c r="A155" s="61">
        <v>7</v>
      </c>
      <c r="B155" s="48" t="s">
        <v>1968</v>
      </c>
      <c r="C155" s="48" t="s">
        <v>39</v>
      </c>
      <c r="D155" s="48" t="s">
        <v>108</v>
      </c>
      <c r="E155" s="48" t="s">
        <v>36</v>
      </c>
      <c r="F155" s="48"/>
      <c r="G155" s="48" t="s">
        <v>30</v>
      </c>
      <c r="H155" s="51">
        <v>500</v>
      </c>
      <c r="I155" s="119" t="s">
        <v>1586</v>
      </c>
      <c r="J155" s="48" t="s">
        <v>31</v>
      </c>
      <c r="K155" s="48" t="s">
        <v>32</v>
      </c>
      <c r="L155" s="2"/>
      <c r="M155" s="126">
        <v>1600</v>
      </c>
    </row>
    <row r="156" spans="1:18" ht="15.75" customHeight="1">
      <c r="A156" s="61">
        <v>7</v>
      </c>
      <c r="B156" s="48" t="s">
        <v>1968</v>
      </c>
      <c r="C156" s="48" t="s">
        <v>39</v>
      </c>
      <c r="D156" s="48" t="s">
        <v>108</v>
      </c>
      <c r="E156" s="48" t="s">
        <v>36</v>
      </c>
      <c r="F156" s="48"/>
      <c r="G156" s="48" t="s">
        <v>30</v>
      </c>
      <c r="H156" s="51">
        <v>500</v>
      </c>
      <c r="I156" s="119">
        <v>100</v>
      </c>
      <c r="J156" s="48" t="s">
        <v>31</v>
      </c>
      <c r="K156" s="48" t="s">
        <v>32</v>
      </c>
      <c r="L156" s="2"/>
    </row>
    <row r="157" spans="1:18" ht="15.75" customHeight="1">
      <c r="A157" s="61">
        <v>7</v>
      </c>
      <c r="B157" s="48" t="s">
        <v>1969</v>
      </c>
      <c r="C157" s="48" t="s">
        <v>27</v>
      </c>
      <c r="D157" s="48" t="s">
        <v>100</v>
      </c>
      <c r="E157" s="48" t="s">
        <v>51</v>
      </c>
      <c r="F157" s="48"/>
      <c r="G157" s="48" t="s">
        <v>30</v>
      </c>
      <c r="H157" s="51">
        <v>6000</v>
      </c>
      <c r="I157" s="119">
        <v>1200</v>
      </c>
      <c r="J157" s="48" t="s">
        <v>31</v>
      </c>
      <c r="K157" s="48" t="s">
        <v>32</v>
      </c>
      <c r="L157" s="2"/>
      <c r="M157" s="126">
        <v>1500</v>
      </c>
    </row>
    <row r="158" spans="1:18" ht="15.75" customHeight="1">
      <c r="A158" s="50">
        <v>7</v>
      </c>
      <c r="B158" s="48" t="s">
        <v>1970</v>
      </c>
      <c r="C158" s="48" t="s">
        <v>27</v>
      </c>
      <c r="D158" s="48" t="s">
        <v>1971</v>
      </c>
      <c r="E158" s="48" t="s">
        <v>56</v>
      </c>
      <c r="F158" s="48"/>
      <c r="G158" s="48" t="s">
        <v>30</v>
      </c>
      <c r="H158" s="51">
        <v>1500</v>
      </c>
      <c r="I158" s="119">
        <v>300</v>
      </c>
      <c r="J158" s="48" t="s">
        <v>31</v>
      </c>
      <c r="K158" s="48" t="s">
        <v>32</v>
      </c>
      <c r="L158" s="2"/>
      <c r="M158" s="126">
        <v>300</v>
      </c>
    </row>
    <row r="159" spans="1:18" ht="15.75" customHeight="1">
      <c r="A159" s="50">
        <v>7</v>
      </c>
      <c r="B159" s="48" t="s">
        <v>1972</v>
      </c>
      <c r="C159" s="48" t="s">
        <v>39</v>
      </c>
      <c r="D159" s="48" t="s">
        <v>104</v>
      </c>
      <c r="E159" s="48" t="s">
        <v>36</v>
      </c>
      <c r="F159" s="48"/>
      <c r="G159" s="48" t="s">
        <v>30</v>
      </c>
      <c r="H159" s="51">
        <v>1500</v>
      </c>
      <c r="I159" s="119">
        <v>300</v>
      </c>
      <c r="J159" s="48" t="s">
        <v>31</v>
      </c>
      <c r="K159" s="48" t="s">
        <v>32</v>
      </c>
      <c r="L159" s="2"/>
      <c r="M159" s="126">
        <v>300</v>
      </c>
    </row>
    <row r="160" spans="1:18" ht="15.75" customHeight="1">
      <c r="A160" s="50">
        <v>7</v>
      </c>
      <c r="B160" s="48" t="s">
        <v>1973</v>
      </c>
      <c r="C160" s="48" t="s">
        <v>27</v>
      </c>
      <c r="D160" s="48" t="s">
        <v>108</v>
      </c>
      <c r="E160" s="48" t="s">
        <v>36</v>
      </c>
      <c r="F160" s="48"/>
      <c r="G160" s="48" t="s">
        <v>30</v>
      </c>
      <c r="H160" s="51">
        <v>1000</v>
      </c>
      <c r="I160" s="119">
        <v>200</v>
      </c>
      <c r="J160" s="48" t="s">
        <v>31</v>
      </c>
      <c r="K160" s="48" t="s">
        <v>32</v>
      </c>
      <c r="L160" s="2"/>
      <c r="M160" s="126">
        <v>300</v>
      </c>
    </row>
    <row r="161" spans="1:13" ht="15.75" customHeight="1">
      <c r="A161" s="50">
        <v>7</v>
      </c>
      <c r="B161" s="48" t="s">
        <v>1974</v>
      </c>
      <c r="C161" s="48" t="s">
        <v>27</v>
      </c>
      <c r="D161" s="48" t="s">
        <v>53</v>
      </c>
      <c r="E161" s="48" t="s">
        <v>54</v>
      </c>
      <c r="F161" s="48"/>
      <c r="G161" s="48" t="s">
        <v>30</v>
      </c>
      <c r="H161" s="51">
        <v>1500</v>
      </c>
      <c r="I161" s="119">
        <v>300</v>
      </c>
      <c r="J161" s="48" t="s">
        <v>31</v>
      </c>
      <c r="K161" s="48" t="s">
        <v>32</v>
      </c>
      <c r="L161" s="2"/>
      <c r="M161" s="126">
        <v>400</v>
      </c>
    </row>
    <row r="162" spans="1:13" ht="15.75" customHeight="1">
      <c r="A162" s="50">
        <v>7</v>
      </c>
      <c r="B162" s="48" t="s">
        <v>1880</v>
      </c>
      <c r="C162" s="48" t="s">
        <v>27</v>
      </c>
      <c r="D162" s="151" t="s">
        <v>934</v>
      </c>
      <c r="E162" s="48" t="s">
        <v>44</v>
      </c>
      <c r="F162" s="48"/>
      <c r="G162" s="48" t="s">
        <v>30</v>
      </c>
      <c r="H162" s="51">
        <v>850</v>
      </c>
      <c r="I162" s="119">
        <v>170</v>
      </c>
      <c r="J162" s="48" t="s">
        <v>31</v>
      </c>
      <c r="K162" s="48" t="s">
        <v>32</v>
      </c>
      <c r="L162" s="2"/>
      <c r="M162" s="126">
        <v>200</v>
      </c>
    </row>
    <row r="163" spans="1:13" ht="15.75" customHeight="1">
      <c r="A163" s="50">
        <v>7</v>
      </c>
      <c r="B163" s="48" t="s">
        <v>1975</v>
      </c>
      <c r="C163" s="48" t="s">
        <v>27</v>
      </c>
      <c r="D163" s="48" t="s">
        <v>88</v>
      </c>
      <c r="E163" s="48" t="s">
        <v>54</v>
      </c>
      <c r="F163" s="48"/>
      <c r="G163" s="48" t="s">
        <v>30</v>
      </c>
      <c r="H163" s="51">
        <v>13000</v>
      </c>
      <c r="I163" s="119">
        <v>2600</v>
      </c>
      <c r="J163" s="48" t="s">
        <v>31</v>
      </c>
      <c r="K163" s="48" t="s">
        <v>32</v>
      </c>
      <c r="L163" s="2"/>
      <c r="M163" s="126">
        <v>2500</v>
      </c>
    </row>
    <row r="164" spans="1:13" ht="15.75" customHeight="1">
      <c r="A164" s="65">
        <v>7</v>
      </c>
      <c r="B164" s="58" t="s">
        <v>1976</v>
      </c>
      <c r="C164" s="58" t="s">
        <v>27</v>
      </c>
      <c r="D164" s="58" t="s">
        <v>728</v>
      </c>
      <c r="E164" s="58" t="s">
        <v>86</v>
      </c>
      <c r="F164" s="58"/>
      <c r="G164" s="58" t="s">
        <v>30</v>
      </c>
      <c r="H164" s="59">
        <v>3000</v>
      </c>
      <c r="I164" s="160">
        <v>600</v>
      </c>
      <c r="J164" s="48" t="s">
        <v>31</v>
      </c>
      <c r="K164" s="48" t="s">
        <v>32</v>
      </c>
      <c r="L164" s="2"/>
      <c r="M164" s="126">
        <v>300</v>
      </c>
    </row>
    <row r="165" spans="1:13" ht="15.75" customHeight="1">
      <c r="A165" s="61">
        <v>8</v>
      </c>
      <c r="B165" s="62" t="s">
        <v>1977</v>
      </c>
      <c r="C165" s="62" t="s">
        <v>27</v>
      </c>
      <c r="D165" s="62" t="s">
        <v>855</v>
      </c>
      <c r="E165" s="62" t="s">
        <v>358</v>
      </c>
      <c r="F165" s="62"/>
      <c r="G165" s="62" t="s">
        <v>30</v>
      </c>
      <c r="H165" s="63">
        <v>3000</v>
      </c>
      <c r="I165" s="159">
        <v>600</v>
      </c>
      <c r="J165" s="48" t="s">
        <v>31</v>
      </c>
      <c r="K165" s="48" t="s">
        <v>32</v>
      </c>
      <c r="L165" s="2"/>
      <c r="M165" s="126">
        <v>600</v>
      </c>
    </row>
    <row r="166" spans="1:13" ht="15.75" customHeight="1">
      <c r="A166" s="61">
        <v>8</v>
      </c>
      <c r="B166" s="48" t="s">
        <v>1978</v>
      </c>
      <c r="C166" s="48" t="s">
        <v>27</v>
      </c>
      <c r="D166" s="48" t="s">
        <v>326</v>
      </c>
      <c r="E166" s="48" t="s">
        <v>84</v>
      </c>
      <c r="F166" s="48"/>
      <c r="G166" s="48" t="s">
        <v>30</v>
      </c>
      <c r="H166" s="51">
        <v>500</v>
      </c>
      <c r="I166" s="119">
        <v>100</v>
      </c>
      <c r="J166" s="48" t="s">
        <v>31</v>
      </c>
      <c r="K166" s="48" t="s">
        <v>32</v>
      </c>
      <c r="L166" s="2"/>
      <c r="M166" s="126">
        <v>100</v>
      </c>
    </row>
    <row r="167" spans="1:13" ht="15.75" customHeight="1">
      <c r="A167" s="61">
        <v>8</v>
      </c>
      <c r="B167" s="48" t="s">
        <v>1979</v>
      </c>
      <c r="C167" s="48" t="s">
        <v>27</v>
      </c>
      <c r="D167" s="48" t="s">
        <v>88</v>
      </c>
      <c r="E167" s="48" t="s">
        <v>54</v>
      </c>
      <c r="F167" s="48"/>
      <c r="G167" s="48" t="s">
        <v>30</v>
      </c>
      <c r="H167" s="51">
        <v>4500</v>
      </c>
      <c r="I167" s="119">
        <v>900</v>
      </c>
      <c r="J167" s="48" t="s">
        <v>31</v>
      </c>
      <c r="K167" s="48" t="s">
        <v>32</v>
      </c>
      <c r="L167" s="2"/>
      <c r="M167" s="126">
        <v>1200</v>
      </c>
    </row>
    <row r="168" spans="1:13" ht="15.75" customHeight="1">
      <c r="A168" s="61">
        <v>8</v>
      </c>
      <c r="B168" s="48" t="s">
        <v>1980</v>
      </c>
      <c r="C168" s="48" t="s">
        <v>27</v>
      </c>
      <c r="D168" s="48" t="s">
        <v>666</v>
      </c>
      <c r="E168" s="48" t="s">
        <v>36</v>
      </c>
      <c r="F168" s="48"/>
      <c r="G168" s="48" t="s">
        <v>30</v>
      </c>
      <c r="H168" s="51">
        <v>3000</v>
      </c>
      <c r="I168" s="119">
        <v>600</v>
      </c>
      <c r="J168" s="48" t="s">
        <v>31</v>
      </c>
      <c r="K168" s="48" t="s">
        <v>32</v>
      </c>
      <c r="L168" s="2"/>
      <c r="M168" s="126">
        <v>600</v>
      </c>
    </row>
    <row r="169" spans="1:13" ht="15.75" customHeight="1">
      <c r="A169" s="61">
        <v>8</v>
      </c>
      <c r="B169" s="48" t="s">
        <v>1981</v>
      </c>
      <c r="C169" s="48" t="s">
        <v>27</v>
      </c>
      <c r="D169" s="48" t="s">
        <v>439</v>
      </c>
      <c r="E169" s="48" t="s">
        <v>145</v>
      </c>
      <c r="F169" s="48"/>
      <c r="G169" s="48" t="s">
        <v>30</v>
      </c>
      <c r="H169" s="51">
        <v>7000</v>
      </c>
      <c r="I169" s="119">
        <v>1400</v>
      </c>
      <c r="J169" s="48" t="s">
        <v>31</v>
      </c>
      <c r="K169" s="48" t="s">
        <v>32</v>
      </c>
      <c r="L169" s="2"/>
      <c r="M169" s="126">
        <v>2000</v>
      </c>
    </row>
    <row r="170" spans="1:13" ht="15.75" customHeight="1">
      <c r="A170" s="61">
        <v>8</v>
      </c>
      <c r="B170" s="48" t="s">
        <v>1982</v>
      </c>
      <c r="C170" s="48" t="s">
        <v>27</v>
      </c>
      <c r="D170" s="48" t="s">
        <v>912</v>
      </c>
      <c r="E170" s="48" t="s">
        <v>79</v>
      </c>
      <c r="F170" s="48"/>
      <c r="G170" s="48" t="s">
        <v>30</v>
      </c>
      <c r="H170" s="51">
        <v>1500</v>
      </c>
      <c r="I170" s="119">
        <v>300</v>
      </c>
      <c r="J170" s="48" t="s">
        <v>31</v>
      </c>
      <c r="K170" s="48" t="s">
        <v>32</v>
      </c>
      <c r="L170" s="2"/>
      <c r="M170" s="126">
        <v>300</v>
      </c>
    </row>
    <row r="171" spans="1:13" ht="15.75" customHeight="1">
      <c r="A171" s="61">
        <v>8</v>
      </c>
      <c r="B171" s="48" t="s">
        <v>1983</v>
      </c>
      <c r="C171" s="48" t="s">
        <v>27</v>
      </c>
      <c r="D171" s="48" t="s">
        <v>165</v>
      </c>
      <c r="E171" s="48" t="s">
        <v>84</v>
      </c>
      <c r="F171" s="48"/>
      <c r="G171" s="48" t="s">
        <v>30</v>
      </c>
      <c r="H171" s="51">
        <v>2000</v>
      </c>
      <c r="I171" s="119">
        <v>400</v>
      </c>
      <c r="J171" s="48" t="s">
        <v>31</v>
      </c>
      <c r="K171" s="48" t="s">
        <v>32</v>
      </c>
      <c r="L171" s="2"/>
      <c r="M171" s="126">
        <v>1000</v>
      </c>
    </row>
    <row r="172" spans="1:13" ht="15.75" customHeight="1">
      <c r="A172" s="61">
        <v>8</v>
      </c>
      <c r="B172" s="48" t="s">
        <v>1984</v>
      </c>
      <c r="C172" s="48" t="s">
        <v>27</v>
      </c>
      <c r="D172" s="48" t="s">
        <v>137</v>
      </c>
      <c r="E172" s="48" t="s">
        <v>84</v>
      </c>
      <c r="F172" s="48"/>
      <c r="G172" s="48" t="s">
        <v>30</v>
      </c>
      <c r="H172" s="51">
        <v>750</v>
      </c>
      <c r="I172" s="119">
        <v>150</v>
      </c>
      <c r="J172" s="48" t="s">
        <v>31</v>
      </c>
      <c r="K172" s="48" t="s">
        <v>32</v>
      </c>
      <c r="L172" s="2"/>
      <c r="M172" s="126">
        <v>150</v>
      </c>
    </row>
    <row r="173" spans="1:13" ht="15.75" customHeight="1">
      <c r="A173" s="61">
        <v>8</v>
      </c>
      <c r="B173" s="48" t="s">
        <v>1985</v>
      </c>
      <c r="C173" s="48" t="s">
        <v>27</v>
      </c>
      <c r="D173" s="48" t="s">
        <v>381</v>
      </c>
      <c r="E173" s="48" t="s">
        <v>73</v>
      </c>
      <c r="F173" s="48"/>
      <c r="G173" s="48" t="s">
        <v>30</v>
      </c>
      <c r="H173" s="51">
        <v>200</v>
      </c>
      <c r="I173" s="119">
        <v>40</v>
      </c>
      <c r="J173" s="48" t="s">
        <v>31</v>
      </c>
      <c r="K173" s="48" t="s">
        <v>32</v>
      </c>
      <c r="L173" s="2"/>
      <c r="M173" s="126">
        <v>50</v>
      </c>
    </row>
    <row r="174" spans="1:13" ht="15.75" customHeight="1">
      <c r="A174" s="61">
        <v>8</v>
      </c>
      <c r="B174" s="48" t="s">
        <v>1986</v>
      </c>
      <c r="C174" s="48" t="s">
        <v>27</v>
      </c>
      <c r="D174" s="48" t="s">
        <v>123</v>
      </c>
      <c r="E174" s="48" t="s">
        <v>84</v>
      </c>
      <c r="F174" s="48"/>
      <c r="G174" s="48" t="s">
        <v>30</v>
      </c>
      <c r="H174" s="51">
        <v>200</v>
      </c>
      <c r="I174" s="119">
        <v>40</v>
      </c>
      <c r="J174" s="48" t="s">
        <v>31</v>
      </c>
      <c r="K174" s="48" t="s">
        <v>32</v>
      </c>
      <c r="L174" s="2"/>
      <c r="M174" s="126">
        <v>50</v>
      </c>
    </row>
    <row r="175" spans="1:13" ht="15.75" customHeight="1">
      <c r="A175" s="61">
        <v>8</v>
      </c>
      <c r="B175" s="48" t="s">
        <v>1987</v>
      </c>
      <c r="C175" s="48" t="s">
        <v>27</v>
      </c>
      <c r="D175" s="48" t="s">
        <v>289</v>
      </c>
      <c r="E175" s="48" t="s">
        <v>839</v>
      </c>
      <c r="F175" s="48"/>
      <c r="G175" s="48" t="s">
        <v>30</v>
      </c>
      <c r="H175" s="51">
        <v>500</v>
      </c>
      <c r="I175" s="119">
        <v>100</v>
      </c>
      <c r="J175" s="48" t="s">
        <v>31</v>
      </c>
      <c r="K175" s="48" t="s">
        <v>32</v>
      </c>
      <c r="L175" s="2"/>
      <c r="M175" s="126">
        <v>100</v>
      </c>
    </row>
    <row r="176" spans="1:13" ht="15.75" customHeight="1">
      <c r="A176" s="61">
        <v>8</v>
      </c>
      <c r="B176" s="48" t="s">
        <v>1988</v>
      </c>
      <c r="C176" s="48" t="s">
        <v>27</v>
      </c>
      <c r="D176" s="48" t="s">
        <v>1303</v>
      </c>
      <c r="E176" s="48" t="s">
        <v>44</v>
      </c>
      <c r="F176" s="48"/>
      <c r="G176" s="48" t="s">
        <v>1300</v>
      </c>
      <c r="H176" s="51">
        <v>90</v>
      </c>
      <c r="I176" s="119">
        <v>450</v>
      </c>
      <c r="J176" s="48" t="s">
        <v>31</v>
      </c>
      <c r="K176" s="48" t="s">
        <v>32</v>
      </c>
      <c r="L176" s="2"/>
    </row>
    <row r="177" spans="1:13" ht="15.75" customHeight="1">
      <c r="A177" s="61">
        <v>8</v>
      </c>
      <c r="B177" s="48" t="s">
        <v>1989</v>
      </c>
      <c r="C177" s="48" t="s">
        <v>27</v>
      </c>
      <c r="D177" s="48" t="s">
        <v>666</v>
      </c>
      <c r="E177" s="48" t="s">
        <v>36</v>
      </c>
      <c r="F177" s="48"/>
      <c r="G177" s="48" t="s">
        <v>30</v>
      </c>
      <c r="H177" s="51">
        <v>500</v>
      </c>
      <c r="I177" s="119" t="s">
        <v>1586</v>
      </c>
      <c r="J177" s="48" t="s">
        <v>31</v>
      </c>
      <c r="K177" s="48" t="s">
        <v>32</v>
      </c>
      <c r="L177" s="2"/>
      <c r="M177" s="126">
        <v>100</v>
      </c>
    </row>
    <row r="178" spans="1:13" ht="15.75" customHeight="1">
      <c r="A178" s="61">
        <v>8</v>
      </c>
      <c r="B178" s="48" t="s">
        <v>1659</v>
      </c>
      <c r="C178" s="48" t="s">
        <v>27</v>
      </c>
      <c r="D178" s="48" t="s">
        <v>264</v>
      </c>
      <c r="E178" s="48" t="s">
        <v>245</v>
      </c>
      <c r="F178" s="48"/>
      <c r="G178" s="48" t="s">
        <v>30</v>
      </c>
      <c r="H178" s="51">
        <v>400</v>
      </c>
      <c r="I178" s="119">
        <v>80</v>
      </c>
      <c r="J178" s="48" t="s">
        <v>31</v>
      </c>
      <c r="K178" s="48" t="s">
        <v>32</v>
      </c>
      <c r="L178" s="2"/>
      <c r="M178" s="126">
        <v>100</v>
      </c>
    </row>
    <row r="179" spans="1:13" ht="15.75" customHeight="1">
      <c r="A179" s="61">
        <v>8</v>
      </c>
      <c r="B179" s="48" t="s">
        <v>1990</v>
      </c>
      <c r="C179" s="48" t="s">
        <v>27</v>
      </c>
      <c r="D179" s="48" t="s">
        <v>1991</v>
      </c>
      <c r="E179" s="48" t="s">
        <v>89</v>
      </c>
      <c r="F179" s="48"/>
      <c r="G179" s="48" t="s">
        <v>30</v>
      </c>
      <c r="H179" s="51">
        <v>1200</v>
      </c>
      <c r="I179" s="119">
        <v>240</v>
      </c>
      <c r="J179" s="48" t="s">
        <v>31</v>
      </c>
      <c r="K179" s="48" t="s">
        <v>32</v>
      </c>
      <c r="L179" s="2"/>
      <c r="M179" s="126">
        <v>250</v>
      </c>
    </row>
    <row r="180" spans="1:13" ht="15.75" customHeight="1">
      <c r="A180" s="61">
        <v>8</v>
      </c>
      <c r="B180" s="48" t="s">
        <v>1992</v>
      </c>
      <c r="C180" s="48" t="s">
        <v>27</v>
      </c>
      <c r="D180" s="48" t="s">
        <v>1993</v>
      </c>
      <c r="E180" s="48" t="s">
        <v>223</v>
      </c>
      <c r="F180" s="48"/>
      <c r="G180" s="48" t="s">
        <v>1300</v>
      </c>
      <c r="H180" s="51">
        <v>10</v>
      </c>
      <c r="I180" s="119">
        <v>50</v>
      </c>
      <c r="J180" s="48" t="s">
        <v>31</v>
      </c>
      <c r="K180" s="48" t="s">
        <v>32</v>
      </c>
      <c r="L180" s="2"/>
    </row>
    <row r="181" spans="1:13" ht="15.75" customHeight="1">
      <c r="A181" s="61">
        <v>8</v>
      </c>
      <c r="B181" s="48" t="s">
        <v>1992</v>
      </c>
      <c r="C181" s="48" t="s">
        <v>27</v>
      </c>
      <c r="D181" s="48" t="s">
        <v>1993</v>
      </c>
      <c r="E181" s="48" t="s">
        <v>223</v>
      </c>
      <c r="F181" s="48"/>
      <c r="G181" s="48" t="s">
        <v>348</v>
      </c>
      <c r="H181" s="51">
        <v>20</v>
      </c>
      <c r="I181" s="119">
        <v>60</v>
      </c>
      <c r="J181" s="48" t="s">
        <v>31</v>
      </c>
      <c r="K181" s="48" t="s">
        <v>32</v>
      </c>
      <c r="L181" s="2"/>
    </row>
    <row r="182" spans="1:13" ht="15.75" customHeight="1">
      <c r="A182" s="61">
        <v>8</v>
      </c>
      <c r="B182" s="48" t="s">
        <v>1994</v>
      </c>
      <c r="C182" s="48" t="s">
        <v>27</v>
      </c>
      <c r="D182" s="48" t="s">
        <v>153</v>
      </c>
      <c r="E182" s="48" t="s">
        <v>36</v>
      </c>
      <c r="F182" s="48"/>
      <c r="G182" s="48" t="s">
        <v>30</v>
      </c>
      <c r="H182" s="51">
        <v>1500</v>
      </c>
      <c r="I182" s="119">
        <v>300</v>
      </c>
      <c r="J182" s="48" t="s">
        <v>31</v>
      </c>
      <c r="K182" s="48" t="s">
        <v>32</v>
      </c>
      <c r="L182" s="2"/>
      <c r="M182" s="126">
        <v>300</v>
      </c>
    </row>
    <row r="183" spans="1:13" ht="15.75" customHeight="1">
      <c r="A183" s="61">
        <v>8</v>
      </c>
      <c r="B183" s="48" t="s">
        <v>1995</v>
      </c>
      <c r="C183" s="48" t="s">
        <v>39</v>
      </c>
      <c r="D183" s="48" t="s">
        <v>1996</v>
      </c>
      <c r="E183" s="48" t="s">
        <v>145</v>
      </c>
      <c r="F183" s="48"/>
      <c r="G183" s="48" t="s">
        <v>30</v>
      </c>
      <c r="H183" s="51">
        <v>500</v>
      </c>
      <c r="I183" s="119" t="s">
        <v>1586</v>
      </c>
      <c r="J183" s="48" t="s">
        <v>31</v>
      </c>
      <c r="K183" s="48" t="s">
        <v>32</v>
      </c>
      <c r="L183" s="2"/>
      <c r="M183" s="126">
        <v>400</v>
      </c>
    </row>
    <row r="184" spans="1:13" ht="15.75" customHeight="1">
      <c r="A184" s="61">
        <v>8</v>
      </c>
      <c r="B184" s="48" t="s">
        <v>1995</v>
      </c>
      <c r="C184" s="48" t="s">
        <v>39</v>
      </c>
      <c r="D184" s="48" t="s">
        <v>1996</v>
      </c>
      <c r="E184" s="48" t="s">
        <v>145</v>
      </c>
      <c r="F184" s="48"/>
      <c r="G184" s="48" t="s">
        <v>30</v>
      </c>
      <c r="H184" s="51">
        <v>1000</v>
      </c>
      <c r="I184" s="119">
        <v>200</v>
      </c>
      <c r="J184" s="48" t="s">
        <v>31</v>
      </c>
      <c r="K184" s="48" t="s">
        <v>32</v>
      </c>
      <c r="L184" s="2"/>
    </row>
    <row r="185" spans="1:13" ht="15.75" customHeight="1">
      <c r="A185" s="61">
        <v>8</v>
      </c>
      <c r="B185" s="48" t="s">
        <v>1997</v>
      </c>
      <c r="C185" s="48" t="s">
        <v>27</v>
      </c>
      <c r="D185" s="48" t="s">
        <v>128</v>
      </c>
      <c r="E185" s="48" t="s">
        <v>44</v>
      </c>
      <c r="F185" s="48"/>
      <c r="G185" s="48" t="s">
        <v>30</v>
      </c>
      <c r="H185" s="51">
        <v>300</v>
      </c>
      <c r="I185" s="119" t="s">
        <v>1586</v>
      </c>
      <c r="J185" s="48" t="s">
        <v>31</v>
      </c>
      <c r="K185" s="48" t="s">
        <v>32</v>
      </c>
      <c r="L185" s="2"/>
      <c r="M185" s="126">
        <v>60</v>
      </c>
    </row>
    <row r="186" spans="1:13" ht="15.75" customHeight="1">
      <c r="A186" s="61">
        <v>8</v>
      </c>
      <c r="B186" s="48" t="s">
        <v>1998</v>
      </c>
      <c r="C186" s="48" t="s">
        <v>27</v>
      </c>
      <c r="D186" s="48" t="s">
        <v>666</v>
      </c>
      <c r="E186" s="48" t="s">
        <v>86</v>
      </c>
      <c r="F186" s="48"/>
      <c r="G186" s="48" t="s">
        <v>30</v>
      </c>
      <c r="H186" s="51">
        <v>1500</v>
      </c>
      <c r="I186" s="119">
        <v>300</v>
      </c>
      <c r="J186" s="48" t="s">
        <v>31</v>
      </c>
      <c r="K186" s="48" t="s">
        <v>32</v>
      </c>
      <c r="L186" s="2"/>
      <c r="M186" s="126">
        <v>150</v>
      </c>
    </row>
    <row r="187" spans="1:13" ht="15.75" customHeight="1">
      <c r="A187" s="61">
        <v>8</v>
      </c>
      <c r="B187" s="48" t="s">
        <v>1999</v>
      </c>
      <c r="C187" s="48" t="s">
        <v>27</v>
      </c>
      <c r="D187" s="48" t="s">
        <v>2000</v>
      </c>
      <c r="E187" s="48" t="s">
        <v>2001</v>
      </c>
      <c r="F187" s="48"/>
      <c r="G187" s="48" t="s">
        <v>30</v>
      </c>
      <c r="H187" s="51">
        <v>2000</v>
      </c>
      <c r="I187" s="119">
        <v>400</v>
      </c>
      <c r="J187" s="48" t="s">
        <v>31</v>
      </c>
      <c r="K187" s="48" t="s">
        <v>32</v>
      </c>
      <c r="L187" s="2"/>
      <c r="M187" s="126">
        <v>400</v>
      </c>
    </row>
    <row r="188" spans="1:13" ht="15.75" customHeight="1">
      <c r="A188" s="61">
        <v>8</v>
      </c>
      <c r="B188" s="48" t="s">
        <v>2002</v>
      </c>
      <c r="C188" s="48" t="s">
        <v>27</v>
      </c>
      <c r="D188" s="48" t="s">
        <v>2003</v>
      </c>
      <c r="E188" s="48" t="s">
        <v>135</v>
      </c>
      <c r="F188" s="48"/>
      <c r="G188" s="48" t="s">
        <v>30</v>
      </c>
      <c r="H188" s="51">
        <v>1500</v>
      </c>
      <c r="I188" s="119">
        <v>300</v>
      </c>
      <c r="J188" s="48" t="s">
        <v>31</v>
      </c>
      <c r="K188" s="48" t="s">
        <v>32</v>
      </c>
      <c r="L188" s="2"/>
      <c r="M188" s="126">
        <v>150</v>
      </c>
    </row>
    <row r="189" spans="1:13" ht="15.75" customHeight="1">
      <c r="A189" s="61">
        <v>8</v>
      </c>
      <c r="B189" s="48" t="s">
        <v>2004</v>
      </c>
      <c r="C189" s="48" t="s">
        <v>27</v>
      </c>
      <c r="D189" s="48" t="s">
        <v>2005</v>
      </c>
      <c r="E189" s="48" t="s">
        <v>54</v>
      </c>
      <c r="F189" s="48"/>
      <c r="G189" s="48" t="s">
        <v>30</v>
      </c>
      <c r="H189" s="51">
        <v>3000</v>
      </c>
      <c r="I189" s="119">
        <v>600</v>
      </c>
      <c r="J189" s="48" t="s">
        <v>31</v>
      </c>
      <c r="K189" s="48" t="s">
        <v>32</v>
      </c>
      <c r="L189" s="2"/>
      <c r="M189" s="126">
        <v>540</v>
      </c>
    </row>
    <row r="190" spans="1:13" ht="15.75" customHeight="1">
      <c r="A190" s="61">
        <v>8</v>
      </c>
      <c r="B190" s="48" t="s">
        <v>2006</v>
      </c>
      <c r="C190" s="48" t="s">
        <v>27</v>
      </c>
      <c r="D190" s="48" t="s">
        <v>108</v>
      </c>
      <c r="E190" s="48" t="s">
        <v>36</v>
      </c>
      <c r="F190" s="48"/>
      <c r="G190" s="48" t="s">
        <v>30</v>
      </c>
      <c r="H190" s="51">
        <v>500</v>
      </c>
      <c r="I190" s="119">
        <v>100</v>
      </c>
      <c r="J190" s="48" t="s">
        <v>31</v>
      </c>
      <c r="K190" s="48" t="s">
        <v>32</v>
      </c>
      <c r="L190" s="2"/>
      <c r="M190" s="126">
        <v>50</v>
      </c>
    </row>
    <row r="191" spans="1:13" ht="15.75" customHeight="1">
      <c r="A191" s="61">
        <v>8</v>
      </c>
      <c r="B191" s="48" t="s">
        <v>2007</v>
      </c>
      <c r="C191" s="48" t="s">
        <v>27</v>
      </c>
      <c r="D191" s="48" t="s">
        <v>108</v>
      </c>
      <c r="E191" s="48" t="s">
        <v>36</v>
      </c>
      <c r="F191" s="48"/>
      <c r="G191" s="48" t="s">
        <v>30</v>
      </c>
      <c r="H191" s="51">
        <v>2000</v>
      </c>
      <c r="I191" s="119">
        <v>400</v>
      </c>
      <c r="J191" s="48" t="s">
        <v>31</v>
      </c>
      <c r="K191" s="48" t="s">
        <v>32</v>
      </c>
      <c r="L191" s="2"/>
      <c r="M191" s="126">
        <v>400</v>
      </c>
    </row>
    <row r="192" spans="1:13" ht="15.75" customHeight="1">
      <c r="A192" s="61">
        <v>8</v>
      </c>
      <c r="B192" s="48" t="s">
        <v>2008</v>
      </c>
      <c r="C192" s="48" t="s">
        <v>27</v>
      </c>
      <c r="D192" s="48" t="s">
        <v>354</v>
      </c>
      <c r="E192" s="48" t="s">
        <v>54</v>
      </c>
      <c r="F192" s="48"/>
      <c r="G192" s="367" t="s">
        <v>2009</v>
      </c>
      <c r="H192" s="152">
        <v>300</v>
      </c>
      <c r="I192" s="119" t="s">
        <v>1586</v>
      </c>
      <c r="J192" s="48" t="s">
        <v>31</v>
      </c>
      <c r="K192" s="48" t="s">
        <v>32</v>
      </c>
      <c r="L192" s="2"/>
    </row>
    <row r="193" spans="1:13" ht="15.75" customHeight="1">
      <c r="A193" s="61">
        <v>8</v>
      </c>
      <c r="B193" s="48" t="s">
        <v>2008</v>
      </c>
      <c r="C193" s="48" t="s">
        <v>27</v>
      </c>
      <c r="D193" s="48" t="s">
        <v>354</v>
      </c>
      <c r="E193" s="48" t="s">
        <v>54</v>
      </c>
      <c r="F193" s="58"/>
      <c r="G193" s="368" t="s">
        <v>30</v>
      </c>
      <c r="H193" s="176">
        <v>600</v>
      </c>
      <c r="I193" s="160" t="s">
        <v>1586</v>
      </c>
      <c r="J193" s="48" t="s">
        <v>31</v>
      </c>
      <c r="K193" s="48" t="s">
        <v>32</v>
      </c>
      <c r="L193" s="2"/>
    </row>
    <row r="194" spans="1:13" ht="15.75" customHeight="1">
      <c r="A194" s="61">
        <v>10</v>
      </c>
      <c r="B194" s="62" t="s">
        <v>2010</v>
      </c>
      <c r="C194" s="62" t="s">
        <v>27</v>
      </c>
      <c r="D194" s="292" t="s">
        <v>934</v>
      </c>
      <c r="E194" s="62" t="s">
        <v>44</v>
      </c>
      <c r="F194" s="62"/>
      <c r="G194" s="62" t="s">
        <v>30</v>
      </c>
      <c r="H194" s="63">
        <v>500</v>
      </c>
      <c r="I194" s="159" t="s">
        <v>1586</v>
      </c>
      <c r="J194" s="48" t="s">
        <v>31</v>
      </c>
      <c r="K194" s="48" t="s">
        <v>32</v>
      </c>
      <c r="L194" s="2"/>
      <c r="M194" s="126">
        <v>500</v>
      </c>
    </row>
    <row r="195" spans="1:13" ht="15.75" customHeight="1">
      <c r="A195" s="61">
        <v>10</v>
      </c>
      <c r="B195" s="62" t="s">
        <v>2010</v>
      </c>
      <c r="C195" s="62" t="s">
        <v>27</v>
      </c>
      <c r="D195" s="292" t="s">
        <v>934</v>
      </c>
      <c r="E195" s="62" t="s">
        <v>44</v>
      </c>
      <c r="F195" s="48"/>
      <c r="G195" s="48" t="s">
        <v>30</v>
      </c>
      <c r="H195" s="51">
        <v>2500</v>
      </c>
      <c r="I195" s="119">
        <v>500</v>
      </c>
      <c r="J195" s="48" t="s">
        <v>31</v>
      </c>
      <c r="K195" s="48" t="s">
        <v>32</v>
      </c>
      <c r="L195" s="2"/>
    </row>
    <row r="196" spans="1:13" ht="15.75" customHeight="1">
      <c r="A196" s="61">
        <v>10</v>
      </c>
      <c r="B196" s="48" t="s">
        <v>1279</v>
      </c>
      <c r="C196" s="48" t="s">
        <v>27</v>
      </c>
      <c r="D196" s="48" t="s">
        <v>114</v>
      </c>
      <c r="E196" s="48" t="s">
        <v>44</v>
      </c>
      <c r="F196" s="48"/>
      <c r="G196" s="48" t="s">
        <v>30</v>
      </c>
      <c r="H196" s="51">
        <v>1000</v>
      </c>
      <c r="I196" s="119">
        <v>200</v>
      </c>
      <c r="J196" s="48" t="s">
        <v>31</v>
      </c>
      <c r="K196" s="48" t="s">
        <v>32</v>
      </c>
      <c r="L196" s="2"/>
      <c r="M196" s="126">
        <v>300</v>
      </c>
    </row>
    <row r="197" spans="1:13" ht="15.75" customHeight="1">
      <c r="A197" s="61">
        <v>10</v>
      </c>
      <c r="B197" s="48" t="s">
        <v>2011</v>
      </c>
      <c r="C197" s="48" t="s">
        <v>39</v>
      </c>
      <c r="D197" s="48" t="s">
        <v>100</v>
      </c>
      <c r="E197" s="48" t="s">
        <v>54</v>
      </c>
      <c r="F197" s="48"/>
      <c r="G197" s="48" t="s">
        <v>30</v>
      </c>
      <c r="H197" s="51">
        <v>3000</v>
      </c>
      <c r="I197" s="119">
        <v>600</v>
      </c>
      <c r="J197" s="48" t="s">
        <v>31</v>
      </c>
      <c r="K197" s="48" t="s">
        <v>32</v>
      </c>
      <c r="L197" s="2"/>
      <c r="M197" s="126">
        <v>600</v>
      </c>
    </row>
    <row r="198" spans="1:13" ht="15.75" customHeight="1">
      <c r="A198" s="61">
        <v>10</v>
      </c>
      <c r="B198" s="48" t="s">
        <v>2012</v>
      </c>
      <c r="C198" s="48" t="s">
        <v>39</v>
      </c>
      <c r="D198" s="48" t="s">
        <v>1431</v>
      </c>
      <c r="E198" s="48" t="s">
        <v>44</v>
      </c>
      <c r="F198" s="48"/>
      <c r="G198" s="48" t="s">
        <v>30</v>
      </c>
      <c r="H198" s="51">
        <v>500</v>
      </c>
      <c r="I198" s="119">
        <v>100</v>
      </c>
      <c r="J198" s="48" t="s">
        <v>31</v>
      </c>
      <c r="K198" s="48" t="s">
        <v>32</v>
      </c>
      <c r="L198" s="2"/>
      <c r="M198" s="126">
        <v>100</v>
      </c>
    </row>
    <row r="199" spans="1:13" ht="15.75" customHeight="1">
      <c r="A199" s="61">
        <v>10</v>
      </c>
      <c r="B199" s="48" t="s">
        <v>52</v>
      </c>
      <c r="C199" s="48" t="s">
        <v>27</v>
      </c>
      <c r="D199" s="48" t="s">
        <v>53</v>
      </c>
      <c r="E199" s="48" t="s">
        <v>54</v>
      </c>
      <c r="F199" s="48"/>
      <c r="G199" s="48" t="s">
        <v>30</v>
      </c>
      <c r="H199" s="51">
        <v>1500</v>
      </c>
      <c r="I199" s="119">
        <v>300</v>
      </c>
      <c r="J199" s="48" t="s">
        <v>31</v>
      </c>
      <c r="K199" s="48" t="s">
        <v>32</v>
      </c>
      <c r="L199" s="2"/>
      <c r="M199" s="126">
        <v>300</v>
      </c>
    </row>
    <row r="200" spans="1:13" ht="15.75" customHeight="1">
      <c r="A200" s="61">
        <v>10</v>
      </c>
      <c r="B200" s="48" t="s">
        <v>2013</v>
      </c>
      <c r="C200" s="48" t="s">
        <v>39</v>
      </c>
      <c r="D200" s="48" t="s">
        <v>191</v>
      </c>
      <c r="E200" s="48" t="s">
        <v>36</v>
      </c>
      <c r="F200" s="48"/>
      <c r="G200" s="48" t="s">
        <v>30</v>
      </c>
      <c r="H200" s="51">
        <v>750</v>
      </c>
      <c r="I200" s="119">
        <v>150</v>
      </c>
      <c r="J200" s="48" t="s">
        <v>31</v>
      </c>
      <c r="K200" s="48" t="s">
        <v>32</v>
      </c>
      <c r="L200" s="2"/>
      <c r="M200" s="126">
        <v>300</v>
      </c>
    </row>
    <row r="201" spans="1:13" ht="15.75" customHeight="1">
      <c r="A201" s="61">
        <v>10</v>
      </c>
      <c r="B201" s="48" t="s">
        <v>2014</v>
      </c>
      <c r="C201" s="48" t="s">
        <v>27</v>
      </c>
      <c r="D201" s="48" t="s">
        <v>2015</v>
      </c>
      <c r="E201" s="48" t="s">
        <v>191</v>
      </c>
      <c r="F201" s="48"/>
      <c r="G201" s="48" t="s">
        <v>30</v>
      </c>
      <c r="H201" s="51">
        <v>400</v>
      </c>
      <c r="I201" s="119">
        <v>80</v>
      </c>
      <c r="J201" s="48" t="s">
        <v>31</v>
      </c>
      <c r="K201" s="48" t="s">
        <v>32</v>
      </c>
      <c r="L201" s="2"/>
      <c r="M201" s="126">
        <v>80</v>
      </c>
    </row>
    <row r="202" spans="1:13" ht="15.75" customHeight="1">
      <c r="A202" s="61">
        <v>10</v>
      </c>
      <c r="B202" s="48" t="s">
        <v>2016</v>
      </c>
      <c r="C202" s="48" t="s">
        <v>27</v>
      </c>
      <c r="D202" s="48" t="s">
        <v>100</v>
      </c>
      <c r="E202" s="48" t="s">
        <v>84</v>
      </c>
      <c r="F202" s="48"/>
      <c r="G202" s="48" t="s">
        <v>30</v>
      </c>
      <c r="H202" s="51">
        <v>2500</v>
      </c>
      <c r="I202" s="119">
        <v>500</v>
      </c>
      <c r="J202" s="48" t="s">
        <v>31</v>
      </c>
      <c r="K202" s="48" t="s">
        <v>32</v>
      </c>
      <c r="L202" s="2"/>
      <c r="M202" s="126">
        <v>500</v>
      </c>
    </row>
    <row r="203" spans="1:13" ht="15.75" customHeight="1">
      <c r="A203" s="61">
        <v>10</v>
      </c>
      <c r="B203" s="48" t="s">
        <v>2017</v>
      </c>
      <c r="C203" s="48" t="s">
        <v>27</v>
      </c>
      <c r="D203" s="48" t="s">
        <v>100</v>
      </c>
      <c r="E203" s="48" t="s">
        <v>145</v>
      </c>
      <c r="F203" s="48"/>
      <c r="G203" s="48" t="s">
        <v>30</v>
      </c>
      <c r="H203" s="51">
        <v>500</v>
      </c>
      <c r="I203" s="119" t="s">
        <v>1586</v>
      </c>
      <c r="J203" s="48" t="s">
        <v>31</v>
      </c>
      <c r="K203" s="48" t="s">
        <v>32</v>
      </c>
      <c r="L203" s="2"/>
      <c r="M203" s="126">
        <v>1275</v>
      </c>
    </row>
    <row r="204" spans="1:13" ht="15.75" customHeight="1">
      <c r="A204" s="61">
        <v>10</v>
      </c>
      <c r="B204" s="48" t="s">
        <v>2017</v>
      </c>
      <c r="C204" s="48" t="s">
        <v>27</v>
      </c>
      <c r="D204" s="48" t="s">
        <v>100</v>
      </c>
      <c r="E204" s="48" t="s">
        <v>145</v>
      </c>
      <c r="F204" s="48"/>
      <c r="G204" s="48" t="s">
        <v>30</v>
      </c>
      <c r="H204" s="51">
        <v>5000</v>
      </c>
      <c r="I204" s="119">
        <v>1000</v>
      </c>
      <c r="J204" s="48" t="s">
        <v>31</v>
      </c>
      <c r="K204" s="48" t="s">
        <v>32</v>
      </c>
      <c r="L204" s="2"/>
    </row>
    <row r="205" spans="1:13" ht="15.75" customHeight="1">
      <c r="A205" s="50">
        <v>10</v>
      </c>
      <c r="B205" s="48" t="s">
        <v>2018</v>
      </c>
      <c r="C205" s="48" t="s">
        <v>27</v>
      </c>
      <c r="D205" s="48" t="s">
        <v>100</v>
      </c>
      <c r="E205" s="48" t="s">
        <v>145</v>
      </c>
      <c r="F205" s="48"/>
      <c r="G205" s="48" t="s">
        <v>30</v>
      </c>
      <c r="H205" s="51">
        <v>500</v>
      </c>
      <c r="I205" s="119">
        <v>100</v>
      </c>
      <c r="J205" s="48" t="s">
        <v>31</v>
      </c>
      <c r="K205" s="48" t="s">
        <v>32</v>
      </c>
      <c r="L205" s="2"/>
      <c r="M205" s="126">
        <v>100</v>
      </c>
    </row>
    <row r="206" spans="1:13" ht="15.75" customHeight="1">
      <c r="A206" s="65">
        <v>10</v>
      </c>
      <c r="B206" s="58" t="s">
        <v>2019</v>
      </c>
      <c r="C206" s="58" t="s">
        <v>27</v>
      </c>
      <c r="D206" s="58" t="s">
        <v>100</v>
      </c>
      <c r="E206" s="58" t="s">
        <v>36</v>
      </c>
      <c r="F206" s="58"/>
      <c r="G206" s="58" t="s">
        <v>30</v>
      </c>
      <c r="H206" s="59">
        <v>600</v>
      </c>
      <c r="I206" s="160">
        <v>120</v>
      </c>
      <c r="J206" s="48" t="s">
        <v>31</v>
      </c>
      <c r="K206" s="48" t="s">
        <v>32</v>
      </c>
      <c r="L206" s="2"/>
      <c r="M206" s="126">
        <v>120</v>
      </c>
    </row>
    <row r="207" spans="1:13" ht="15.75" customHeight="1">
      <c r="A207" s="61">
        <v>11</v>
      </c>
      <c r="B207" s="62" t="s">
        <v>2020</v>
      </c>
      <c r="C207" s="62" t="s">
        <v>27</v>
      </c>
      <c r="D207" s="62" t="s">
        <v>651</v>
      </c>
      <c r="E207" s="62" t="s">
        <v>86</v>
      </c>
      <c r="F207" s="62"/>
      <c r="G207" s="62" t="s">
        <v>30</v>
      </c>
      <c r="H207" s="63">
        <v>1500</v>
      </c>
      <c r="I207" s="159">
        <v>300</v>
      </c>
      <c r="J207" s="48" t="s">
        <v>31</v>
      </c>
      <c r="K207" s="48" t="s">
        <v>32</v>
      </c>
      <c r="L207" s="2"/>
      <c r="M207" s="126">
        <v>300</v>
      </c>
    </row>
    <row r="208" spans="1:13" ht="15.75" customHeight="1">
      <c r="A208" s="61">
        <v>11</v>
      </c>
      <c r="B208" s="48" t="s">
        <v>2021</v>
      </c>
      <c r="C208" s="48" t="s">
        <v>27</v>
      </c>
      <c r="D208" s="48" t="s">
        <v>43</v>
      </c>
      <c r="E208" s="48" t="s">
        <v>44</v>
      </c>
      <c r="F208" s="48"/>
      <c r="G208" s="48" t="s">
        <v>30</v>
      </c>
      <c r="H208" s="51">
        <v>500</v>
      </c>
      <c r="I208" s="119">
        <v>100</v>
      </c>
      <c r="J208" s="48" t="s">
        <v>31</v>
      </c>
      <c r="K208" s="48" t="s">
        <v>32</v>
      </c>
      <c r="L208" s="2"/>
      <c r="M208" s="126">
        <v>300</v>
      </c>
    </row>
    <row r="209" spans="1:13" ht="15.75" customHeight="1">
      <c r="A209" s="61">
        <v>11</v>
      </c>
      <c r="B209" s="48" t="s">
        <v>2022</v>
      </c>
      <c r="C209" s="48" t="s">
        <v>27</v>
      </c>
      <c r="D209" s="48" t="s">
        <v>191</v>
      </c>
      <c r="E209" s="48" t="s">
        <v>36</v>
      </c>
      <c r="F209" s="48"/>
      <c r="G209" s="48" t="s">
        <v>30</v>
      </c>
      <c r="H209" s="51">
        <v>150</v>
      </c>
      <c r="I209" s="119">
        <v>30</v>
      </c>
      <c r="J209" s="48" t="s">
        <v>31</v>
      </c>
      <c r="K209" s="48" t="s">
        <v>32</v>
      </c>
      <c r="L209" s="2"/>
      <c r="M209" s="126">
        <v>50</v>
      </c>
    </row>
    <row r="210" spans="1:13" ht="15.75" customHeight="1">
      <c r="A210" s="61">
        <v>11</v>
      </c>
      <c r="B210" s="48" t="s">
        <v>2023</v>
      </c>
      <c r="C210" s="48" t="s">
        <v>27</v>
      </c>
      <c r="D210" s="48" t="s">
        <v>1768</v>
      </c>
      <c r="E210" s="48" t="s">
        <v>2024</v>
      </c>
      <c r="F210" s="48"/>
      <c r="G210" s="48" t="s">
        <v>30</v>
      </c>
      <c r="H210" s="51">
        <v>2500</v>
      </c>
      <c r="I210" s="119">
        <v>500</v>
      </c>
      <c r="J210" s="48" t="s">
        <v>31</v>
      </c>
      <c r="K210" s="48" t="s">
        <v>32</v>
      </c>
      <c r="L210" s="2"/>
      <c r="M210" s="126">
        <v>400</v>
      </c>
    </row>
    <row r="211" spans="1:13" ht="15.75" customHeight="1">
      <c r="A211" s="61">
        <v>11</v>
      </c>
      <c r="B211" s="48" t="s">
        <v>287</v>
      </c>
      <c r="C211" s="48" t="s">
        <v>27</v>
      </c>
      <c r="D211" s="48" t="s">
        <v>43</v>
      </c>
      <c r="E211" s="48" t="s">
        <v>44</v>
      </c>
      <c r="F211" s="48"/>
      <c r="G211" s="48" t="s">
        <v>30</v>
      </c>
      <c r="H211" s="51">
        <v>2000</v>
      </c>
      <c r="I211" s="119">
        <v>400</v>
      </c>
      <c r="J211" s="48" t="s">
        <v>31</v>
      </c>
      <c r="K211" s="48" t="s">
        <v>32</v>
      </c>
      <c r="L211" s="2"/>
      <c r="M211" s="126">
        <v>400</v>
      </c>
    </row>
    <row r="212" spans="1:13" ht="15.75" customHeight="1">
      <c r="A212" s="61">
        <v>11</v>
      </c>
      <c r="B212" s="48" t="s">
        <v>2025</v>
      </c>
      <c r="C212" s="48" t="s">
        <v>27</v>
      </c>
      <c r="D212" s="48" t="s">
        <v>990</v>
      </c>
      <c r="E212" s="48" t="s">
        <v>73</v>
      </c>
      <c r="F212" s="48"/>
      <c r="G212" s="48" t="s">
        <v>30</v>
      </c>
      <c r="H212" s="51">
        <v>1000</v>
      </c>
      <c r="I212" s="119">
        <v>200</v>
      </c>
      <c r="J212" s="48" t="s">
        <v>31</v>
      </c>
      <c r="K212" s="48" t="s">
        <v>32</v>
      </c>
      <c r="L212" s="2"/>
      <c r="M212" s="126">
        <v>300</v>
      </c>
    </row>
    <row r="213" spans="1:13" ht="15.75" customHeight="1">
      <c r="A213" s="61">
        <v>11</v>
      </c>
      <c r="B213" s="48" t="s">
        <v>2026</v>
      </c>
      <c r="C213" s="48" t="s">
        <v>27</v>
      </c>
      <c r="D213" s="48" t="s">
        <v>100</v>
      </c>
      <c r="E213" s="48" t="s">
        <v>191</v>
      </c>
      <c r="F213" s="48"/>
      <c r="G213" s="48" t="s">
        <v>30</v>
      </c>
      <c r="H213" s="51">
        <v>1500</v>
      </c>
      <c r="I213" s="119">
        <v>300</v>
      </c>
      <c r="J213" s="48" t="s">
        <v>31</v>
      </c>
      <c r="K213" s="48" t="s">
        <v>32</v>
      </c>
      <c r="L213" s="2"/>
      <c r="M213" s="126">
        <v>600</v>
      </c>
    </row>
    <row r="214" spans="1:13" ht="15.75" customHeight="1">
      <c r="A214" s="61">
        <v>11</v>
      </c>
      <c r="B214" s="48" t="s">
        <v>2027</v>
      </c>
      <c r="C214" s="48" t="s">
        <v>39</v>
      </c>
      <c r="D214" s="48" t="s">
        <v>100</v>
      </c>
      <c r="E214" s="48" t="s">
        <v>191</v>
      </c>
      <c r="F214" s="48"/>
      <c r="G214" s="48" t="s">
        <v>30</v>
      </c>
      <c r="H214" s="51">
        <v>1000</v>
      </c>
      <c r="I214" s="119">
        <v>200</v>
      </c>
      <c r="J214" s="48" t="s">
        <v>31</v>
      </c>
      <c r="K214" s="48" t="s">
        <v>32</v>
      </c>
      <c r="L214" s="2"/>
      <c r="M214" s="126">
        <v>150</v>
      </c>
    </row>
    <row r="215" spans="1:13" ht="15.75" customHeight="1">
      <c r="A215" s="61">
        <v>11</v>
      </c>
      <c r="B215" s="48" t="s">
        <v>2028</v>
      </c>
      <c r="C215" s="48" t="s">
        <v>27</v>
      </c>
      <c r="D215" s="48" t="s">
        <v>369</v>
      </c>
      <c r="E215" s="48" t="s">
        <v>47</v>
      </c>
      <c r="F215" s="48"/>
      <c r="G215" s="48" t="s">
        <v>30</v>
      </c>
      <c r="H215" s="51">
        <v>1000</v>
      </c>
      <c r="I215" s="119">
        <v>200</v>
      </c>
      <c r="J215" s="48" t="s">
        <v>31</v>
      </c>
      <c r="K215" s="48" t="s">
        <v>32</v>
      </c>
      <c r="L215" s="2"/>
      <c r="M215" s="126">
        <v>200</v>
      </c>
    </row>
    <row r="216" spans="1:13" ht="15.75" customHeight="1">
      <c r="A216" s="61"/>
      <c r="B216" s="48" t="s">
        <v>2028</v>
      </c>
      <c r="C216" s="48" t="s">
        <v>27</v>
      </c>
      <c r="D216" s="48" t="s">
        <v>369</v>
      </c>
      <c r="E216" s="48" t="s">
        <v>47</v>
      </c>
      <c r="F216" s="48"/>
      <c r="G216" s="48" t="s">
        <v>1300</v>
      </c>
      <c r="H216" s="51">
        <v>25</v>
      </c>
      <c r="I216" s="119">
        <v>75</v>
      </c>
      <c r="J216" s="48" t="s">
        <v>31</v>
      </c>
      <c r="K216" s="48" t="s">
        <v>32</v>
      </c>
      <c r="L216" s="2"/>
    </row>
    <row r="217" spans="1:13" ht="15.75" customHeight="1">
      <c r="A217" s="61">
        <v>11</v>
      </c>
      <c r="B217" s="48" t="s">
        <v>2029</v>
      </c>
      <c r="C217" s="48" t="s">
        <v>27</v>
      </c>
      <c r="D217" s="48" t="s">
        <v>100</v>
      </c>
      <c r="E217" s="48" t="s">
        <v>89</v>
      </c>
      <c r="F217" s="48"/>
      <c r="G217" s="48" t="s">
        <v>30</v>
      </c>
      <c r="H217" s="51">
        <v>500</v>
      </c>
      <c r="I217" s="119" t="s">
        <v>1586</v>
      </c>
      <c r="J217" s="48" t="s">
        <v>31</v>
      </c>
      <c r="K217" s="48" t="s">
        <v>32</v>
      </c>
      <c r="L217" s="2"/>
      <c r="M217" s="126">
        <v>150</v>
      </c>
    </row>
    <row r="218" spans="1:13" ht="15.75" customHeight="1">
      <c r="A218" s="61">
        <v>11</v>
      </c>
      <c r="B218" s="48" t="s">
        <v>2029</v>
      </c>
      <c r="C218" s="48" t="s">
        <v>27</v>
      </c>
      <c r="D218" s="48" t="s">
        <v>100</v>
      </c>
      <c r="E218" s="48" t="s">
        <v>89</v>
      </c>
      <c r="F218" s="48"/>
      <c r="G218" s="48" t="s">
        <v>30</v>
      </c>
      <c r="H218" s="51">
        <v>250</v>
      </c>
      <c r="I218" s="119">
        <v>50</v>
      </c>
      <c r="J218" s="48" t="s">
        <v>31</v>
      </c>
      <c r="K218" s="48" t="s">
        <v>32</v>
      </c>
      <c r="L218" s="2"/>
    </row>
    <row r="219" spans="1:13" ht="15.75" customHeight="1">
      <c r="A219" s="61">
        <v>11</v>
      </c>
      <c r="B219" s="48" t="s">
        <v>2030</v>
      </c>
      <c r="C219" s="48" t="s">
        <v>27</v>
      </c>
      <c r="D219" s="48" t="s">
        <v>100</v>
      </c>
      <c r="E219" s="48" t="s">
        <v>89</v>
      </c>
      <c r="F219" s="48"/>
      <c r="G219" s="48" t="s">
        <v>30</v>
      </c>
      <c r="H219" s="51">
        <v>500</v>
      </c>
      <c r="I219" s="119" t="s">
        <v>1586</v>
      </c>
      <c r="J219" s="48" t="s">
        <v>31</v>
      </c>
      <c r="K219" s="48" t="s">
        <v>32</v>
      </c>
      <c r="L219" s="2"/>
      <c r="M219" s="126">
        <v>115</v>
      </c>
    </row>
    <row r="220" spans="1:13" ht="15.75" customHeight="1">
      <c r="A220" s="65">
        <v>11</v>
      </c>
      <c r="B220" s="58" t="s">
        <v>2031</v>
      </c>
      <c r="C220" s="58" t="s">
        <v>39</v>
      </c>
      <c r="D220" s="58" t="s">
        <v>100</v>
      </c>
      <c r="E220" s="58" t="s">
        <v>89</v>
      </c>
      <c r="F220" s="58"/>
      <c r="G220" s="58" t="s">
        <v>30</v>
      </c>
      <c r="H220" s="59">
        <v>500</v>
      </c>
      <c r="I220" s="160" t="s">
        <v>1586</v>
      </c>
      <c r="J220" s="48" t="s">
        <v>31</v>
      </c>
      <c r="K220" s="48" t="s">
        <v>32</v>
      </c>
      <c r="L220" s="2"/>
      <c r="M220" s="126">
        <v>105</v>
      </c>
    </row>
    <row r="221" spans="1:13" ht="15.75" customHeight="1">
      <c r="A221" s="61">
        <v>12</v>
      </c>
      <c r="B221" s="62" t="s">
        <v>2032</v>
      </c>
      <c r="C221" s="62" t="s">
        <v>39</v>
      </c>
      <c r="D221" s="62" t="s">
        <v>211</v>
      </c>
      <c r="E221" s="62" t="s">
        <v>36</v>
      </c>
      <c r="F221" s="62"/>
      <c r="G221" s="62" t="s">
        <v>30</v>
      </c>
      <c r="H221" s="63">
        <v>500</v>
      </c>
      <c r="I221" s="159" t="s">
        <v>1586</v>
      </c>
      <c r="J221" s="48" t="s">
        <v>31</v>
      </c>
      <c r="K221" s="48" t="s">
        <v>32</v>
      </c>
      <c r="L221" s="2"/>
      <c r="M221" s="126">
        <v>300</v>
      </c>
    </row>
    <row r="222" spans="1:13" ht="15.75" customHeight="1">
      <c r="A222" s="61">
        <v>12</v>
      </c>
      <c r="B222" s="62" t="s">
        <v>2032</v>
      </c>
      <c r="C222" s="62" t="s">
        <v>39</v>
      </c>
      <c r="D222" s="62" t="s">
        <v>211</v>
      </c>
      <c r="E222" s="62" t="s">
        <v>36</v>
      </c>
      <c r="F222" s="48"/>
      <c r="G222" s="48" t="s">
        <v>30</v>
      </c>
      <c r="H222" s="51">
        <v>1000</v>
      </c>
      <c r="I222" s="119">
        <v>200</v>
      </c>
      <c r="J222" s="48" t="s">
        <v>31</v>
      </c>
      <c r="K222" s="48" t="s">
        <v>32</v>
      </c>
      <c r="L222" s="2"/>
    </row>
    <row r="223" spans="1:13" ht="15.75" customHeight="1">
      <c r="A223" s="61">
        <v>12</v>
      </c>
      <c r="B223" s="48" t="s">
        <v>2033</v>
      </c>
      <c r="C223" s="48" t="s">
        <v>27</v>
      </c>
      <c r="D223" s="48" t="s">
        <v>2034</v>
      </c>
      <c r="E223" s="48" t="s">
        <v>44</v>
      </c>
      <c r="F223" s="48"/>
      <c r="G223" s="48" t="s">
        <v>30</v>
      </c>
      <c r="H223" s="51">
        <v>500</v>
      </c>
      <c r="I223" s="119">
        <v>100</v>
      </c>
      <c r="J223" s="48" t="s">
        <v>31</v>
      </c>
      <c r="K223" s="48" t="s">
        <v>32</v>
      </c>
      <c r="L223" s="2"/>
      <c r="M223" s="126">
        <v>50</v>
      </c>
    </row>
    <row r="224" spans="1:13" ht="15.75" customHeight="1">
      <c r="A224" s="61">
        <v>12</v>
      </c>
      <c r="B224" s="48" t="s">
        <v>2035</v>
      </c>
      <c r="C224" s="48" t="s">
        <v>27</v>
      </c>
      <c r="D224" s="48" t="s">
        <v>305</v>
      </c>
      <c r="E224" s="48" t="s">
        <v>84</v>
      </c>
      <c r="F224" s="48"/>
      <c r="G224" s="48" t="s">
        <v>30</v>
      </c>
      <c r="H224" s="51">
        <v>500</v>
      </c>
      <c r="I224" s="119" t="s">
        <v>1586</v>
      </c>
      <c r="J224" s="48" t="s">
        <v>31</v>
      </c>
      <c r="K224" s="48" t="s">
        <v>32</v>
      </c>
      <c r="L224" s="2"/>
      <c r="M224" s="126">
        <v>800</v>
      </c>
    </row>
    <row r="225" spans="1:17" ht="15.75" customHeight="1">
      <c r="A225" s="61">
        <v>12</v>
      </c>
      <c r="B225" s="48" t="s">
        <v>2035</v>
      </c>
      <c r="C225" s="48" t="s">
        <v>27</v>
      </c>
      <c r="D225" s="48" t="s">
        <v>305</v>
      </c>
      <c r="E225" s="48" t="s">
        <v>84</v>
      </c>
      <c r="F225" s="48"/>
      <c r="G225" s="48" t="s">
        <v>30</v>
      </c>
      <c r="H225" s="51">
        <v>500</v>
      </c>
      <c r="I225" s="119">
        <v>100</v>
      </c>
      <c r="J225" s="48" t="s">
        <v>31</v>
      </c>
      <c r="K225" s="48" t="s">
        <v>32</v>
      </c>
      <c r="L225" s="2"/>
    </row>
    <row r="226" spans="1:17" ht="15.75" customHeight="1">
      <c r="A226" s="61">
        <v>12</v>
      </c>
      <c r="B226" s="48" t="s">
        <v>2036</v>
      </c>
      <c r="C226" s="48" t="s">
        <v>27</v>
      </c>
      <c r="D226" s="48" t="s">
        <v>2037</v>
      </c>
      <c r="E226" s="48" t="s">
        <v>44</v>
      </c>
      <c r="F226" s="48"/>
      <c r="G226" s="48" t="s">
        <v>30</v>
      </c>
      <c r="H226" s="51">
        <v>200</v>
      </c>
      <c r="I226" s="119">
        <v>40</v>
      </c>
      <c r="J226" s="48" t="s">
        <v>31</v>
      </c>
      <c r="K226" s="48" t="s">
        <v>32</v>
      </c>
      <c r="L226" s="2"/>
      <c r="M226" s="126">
        <v>40</v>
      </c>
    </row>
    <row r="227" spans="1:17" ht="15.75" customHeight="1">
      <c r="A227" s="61">
        <v>12</v>
      </c>
      <c r="B227" s="48" t="s">
        <v>2038</v>
      </c>
      <c r="C227" s="48" t="s">
        <v>27</v>
      </c>
      <c r="D227" s="48" t="s">
        <v>297</v>
      </c>
      <c r="E227" s="48" t="s">
        <v>44</v>
      </c>
      <c r="F227" s="48"/>
      <c r="G227" s="48" t="s">
        <v>30</v>
      </c>
      <c r="H227" s="51">
        <v>500</v>
      </c>
      <c r="I227" s="119">
        <v>100</v>
      </c>
      <c r="J227" s="48" t="s">
        <v>31</v>
      </c>
      <c r="K227" s="48" t="s">
        <v>32</v>
      </c>
      <c r="L227" s="2"/>
      <c r="M227" s="126">
        <v>750</v>
      </c>
    </row>
    <row r="228" spans="1:17" ht="15.75" customHeight="1">
      <c r="A228" s="61">
        <v>12</v>
      </c>
      <c r="B228" s="48" t="s">
        <v>2039</v>
      </c>
      <c r="C228" s="48" t="s">
        <v>27</v>
      </c>
      <c r="D228" s="48" t="s">
        <v>108</v>
      </c>
      <c r="E228" s="48" t="s">
        <v>2040</v>
      </c>
      <c r="F228" s="48"/>
      <c r="G228" s="48" t="s">
        <v>30</v>
      </c>
      <c r="H228" s="51">
        <v>1500</v>
      </c>
      <c r="I228" s="119">
        <v>300</v>
      </c>
      <c r="J228" s="48" t="s">
        <v>31</v>
      </c>
      <c r="K228" s="48" t="s">
        <v>32</v>
      </c>
      <c r="L228" s="2"/>
      <c r="M228" s="126">
        <v>200</v>
      </c>
    </row>
    <row r="229" spans="1:17" ht="15.75" customHeight="1">
      <c r="A229" s="61">
        <v>12</v>
      </c>
      <c r="B229" s="48" t="s">
        <v>2041</v>
      </c>
      <c r="C229" s="48" t="s">
        <v>39</v>
      </c>
      <c r="D229" s="48" t="s">
        <v>108</v>
      </c>
      <c r="E229" s="48" t="s">
        <v>36</v>
      </c>
      <c r="F229" s="48"/>
      <c r="G229" s="48" t="s">
        <v>30</v>
      </c>
      <c r="H229" s="51">
        <v>500</v>
      </c>
      <c r="I229" s="119" t="s">
        <v>1586</v>
      </c>
      <c r="J229" s="48" t="s">
        <v>31</v>
      </c>
      <c r="K229" s="48" t="s">
        <v>32</v>
      </c>
      <c r="L229" s="2"/>
      <c r="M229" s="126">
        <v>250</v>
      </c>
    </row>
    <row r="230" spans="1:17" ht="15.75" customHeight="1">
      <c r="A230" s="61">
        <v>12</v>
      </c>
      <c r="B230" s="48" t="s">
        <v>2041</v>
      </c>
      <c r="C230" s="48" t="s">
        <v>39</v>
      </c>
      <c r="D230" s="48" t="s">
        <v>108</v>
      </c>
      <c r="E230" s="48" t="s">
        <v>36</v>
      </c>
      <c r="F230" s="48"/>
      <c r="G230" s="48" t="s">
        <v>30</v>
      </c>
      <c r="H230" s="51">
        <v>500</v>
      </c>
      <c r="I230" s="119">
        <v>100</v>
      </c>
      <c r="J230" s="48" t="s">
        <v>31</v>
      </c>
      <c r="K230" s="48" t="s">
        <v>32</v>
      </c>
      <c r="L230" s="2"/>
    </row>
    <row r="231" spans="1:17" ht="15.75" customHeight="1">
      <c r="A231" s="61">
        <v>12</v>
      </c>
      <c r="B231" s="48" t="s">
        <v>2042</v>
      </c>
      <c r="C231" s="48" t="s">
        <v>39</v>
      </c>
      <c r="D231" s="48" t="s">
        <v>188</v>
      </c>
      <c r="E231" s="48" t="s">
        <v>36</v>
      </c>
      <c r="F231" s="48"/>
      <c r="G231" s="48" t="s">
        <v>30</v>
      </c>
      <c r="H231" s="51">
        <v>500</v>
      </c>
      <c r="I231" s="119" t="s">
        <v>1586</v>
      </c>
      <c r="J231" s="48" t="s">
        <v>31</v>
      </c>
      <c r="K231" s="48" t="s">
        <v>32</v>
      </c>
      <c r="L231" s="2"/>
      <c r="M231" s="126">
        <v>200</v>
      </c>
    </row>
    <row r="232" spans="1:17" ht="15.75" customHeight="1">
      <c r="A232" s="61">
        <v>12</v>
      </c>
      <c r="B232" s="48" t="s">
        <v>2042</v>
      </c>
      <c r="C232" s="48" t="s">
        <v>39</v>
      </c>
      <c r="D232" s="48" t="s">
        <v>188</v>
      </c>
      <c r="E232" s="48" t="s">
        <v>36</v>
      </c>
      <c r="F232" s="48"/>
      <c r="G232" s="48" t="s">
        <v>30</v>
      </c>
      <c r="H232" s="51">
        <v>500</v>
      </c>
      <c r="I232" s="119">
        <v>100</v>
      </c>
      <c r="J232" s="48" t="s">
        <v>31</v>
      </c>
      <c r="K232" s="48" t="s">
        <v>32</v>
      </c>
      <c r="L232" s="2"/>
    </row>
    <row r="233" spans="1:17" ht="15.75" customHeight="1">
      <c r="A233" s="61">
        <v>12</v>
      </c>
      <c r="B233" s="48" t="s">
        <v>2043</v>
      </c>
      <c r="C233" s="48" t="s">
        <v>27</v>
      </c>
      <c r="D233" s="48" t="s">
        <v>2044</v>
      </c>
      <c r="E233" s="48" t="s">
        <v>79</v>
      </c>
      <c r="F233" s="48"/>
      <c r="G233" s="48" t="s">
        <v>30</v>
      </c>
      <c r="H233" s="51">
        <v>1400</v>
      </c>
      <c r="I233" s="119">
        <v>280</v>
      </c>
      <c r="J233" s="48" t="s">
        <v>31</v>
      </c>
      <c r="K233" s="48" t="s">
        <v>32</v>
      </c>
      <c r="L233" s="2"/>
      <c r="M233" s="126">
        <v>300</v>
      </c>
    </row>
    <row r="234" spans="1:17" ht="15.75" customHeight="1">
      <c r="A234" s="61">
        <v>12</v>
      </c>
      <c r="B234" s="48" t="s">
        <v>2045</v>
      </c>
      <c r="C234" s="48" t="s">
        <v>27</v>
      </c>
      <c r="D234" s="48" t="s">
        <v>108</v>
      </c>
      <c r="E234" s="48" t="s">
        <v>36</v>
      </c>
      <c r="F234" s="48"/>
      <c r="G234" s="48" t="s">
        <v>30</v>
      </c>
      <c r="H234" s="51">
        <v>100</v>
      </c>
      <c r="I234" s="119">
        <v>20</v>
      </c>
      <c r="J234" s="48" t="s">
        <v>31</v>
      </c>
      <c r="K234" s="48" t="s">
        <v>32</v>
      </c>
      <c r="L234" s="2"/>
      <c r="M234" s="126">
        <v>50</v>
      </c>
    </row>
    <row r="235" spans="1:17" ht="15.75" customHeight="1">
      <c r="A235" s="61">
        <v>12</v>
      </c>
      <c r="B235" s="48" t="s">
        <v>2046</v>
      </c>
      <c r="C235" s="48" t="s">
        <v>39</v>
      </c>
      <c r="D235" s="48" t="s">
        <v>395</v>
      </c>
      <c r="E235" s="48" t="s">
        <v>54</v>
      </c>
      <c r="F235" s="48"/>
      <c r="G235" s="48" t="s">
        <v>30</v>
      </c>
      <c r="H235" s="51">
        <v>700</v>
      </c>
      <c r="I235" s="119">
        <v>140</v>
      </c>
      <c r="J235" s="48" t="s">
        <v>31</v>
      </c>
      <c r="K235" s="48" t="s">
        <v>32</v>
      </c>
      <c r="L235" s="2"/>
      <c r="M235" s="126">
        <v>180</v>
      </c>
    </row>
    <row r="236" spans="1:17" ht="15.75" customHeight="1">
      <c r="A236" s="65">
        <v>12</v>
      </c>
      <c r="B236" s="58" t="s">
        <v>2047</v>
      </c>
      <c r="C236" s="58" t="s">
        <v>27</v>
      </c>
      <c r="D236" s="58" t="s">
        <v>2048</v>
      </c>
      <c r="E236" s="58" t="s">
        <v>148</v>
      </c>
      <c r="F236" s="58"/>
      <c r="G236" s="58" t="s">
        <v>30</v>
      </c>
      <c r="H236" s="59">
        <v>2000</v>
      </c>
      <c r="I236" s="160">
        <v>400</v>
      </c>
      <c r="J236" s="48" t="s">
        <v>31</v>
      </c>
      <c r="K236" s="48" t="s">
        <v>32</v>
      </c>
      <c r="L236" s="2"/>
      <c r="M236" s="126">
        <v>400</v>
      </c>
    </row>
    <row r="237" spans="1:17" ht="15.75" customHeight="1">
      <c r="A237" s="61">
        <v>13</v>
      </c>
      <c r="B237" s="62" t="s">
        <v>2049</v>
      </c>
      <c r="C237" s="62" t="s">
        <v>27</v>
      </c>
      <c r="D237" s="62" t="s">
        <v>604</v>
      </c>
      <c r="E237" s="62" t="s">
        <v>51</v>
      </c>
      <c r="F237" s="62"/>
      <c r="G237" s="62" t="s">
        <v>30</v>
      </c>
      <c r="H237" s="63">
        <v>12000</v>
      </c>
      <c r="I237" s="159">
        <v>2400</v>
      </c>
      <c r="J237" s="48" t="s">
        <v>31</v>
      </c>
      <c r="K237" s="48" t="s">
        <v>32</v>
      </c>
      <c r="L237" s="2"/>
      <c r="M237" s="126">
        <v>2500</v>
      </c>
    </row>
    <row r="238" spans="1:17" ht="15.75" customHeight="1">
      <c r="A238" s="61">
        <v>13</v>
      </c>
      <c r="B238" s="48" t="s">
        <v>2050</v>
      </c>
      <c r="C238" s="48" t="s">
        <v>39</v>
      </c>
      <c r="D238" s="48" t="s">
        <v>2048</v>
      </c>
      <c r="E238" s="48" t="s">
        <v>148</v>
      </c>
      <c r="F238" s="48"/>
      <c r="G238" s="48" t="s">
        <v>30</v>
      </c>
      <c r="H238" s="51">
        <v>500</v>
      </c>
      <c r="I238" s="119">
        <v>100</v>
      </c>
      <c r="J238" s="48" t="s">
        <v>31</v>
      </c>
      <c r="K238" s="48" t="s">
        <v>32</v>
      </c>
      <c r="L238" s="2"/>
      <c r="M238" s="126">
        <v>18</v>
      </c>
    </row>
    <row r="239" spans="1:17" ht="15.75" customHeight="1">
      <c r="A239" s="61">
        <v>13</v>
      </c>
      <c r="B239" s="48" t="s">
        <v>2051</v>
      </c>
      <c r="C239" s="48" t="s">
        <v>39</v>
      </c>
      <c r="D239" s="48" t="s">
        <v>1110</v>
      </c>
      <c r="E239" s="48" t="s">
        <v>79</v>
      </c>
      <c r="F239" s="48"/>
      <c r="G239" s="48" t="s">
        <v>30</v>
      </c>
      <c r="H239" s="51">
        <v>1000</v>
      </c>
      <c r="I239" s="119">
        <v>200</v>
      </c>
      <c r="J239" s="48" t="s">
        <v>31</v>
      </c>
      <c r="K239" s="48" t="s">
        <v>32</v>
      </c>
      <c r="L239" s="2"/>
      <c r="M239" s="126">
        <v>200</v>
      </c>
    </row>
    <row r="240" spans="1:17" ht="15.75" customHeight="1">
      <c r="A240" s="61">
        <v>13</v>
      </c>
      <c r="B240" s="48" t="s">
        <v>2052</v>
      </c>
      <c r="C240" s="48" t="s">
        <v>27</v>
      </c>
      <c r="D240" s="48" t="s">
        <v>2053</v>
      </c>
      <c r="E240" s="48" t="s">
        <v>86</v>
      </c>
      <c r="F240" s="48"/>
      <c r="G240" s="48" t="s">
        <v>30</v>
      </c>
      <c r="H240" s="51">
        <v>500</v>
      </c>
      <c r="I240" s="119">
        <v>100</v>
      </c>
      <c r="J240" s="48" t="s">
        <v>31</v>
      </c>
      <c r="K240" s="48" t="s">
        <v>32</v>
      </c>
      <c r="L240" s="2"/>
      <c r="M240" s="126">
        <v>18</v>
      </c>
      <c r="P240" s="783" t="s">
        <v>2054</v>
      </c>
      <c r="Q240" s="719"/>
    </row>
    <row r="241" spans="1:19" ht="15.75" customHeight="1">
      <c r="A241" s="61">
        <v>13</v>
      </c>
      <c r="B241" s="48" t="s">
        <v>2055</v>
      </c>
      <c r="C241" s="48" t="s">
        <v>27</v>
      </c>
      <c r="D241" s="48" t="s">
        <v>139</v>
      </c>
      <c r="E241" s="48" t="s">
        <v>140</v>
      </c>
      <c r="F241" s="48"/>
      <c r="G241" s="48" t="s">
        <v>30</v>
      </c>
      <c r="H241" s="51">
        <v>500</v>
      </c>
      <c r="I241" s="119">
        <v>100</v>
      </c>
      <c r="J241" s="48" t="s">
        <v>31</v>
      </c>
      <c r="K241" s="48" t="s">
        <v>32</v>
      </c>
      <c r="L241" s="2"/>
      <c r="M241" s="126">
        <v>50</v>
      </c>
      <c r="P241" s="751" t="s">
        <v>25</v>
      </c>
      <c r="Q241" s="719"/>
    </row>
    <row r="242" spans="1:19" ht="15.75" customHeight="1">
      <c r="A242" s="61">
        <v>13</v>
      </c>
      <c r="B242" s="48" t="s">
        <v>2056</v>
      </c>
      <c r="C242" s="48" t="s">
        <v>27</v>
      </c>
      <c r="D242" s="48" t="s">
        <v>1431</v>
      </c>
      <c r="E242" s="48" t="s">
        <v>44</v>
      </c>
      <c r="F242" s="48"/>
      <c r="G242" s="48" t="s">
        <v>30</v>
      </c>
      <c r="H242" s="51">
        <v>500</v>
      </c>
      <c r="I242" s="119">
        <v>100</v>
      </c>
      <c r="J242" s="48" t="s">
        <v>31</v>
      </c>
      <c r="K242" s="48" t="s">
        <v>32</v>
      </c>
      <c r="L242" s="2"/>
      <c r="M242" s="126">
        <v>150</v>
      </c>
      <c r="P242" s="363" t="s">
        <v>33</v>
      </c>
      <c r="Q242" s="364">
        <v>133950</v>
      </c>
      <c r="R242" s="55">
        <f>SUM(H149:H150,H152,H154,H156:H175,H178:H179,H182,H184,H186:H190,H191,H195:H202,H204:H215,H218,H222:H223,H225:H228,H230,H232:H249)</f>
        <v>133950</v>
      </c>
    </row>
    <row r="243" spans="1:19" ht="15.75" customHeight="1">
      <c r="A243" s="61">
        <v>13</v>
      </c>
      <c r="B243" s="48" t="s">
        <v>1581</v>
      </c>
      <c r="C243" s="48" t="s">
        <v>27</v>
      </c>
      <c r="D243" s="48" t="s">
        <v>2044</v>
      </c>
      <c r="E243" s="48" t="s">
        <v>79</v>
      </c>
      <c r="F243" s="48"/>
      <c r="G243" s="48" t="s">
        <v>30</v>
      </c>
      <c r="H243" s="51">
        <v>1500</v>
      </c>
      <c r="I243" s="119">
        <v>300</v>
      </c>
      <c r="J243" s="48" t="s">
        <v>31</v>
      </c>
      <c r="K243" s="48" t="s">
        <v>32</v>
      </c>
      <c r="L243" s="2"/>
      <c r="M243" s="126">
        <v>300</v>
      </c>
      <c r="P243" s="363" t="s">
        <v>37</v>
      </c>
      <c r="Q243" s="364">
        <v>7300</v>
      </c>
      <c r="R243" s="55">
        <v>7300</v>
      </c>
      <c r="S243" s="55"/>
    </row>
    <row r="244" spans="1:19" ht="15.75" customHeight="1">
      <c r="A244" s="61">
        <v>13</v>
      </c>
      <c r="B244" s="48" t="s">
        <v>2057</v>
      </c>
      <c r="C244" s="48" t="s">
        <v>39</v>
      </c>
      <c r="D244" s="48" t="s">
        <v>301</v>
      </c>
      <c r="E244" s="48" t="s">
        <v>51</v>
      </c>
      <c r="F244" s="48"/>
      <c r="G244" s="48" t="s">
        <v>30</v>
      </c>
      <c r="H244" s="51">
        <v>2000</v>
      </c>
      <c r="I244" s="119">
        <v>400</v>
      </c>
      <c r="J244" s="48" t="s">
        <v>31</v>
      </c>
      <c r="K244" s="48" t="s">
        <v>32</v>
      </c>
      <c r="L244" s="2"/>
      <c r="M244" s="126">
        <v>300</v>
      </c>
      <c r="P244" s="365" t="s">
        <v>576</v>
      </c>
      <c r="Q244" s="366">
        <v>141250</v>
      </c>
      <c r="R244" s="55">
        <f>SUM(R242:R243)</f>
        <v>141250</v>
      </c>
    </row>
    <row r="245" spans="1:19" ht="15.75" customHeight="1">
      <c r="A245" s="61">
        <v>13</v>
      </c>
      <c r="B245" s="48" t="s">
        <v>2058</v>
      </c>
      <c r="C245" s="48" t="s">
        <v>39</v>
      </c>
      <c r="D245" s="48" t="s">
        <v>886</v>
      </c>
      <c r="E245" s="48" t="s">
        <v>86</v>
      </c>
      <c r="F245" s="48"/>
      <c r="G245" s="48" t="s">
        <v>30</v>
      </c>
      <c r="H245" s="51">
        <v>200</v>
      </c>
      <c r="I245" s="119">
        <v>40</v>
      </c>
      <c r="J245" s="48" t="s">
        <v>31</v>
      </c>
      <c r="K245" s="48" t="s">
        <v>32</v>
      </c>
      <c r="L245" s="2"/>
      <c r="M245" s="126">
        <v>20</v>
      </c>
      <c r="P245" s="751" t="s">
        <v>286</v>
      </c>
      <c r="Q245" s="719"/>
    </row>
    <row r="246" spans="1:19" ht="15.75" customHeight="1">
      <c r="A246" s="61">
        <v>13</v>
      </c>
      <c r="B246" s="48" t="s">
        <v>1175</v>
      </c>
      <c r="C246" s="48" t="s">
        <v>27</v>
      </c>
      <c r="D246" s="48" t="s">
        <v>666</v>
      </c>
      <c r="E246" s="48" t="s">
        <v>36</v>
      </c>
      <c r="F246" s="48"/>
      <c r="G246" s="48" t="s">
        <v>30</v>
      </c>
      <c r="H246" s="51">
        <v>500</v>
      </c>
      <c r="I246" s="119">
        <v>100</v>
      </c>
      <c r="J246" s="48" t="s">
        <v>31</v>
      </c>
      <c r="K246" s="48" t="s">
        <v>32</v>
      </c>
      <c r="L246" s="2"/>
      <c r="M246" s="126">
        <v>100</v>
      </c>
      <c r="P246" s="363" t="s">
        <v>580</v>
      </c>
      <c r="Q246" s="363">
        <v>125</v>
      </c>
    </row>
    <row r="247" spans="1:19" ht="15.75" customHeight="1">
      <c r="A247" s="61">
        <v>13</v>
      </c>
      <c r="B247" s="48" t="s">
        <v>2059</v>
      </c>
      <c r="C247" s="48" t="s">
        <v>27</v>
      </c>
      <c r="D247" s="48" t="s">
        <v>264</v>
      </c>
      <c r="E247" s="48" t="s">
        <v>245</v>
      </c>
      <c r="F247" s="48"/>
      <c r="G247" s="48" t="s">
        <v>30</v>
      </c>
      <c r="H247" s="51">
        <v>100</v>
      </c>
      <c r="I247" s="119">
        <v>20</v>
      </c>
      <c r="J247" s="48" t="s">
        <v>31</v>
      </c>
      <c r="K247" s="48" t="s">
        <v>32</v>
      </c>
      <c r="L247" s="2"/>
      <c r="M247" s="126">
        <v>50</v>
      </c>
      <c r="P247" s="363" t="s">
        <v>589</v>
      </c>
      <c r="Q247" s="363">
        <v>20</v>
      </c>
    </row>
    <row r="248" spans="1:19" ht="15.75" customHeight="1">
      <c r="A248" s="61">
        <v>13</v>
      </c>
      <c r="B248" s="48" t="s">
        <v>2060</v>
      </c>
      <c r="C248" s="48" t="s">
        <v>27</v>
      </c>
      <c r="D248" s="48" t="s">
        <v>1103</v>
      </c>
      <c r="E248" s="48" t="s">
        <v>2040</v>
      </c>
      <c r="F248" s="48"/>
      <c r="G248" s="48" t="s">
        <v>30</v>
      </c>
      <c r="H248" s="51">
        <v>1000</v>
      </c>
      <c r="I248" s="119">
        <v>200</v>
      </c>
      <c r="J248" s="48" t="s">
        <v>31</v>
      </c>
      <c r="K248" s="48" t="s">
        <v>32</v>
      </c>
      <c r="L248" s="2"/>
      <c r="M248" s="126">
        <v>200</v>
      </c>
      <c r="P248" s="365" t="s">
        <v>576</v>
      </c>
      <c r="Q248" s="366">
        <v>145</v>
      </c>
    </row>
    <row r="249" spans="1:19" ht="15.75" customHeight="1">
      <c r="A249" s="65">
        <v>13</v>
      </c>
      <c r="B249" s="58" t="s">
        <v>2061</v>
      </c>
      <c r="C249" s="58" t="s">
        <v>27</v>
      </c>
      <c r="D249" s="58" t="s">
        <v>108</v>
      </c>
      <c r="E249" s="58" t="s">
        <v>86</v>
      </c>
      <c r="F249" s="58"/>
      <c r="G249" s="58" t="s">
        <v>30</v>
      </c>
      <c r="H249" s="59">
        <v>1000</v>
      </c>
      <c r="I249" s="160">
        <v>200</v>
      </c>
      <c r="J249" s="48" t="s">
        <v>31</v>
      </c>
      <c r="K249" s="48" t="s">
        <v>32</v>
      </c>
      <c r="L249" s="2"/>
      <c r="M249" s="126">
        <v>200</v>
      </c>
    </row>
    <row r="250" spans="1:19" ht="15.75" customHeight="1">
      <c r="A250" s="61">
        <v>14</v>
      </c>
      <c r="B250" s="62" t="s">
        <v>2062</v>
      </c>
      <c r="C250" s="62" t="s">
        <v>27</v>
      </c>
      <c r="D250" s="62" t="s">
        <v>424</v>
      </c>
      <c r="E250" s="62" t="s">
        <v>245</v>
      </c>
      <c r="F250" s="62"/>
      <c r="G250" s="62" t="s">
        <v>30</v>
      </c>
      <c r="H250" s="63">
        <v>200</v>
      </c>
      <c r="I250" s="159">
        <v>40</v>
      </c>
      <c r="J250" s="48" t="s">
        <v>31</v>
      </c>
      <c r="K250" s="48" t="s">
        <v>32</v>
      </c>
      <c r="L250" s="2"/>
      <c r="M250" s="126">
        <v>50</v>
      </c>
    </row>
    <row r="251" spans="1:19" ht="15.75" customHeight="1">
      <c r="A251" s="61">
        <v>14</v>
      </c>
      <c r="B251" s="48" t="s">
        <v>2063</v>
      </c>
      <c r="C251" s="48" t="s">
        <v>27</v>
      </c>
      <c r="D251" s="48" t="s">
        <v>1320</v>
      </c>
      <c r="E251" s="48" t="s">
        <v>44</v>
      </c>
      <c r="F251" s="48"/>
      <c r="G251" s="48" t="s">
        <v>30</v>
      </c>
      <c r="H251" s="51">
        <v>500</v>
      </c>
      <c r="I251" s="119">
        <v>100</v>
      </c>
      <c r="J251" s="48" t="s">
        <v>31</v>
      </c>
      <c r="K251" s="48" t="s">
        <v>32</v>
      </c>
      <c r="L251" s="2"/>
      <c r="M251" s="126">
        <v>100</v>
      </c>
    </row>
    <row r="252" spans="1:19" ht="15.75" customHeight="1">
      <c r="A252" s="61">
        <v>14</v>
      </c>
      <c r="B252" s="48" t="s">
        <v>1881</v>
      </c>
      <c r="C252" s="48" t="s">
        <v>27</v>
      </c>
      <c r="D252" s="48" t="s">
        <v>128</v>
      </c>
      <c r="E252" s="48" t="s">
        <v>44</v>
      </c>
      <c r="F252" s="48"/>
      <c r="G252" s="48" t="s">
        <v>30</v>
      </c>
      <c r="H252" s="51">
        <v>200</v>
      </c>
      <c r="I252" s="119">
        <v>40</v>
      </c>
      <c r="J252" s="48" t="s">
        <v>31</v>
      </c>
      <c r="K252" s="48" t="s">
        <v>32</v>
      </c>
      <c r="L252" s="2"/>
      <c r="M252" s="126">
        <v>50</v>
      </c>
    </row>
    <row r="253" spans="1:19" ht="15.75" customHeight="1">
      <c r="A253" s="61">
        <v>14</v>
      </c>
      <c r="B253" s="48" t="s">
        <v>2064</v>
      </c>
      <c r="C253" s="48" t="s">
        <v>39</v>
      </c>
      <c r="D253" s="48" t="s">
        <v>1431</v>
      </c>
      <c r="E253" s="48" t="s">
        <v>44</v>
      </c>
      <c r="F253" s="48"/>
      <c r="G253" s="48" t="s">
        <v>30</v>
      </c>
      <c r="H253" s="51">
        <v>100</v>
      </c>
      <c r="I253" s="119">
        <v>20</v>
      </c>
      <c r="J253" s="48" t="s">
        <v>31</v>
      </c>
      <c r="K253" s="48" t="s">
        <v>32</v>
      </c>
      <c r="L253" s="2"/>
      <c r="M253" s="126">
        <v>30</v>
      </c>
    </row>
    <row r="254" spans="1:19" ht="15.75" customHeight="1">
      <c r="A254" s="61">
        <v>14</v>
      </c>
      <c r="B254" s="48" t="s">
        <v>2065</v>
      </c>
      <c r="C254" s="48" t="s">
        <v>39</v>
      </c>
      <c r="D254" s="48" t="s">
        <v>104</v>
      </c>
      <c r="E254" s="48" t="s">
        <v>36</v>
      </c>
      <c r="F254" s="48"/>
      <c r="G254" s="48" t="s">
        <v>30</v>
      </c>
      <c r="H254" s="51">
        <v>1500</v>
      </c>
      <c r="I254" s="119">
        <v>300</v>
      </c>
      <c r="J254" s="48" t="s">
        <v>31</v>
      </c>
      <c r="K254" s="48" t="s">
        <v>32</v>
      </c>
      <c r="L254" s="2"/>
      <c r="M254" s="126">
        <v>300</v>
      </c>
    </row>
    <row r="255" spans="1:19" ht="15.75" customHeight="1">
      <c r="A255" s="61">
        <v>14</v>
      </c>
      <c r="B255" s="48" t="s">
        <v>2066</v>
      </c>
      <c r="C255" s="48" t="s">
        <v>27</v>
      </c>
      <c r="D255" s="48" t="s">
        <v>193</v>
      </c>
      <c r="E255" s="48" t="s">
        <v>36</v>
      </c>
      <c r="F255" s="48"/>
      <c r="G255" s="48" t="s">
        <v>30</v>
      </c>
      <c r="H255" s="51">
        <v>500</v>
      </c>
      <c r="I255" s="119" t="s">
        <v>1586</v>
      </c>
      <c r="J255" s="48" t="s">
        <v>31</v>
      </c>
      <c r="K255" s="48" t="s">
        <v>32</v>
      </c>
      <c r="L255" s="2"/>
      <c r="M255" s="126">
        <v>200</v>
      </c>
    </row>
    <row r="256" spans="1:19" ht="15.75" customHeight="1">
      <c r="A256" s="61">
        <v>14</v>
      </c>
      <c r="B256" s="48" t="s">
        <v>2066</v>
      </c>
      <c r="C256" s="48" t="s">
        <v>27</v>
      </c>
      <c r="D256" s="48" t="s">
        <v>193</v>
      </c>
      <c r="E256" s="48" t="s">
        <v>36</v>
      </c>
      <c r="F256" s="48"/>
      <c r="G256" s="48" t="s">
        <v>30</v>
      </c>
      <c r="H256" s="51">
        <v>1500</v>
      </c>
      <c r="I256" s="119">
        <v>300</v>
      </c>
      <c r="J256" s="48" t="s">
        <v>31</v>
      </c>
      <c r="K256" s="48" t="s">
        <v>32</v>
      </c>
      <c r="L256" s="2"/>
    </row>
    <row r="257" spans="1:20" ht="15.75" customHeight="1">
      <c r="A257" s="61">
        <v>14</v>
      </c>
      <c r="B257" s="48" t="s">
        <v>1933</v>
      </c>
      <c r="C257" s="48" t="s">
        <v>27</v>
      </c>
      <c r="D257" s="48" t="s">
        <v>114</v>
      </c>
      <c r="E257" s="48" t="s">
        <v>44</v>
      </c>
      <c r="F257" s="48"/>
      <c r="G257" s="48" t="s">
        <v>30</v>
      </c>
      <c r="H257" s="51">
        <v>1000</v>
      </c>
      <c r="I257" s="119">
        <v>200</v>
      </c>
      <c r="J257" s="48" t="s">
        <v>31</v>
      </c>
      <c r="K257" s="48" t="s">
        <v>32</v>
      </c>
      <c r="L257" s="2"/>
      <c r="M257" s="126">
        <v>200</v>
      </c>
    </row>
    <row r="258" spans="1:20" ht="15.75" customHeight="1">
      <c r="A258" s="61">
        <v>14</v>
      </c>
      <c r="B258" s="48" t="s">
        <v>2067</v>
      </c>
      <c r="C258" s="48" t="s">
        <v>27</v>
      </c>
      <c r="D258" s="48" t="s">
        <v>1394</v>
      </c>
      <c r="E258" s="48" t="s">
        <v>245</v>
      </c>
      <c r="F258" s="48"/>
      <c r="G258" s="48" t="s">
        <v>30</v>
      </c>
      <c r="H258" s="51">
        <v>300</v>
      </c>
      <c r="I258" s="119">
        <v>60</v>
      </c>
      <c r="J258" s="48" t="s">
        <v>31</v>
      </c>
      <c r="K258" s="48" t="s">
        <v>32</v>
      </c>
      <c r="L258" s="2"/>
      <c r="M258" s="126">
        <v>150</v>
      </c>
    </row>
    <row r="259" spans="1:20" ht="15.75" customHeight="1">
      <c r="A259" s="61">
        <v>14</v>
      </c>
      <c r="B259" s="48" t="s">
        <v>2068</v>
      </c>
      <c r="C259" s="48" t="s">
        <v>27</v>
      </c>
      <c r="D259" s="48" t="s">
        <v>756</v>
      </c>
      <c r="E259" s="48" t="s">
        <v>36</v>
      </c>
      <c r="F259" s="48"/>
      <c r="G259" s="48" t="s">
        <v>30</v>
      </c>
      <c r="H259" s="51">
        <v>500</v>
      </c>
      <c r="I259" s="119">
        <v>100</v>
      </c>
      <c r="J259" s="48" t="s">
        <v>31</v>
      </c>
      <c r="K259" s="48" t="s">
        <v>32</v>
      </c>
      <c r="L259" s="2"/>
      <c r="M259" s="126">
        <v>100</v>
      </c>
    </row>
    <row r="260" spans="1:20" ht="15.75" customHeight="1">
      <c r="A260" s="61">
        <v>14</v>
      </c>
      <c r="B260" s="48" t="s">
        <v>2069</v>
      </c>
      <c r="C260" s="48" t="s">
        <v>27</v>
      </c>
      <c r="D260" s="48" t="s">
        <v>2070</v>
      </c>
      <c r="E260" s="48" t="s">
        <v>84</v>
      </c>
      <c r="F260" s="48"/>
      <c r="G260" s="48" t="s">
        <v>30</v>
      </c>
      <c r="H260" s="51">
        <v>3000</v>
      </c>
      <c r="I260" s="119">
        <v>600</v>
      </c>
      <c r="J260" s="48" t="s">
        <v>31</v>
      </c>
      <c r="K260" s="48" t="s">
        <v>32</v>
      </c>
      <c r="L260" s="2"/>
      <c r="M260" s="126">
        <v>2400</v>
      </c>
    </row>
    <row r="261" spans="1:20" ht="15.75" customHeight="1">
      <c r="A261" s="61">
        <v>14</v>
      </c>
      <c r="B261" s="48" t="s">
        <v>2071</v>
      </c>
      <c r="C261" s="48" t="s">
        <v>27</v>
      </c>
      <c r="D261" s="48" t="s">
        <v>666</v>
      </c>
      <c r="E261" s="48" t="s">
        <v>86</v>
      </c>
      <c r="F261" s="48"/>
      <c r="G261" s="48" t="s">
        <v>30</v>
      </c>
      <c r="H261" s="51">
        <v>500</v>
      </c>
      <c r="I261" s="119">
        <v>100</v>
      </c>
      <c r="J261" s="48" t="s">
        <v>31</v>
      </c>
      <c r="K261" s="48" t="s">
        <v>32</v>
      </c>
      <c r="L261" s="2"/>
      <c r="M261" s="126">
        <v>80</v>
      </c>
    </row>
    <row r="262" spans="1:20" ht="15.75" customHeight="1">
      <c r="A262" s="61">
        <v>14</v>
      </c>
      <c r="B262" s="48" t="s">
        <v>2072</v>
      </c>
      <c r="C262" s="48" t="s">
        <v>27</v>
      </c>
      <c r="D262" s="48" t="s">
        <v>1110</v>
      </c>
      <c r="E262" s="48" t="s">
        <v>209</v>
      </c>
      <c r="F262" s="48"/>
      <c r="G262" s="48" t="s">
        <v>30</v>
      </c>
      <c r="H262" s="51">
        <v>2000</v>
      </c>
      <c r="I262" s="119">
        <v>400</v>
      </c>
      <c r="J262" s="48" t="s">
        <v>31</v>
      </c>
      <c r="K262" s="48" t="s">
        <v>32</v>
      </c>
      <c r="L262" s="2"/>
      <c r="M262" s="126">
        <v>400</v>
      </c>
    </row>
    <row r="263" spans="1:20" ht="15.75" customHeight="1">
      <c r="A263" s="65">
        <v>14</v>
      </c>
      <c r="B263" s="58" t="s">
        <v>2073</v>
      </c>
      <c r="C263" s="58" t="s">
        <v>27</v>
      </c>
      <c r="D263" s="58" t="s">
        <v>266</v>
      </c>
      <c r="E263" s="58" t="s">
        <v>79</v>
      </c>
      <c r="F263" s="58"/>
      <c r="G263" s="58" t="s">
        <v>30</v>
      </c>
      <c r="H263" s="59">
        <v>200</v>
      </c>
      <c r="I263" s="160">
        <v>40</v>
      </c>
      <c r="J263" s="48" t="s">
        <v>31</v>
      </c>
      <c r="K263" s="48" t="s">
        <v>32</v>
      </c>
      <c r="L263" s="2"/>
      <c r="M263" s="126">
        <v>40</v>
      </c>
    </row>
    <row r="264" spans="1:20" ht="15.75" customHeight="1">
      <c r="A264" s="61">
        <v>15</v>
      </c>
      <c r="B264" s="62" t="s">
        <v>2074</v>
      </c>
      <c r="C264" s="62" t="s">
        <v>27</v>
      </c>
      <c r="D264" s="62" t="s">
        <v>108</v>
      </c>
      <c r="E264" s="62" t="s">
        <v>36</v>
      </c>
      <c r="F264" s="62"/>
      <c r="G264" s="62" t="s">
        <v>30</v>
      </c>
      <c r="H264" s="63">
        <v>2000</v>
      </c>
      <c r="I264" s="159">
        <v>400</v>
      </c>
      <c r="J264" s="48" t="s">
        <v>31</v>
      </c>
      <c r="K264" s="48" t="s">
        <v>32</v>
      </c>
      <c r="L264" s="2"/>
      <c r="M264" s="126">
        <v>400</v>
      </c>
    </row>
    <row r="265" spans="1:20" ht="15.75" customHeight="1">
      <c r="A265" s="61">
        <v>15</v>
      </c>
      <c r="B265" s="48" t="s">
        <v>2075</v>
      </c>
      <c r="C265" s="48" t="s">
        <v>27</v>
      </c>
      <c r="D265" s="48" t="s">
        <v>2076</v>
      </c>
      <c r="E265" s="48" t="s">
        <v>73</v>
      </c>
      <c r="F265" s="48"/>
      <c r="G265" s="48" t="s">
        <v>30</v>
      </c>
      <c r="H265" s="51">
        <v>100</v>
      </c>
      <c r="I265" s="119">
        <v>30</v>
      </c>
      <c r="J265" s="48" t="s">
        <v>31</v>
      </c>
      <c r="K265" s="48" t="s">
        <v>32</v>
      </c>
      <c r="L265" s="2"/>
      <c r="M265" s="126">
        <v>30</v>
      </c>
    </row>
    <row r="266" spans="1:20" ht="15.75" customHeight="1">
      <c r="A266" s="61">
        <v>15</v>
      </c>
      <c r="B266" s="48" t="s">
        <v>2077</v>
      </c>
      <c r="C266" s="48" t="s">
        <v>27</v>
      </c>
      <c r="D266" s="48" t="s">
        <v>804</v>
      </c>
      <c r="E266" s="48" t="s">
        <v>41</v>
      </c>
      <c r="F266" s="48"/>
      <c r="G266" s="48" t="s">
        <v>30</v>
      </c>
      <c r="H266" s="51">
        <v>500</v>
      </c>
      <c r="I266" s="119">
        <v>100</v>
      </c>
      <c r="J266" s="48" t="s">
        <v>31</v>
      </c>
      <c r="K266" s="48" t="s">
        <v>32</v>
      </c>
      <c r="L266" s="2"/>
      <c r="M266" s="126">
        <v>100</v>
      </c>
    </row>
    <row r="267" spans="1:20" ht="15.75" customHeight="1">
      <c r="A267" s="61">
        <v>15</v>
      </c>
      <c r="B267" s="48" t="s">
        <v>2078</v>
      </c>
      <c r="C267" s="48" t="s">
        <v>27</v>
      </c>
      <c r="D267" s="48" t="s">
        <v>1431</v>
      </c>
      <c r="E267" s="48" t="s">
        <v>44</v>
      </c>
      <c r="F267" s="48"/>
      <c r="G267" s="48" t="s">
        <v>30</v>
      </c>
      <c r="H267" s="51">
        <v>500</v>
      </c>
      <c r="I267" s="119">
        <v>150</v>
      </c>
      <c r="J267" s="48" t="s">
        <v>31</v>
      </c>
      <c r="K267" s="48" t="s">
        <v>32</v>
      </c>
      <c r="L267" s="2"/>
      <c r="M267" s="126">
        <v>1600</v>
      </c>
    </row>
    <row r="268" spans="1:20" ht="15.75" customHeight="1">
      <c r="A268" s="61">
        <v>15</v>
      </c>
      <c r="B268" s="48" t="s">
        <v>2079</v>
      </c>
      <c r="C268" s="48" t="s">
        <v>27</v>
      </c>
      <c r="D268" s="48" t="s">
        <v>108</v>
      </c>
      <c r="E268" s="48" t="s">
        <v>36</v>
      </c>
      <c r="F268" s="48"/>
      <c r="G268" s="48" t="s">
        <v>30</v>
      </c>
      <c r="H268" s="51">
        <v>1500</v>
      </c>
      <c r="I268" s="119">
        <v>300</v>
      </c>
      <c r="J268" s="48" t="s">
        <v>31</v>
      </c>
      <c r="K268" s="48" t="s">
        <v>32</v>
      </c>
      <c r="L268" s="2"/>
      <c r="M268" s="126">
        <v>300</v>
      </c>
    </row>
    <row r="269" spans="1:20" ht="15.75" customHeight="1">
      <c r="A269" s="61">
        <v>15</v>
      </c>
      <c r="B269" s="48" t="s">
        <v>2080</v>
      </c>
      <c r="C269" s="48" t="s">
        <v>27</v>
      </c>
      <c r="D269" s="48" t="s">
        <v>2081</v>
      </c>
      <c r="E269" s="48" t="s">
        <v>223</v>
      </c>
      <c r="F269" s="48"/>
      <c r="G269" s="48" t="s">
        <v>30</v>
      </c>
      <c r="H269" s="51">
        <v>1500</v>
      </c>
      <c r="I269" s="119">
        <v>300</v>
      </c>
      <c r="J269" s="48" t="s">
        <v>31</v>
      </c>
      <c r="K269" s="48" t="s">
        <v>32</v>
      </c>
      <c r="L269" s="2"/>
      <c r="M269" s="126">
        <v>300</v>
      </c>
      <c r="P269" s="783" t="s">
        <v>2082</v>
      </c>
      <c r="Q269" s="719"/>
    </row>
    <row r="270" spans="1:20" ht="15.75" customHeight="1">
      <c r="A270" s="61">
        <v>15</v>
      </c>
      <c r="B270" s="48" t="s">
        <v>2083</v>
      </c>
      <c r="C270" s="48" t="s">
        <v>27</v>
      </c>
      <c r="D270" s="48" t="s">
        <v>2084</v>
      </c>
      <c r="E270" s="48" t="s">
        <v>73</v>
      </c>
      <c r="F270" s="48"/>
      <c r="G270" s="48" t="s">
        <v>30</v>
      </c>
      <c r="H270" s="51">
        <v>700</v>
      </c>
      <c r="I270" s="119">
        <v>140</v>
      </c>
      <c r="J270" s="48" t="s">
        <v>31</v>
      </c>
      <c r="K270" s="48" t="s">
        <v>32</v>
      </c>
      <c r="L270" s="2"/>
      <c r="M270" s="126">
        <v>700</v>
      </c>
      <c r="P270" s="751" t="s">
        <v>25</v>
      </c>
      <c r="Q270" s="719"/>
    </row>
    <row r="271" spans="1:20" ht="15.75" customHeight="1">
      <c r="A271" s="61">
        <v>15</v>
      </c>
      <c r="B271" s="48" t="s">
        <v>2085</v>
      </c>
      <c r="C271" s="48" t="s">
        <v>39</v>
      </c>
      <c r="D271" s="48" t="s">
        <v>1083</v>
      </c>
      <c r="E271" s="48" t="s">
        <v>84</v>
      </c>
      <c r="F271" s="48"/>
      <c r="G271" s="48" t="s">
        <v>30</v>
      </c>
      <c r="H271" s="51">
        <v>1000</v>
      </c>
      <c r="I271" s="119">
        <v>200</v>
      </c>
      <c r="J271" s="48" t="s">
        <v>31</v>
      </c>
      <c r="K271" s="48" t="s">
        <v>32</v>
      </c>
      <c r="L271" s="2"/>
      <c r="M271" s="126">
        <v>200</v>
      </c>
      <c r="P271" s="363" t="s">
        <v>33</v>
      </c>
      <c r="Q271" s="364">
        <v>21300</v>
      </c>
      <c r="R271" s="55"/>
    </row>
    <row r="272" spans="1:20" ht="15.75" customHeight="1">
      <c r="A272" s="61">
        <v>15</v>
      </c>
      <c r="B272" s="48" t="s">
        <v>865</v>
      </c>
      <c r="C272" s="48" t="s">
        <v>39</v>
      </c>
      <c r="D272" s="48" t="s">
        <v>866</v>
      </c>
      <c r="E272" s="48" t="s">
        <v>273</v>
      </c>
      <c r="F272" s="48"/>
      <c r="G272" s="48" t="s">
        <v>30</v>
      </c>
      <c r="H272" s="51">
        <v>2000</v>
      </c>
      <c r="I272" s="119">
        <v>400</v>
      </c>
      <c r="J272" s="48" t="s">
        <v>31</v>
      </c>
      <c r="K272" s="48" t="s">
        <v>32</v>
      </c>
      <c r="L272" s="2"/>
      <c r="M272" s="126">
        <v>400</v>
      </c>
      <c r="P272" s="363" t="s">
        <v>37</v>
      </c>
      <c r="Q272" s="364">
        <v>19830</v>
      </c>
      <c r="R272" s="55"/>
      <c r="S272" s="55"/>
      <c r="T272" s="55"/>
    </row>
    <row r="273" spans="1:20" ht="15.75" customHeight="1">
      <c r="A273" s="61">
        <v>15</v>
      </c>
      <c r="B273" s="48" t="s">
        <v>2086</v>
      </c>
      <c r="C273" s="48" t="s">
        <v>27</v>
      </c>
      <c r="D273" s="48" t="s">
        <v>657</v>
      </c>
      <c r="E273" s="48" t="s">
        <v>245</v>
      </c>
      <c r="F273" s="48"/>
      <c r="G273" s="48" t="s">
        <v>30</v>
      </c>
      <c r="H273" s="51">
        <v>50</v>
      </c>
      <c r="I273" s="119" t="s">
        <v>1586</v>
      </c>
      <c r="J273" s="48" t="s">
        <v>31</v>
      </c>
      <c r="K273" s="48" t="s">
        <v>32</v>
      </c>
      <c r="L273" s="2"/>
      <c r="M273" s="126">
        <v>20</v>
      </c>
      <c r="P273" s="365" t="s">
        <v>576</v>
      </c>
      <c r="Q273" s="366">
        <v>41130</v>
      </c>
      <c r="R273" s="55"/>
      <c r="T273" s="55"/>
    </row>
    <row r="274" spans="1:20" ht="15.75" customHeight="1">
      <c r="A274" s="61">
        <v>15</v>
      </c>
      <c r="B274" s="48" t="s">
        <v>2087</v>
      </c>
      <c r="C274" s="48" t="s">
        <v>27</v>
      </c>
      <c r="D274" s="48" t="s">
        <v>804</v>
      </c>
      <c r="E274" s="48" t="s">
        <v>145</v>
      </c>
      <c r="F274" s="48"/>
      <c r="G274" s="48" t="s">
        <v>30</v>
      </c>
      <c r="H274" s="51">
        <v>500</v>
      </c>
      <c r="I274" s="119" t="s">
        <v>1586</v>
      </c>
      <c r="J274" s="48" t="s">
        <v>31</v>
      </c>
      <c r="K274" s="48" t="s">
        <v>32</v>
      </c>
      <c r="L274" s="2"/>
      <c r="M274" s="126">
        <v>100</v>
      </c>
    </row>
    <row r="275" spans="1:20" ht="15.75" customHeight="1">
      <c r="A275" s="369">
        <v>15</v>
      </c>
      <c r="B275" s="58" t="s">
        <v>2088</v>
      </c>
      <c r="C275" s="58" t="s">
        <v>27</v>
      </c>
      <c r="D275" s="58" t="s">
        <v>804</v>
      </c>
      <c r="E275" s="58" t="s">
        <v>145</v>
      </c>
      <c r="F275" s="58"/>
      <c r="G275" s="58" t="s">
        <v>30</v>
      </c>
      <c r="H275" s="59">
        <v>500</v>
      </c>
      <c r="I275" s="160" t="s">
        <v>1586</v>
      </c>
      <c r="J275" s="48" t="s">
        <v>31</v>
      </c>
      <c r="K275" s="48" t="s">
        <v>32</v>
      </c>
      <c r="L275" s="2"/>
      <c r="M275" s="126">
        <v>100</v>
      </c>
      <c r="R275" s="55"/>
    </row>
    <row r="276" spans="1:20" ht="15.75" customHeight="1">
      <c r="A276" s="61">
        <v>15</v>
      </c>
      <c r="B276" s="62" t="s">
        <v>2089</v>
      </c>
      <c r="C276" s="62" t="s">
        <v>27</v>
      </c>
      <c r="D276" s="62" t="s">
        <v>2090</v>
      </c>
      <c r="E276" s="62" t="s">
        <v>84</v>
      </c>
      <c r="F276" s="62"/>
      <c r="G276" s="62" t="s">
        <v>30</v>
      </c>
      <c r="H276" s="63">
        <v>200</v>
      </c>
      <c r="I276" s="159">
        <v>40</v>
      </c>
      <c r="J276" s="48" t="s">
        <v>31</v>
      </c>
      <c r="K276" s="48" t="s">
        <v>32</v>
      </c>
      <c r="L276" s="2"/>
      <c r="M276" s="126">
        <v>50</v>
      </c>
    </row>
    <row r="277" spans="1:20" ht="15.75" customHeight="1">
      <c r="A277" s="50">
        <v>15</v>
      </c>
      <c r="B277" s="48" t="s">
        <v>2091</v>
      </c>
      <c r="C277" s="48" t="s">
        <v>27</v>
      </c>
      <c r="D277" s="48" t="s">
        <v>2092</v>
      </c>
      <c r="E277" s="48" t="s">
        <v>1291</v>
      </c>
      <c r="F277" s="48"/>
      <c r="G277" s="48" t="s">
        <v>30</v>
      </c>
      <c r="H277" s="51">
        <v>300</v>
      </c>
      <c r="I277" s="119">
        <v>60</v>
      </c>
      <c r="J277" s="48" t="s">
        <v>31</v>
      </c>
      <c r="K277" s="48" t="s">
        <v>32</v>
      </c>
      <c r="L277" s="2"/>
      <c r="M277" s="126">
        <v>60</v>
      </c>
    </row>
    <row r="278" spans="1:20" ht="15.75" customHeight="1">
      <c r="A278" s="50">
        <v>15</v>
      </c>
      <c r="B278" s="48" t="s">
        <v>2093</v>
      </c>
      <c r="C278" s="48" t="s">
        <v>27</v>
      </c>
      <c r="D278" s="48" t="s">
        <v>1500</v>
      </c>
      <c r="E278" s="48" t="s">
        <v>148</v>
      </c>
      <c r="F278" s="48"/>
      <c r="G278" s="48" t="s">
        <v>30</v>
      </c>
      <c r="H278" s="51">
        <v>200</v>
      </c>
      <c r="I278" s="119">
        <v>40</v>
      </c>
      <c r="J278" s="48" t="s">
        <v>31</v>
      </c>
      <c r="K278" s="48" t="s">
        <v>32</v>
      </c>
      <c r="L278" s="2"/>
      <c r="M278" s="126">
        <v>40</v>
      </c>
    </row>
    <row r="279" spans="1:20" ht="15.75" customHeight="1">
      <c r="A279" s="50">
        <v>15</v>
      </c>
      <c r="B279" s="48" t="s">
        <v>2094</v>
      </c>
      <c r="C279" s="48" t="s">
        <v>39</v>
      </c>
      <c r="D279" s="48" t="s">
        <v>165</v>
      </c>
      <c r="E279" s="48" t="s">
        <v>84</v>
      </c>
      <c r="F279" s="48"/>
      <c r="G279" s="48" t="s">
        <v>30</v>
      </c>
      <c r="H279" s="51">
        <v>300</v>
      </c>
      <c r="I279" s="119">
        <v>60</v>
      </c>
      <c r="J279" s="48" t="s">
        <v>31</v>
      </c>
      <c r="K279" s="48" t="s">
        <v>32</v>
      </c>
      <c r="L279" s="2"/>
      <c r="M279" s="126">
        <v>60</v>
      </c>
    </row>
    <row r="280" spans="1:20" ht="15.75" customHeight="1">
      <c r="A280" s="50">
        <v>15</v>
      </c>
      <c r="B280" s="48" t="s">
        <v>2095</v>
      </c>
      <c r="C280" s="48" t="s">
        <v>27</v>
      </c>
      <c r="D280" s="48" t="s">
        <v>1120</v>
      </c>
      <c r="E280" s="48" t="s">
        <v>84</v>
      </c>
      <c r="F280" s="48"/>
      <c r="G280" s="48" t="s">
        <v>30</v>
      </c>
      <c r="H280" s="51">
        <v>200</v>
      </c>
      <c r="I280" s="119">
        <v>40</v>
      </c>
      <c r="J280" s="48" t="s">
        <v>31</v>
      </c>
      <c r="K280" s="48" t="s">
        <v>32</v>
      </c>
      <c r="L280" s="2"/>
      <c r="M280" s="126">
        <v>40</v>
      </c>
    </row>
    <row r="281" spans="1:20" ht="15.75" customHeight="1">
      <c r="A281" s="50">
        <v>15</v>
      </c>
      <c r="B281" s="48" t="s">
        <v>2096</v>
      </c>
      <c r="C281" s="48" t="s">
        <v>27</v>
      </c>
      <c r="D281" s="48" t="s">
        <v>56</v>
      </c>
      <c r="E281" s="48" t="s">
        <v>84</v>
      </c>
      <c r="F281" s="48"/>
      <c r="G281" s="48" t="s">
        <v>30</v>
      </c>
      <c r="H281" s="51">
        <v>900</v>
      </c>
      <c r="I281" s="119">
        <v>180</v>
      </c>
      <c r="J281" s="48" t="s">
        <v>31</v>
      </c>
      <c r="K281" s="48" t="s">
        <v>32</v>
      </c>
      <c r="L281" s="2"/>
      <c r="M281" s="126">
        <v>200</v>
      </c>
    </row>
    <row r="282" spans="1:20" ht="15.75" customHeight="1">
      <c r="A282" s="50">
        <v>15</v>
      </c>
      <c r="B282" s="48" t="s">
        <v>2097</v>
      </c>
      <c r="C282" s="48" t="s">
        <v>27</v>
      </c>
      <c r="D282" s="48" t="s">
        <v>326</v>
      </c>
      <c r="E282" s="48" t="s">
        <v>84</v>
      </c>
      <c r="F282" s="48"/>
      <c r="G282" s="48" t="s">
        <v>30</v>
      </c>
      <c r="H282" s="51">
        <v>500</v>
      </c>
      <c r="I282" s="119">
        <v>100</v>
      </c>
      <c r="J282" s="48" t="s">
        <v>31</v>
      </c>
      <c r="K282" s="48" t="s">
        <v>32</v>
      </c>
      <c r="L282" s="2"/>
      <c r="M282" s="126">
        <v>100</v>
      </c>
    </row>
    <row r="283" spans="1:20" ht="15.75" customHeight="1">
      <c r="A283" s="50">
        <v>15</v>
      </c>
      <c r="B283" s="48" t="s">
        <v>1880</v>
      </c>
      <c r="C283" s="48" t="s">
        <v>27</v>
      </c>
      <c r="D283" s="151" t="s">
        <v>934</v>
      </c>
      <c r="E283" s="48" t="s">
        <v>44</v>
      </c>
      <c r="F283" s="48"/>
      <c r="G283" s="48" t="s">
        <v>30</v>
      </c>
      <c r="H283" s="51">
        <v>250</v>
      </c>
      <c r="I283" s="119">
        <v>50</v>
      </c>
      <c r="J283" s="48" t="s">
        <v>31</v>
      </c>
      <c r="K283" s="48" t="s">
        <v>32</v>
      </c>
      <c r="L283" s="2"/>
      <c r="M283" s="126">
        <v>50</v>
      </c>
    </row>
    <row r="284" spans="1:20" ht="15.75" customHeight="1">
      <c r="A284" s="50">
        <v>15</v>
      </c>
      <c r="B284" s="48" t="s">
        <v>2098</v>
      </c>
      <c r="C284" s="48" t="s">
        <v>27</v>
      </c>
      <c r="D284" s="48" t="s">
        <v>2099</v>
      </c>
      <c r="E284" s="48" t="s">
        <v>89</v>
      </c>
      <c r="F284" s="48"/>
      <c r="G284" s="48" t="s">
        <v>30</v>
      </c>
      <c r="H284" s="51">
        <v>200</v>
      </c>
      <c r="I284" s="119">
        <v>40</v>
      </c>
      <c r="J284" s="48" t="s">
        <v>31</v>
      </c>
      <c r="K284" s="48" t="s">
        <v>32</v>
      </c>
      <c r="L284" s="2"/>
      <c r="M284" s="126">
        <v>40</v>
      </c>
    </row>
    <row r="285" spans="1:20" ht="15.75" customHeight="1">
      <c r="A285" s="50">
        <v>15</v>
      </c>
      <c r="B285" s="48" t="s">
        <v>2100</v>
      </c>
      <c r="C285" s="48" t="s">
        <v>27</v>
      </c>
      <c r="D285" s="48" t="s">
        <v>434</v>
      </c>
      <c r="E285" s="48" t="s">
        <v>36</v>
      </c>
      <c r="F285" s="48"/>
      <c r="G285" s="48" t="s">
        <v>30</v>
      </c>
      <c r="H285" s="51">
        <v>2000</v>
      </c>
      <c r="I285" s="119">
        <v>400</v>
      </c>
      <c r="J285" s="48" t="s">
        <v>31</v>
      </c>
      <c r="K285" s="48" t="s">
        <v>32</v>
      </c>
      <c r="L285" s="2"/>
      <c r="M285" s="126">
        <v>450</v>
      </c>
    </row>
    <row r="286" spans="1:20" ht="15.75" customHeight="1">
      <c r="A286" s="50">
        <v>15</v>
      </c>
      <c r="B286" s="48" t="s">
        <v>2101</v>
      </c>
      <c r="C286" s="48" t="s">
        <v>27</v>
      </c>
      <c r="D286" s="48" t="s">
        <v>400</v>
      </c>
      <c r="E286" s="48" t="s">
        <v>36</v>
      </c>
      <c r="F286" s="48"/>
      <c r="G286" s="48" t="s">
        <v>30</v>
      </c>
      <c r="H286" s="51">
        <v>2000</v>
      </c>
      <c r="I286" s="119">
        <v>400</v>
      </c>
      <c r="J286" s="48" t="s">
        <v>31</v>
      </c>
      <c r="K286" s="48" t="s">
        <v>32</v>
      </c>
      <c r="L286" s="2"/>
      <c r="M286" s="126">
        <v>300</v>
      </c>
    </row>
    <row r="287" spans="1:20" ht="15.75" customHeight="1">
      <c r="A287" s="50">
        <v>15</v>
      </c>
      <c r="B287" s="48" t="s">
        <v>2102</v>
      </c>
      <c r="C287" s="48" t="s">
        <v>27</v>
      </c>
      <c r="D287" s="48" t="s">
        <v>139</v>
      </c>
      <c r="E287" s="48" t="s">
        <v>73</v>
      </c>
      <c r="F287" s="48"/>
      <c r="G287" s="48" t="s">
        <v>1300</v>
      </c>
      <c r="H287" s="51">
        <v>15</v>
      </c>
      <c r="I287" s="119" t="s">
        <v>1586</v>
      </c>
      <c r="J287" s="48" t="s">
        <v>31</v>
      </c>
      <c r="K287" s="48" t="s">
        <v>32</v>
      </c>
      <c r="L287" s="2"/>
    </row>
    <row r="288" spans="1:20" ht="15.75" customHeight="1">
      <c r="A288" s="50">
        <v>15</v>
      </c>
      <c r="B288" s="48" t="s">
        <v>2103</v>
      </c>
      <c r="C288" s="48" t="s">
        <v>27</v>
      </c>
      <c r="D288" s="48" t="s">
        <v>108</v>
      </c>
      <c r="E288" s="48" t="s">
        <v>36</v>
      </c>
      <c r="F288" s="48"/>
      <c r="G288" s="48" t="s">
        <v>30</v>
      </c>
      <c r="H288" s="51">
        <v>2000</v>
      </c>
      <c r="I288" s="119">
        <v>400</v>
      </c>
      <c r="J288" s="48" t="s">
        <v>31</v>
      </c>
      <c r="K288" s="48" t="s">
        <v>32</v>
      </c>
      <c r="L288" s="2"/>
      <c r="M288" s="126">
        <v>200</v>
      </c>
    </row>
    <row r="289" spans="1:26" ht="15.75" customHeight="1">
      <c r="A289" s="50">
        <v>15</v>
      </c>
      <c r="B289" s="48" t="s">
        <v>2104</v>
      </c>
      <c r="C289" s="48" t="s">
        <v>27</v>
      </c>
      <c r="D289" s="48" t="s">
        <v>916</v>
      </c>
      <c r="E289" s="48" t="s">
        <v>36</v>
      </c>
      <c r="F289" s="48"/>
      <c r="G289" s="48" t="s">
        <v>30</v>
      </c>
      <c r="H289" s="51">
        <v>7000</v>
      </c>
      <c r="I289" s="119">
        <v>1400</v>
      </c>
      <c r="J289" s="48" t="s">
        <v>31</v>
      </c>
      <c r="K289" s="48" t="s">
        <v>32</v>
      </c>
      <c r="L289" s="2"/>
      <c r="M289" s="126">
        <v>1200</v>
      </c>
    </row>
    <row r="290" spans="1:26" ht="15.75" customHeight="1">
      <c r="A290" s="50">
        <v>15</v>
      </c>
      <c r="B290" s="48" t="s">
        <v>2105</v>
      </c>
      <c r="C290" s="48" t="s">
        <v>39</v>
      </c>
      <c r="D290" s="48" t="s">
        <v>2106</v>
      </c>
      <c r="E290" s="48" t="s">
        <v>148</v>
      </c>
      <c r="F290" s="48"/>
      <c r="G290" s="48" t="s">
        <v>30</v>
      </c>
      <c r="H290" s="51">
        <v>4000</v>
      </c>
      <c r="I290" s="119">
        <v>800</v>
      </c>
      <c r="J290" s="48" t="s">
        <v>31</v>
      </c>
      <c r="K290" s="48" t="s">
        <v>32</v>
      </c>
      <c r="L290" s="2"/>
      <c r="M290" s="126">
        <v>6400</v>
      </c>
    </row>
    <row r="291" spans="1:26" ht="15.75" customHeight="1">
      <c r="A291" s="50">
        <v>15</v>
      </c>
      <c r="B291" s="48" t="s">
        <v>2107</v>
      </c>
      <c r="C291" s="48" t="s">
        <v>27</v>
      </c>
      <c r="D291" s="48" t="s">
        <v>2108</v>
      </c>
      <c r="E291" s="48" t="s">
        <v>84</v>
      </c>
      <c r="F291" s="48"/>
      <c r="G291" s="48" t="s">
        <v>30</v>
      </c>
      <c r="H291" s="51">
        <v>6000</v>
      </c>
      <c r="I291" s="119">
        <v>1200</v>
      </c>
      <c r="J291" s="48" t="s">
        <v>31</v>
      </c>
      <c r="K291" s="48" t="s">
        <v>32</v>
      </c>
      <c r="L291" s="2"/>
      <c r="M291" s="126">
        <v>2000</v>
      </c>
    </row>
    <row r="292" spans="1:26" ht="15.75" customHeight="1">
      <c r="A292" s="50">
        <v>15</v>
      </c>
      <c r="B292" s="48" t="s">
        <v>1913</v>
      </c>
      <c r="C292" s="48" t="s">
        <v>27</v>
      </c>
      <c r="D292" s="48" t="s">
        <v>326</v>
      </c>
      <c r="E292" s="48" t="s">
        <v>84</v>
      </c>
      <c r="F292" s="48"/>
      <c r="G292" s="48" t="s">
        <v>30</v>
      </c>
      <c r="H292" s="51">
        <v>1500</v>
      </c>
      <c r="I292" s="119">
        <v>300</v>
      </c>
      <c r="J292" s="48" t="s">
        <v>31</v>
      </c>
      <c r="K292" s="48" t="s">
        <v>32</v>
      </c>
      <c r="L292" s="2"/>
      <c r="M292" s="126">
        <v>400</v>
      </c>
    </row>
    <row r="293" spans="1:26" ht="15.75" customHeight="1">
      <c r="A293" s="50">
        <v>15</v>
      </c>
      <c r="B293" s="48" t="s">
        <v>2109</v>
      </c>
      <c r="C293" s="48" t="s">
        <v>27</v>
      </c>
      <c r="D293" s="48" t="s">
        <v>845</v>
      </c>
      <c r="E293" s="48" t="s">
        <v>84</v>
      </c>
      <c r="F293" s="48"/>
      <c r="G293" s="48" t="s">
        <v>30</v>
      </c>
      <c r="H293" s="51">
        <v>2000</v>
      </c>
      <c r="I293" s="119">
        <v>400</v>
      </c>
      <c r="J293" s="48" t="s">
        <v>31</v>
      </c>
      <c r="K293" s="48" t="s">
        <v>32</v>
      </c>
      <c r="L293" s="2"/>
      <c r="M293" s="126">
        <v>400</v>
      </c>
      <c r="P293" s="790">
        <v>44027</v>
      </c>
      <c r="Q293" s="719"/>
    </row>
    <row r="294" spans="1:26" ht="15.75" customHeight="1">
      <c r="A294" s="50">
        <v>15</v>
      </c>
      <c r="B294" s="48" t="s">
        <v>2110</v>
      </c>
      <c r="C294" s="32" t="s">
        <v>27</v>
      </c>
      <c r="D294" s="48" t="s">
        <v>2111</v>
      </c>
      <c r="E294" s="48" t="s">
        <v>2112</v>
      </c>
      <c r="F294" s="48"/>
      <c r="G294" s="48" t="s">
        <v>30</v>
      </c>
      <c r="H294" s="51">
        <v>2500</v>
      </c>
      <c r="I294" s="119" t="s">
        <v>1586</v>
      </c>
      <c r="J294" s="48" t="s">
        <v>31</v>
      </c>
      <c r="K294" s="48" t="s">
        <v>32</v>
      </c>
      <c r="L294" s="2"/>
      <c r="M294" s="126">
        <v>500</v>
      </c>
      <c r="P294" s="751" t="s">
        <v>25</v>
      </c>
      <c r="Q294" s="719"/>
    </row>
    <row r="295" spans="1:26" ht="15.75" customHeight="1">
      <c r="A295" s="50">
        <v>15</v>
      </c>
      <c r="B295" s="48" t="s">
        <v>2113</v>
      </c>
      <c r="C295" s="48" t="s">
        <v>27</v>
      </c>
      <c r="D295" s="48" t="s">
        <v>2111</v>
      </c>
      <c r="E295" s="48" t="s">
        <v>2112</v>
      </c>
      <c r="F295" s="48"/>
      <c r="G295" s="48" t="s">
        <v>30</v>
      </c>
      <c r="H295" s="51">
        <v>2500</v>
      </c>
      <c r="I295" s="119" t="s">
        <v>1586</v>
      </c>
      <c r="J295" s="48" t="s">
        <v>31</v>
      </c>
      <c r="K295" s="48" t="s">
        <v>32</v>
      </c>
      <c r="L295" s="2"/>
      <c r="M295" s="126">
        <v>300</v>
      </c>
      <c r="P295" s="363" t="s">
        <v>33</v>
      </c>
      <c r="Q295" s="364">
        <v>42550</v>
      </c>
      <c r="R295" s="55">
        <f>SUM(H276:H286,H288:H293,H296:H300)</f>
        <v>42550</v>
      </c>
    </row>
    <row r="296" spans="1:26" ht="15.75" customHeight="1">
      <c r="A296" s="50">
        <v>15</v>
      </c>
      <c r="B296" s="48" t="s">
        <v>2114</v>
      </c>
      <c r="C296" s="48" t="s">
        <v>39</v>
      </c>
      <c r="D296" s="48" t="s">
        <v>56</v>
      </c>
      <c r="E296" s="48" t="s">
        <v>68</v>
      </c>
      <c r="F296" s="48"/>
      <c r="G296" s="48" t="s">
        <v>30</v>
      </c>
      <c r="H296" s="51">
        <v>3000</v>
      </c>
      <c r="I296" s="119">
        <v>600</v>
      </c>
      <c r="J296" s="48" t="s">
        <v>31</v>
      </c>
      <c r="K296" s="48" t="s">
        <v>32</v>
      </c>
      <c r="L296" s="2"/>
      <c r="M296" s="126">
        <v>600</v>
      </c>
      <c r="P296" s="363" t="s">
        <v>37</v>
      </c>
      <c r="Q296" s="364">
        <v>29780</v>
      </c>
      <c r="R296" s="55">
        <f>SUM(H294:H295,'July (Group)'!I12:I13)</f>
        <v>29780</v>
      </c>
    </row>
    <row r="297" spans="1:26" ht="15.75" customHeight="1">
      <c r="A297" s="50">
        <v>15</v>
      </c>
      <c r="B297" s="48" t="s">
        <v>1005</v>
      </c>
      <c r="C297" s="48" t="s">
        <v>27</v>
      </c>
      <c r="D297" s="48" t="s">
        <v>43</v>
      </c>
      <c r="E297" s="48" t="s">
        <v>44</v>
      </c>
      <c r="F297" s="48"/>
      <c r="G297" s="48" t="s">
        <v>30</v>
      </c>
      <c r="H297" s="51">
        <v>3000</v>
      </c>
      <c r="I297" s="119">
        <v>600</v>
      </c>
      <c r="J297" s="48" t="s">
        <v>31</v>
      </c>
      <c r="K297" s="48" t="s">
        <v>32</v>
      </c>
      <c r="L297" s="2"/>
      <c r="M297" s="126">
        <v>600</v>
      </c>
      <c r="P297" s="365" t="s">
        <v>576</v>
      </c>
      <c r="Q297" s="366">
        <v>72330</v>
      </c>
      <c r="R297" s="55">
        <f>SUM(R295:R296)</f>
        <v>72330</v>
      </c>
    </row>
    <row r="298" spans="1:26" ht="15.75" customHeight="1">
      <c r="A298" s="50">
        <v>15</v>
      </c>
      <c r="B298" s="48" t="s">
        <v>2115</v>
      </c>
      <c r="C298" s="48" t="s">
        <v>27</v>
      </c>
      <c r="D298" s="48" t="s">
        <v>2053</v>
      </c>
      <c r="E298" s="48" t="s">
        <v>86</v>
      </c>
      <c r="F298" s="48"/>
      <c r="G298" s="48" t="s">
        <v>30</v>
      </c>
      <c r="H298" s="51">
        <v>1000</v>
      </c>
      <c r="I298" s="119">
        <v>200</v>
      </c>
      <c r="J298" s="48" t="s">
        <v>31</v>
      </c>
      <c r="K298" s="48" t="s">
        <v>32</v>
      </c>
      <c r="L298" s="2"/>
      <c r="M298" s="126">
        <v>200</v>
      </c>
      <c r="P298" s="723" t="s">
        <v>286</v>
      </c>
      <c r="Q298" s="719"/>
    </row>
    <row r="299" spans="1:26" ht="15.75" customHeight="1">
      <c r="A299" s="50">
        <v>15</v>
      </c>
      <c r="B299" s="48" t="s">
        <v>2116</v>
      </c>
      <c r="C299" s="48" t="s">
        <v>39</v>
      </c>
      <c r="D299" s="48" t="s">
        <v>1674</v>
      </c>
      <c r="E299" s="48" t="s">
        <v>36</v>
      </c>
      <c r="F299" s="48"/>
      <c r="G299" s="48" t="s">
        <v>30</v>
      </c>
      <c r="H299" s="51">
        <v>3000</v>
      </c>
      <c r="I299" s="119">
        <v>600</v>
      </c>
      <c r="J299" s="48" t="s">
        <v>31</v>
      </c>
      <c r="K299" s="48" t="s">
        <v>32</v>
      </c>
      <c r="L299" s="2"/>
      <c r="M299" s="126">
        <v>600</v>
      </c>
      <c r="P299" s="48" t="s">
        <v>48</v>
      </c>
      <c r="Q299" s="48">
        <v>15</v>
      </c>
    </row>
    <row r="300" spans="1:26" ht="15.75" customHeight="1">
      <c r="A300" s="65">
        <v>15</v>
      </c>
      <c r="B300" s="58" t="s">
        <v>2117</v>
      </c>
      <c r="C300" s="58" t="s">
        <v>27</v>
      </c>
      <c r="D300" s="58" t="s">
        <v>1674</v>
      </c>
      <c r="E300" s="58" t="s">
        <v>36</v>
      </c>
      <c r="F300" s="58"/>
      <c r="G300" s="58" t="s">
        <v>30</v>
      </c>
      <c r="H300" s="59">
        <v>3000</v>
      </c>
      <c r="I300" s="160">
        <v>600</v>
      </c>
      <c r="J300" s="48" t="s">
        <v>31</v>
      </c>
      <c r="K300" s="48" t="s">
        <v>32</v>
      </c>
      <c r="L300" s="2"/>
      <c r="M300" s="126">
        <v>600</v>
      </c>
    </row>
    <row r="301" spans="1:26" ht="15.75" customHeight="1">
      <c r="A301" s="61">
        <v>16</v>
      </c>
      <c r="B301" s="62" t="s">
        <v>1090</v>
      </c>
      <c r="C301" s="62" t="s">
        <v>27</v>
      </c>
      <c r="D301" s="62" t="s">
        <v>108</v>
      </c>
      <c r="E301" s="62" t="s">
        <v>169</v>
      </c>
      <c r="F301" s="62"/>
      <c r="G301" s="62" t="s">
        <v>30</v>
      </c>
      <c r="H301" s="63">
        <v>150</v>
      </c>
      <c r="I301" s="159">
        <v>50</v>
      </c>
      <c r="J301" s="48" t="s">
        <v>31</v>
      </c>
      <c r="K301" s="48" t="s">
        <v>32</v>
      </c>
      <c r="L301" s="2"/>
      <c r="M301" s="2">
        <v>50</v>
      </c>
      <c r="N301" s="370"/>
      <c r="O301" s="370"/>
      <c r="P301" s="370"/>
      <c r="Q301" s="370"/>
      <c r="R301" s="370"/>
      <c r="S301" s="370"/>
      <c r="T301" s="370"/>
      <c r="U301" s="370"/>
      <c r="V301" s="370"/>
      <c r="W301" s="370"/>
      <c r="X301" s="370"/>
      <c r="Y301" s="370"/>
      <c r="Z301" s="370"/>
    </row>
    <row r="302" spans="1:26" ht="15.75" customHeight="1">
      <c r="A302" s="61">
        <v>16</v>
      </c>
      <c r="B302" s="62" t="s">
        <v>2118</v>
      </c>
      <c r="C302" s="62" t="s">
        <v>27</v>
      </c>
      <c r="D302" s="62" t="s">
        <v>1674</v>
      </c>
      <c r="E302" s="62" t="s">
        <v>36</v>
      </c>
      <c r="F302" s="62"/>
      <c r="G302" s="62" t="s">
        <v>30</v>
      </c>
      <c r="H302" s="63">
        <v>100</v>
      </c>
      <c r="I302" s="159">
        <v>20</v>
      </c>
      <c r="J302" s="48" t="s">
        <v>31</v>
      </c>
      <c r="K302" s="48" t="s">
        <v>32</v>
      </c>
      <c r="L302" s="2"/>
      <c r="M302" s="2">
        <v>20</v>
      </c>
      <c r="N302" s="370"/>
      <c r="O302" s="370"/>
      <c r="P302" s="370"/>
      <c r="Q302" s="370"/>
      <c r="R302" s="370"/>
      <c r="S302" s="370"/>
      <c r="T302" s="370"/>
      <c r="U302" s="370"/>
      <c r="V302" s="370"/>
      <c r="W302" s="370"/>
      <c r="X302" s="370"/>
      <c r="Y302" s="370"/>
      <c r="Z302" s="370"/>
    </row>
    <row r="303" spans="1:26" ht="15.75" customHeight="1">
      <c r="A303" s="61">
        <v>16</v>
      </c>
      <c r="B303" s="62" t="s">
        <v>2119</v>
      </c>
      <c r="C303" s="62" t="s">
        <v>27</v>
      </c>
      <c r="D303" s="62" t="s">
        <v>499</v>
      </c>
      <c r="E303" s="62" t="s">
        <v>145</v>
      </c>
      <c r="F303" s="62"/>
      <c r="G303" s="62" t="s">
        <v>30</v>
      </c>
      <c r="H303" s="63">
        <v>2000</v>
      </c>
      <c r="I303" s="159">
        <v>400</v>
      </c>
      <c r="J303" s="48" t="s">
        <v>31</v>
      </c>
      <c r="K303" s="48" t="s">
        <v>32</v>
      </c>
      <c r="L303" s="2"/>
      <c r="M303" s="2">
        <v>440</v>
      </c>
      <c r="N303" s="370"/>
      <c r="O303" s="370"/>
      <c r="P303" s="370"/>
      <c r="Q303" s="370"/>
      <c r="R303" s="370"/>
      <c r="S303" s="370"/>
      <c r="T303" s="370"/>
      <c r="U303" s="370"/>
      <c r="V303" s="370"/>
      <c r="W303" s="370"/>
      <c r="X303" s="370"/>
      <c r="Y303" s="370"/>
      <c r="Z303" s="370"/>
    </row>
    <row r="304" spans="1:26" ht="15.75" customHeight="1">
      <c r="A304" s="61">
        <v>16</v>
      </c>
      <c r="B304" s="62" t="s">
        <v>2120</v>
      </c>
      <c r="C304" s="62" t="s">
        <v>27</v>
      </c>
      <c r="D304" s="62" t="s">
        <v>153</v>
      </c>
      <c r="E304" s="62" t="s">
        <v>36</v>
      </c>
      <c r="F304" s="62"/>
      <c r="G304" s="62" t="s">
        <v>30</v>
      </c>
      <c r="H304" s="63">
        <v>1000</v>
      </c>
      <c r="I304" s="159">
        <v>200</v>
      </c>
      <c r="J304" s="48" t="s">
        <v>31</v>
      </c>
      <c r="K304" s="48" t="s">
        <v>32</v>
      </c>
      <c r="L304" s="2"/>
      <c r="M304" s="2">
        <v>100</v>
      </c>
      <c r="N304" s="370"/>
      <c r="O304" s="370"/>
      <c r="P304" s="370"/>
      <c r="Q304" s="370"/>
      <c r="R304" s="370"/>
      <c r="S304" s="370"/>
      <c r="T304" s="370"/>
      <c r="U304" s="370"/>
      <c r="V304" s="370"/>
      <c r="W304" s="370"/>
      <c r="X304" s="370"/>
      <c r="Y304" s="370"/>
      <c r="Z304" s="370"/>
    </row>
    <row r="305" spans="1:26" ht="15.75" customHeight="1">
      <c r="A305" s="61">
        <v>16</v>
      </c>
      <c r="B305" s="62" t="s">
        <v>2121</v>
      </c>
      <c r="C305" s="62" t="s">
        <v>27</v>
      </c>
      <c r="D305" s="62" t="s">
        <v>2122</v>
      </c>
      <c r="E305" s="62" t="s">
        <v>191</v>
      </c>
      <c r="F305" s="62"/>
      <c r="G305" s="62" t="s">
        <v>30</v>
      </c>
      <c r="H305" s="63">
        <v>3000</v>
      </c>
      <c r="I305" s="159">
        <v>600</v>
      </c>
      <c r="J305" s="48" t="s">
        <v>31</v>
      </c>
      <c r="K305" s="48" t="s">
        <v>32</v>
      </c>
      <c r="L305" s="2"/>
      <c r="M305" s="2">
        <v>800</v>
      </c>
      <c r="N305" s="370"/>
      <c r="O305" s="370"/>
      <c r="P305" s="370"/>
      <c r="Q305" s="370"/>
      <c r="R305" s="370"/>
      <c r="S305" s="370"/>
      <c r="T305" s="370"/>
      <c r="U305" s="370"/>
      <c r="V305" s="370"/>
      <c r="W305" s="370"/>
      <c r="X305" s="370"/>
      <c r="Y305" s="370"/>
      <c r="Z305" s="370"/>
    </row>
    <row r="306" spans="1:26" ht="15.75" customHeight="1">
      <c r="A306" s="61">
        <v>16</v>
      </c>
      <c r="B306" s="62" t="s">
        <v>2123</v>
      </c>
      <c r="C306" s="62" t="s">
        <v>27</v>
      </c>
      <c r="D306" s="62" t="s">
        <v>63</v>
      </c>
      <c r="E306" s="62" t="s">
        <v>29</v>
      </c>
      <c r="F306" s="62"/>
      <c r="G306" s="62" t="s">
        <v>30</v>
      </c>
      <c r="H306" s="63">
        <v>5000</v>
      </c>
      <c r="I306" s="159">
        <v>1000</v>
      </c>
      <c r="J306" s="48" t="s">
        <v>31</v>
      </c>
      <c r="K306" s="48" t="s">
        <v>32</v>
      </c>
      <c r="L306" s="2"/>
      <c r="M306" s="2">
        <v>1200</v>
      </c>
      <c r="N306" s="370"/>
      <c r="O306" s="370"/>
      <c r="P306" s="370"/>
      <c r="Q306" s="370"/>
      <c r="R306" s="370"/>
      <c r="S306" s="370"/>
      <c r="T306" s="370"/>
      <c r="U306" s="370"/>
      <c r="V306" s="370"/>
      <c r="W306" s="370"/>
      <c r="X306" s="370"/>
      <c r="Y306" s="370"/>
      <c r="Z306" s="370"/>
    </row>
    <row r="307" spans="1:26" ht="15.75" customHeight="1">
      <c r="A307" s="61">
        <v>16</v>
      </c>
      <c r="B307" s="62" t="s">
        <v>2123</v>
      </c>
      <c r="C307" s="62" t="s">
        <v>27</v>
      </c>
      <c r="D307" s="62" t="s">
        <v>63</v>
      </c>
      <c r="E307" s="62" t="s">
        <v>29</v>
      </c>
      <c r="F307" s="62"/>
      <c r="G307" s="292" t="s">
        <v>579</v>
      </c>
      <c r="H307" s="293">
        <v>1100</v>
      </c>
      <c r="I307" s="371">
        <v>1100</v>
      </c>
      <c r="J307" s="48" t="s">
        <v>31</v>
      </c>
      <c r="K307" s="48" t="s">
        <v>32</v>
      </c>
      <c r="L307" s="2"/>
      <c r="M307" s="2"/>
      <c r="N307" s="370"/>
      <c r="O307" s="370"/>
      <c r="P307" s="370"/>
      <c r="Q307" s="370"/>
      <c r="R307" s="370"/>
      <c r="S307" s="370"/>
      <c r="T307" s="370"/>
      <c r="U307" s="370"/>
      <c r="V307" s="370"/>
      <c r="W307" s="370"/>
      <c r="X307" s="370"/>
      <c r="Y307" s="370"/>
      <c r="Z307" s="370"/>
    </row>
    <row r="308" spans="1:26" ht="15.75" customHeight="1">
      <c r="A308" s="50">
        <v>16</v>
      </c>
      <c r="B308" s="48" t="s">
        <v>2124</v>
      </c>
      <c r="C308" s="48" t="s">
        <v>27</v>
      </c>
      <c r="D308" s="48" t="s">
        <v>173</v>
      </c>
      <c r="E308" s="48" t="s">
        <v>84</v>
      </c>
      <c r="F308" s="48"/>
      <c r="G308" s="48" t="s">
        <v>30</v>
      </c>
      <c r="H308" s="51">
        <v>5000</v>
      </c>
      <c r="I308" s="119">
        <v>1000</v>
      </c>
      <c r="J308" s="48" t="s">
        <v>31</v>
      </c>
      <c r="K308" s="48" t="s">
        <v>32</v>
      </c>
      <c r="L308" s="2"/>
      <c r="M308" s="2">
        <v>600</v>
      </c>
    </row>
    <row r="309" spans="1:26" ht="15.75" customHeight="1">
      <c r="A309" s="50">
        <v>16</v>
      </c>
      <c r="B309" s="48" t="s">
        <v>1657</v>
      </c>
      <c r="C309" s="48" t="s">
        <v>27</v>
      </c>
      <c r="D309" s="48" t="s">
        <v>434</v>
      </c>
      <c r="E309" s="48" t="s">
        <v>36</v>
      </c>
      <c r="F309" s="48"/>
      <c r="G309" s="48" t="s">
        <v>30</v>
      </c>
      <c r="H309" s="51">
        <v>5000</v>
      </c>
      <c r="I309" s="119">
        <v>1000</v>
      </c>
      <c r="J309" s="48" t="s">
        <v>31</v>
      </c>
      <c r="K309" s="48" t="s">
        <v>32</v>
      </c>
      <c r="L309" s="2"/>
      <c r="M309" s="2">
        <v>1200</v>
      </c>
    </row>
    <row r="310" spans="1:26" ht="15.75" customHeight="1">
      <c r="A310" s="50">
        <v>16</v>
      </c>
      <c r="B310" s="48" t="s">
        <v>2125</v>
      </c>
      <c r="C310" s="48" t="s">
        <v>27</v>
      </c>
      <c r="D310" s="48" t="s">
        <v>2126</v>
      </c>
      <c r="E310" s="48" t="s">
        <v>47</v>
      </c>
      <c r="F310" s="48"/>
      <c r="G310" s="48" t="s">
        <v>30</v>
      </c>
      <c r="H310" s="51">
        <v>6000</v>
      </c>
      <c r="I310" s="119">
        <v>1200</v>
      </c>
      <c r="J310" s="48" t="s">
        <v>31</v>
      </c>
      <c r="K310" s="48" t="s">
        <v>32</v>
      </c>
      <c r="L310" s="2"/>
      <c r="M310" s="2">
        <v>1500</v>
      </c>
    </row>
    <row r="311" spans="1:26" ht="15.75" customHeight="1">
      <c r="A311" s="50">
        <v>16</v>
      </c>
      <c r="B311" s="48" t="s">
        <v>2127</v>
      </c>
      <c r="C311" s="48" t="s">
        <v>27</v>
      </c>
      <c r="D311" s="48" t="s">
        <v>387</v>
      </c>
      <c r="E311" s="48" t="s">
        <v>41</v>
      </c>
      <c r="F311" s="48"/>
      <c r="G311" s="48" t="s">
        <v>30</v>
      </c>
      <c r="H311" s="51">
        <v>13500</v>
      </c>
      <c r="I311" s="119">
        <v>2700</v>
      </c>
      <c r="J311" s="48" t="s">
        <v>31</v>
      </c>
      <c r="K311" s="48" t="s">
        <v>32</v>
      </c>
      <c r="L311" s="2"/>
      <c r="M311" s="2">
        <v>2500</v>
      </c>
    </row>
    <row r="312" spans="1:26" ht="15.75" customHeight="1">
      <c r="A312" s="50">
        <v>16</v>
      </c>
      <c r="B312" s="218" t="s">
        <v>2128</v>
      </c>
      <c r="C312" s="48" t="s">
        <v>27</v>
      </c>
      <c r="D312" s="48" t="s">
        <v>108</v>
      </c>
      <c r="E312" s="48" t="s">
        <v>36</v>
      </c>
      <c r="F312" s="48"/>
      <c r="G312" s="48" t="s">
        <v>30</v>
      </c>
      <c r="H312" s="51">
        <v>1000</v>
      </c>
      <c r="I312" s="119">
        <v>200</v>
      </c>
      <c r="J312" s="48" t="s">
        <v>31</v>
      </c>
      <c r="K312" s="48" t="s">
        <v>32</v>
      </c>
      <c r="L312" s="2"/>
      <c r="M312" s="2">
        <v>250</v>
      </c>
    </row>
    <row r="313" spans="1:26" ht="15.75" customHeight="1">
      <c r="A313" s="65">
        <v>16</v>
      </c>
      <c r="B313" s="58" t="s">
        <v>2129</v>
      </c>
      <c r="C313" s="58" t="s">
        <v>39</v>
      </c>
      <c r="D313" s="58" t="s">
        <v>108</v>
      </c>
      <c r="E313" s="58" t="s">
        <v>36</v>
      </c>
      <c r="F313" s="58"/>
      <c r="G313" s="58" t="s">
        <v>30</v>
      </c>
      <c r="H313" s="59">
        <v>500</v>
      </c>
      <c r="I313" s="160" t="s">
        <v>1586</v>
      </c>
      <c r="J313" s="48" t="s">
        <v>31</v>
      </c>
      <c r="K313" s="48" t="s">
        <v>32</v>
      </c>
      <c r="L313" s="2"/>
      <c r="M313" s="2">
        <v>400</v>
      </c>
    </row>
    <row r="314" spans="1:26" ht="15.75" customHeight="1">
      <c r="A314" s="61">
        <v>17</v>
      </c>
      <c r="B314" s="290" t="s">
        <v>2130</v>
      </c>
      <c r="C314" s="62" t="s">
        <v>27</v>
      </c>
      <c r="D314" s="62" t="s">
        <v>128</v>
      </c>
      <c r="E314" s="62" t="s">
        <v>44</v>
      </c>
      <c r="F314" s="62"/>
      <c r="G314" s="62" t="s">
        <v>30</v>
      </c>
      <c r="H314" s="63">
        <v>3500</v>
      </c>
      <c r="I314" s="159">
        <v>700</v>
      </c>
      <c r="J314" s="48" t="s">
        <v>31</v>
      </c>
      <c r="K314" s="48" t="s">
        <v>32</v>
      </c>
      <c r="L314" s="2"/>
      <c r="M314" s="2">
        <v>300</v>
      </c>
      <c r="P314" s="783" t="s">
        <v>2131</v>
      </c>
      <c r="Q314" s="719"/>
    </row>
    <row r="315" spans="1:26" ht="15.75" customHeight="1">
      <c r="A315" s="50">
        <v>17</v>
      </c>
      <c r="B315" s="218" t="s">
        <v>2132</v>
      </c>
      <c r="C315" s="48" t="s">
        <v>27</v>
      </c>
      <c r="D315" s="48" t="s">
        <v>604</v>
      </c>
      <c r="E315" s="48" t="s">
        <v>51</v>
      </c>
      <c r="F315" s="48"/>
      <c r="G315" s="48" t="s">
        <v>30</v>
      </c>
      <c r="H315" s="51">
        <v>100</v>
      </c>
      <c r="I315" s="119">
        <v>20</v>
      </c>
      <c r="J315" s="48" t="s">
        <v>31</v>
      </c>
      <c r="K315" s="48" t="s">
        <v>32</v>
      </c>
      <c r="L315" s="2"/>
      <c r="M315" s="2">
        <v>20</v>
      </c>
      <c r="P315" s="751" t="s">
        <v>25</v>
      </c>
      <c r="Q315" s="719"/>
    </row>
    <row r="316" spans="1:26" ht="15.75" customHeight="1">
      <c r="A316" s="50">
        <v>17</v>
      </c>
      <c r="B316" s="218" t="s">
        <v>2133</v>
      </c>
      <c r="C316" s="48" t="s">
        <v>27</v>
      </c>
      <c r="D316" s="48" t="s">
        <v>211</v>
      </c>
      <c r="E316" s="48" t="s">
        <v>36</v>
      </c>
      <c r="F316" s="48"/>
      <c r="G316" s="48" t="s">
        <v>30</v>
      </c>
      <c r="H316" s="51">
        <v>500</v>
      </c>
      <c r="I316" s="119">
        <v>100</v>
      </c>
      <c r="J316" s="48" t="s">
        <v>31</v>
      </c>
      <c r="K316" s="48" t="s">
        <v>32</v>
      </c>
      <c r="L316" s="2"/>
      <c r="M316" s="2">
        <v>50</v>
      </c>
      <c r="P316" s="363" t="s">
        <v>33</v>
      </c>
      <c r="Q316" s="364">
        <v>64850</v>
      </c>
    </row>
    <row r="317" spans="1:26" ht="15.75" customHeight="1">
      <c r="A317" s="50">
        <v>17</v>
      </c>
      <c r="B317" s="218" t="s">
        <v>2134</v>
      </c>
      <c r="C317" s="48" t="s">
        <v>27</v>
      </c>
      <c r="D317" s="48" t="s">
        <v>1365</v>
      </c>
      <c r="E317" s="48" t="s">
        <v>86</v>
      </c>
      <c r="F317" s="48"/>
      <c r="G317" s="48" t="s">
        <v>30</v>
      </c>
      <c r="H317" s="51">
        <v>500</v>
      </c>
      <c r="I317" s="119">
        <v>100</v>
      </c>
      <c r="J317" s="48" t="s">
        <v>31</v>
      </c>
      <c r="K317" s="48" t="s">
        <v>32</v>
      </c>
      <c r="L317" s="2"/>
      <c r="M317" s="2">
        <v>50</v>
      </c>
      <c r="P317" s="363" t="s">
        <v>37</v>
      </c>
      <c r="Q317" s="364">
        <v>27280</v>
      </c>
    </row>
    <row r="318" spans="1:26" ht="15.75" customHeight="1">
      <c r="A318" s="50">
        <v>17</v>
      </c>
      <c r="B318" s="48" t="s">
        <v>924</v>
      </c>
      <c r="C318" s="48" t="s">
        <v>39</v>
      </c>
      <c r="D318" s="48" t="s">
        <v>760</v>
      </c>
      <c r="E318" s="48" t="s">
        <v>209</v>
      </c>
      <c r="F318" s="48"/>
      <c r="G318" s="48" t="s">
        <v>30</v>
      </c>
      <c r="H318" s="51">
        <v>10000</v>
      </c>
      <c r="I318" s="119">
        <v>2000</v>
      </c>
      <c r="J318" s="48" t="s">
        <v>31</v>
      </c>
      <c r="K318" s="48" t="s">
        <v>32</v>
      </c>
      <c r="L318" s="2"/>
      <c r="M318" s="2">
        <v>5000</v>
      </c>
      <c r="P318" s="365" t="s">
        <v>576</v>
      </c>
      <c r="Q318" s="366">
        <v>92130</v>
      </c>
    </row>
    <row r="319" spans="1:26" ht="15.75" customHeight="1">
      <c r="A319" s="50">
        <v>17</v>
      </c>
      <c r="B319" s="48" t="s">
        <v>2135</v>
      </c>
      <c r="C319" s="48" t="s">
        <v>39</v>
      </c>
      <c r="D319" s="48"/>
      <c r="E319" s="48" t="s">
        <v>209</v>
      </c>
      <c r="F319" s="48"/>
      <c r="G319" s="48" t="s">
        <v>30</v>
      </c>
      <c r="H319" s="51">
        <v>6000</v>
      </c>
      <c r="I319" s="119">
        <v>1200</v>
      </c>
      <c r="J319" s="48" t="s">
        <v>31</v>
      </c>
      <c r="K319" s="48" t="s">
        <v>32</v>
      </c>
      <c r="L319" s="2"/>
      <c r="M319" s="2">
        <v>1200</v>
      </c>
      <c r="P319" s="723" t="s">
        <v>586</v>
      </c>
      <c r="Q319" s="719"/>
    </row>
    <row r="320" spans="1:26" ht="15.75" customHeight="1">
      <c r="A320" s="50">
        <v>17</v>
      </c>
      <c r="B320" s="218" t="s">
        <v>2136</v>
      </c>
      <c r="C320" s="48" t="s">
        <v>27</v>
      </c>
      <c r="D320" s="48" t="s">
        <v>2137</v>
      </c>
      <c r="E320" s="48" t="s">
        <v>334</v>
      </c>
      <c r="F320" s="48"/>
      <c r="G320" s="48" t="s">
        <v>30</v>
      </c>
      <c r="H320" s="51">
        <v>2500</v>
      </c>
      <c r="I320" s="119">
        <v>500</v>
      </c>
      <c r="J320" s="48" t="s">
        <v>31</v>
      </c>
      <c r="K320" s="48" t="s">
        <v>32</v>
      </c>
      <c r="L320" s="2"/>
      <c r="M320" s="2">
        <v>600</v>
      </c>
      <c r="P320" s="48" t="s">
        <v>33</v>
      </c>
      <c r="Q320" s="67">
        <v>1300</v>
      </c>
      <c r="R320" s="55"/>
    </row>
    <row r="321" spans="1:26" ht="15.75" customHeight="1">
      <c r="A321" s="50">
        <v>17</v>
      </c>
      <c r="B321" s="151" t="s">
        <v>2138</v>
      </c>
      <c r="C321" s="151" t="s">
        <v>27</v>
      </c>
      <c r="D321" s="151" t="s">
        <v>407</v>
      </c>
      <c r="E321" s="151" t="s">
        <v>44</v>
      </c>
      <c r="F321" s="151"/>
      <c r="G321" s="151" t="s">
        <v>579</v>
      </c>
      <c r="H321" s="152">
        <v>200</v>
      </c>
      <c r="I321" s="153">
        <v>200</v>
      </c>
      <c r="J321" s="48" t="s">
        <v>31</v>
      </c>
      <c r="K321" s="48" t="s">
        <v>32</v>
      </c>
      <c r="L321" s="2"/>
      <c r="M321" s="2"/>
      <c r="R321" s="55"/>
    </row>
    <row r="322" spans="1:26" ht="15.75" customHeight="1">
      <c r="A322" s="50">
        <v>17</v>
      </c>
      <c r="B322" s="218" t="s">
        <v>2139</v>
      </c>
      <c r="C322" s="48" t="s">
        <v>27</v>
      </c>
      <c r="D322" s="48" t="s">
        <v>100</v>
      </c>
      <c r="E322" s="48" t="s">
        <v>89</v>
      </c>
      <c r="F322" s="48"/>
      <c r="G322" s="48" t="s">
        <v>30</v>
      </c>
      <c r="H322" s="51">
        <v>500</v>
      </c>
      <c r="I322" s="119" t="s">
        <v>1586</v>
      </c>
      <c r="J322" s="48" t="s">
        <v>31</v>
      </c>
      <c r="K322" s="48" t="s">
        <v>32</v>
      </c>
      <c r="L322" s="2"/>
      <c r="M322" s="2">
        <v>100</v>
      </c>
      <c r="R322" s="55"/>
    </row>
    <row r="323" spans="1:26" ht="15.75" customHeight="1">
      <c r="A323" s="50">
        <v>17</v>
      </c>
      <c r="B323" s="48" t="s">
        <v>2140</v>
      </c>
      <c r="C323" s="48" t="s">
        <v>27</v>
      </c>
      <c r="D323" s="48" t="s">
        <v>100</v>
      </c>
      <c r="E323" s="48" t="s">
        <v>89</v>
      </c>
      <c r="F323" s="48"/>
      <c r="G323" s="48" t="s">
        <v>30</v>
      </c>
      <c r="H323" s="51">
        <v>1000</v>
      </c>
      <c r="I323" s="119" t="s">
        <v>1586</v>
      </c>
      <c r="J323" s="48" t="s">
        <v>31</v>
      </c>
      <c r="K323" s="48" t="s">
        <v>32</v>
      </c>
      <c r="L323" s="2"/>
      <c r="M323" s="2">
        <v>115</v>
      </c>
      <c r="P323" s="791" t="s">
        <v>2141</v>
      </c>
      <c r="Q323" s="719"/>
      <c r="R323" s="55"/>
    </row>
    <row r="324" spans="1:26" ht="15.75" customHeight="1">
      <c r="A324" s="65">
        <v>17</v>
      </c>
      <c r="B324" s="58" t="s">
        <v>2142</v>
      </c>
      <c r="C324" s="58" t="s">
        <v>27</v>
      </c>
      <c r="D324" s="58" t="s">
        <v>100</v>
      </c>
      <c r="E324" s="58" t="s">
        <v>89</v>
      </c>
      <c r="F324" s="58"/>
      <c r="G324" s="58" t="s">
        <v>30</v>
      </c>
      <c r="H324" s="59">
        <v>500</v>
      </c>
      <c r="I324" s="160" t="s">
        <v>1586</v>
      </c>
      <c r="J324" s="48" t="s">
        <v>31</v>
      </c>
      <c r="K324" s="48" t="s">
        <v>32</v>
      </c>
      <c r="L324" s="2"/>
      <c r="M324" s="2">
        <v>100</v>
      </c>
      <c r="P324" s="751" t="s">
        <v>25</v>
      </c>
      <c r="Q324" s="719"/>
      <c r="R324" s="55"/>
    </row>
    <row r="325" spans="1:26" ht="15.75" customHeight="1">
      <c r="A325" s="61">
        <v>18</v>
      </c>
      <c r="B325" s="62" t="s">
        <v>2143</v>
      </c>
      <c r="C325" s="62" t="s">
        <v>27</v>
      </c>
      <c r="D325" s="62" t="s">
        <v>1076</v>
      </c>
      <c r="E325" s="62" t="s">
        <v>89</v>
      </c>
      <c r="F325" s="62"/>
      <c r="G325" s="62" t="s">
        <v>30</v>
      </c>
      <c r="H325" s="63">
        <v>500</v>
      </c>
      <c r="I325" s="159" t="s">
        <v>1586</v>
      </c>
      <c r="J325" s="48" t="s">
        <v>31</v>
      </c>
      <c r="K325" s="48" t="s">
        <v>32</v>
      </c>
      <c r="L325" s="2"/>
      <c r="M325" s="2">
        <v>100</v>
      </c>
      <c r="P325" s="363" t="s">
        <v>33</v>
      </c>
      <c r="Q325" s="364">
        <v>0</v>
      </c>
    </row>
    <row r="326" spans="1:26" ht="15.75" customHeight="1">
      <c r="A326" s="65">
        <v>18</v>
      </c>
      <c r="B326" s="58" t="s">
        <v>2144</v>
      </c>
      <c r="C326" s="58" t="s">
        <v>27</v>
      </c>
      <c r="D326" s="58" t="s">
        <v>1076</v>
      </c>
      <c r="E326" s="58" t="s">
        <v>89</v>
      </c>
      <c r="F326" s="58"/>
      <c r="G326" s="58" t="s">
        <v>30</v>
      </c>
      <c r="H326" s="59">
        <v>500</v>
      </c>
      <c r="I326" s="160" t="s">
        <v>1586</v>
      </c>
      <c r="J326" s="48" t="s">
        <v>31</v>
      </c>
      <c r="K326" s="48" t="s">
        <v>32</v>
      </c>
      <c r="L326" s="2"/>
      <c r="M326" s="2">
        <v>120</v>
      </c>
      <c r="P326" s="363" t="s">
        <v>37</v>
      </c>
      <c r="Q326" s="364">
        <v>6450</v>
      </c>
      <c r="S326" s="55"/>
    </row>
    <row r="327" spans="1:26" ht="15.75" customHeight="1">
      <c r="A327" s="372">
        <v>19</v>
      </c>
      <c r="B327" s="230" t="s">
        <v>2145</v>
      </c>
      <c r="C327" s="230" t="s">
        <v>39</v>
      </c>
      <c r="D327" s="230" t="s">
        <v>43</v>
      </c>
      <c r="E327" s="230" t="s">
        <v>44</v>
      </c>
      <c r="F327" s="230"/>
      <c r="G327" s="230" t="s">
        <v>30</v>
      </c>
      <c r="H327" s="231">
        <v>1000</v>
      </c>
      <c r="I327" s="232" t="s">
        <v>1586</v>
      </c>
      <c r="J327" s="48" t="s">
        <v>31</v>
      </c>
      <c r="K327" s="48" t="s">
        <v>32</v>
      </c>
      <c r="L327" s="2"/>
      <c r="M327" s="2"/>
      <c r="N327" s="2"/>
      <c r="O327" s="2"/>
      <c r="P327" s="365" t="s">
        <v>576</v>
      </c>
      <c r="Q327" s="366">
        <v>6450</v>
      </c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372">
        <v>20</v>
      </c>
      <c r="B328" s="230" t="s">
        <v>2146</v>
      </c>
      <c r="C328" s="230" t="s">
        <v>27</v>
      </c>
      <c r="D328" s="230" t="s">
        <v>1431</v>
      </c>
      <c r="E328" s="230" t="s">
        <v>44</v>
      </c>
      <c r="F328" s="230"/>
      <c r="G328" s="230" t="s">
        <v>30</v>
      </c>
      <c r="H328" s="231">
        <v>150</v>
      </c>
      <c r="I328" s="232" t="s">
        <v>1586</v>
      </c>
      <c r="J328" s="48" t="s">
        <v>31</v>
      </c>
      <c r="K328" s="48" t="s">
        <v>32</v>
      </c>
      <c r="L328" s="2"/>
      <c r="M328" s="2"/>
      <c r="P328" s="723" t="s">
        <v>286</v>
      </c>
      <c r="Q328" s="719"/>
    </row>
    <row r="329" spans="1:26" ht="15.75" customHeight="1">
      <c r="A329" s="61">
        <v>21</v>
      </c>
      <c r="B329" s="62" t="s">
        <v>2147</v>
      </c>
      <c r="C329" s="62" t="s">
        <v>27</v>
      </c>
      <c r="D329" s="62" t="s">
        <v>98</v>
      </c>
      <c r="E329" s="62" t="s">
        <v>36</v>
      </c>
      <c r="F329" s="62"/>
      <c r="G329" s="62" t="s">
        <v>30</v>
      </c>
      <c r="H329" s="63">
        <v>500</v>
      </c>
      <c r="I329" s="159" t="s">
        <v>1586</v>
      </c>
      <c r="J329" s="48" t="s">
        <v>31</v>
      </c>
      <c r="K329" s="48" t="s">
        <v>32</v>
      </c>
      <c r="L329" s="2"/>
      <c r="M329" s="2"/>
      <c r="P329" s="48" t="s">
        <v>48</v>
      </c>
      <c r="Q329" s="67">
        <v>50</v>
      </c>
    </row>
    <row r="330" spans="1:26" ht="15.75" customHeight="1">
      <c r="A330" s="61">
        <v>21</v>
      </c>
      <c r="B330" s="62" t="s">
        <v>2148</v>
      </c>
      <c r="C330" s="62" t="s">
        <v>39</v>
      </c>
      <c r="D330" s="62" t="s">
        <v>2149</v>
      </c>
      <c r="E330" s="62" t="s">
        <v>148</v>
      </c>
      <c r="F330" s="62"/>
      <c r="G330" s="62" t="s">
        <v>30</v>
      </c>
      <c r="H330" s="63">
        <v>2000</v>
      </c>
      <c r="I330" s="159" t="s">
        <v>1586</v>
      </c>
      <c r="J330" s="48" t="s">
        <v>31</v>
      </c>
      <c r="K330" s="48" t="s">
        <v>32</v>
      </c>
      <c r="L330" s="2"/>
      <c r="M330" s="2"/>
      <c r="P330" s="723" t="s">
        <v>586</v>
      </c>
      <c r="Q330" s="719"/>
    </row>
    <row r="331" spans="1:26" ht="15.75" customHeight="1">
      <c r="A331" s="65">
        <v>21</v>
      </c>
      <c r="B331" s="62" t="s">
        <v>2148</v>
      </c>
      <c r="C331" s="62" t="s">
        <v>39</v>
      </c>
      <c r="D331" s="62" t="s">
        <v>2149</v>
      </c>
      <c r="E331" s="62" t="s">
        <v>148</v>
      </c>
      <c r="F331" s="62"/>
      <c r="G331" s="58" t="s">
        <v>1300</v>
      </c>
      <c r="H331" s="59">
        <v>50</v>
      </c>
      <c r="I331" s="160" t="s">
        <v>1586</v>
      </c>
      <c r="J331" s="48" t="s">
        <v>31</v>
      </c>
      <c r="K331" s="48" t="s">
        <v>32</v>
      </c>
      <c r="L331" s="2"/>
      <c r="M331" s="2"/>
      <c r="P331" s="48" t="s">
        <v>37</v>
      </c>
      <c r="Q331" s="48">
        <v>190</v>
      </c>
    </row>
    <row r="332" spans="1:26" ht="15.75" customHeight="1">
      <c r="A332" s="61">
        <v>28</v>
      </c>
      <c r="B332" s="292" t="s">
        <v>2150</v>
      </c>
      <c r="C332" s="62" t="s">
        <v>39</v>
      </c>
      <c r="D332" s="62" t="s">
        <v>104</v>
      </c>
      <c r="E332" s="62" t="s">
        <v>36</v>
      </c>
      <c r="F332" s="62"/>
      <c r="G332" s="62" t="s">
        <v>30</v>
      </c>
      <c r="H332" s="63">
        <v>500</v>
      </c>
      <c r="I332" s="159" t="s">
        <v>1586</v>
      </c>
      <c r="J332" s="62" t="s">
        <v>31</v>
      </c>
      <c r="K332" s="62" t="s">
        <v>32</v>
      </c>
      <c r="L332" s="2"/>
      <c r="M332" s="2"/>
    </row>
    <row r="333" spans="1:26" ht="15.75" customHeight="1">
      <c r="A333" s="61">
        <v>28</v>
      </c>
      <c r="B333" s="292" t="s">
        <v>2151</v>
      </c>
      <c r="C333" s="62" t="s">
        <v>39</v>
      </c>
      <c r="D333" s="62" t="s">
        <v>104</v>
      </c>
      <c r="E333" s="62" t="s">
        <v>36</v>
      </c>
      <c r="F333" s="62"/>
      <c r="G333" s="62" t="s">
        <v>30</v>
      </c>
      <c r="H333" s="63">
        <v>500</v>
      </c>
      <c r="I333" s="159" t="s">
        <v>1586</v>
      </c>
      <c r="J333" s="62" t="s">
        <v>31</v>
      </c>
      <c r="K333" s="62" t="s">
        <v>32</v>
      </c>
      <c r="L333" s="2"/>
      <c r="M333" s="2"/>
    </row>
    <row r="334" spans="1:26" ht="15.75" customHeight="1">
      <c r="A334" s="61">
        <v>28</v>
      </c>
      <c r="B334" s="292" t="s">
        <v>2152</v>
      </c>
      <c r="C334" s="62" t="s">
        <v>39</v>
      </c>
      <c r="D334" s="62" t="s">
        <v>104</v>
      </c>
      <c r="E334" s="62" t="s">
        <v>36</v>
      </c>
      <c r="F334" s="62"/>
      <c r="G334" s="62" t="s">
        <v>30</v>
      </c>
      <c r="H334" s="63">
        <v>500</v>
      </c>
      <c r="I334" s="159" t="s">
        <v>1586</v>
      </c>
      <c r="J334" s="62" t="s">
        <v>31</v>
      </c>
      <c r="K334" s="62" t="s">
        <v>32</v>
      </c>
      <c r="L334" s="2"/>
      <c r="M334" s="2"/>
    </row>
    <row r="335" spans="1:26" ht="15.75" customHeight="1">
      <c r="A335" s="65">
        <v>28</v>
      </c>
      <c r="B335" s="58" t="s">
        <v>2153</v>
      </c>
      <c r="C335" s="58" t="s">
        <v>39</v>
      </c>
      <c r="D335" s="58" t="s">
        <v>2154</v>
      </c>
      <c r="E335" s="58" t="s">
        <v>223</v>
      </c>
      <c r="F335" s="58"/>
      <c r="G335" s="58" t="s">
        <v>30</v>
      </c>
      <c r="H335" s="59">
        <v>300</v>
      </c>
      <c r="I335" s="160" t="s">
        <v>1586</v>
      </c>
      <c r="J335" s="58" t="s">
        <v>31</v>
      </c>
      <c r="K335" s="58" t="s">
        <v>32</v>
      </c>
      <c r="L335" s="2"/>
      <c r="M335" s="2"/>
    </row>
    <row r="336" spans="1:26" ht="15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>
      <c r="A337" s="4"/>
      <c r="B337" s="2"/>
      <c r="C337" s="2"/>
      <c r="D337" s="2"/>
      <c r="E337" s="2"/>
      <c r="F337" s="2"/>
      <c r="G337" s="2"/>
      <c r="H337" s="2"/>
      <c r="I337" s="137" t="s">
        <v>508</v>
      </c>
      <c r="J337" s="83"/>
      <c r="K337" s="2"/>
      <c r="L337" s="2"/>
    </row>
    <row r="338" spans="1:12" ht="15.75" customHeight="1">
      <c r="A338" s="4"/>
      <c r="B338" s="2" t="s">
        <v>509</v>
      </c>
      <c r="C338" s="2"/>
      <c r="D338" s="2"/>
      <c r="E338" s="2" t="s">
        <v>510</v>
      </c>
      <c r="F338" s="2"/>
      <c r="G338" s="2"/>
      <c r="H338" s="2"/>
      <c r="I338" s="83" t="s">
        <v>942</v>
      </c>
      <c r="J338" s="83"/>
      <c r="K338" s="2"/>
      <c r="L338" s="2"/>
    </row>
    <row r="339" spans="1:12" ht="15.75" customHeight="1">
      <c r="A339" s="4"/>
      <c r="B339" s="2"/>
      <c r="C339" s="2"/>
      <c r="D339" s="2"/>
      <c r="E339" s="2"/>
      <c r="F339" s="2"/>
      <c r="G339" s="2"/>
      <c r="H339" s="2"/>
      <c r="I339" s="83" t="s">
        <v>944</v>
      </c>
      <c r="J339" s="83"/>
      <c r="K339" s="2"/>
      <c r="L339" s="2"/>
    </row>
    <row r="340" spans="1:12" ht="15.75" customHeight="1">
      <c r="A340" s="4"/>
      <c r="B340" s="2"/>
      <c r="C340" s="2"/>
      <c r="D340" s="2"/>
      <c r="E340" s="2"/>
      <c r="F340" s="2"/>
      <c r="G340" s="2"/>
      <c r="H340" s="2"/>
      <c r="I340" s="83" t="s">
        <v>946</v>
      </c>
      <c r="J340" s="83"/>
      <c r="K340" s="2"/>
      <c r="L340" s="2"/>
    </row>
    <row r="341" spans="1:12" ht="15.75" customHeight="1">
      <c r="A341" s="4"/>
      <c r="B341" s="86" t="s">
        <v>516</v>
      </c>
      <c r="C341" s="2"/>
      <c r="D341" s="2"/>
      <c r="E341" s="731" t="s">
        <v>517</v>
      </c>
      <c r="F341" s="711"/>
      <c r="G341" s="711"/>
      <c r="H341" s="2"/>
      <c r="I341" s="83" t="s">
        <v>947</v>
      </c>
      <c r="J341" s="83"/>
      <c r="K341" s="2"/>
      <c r="L341" s="2"/>
    </row>
    <row r="342" spans="1:12" ht="15.75" customHeight="1">
      <c r="A342" s="4"/>
      <c r="B342" s="4" t="s">
        <v>949</v>
      </c>
      <c r="C342" s="2"/>
      <c r="D342" s="2"/>
      <c r="E342" s="732" t="s">
        <v>521</v>
      </c>
      <c r="F342" s="711"/>
      <c r="G342" s="711"/>
      <c r="H342" s="711"/>
      <c r="I342" s="83" t="s">
        <v>950</v>
      </c>
      <c r="J342" s="83"/>
      <c r="K342" s="2"/>
      <c r="L342" s="2"/>
    </row>
    <row r="343" spans="1:12" ht="15.75" customHeight="1">
      <c r="A343" s="4"/>
      <c r="B343" s="2"/>
      <c r="C343" s="2"/>
      <c r="D343" s="2"/>
      <c r="E343" s="2"/>
      <c r="F343" s="2"/>
      <c r="G343" s="2"/>
      <c r="H343" s="2"/>
      <c r="I343" s="83" t="s">
        <v>564</v>
      </c>
      <c r="J343" s="83"/>
      <c r="K343" s="2"/>
      <c r="L343" s="2"/>
    </row>
    <row r="344" spans="1:12" ht="15.75" customHeight="1">
      <c r="A344" s="4"/>
      <c r="B344" s="2"/>
      <c r="C344" s="2"/>
      <c r="D344" s="2"/>
      <c r="E344" s="2"/>
      <c r="F344" s="2"/>
      <c r="G344" s="2"/>
      <c r="H344" s="2"/>
      <c r="I344" s="83" t="s">
        <v>525</v>
      </c>
      <c r="J344" s="83"/>
      <c r="K344" s="2"/>
      <c r="L344" s="2"/>
    </row>
    <row r="345" spans="1:12" ht="15.75" customHeight="1">
      <c r="A345" s="4"/>
      <c r="B345" s="2"/>
      <c r="C345" s="2"/>
      <c r="D345" s="2"/>
      <c r="E345" s="2"/>
      <c r="F345" s="2"/>
      <c r="G345" s="2"/>
      <c r="H345" s="2"/>
      <c r="I345" s="10" t="s">
        <v>565</v>
      </c>
      <c r="J345" s="90"/>
      <c r="K345" s="2"/>
      <c r="L345" s="2"/>
    </row>
    <row r="346" spans="1:12" ht="15.75" customHeight="1">
      <c r="A346" s="4"/>
      <c r="B346" s="2"/>
      <c r="C346" s="2"/>
      <c r="D346" s="2"/>
      <c r="E346" s="2"/>
      <c r="F346" s="2"/>
      <c r="G346" s="2"/>
      <c r="H346" s="2"/>
      <c r="I346" s="10" t="s">
        <v>953</v>
      </c>
      <c r="J346" s="90"/>
      <c r="K346" s="2"/>
      <c r="L346" s="2"/>
    </row>
    <row r="347" spans="1:12" ht="15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>
      <c r="A364" s="4"/>
      <c r="G364" s="2"/>
      <c r="H364" s="2"/>
      <c r="I364" s="2"/>
      <c r="K364" s="253"/>
      <c r="L364" s="2"/>
    </row>
    <row r="365" spans="1:12" ht="15.75" customHeight="1">
      <c r="A365" s="4"/>
      <c r="G365" s="2"/>
      <c r="H365" s="2"/>
      <c r="I365" s="2"/>
      <c r="K365" s="253"/>
      <c r="L365" s="2"/>
    </row>
    <row r="366" spans="1:12" ht="15.75" customHeight="1">
      <c r="A366" s="4"/>
      <c r="G366" s="2"/>
      <c r="H366" s="2"/>
      <c r="I366" s="2"/>
      <c r="K366" s="253"/>
      <c r="L366" s="2"/>
    </row>
    <row r="367" spans="1:12" ht="15.75" customHeight="1">
      <c r="A367" s="4"/>
      <c r="G367" s="2"/>
      <c r="H367" s="2"/>
      <c r="I367" s="2"/>
      <c r="K367" s="253"/>
      <c r="L367" s="2"/>
    </row>
    <row r="368" spans="1:12" ht="15.75" customHeight="1">
      <c r="A368" s="4"/>
      <c r="G368" s="2"/>
      <c r="H368" s="2"/>
      <c r="I368" s="2"/>
      <c r="K368" s="253"/>
      <c r="L368" s="2"/>
    </row>
    <row r="369" spans="1:12" ht="15.75" customHeight="1">
      <c r="A369" s="4"/>
      <c r="G369" s="2"/>
      <c r="H369" s="2"/>
      <c r="I369" s="2"/>
      <c r="K369" s="253"/>
      <c r="L369" s="2"/>
    </row>
    <row r="370" spans="1:12" ht="15.75" customHeight="1">
      <c r="A370" s="4"/>
      <c r="G370" s="2"/>
      <c r="H370" s="2"/>
      <c r="I370" s="2"/>
      <c r="K370" s="253"/>
      <c r="L370" s="2"/>
    </row>
    <row r="371" spans="1:12" ht="15.75" customHeight="1">
      <c r="A371" s="4"/>
      <c r="G371" s="2"/>
      <c r="H371" s="2"/>
      <c r="I371" s="2"/>
      <c r="K371" s="253"/>
      <c r="L371" s="2"/>
    </row>
    <row r="372" spans="1:12" ht="15.75" customHeight="1">
      <c r="A372" s="4"/>
      <c r="G372" s="2"/>
      <c r="H372" s="2"/>
      <c r="I372" s="2"/>
      <c r="K372" s="253"/>
      <c r="L372" s="2"/>
    </row>
    <row r="373" spans="1:12" ht="15.75" customHeight="1">
      <c r="A373" s="4"/>
      <c r="G373" s="2"/>
      <c r="H373" s="2"/>
      <c r="I373" s="2"/>
      <c r="K373" s="253"/>
      <c r="L373" s="2"/>
    </row>
    <row r="374" spans="1:12" ht="15.75" customHeight="1">
      <c r="A374" s="4"/>
      <c r="G374" s="2"/>
      <c r="H374" s="2"/>
      <c r="I374" s="2"/>
      <c r="K374" s="253"/>
      <c r="L374" s="2"/>
    </row>
    <row r="375" spans="1:12" ht="15.75" customHeight="1">
      <c r="A375" s="4"/>
      <c r="G375" s="2"/>
      <c r="H375" s="2"/>
      <c r="I375" s="2"/>
      <c r="K375" s="253"/>
      <c r="L375" s="2"/>
    </row>
    <row r="376" spans="1:12" ht="15.75" customHeight="1">
      <c r="A376" s="4"/>
      <c r="G376" s="2"/>
      <c r="H376" s="2"/>
      <c r="I376" s="2"/>
      <c r="K376" s="253"/>
      <c r="L376" s="2"/>
    </row>
    <row r="377" spans="1:12" ht="15.75" customHeight="1">
      <c r="A377" s="4"/>
      <c r="G377" s="2"/>
      <c r="H377" s="2"/>
      <c r="I377" s="2"/>
      <c r="K377" s="253"/>
      <c r="L377" s="2"/>
    </row>
    <row r="378" spans="1:12" ht="15.75" customHeight="1">
      <c r="A378" s="4"/>
      <c r="G378" s="2"/>
      <c r="H378" s="2"/>
      <c r="I378" s="2"/>
      <c r="K378" s="253"/>
      <c r="L378" s="2"/>
    </row>
    <row r="379" spans="1:12" ht="15.75" customHeight="1">
      <c r="A379" s="4"/>
      <c r="G379" s="2"/>
      <c r="H379" s="2"/>
      <c r="I379" s="2"/>
      <c r="K379" s="253"/>
      <c r="L379" s="2"/>
    </row>
    <row r="380" spans="1:12" ht="15.75" customHeight="1">
      <c r="A380" s="4"/>
      <c r="G380" s="2"/>
      <c r="H380" s="2"/>
      <c r="I380" s="2"/>
      <c r="K380" s="253"/>
      <c r="L380" s="2"/>
    </row>
    <row r="381" spans="1:12" ht="15.75" customHeight="1">
      <c r="A381" s="4"/>
      <c r="G381" s="2"/>
      <c r="H381" s="2"/>
      <c r="I381" s="2"/>
      <c r="K381" s="253"/>
      <c r="L381" s="2"/>
    </row>
    <row r="382" spans="1:12" ht="15.75" customHeight="1">
      <c r="A382" s="4"/>
      <c r="G382" s="2"/>
      <c r="H382" s="2"/>
      <c r="I382" s="2"/>
      <c r="K382" s="253"/>
      <c r="L382" s="2"/>
    </row>
    <row r="383" spans="1:12" ht="15.75" customHeight="1">
      <c r="A383" s="4"/>
      <c r="G383" s="2"/>
      <c r="H383" s="2"/>
      <c r="I383" s="2"/>
      <c r="K383" s="253"/>
      <c r="L383" s="2"/>
    </row>
    <row r="384" spans="1:12" ht="15.75" customHeight="1">
      <c r="A384" s="4"/>
      <c r="G384" s="2"/>
      <c r="H384" s="2"/>
      <c r="I384" s="2"/>
      <c r="K384" s="253"/>
      <c r="L384" s="2"/>
    </row>
    <row r="385" spans="1:12" ht="15.75" customHeight="1">
      <c r="A385" s="4"/>
      <c r="G385" s="2"/>
      <c r="H385" s="2"/>
      <c r="I385" s="2"/>
      <c r="K385" s="253"/>
      <c r="L385" s="2"/>
    </row>
    <row r="386" spans="1:12" ht="15.75" customHeight="1">
      <c r="A386" s="4"/>
      <c r="G386" s="2"/>
      <c r="H386" s="2"/>
      <c r="I386" s="2"/>
      <c r="K386" s="253"/>
      <c r="L386" s="2"/>
    </row>
    <row r="387" spans="1:12" ht="15.75" customHeight="1">
      <c r="A387" s="4"/>
      <c r="G387" s="2"/>
      <c r="H387" s="2"/>
      <c r="I387" s="2"/>
      <c r="K387" s="253"/>
      <c r="L387" s="2"/>
    </row>
    <row r="388" spans="1:12" ht="15.75" customHeight="1">
      <c r="A388" s="4"/>
      <c r="G388" s="2"/>
      <c r="H388" s="2"/>
      <c r="I388" s="2"/>
      <c r="K388" s="253"/>
      <c r="L388" s="2"/>
    </row>
    <row r="389" spans="1:12" ht="15.75" customHeight="1">
      <c r="A389" s="4"/>
      <c r="G389" s="2"/>
      <c r="H389" s="2"/>
      <c r="I389" s="2"/>
      <c r="K389" s="253"/>
      <c r="L389" s="2"/>
    </row>
    <row r="390" spans="1:12" ht="15.75" customHeight="1">
      <c r="A390" s="4"/>
      <c r="G390" s="2"/>
      <c r="H390" s="2"/>
      <c r="I390" s="2"/>
      <c r="K390" s="253"/>
      <c r="L390" s="2"/>
    </row>
    <row r="391" spans="1:12" ht="15.75" customHeight="1">
      <c r="A391" s="4"/>
      <c r="G391" s="2"/>
      <c r="H391" s="2"/>
      <c r="I391" s="2"/>
      <c r="K391" s="253"/>
      <c r="L391" s="2"/>
    </row>
    <row r="392" spans="1:12" ht="15.75" customHeight="1">
      <c r="A392" s="4"/>
      <c r="G392" s="2"/>
      <c r="H392" s="2"/>
      <c r="I392" s="2"/>
      <c r="K392" s="253"/>
      <c r="L392" s="2"/>
    </row>
    <row r="393" spans="1:12" ht="15.75" customHeight="1">
      <c r="A393" s="4"/>
      <c r="G393" s="2"/>
      <c r="H393" s="2"/>
      <c r="I393" s="2"/>
      <c r="K393" s="253"/>
      <c r="L393" s="2"/>
    </row>
    <row r="394" spans="1:12" ht="15.75" customHeight="1">
      <c r="A394" s="4"/>
      <c r="G394" s="2"/>
      <c r="H394" s="2"/>
      <c r="I394" s="2"/>
      <c r="K394" s="253"/>
      <c r="L394" s="2"/>
    </row>
    <row r="395" spans="1:12" ht="15.75" customHeight="1">
      <c r="A395" s="4"/>
      <c r="G395" s="2"/>
      <c r="H395" s="2"/>
      <c r="I395" s="2"/>
      <c r="K395" s="253"/>
      <c r="L395" s="2"/>
    </row>
    <row r="396" spans="1:12" ht="15.75" customHeight="1">
      <c r="A396" s="4"/>
      <c r="G396" s="2"/>
      <c r="H396" s="2"/>
      <c r="I396" s="2"/>
      <c r="K396" s="253"/>
      <c r="L396" s="2"/>
    </row>
    <row r="397" spans="1:12" ht="15.75" customHeight="1">
      <c r="A397" s="4"/>
      <c r="G397" s="2"/>
      <c r="H397" s="2"/>
      <c r="I397" s="2"/>
      <c r="K397" s="253"/>
      <c r="L397" s="2"/>
    </row>
    <row r="398" spans="1:12" ht="15.75" customHeight="1">
      <c r="A398" s="4"/>
      <c r="G398" s="2"/>
      <c r="H398" s="2"/>
      <c r="I398" s="2"/>
      <c r="K398" s="253"/>
      <c r="L398" s="2"/>
    </row>
    <row r="399" spans="1:12" ht="15.75" customHeight="1">
      <c r="A399" s="4"/>
      <c r="G399" s="2"/>
      <c r="H399" s="2"/>
      <c r="I399" s="2"/>
      <c r="K399" s="253"/>
      <c r="L399" s="2"/>
    </row>
    <row r="400" spans="1:12" ht="15.75" customHeight="1">
      <c r="A400" s="4"/>
      <c r="G400" s="2"/>
      <c r="H400" s="2"/>
      <c r="I400" s="2"/>
      <c r="K400" s="253"/>
      <c r="L400" s="2"/>
    </row>
    <row r="401" spans="1:12" ht="15.75" customHeight="1">
      <c r="A401" s="4"/>
      <c r="G401" s="2"/>
      <c r="H401" s="2"/>
      <c r="I401" s="2"/>
      <c r="K401" s="253"/>
      <c r="L401" s="2"/>
    </row>
    <row r="402" spans="1:12" ht="15.75" customHeight="1">
      <c r="A402" s="4"/>
      <c r="G402" s="2"/>
      <c r="H402" s="2"/>
      <c r="I402" s="2"/>
      <c r="K402" s="253"/>
      <c r="L402" s="2"/>
    </row>
    <row r="403" spans="1:12" ht="15.75" customHeight="1">
      <c r="A403" s="4"/>
      <c r="G403" s="2"/>
      <c r="H403" s="2"/>
      <c r="I403" s="2"/>
      <c r="K403" s="253"/>
      <c r="L403" s="2"/>
    </row>
    <row r="404" spans="1:12" ht="15.75" customHeight="1">
      <c r="A404" s="4"/>
      <c r="G404" s="2"/>
      <c r="H404" s="2"/>
      <c r="I404" s="2"/>
      <c r="K404" s="253"/>
      <c r="L404" s="2"/>
    </row>
    <row r="405" spans="1:12" ht="15.75" customHeight="1">
      <c r="A405" s="4"/>
      <c r="G405" s="2"/>
      <c r="H405" s="2"/>
      <c r="I405" s="2"/>
      <c r="K405" s="253"/>
      <c r="L405" s="2"/>
    </row>
    <row r="406" spans="1:12" ht="15.75" customHeight="1">
      <c r="A406" s="4"/>
      <c r="G406" s="2"/>
      <c r="H406" s="2"/>
      <c r="I406" s="2"/>
      <c r="K406" s="253"/>
      <c r="L406" s="2"/>
    </row>
    <row r="407" spans="1:12" ht="15.75" customHeight="1">
      <c r="A407" s="4"/>
      <c r="G407" s="2"/>
      <c r="H407" s="2"/>
      <c r="I407" s="2"/>
      <c r="K407" s="253"/>
      <c r="L407" s="2"/>
    </row>
    <row r="408" spans="1:12" ht="15.75" customHeight="1">
      <c r="A408" s="4"/>
      <c r="G408" s="2"/>
      <c r="H408" s="2"/>
      <c r="I408" s="2"/>
      <c r="K408" s="253"/>
      <c r="L408" s="2"/>
    </row>
    <row r="409" spans="1:12" ht="15.75" customHeight="1">
      <c r="A409" s="4"/>
      <c r="G409" s="2"/>
      <c r="H409" s="2"/>
      <c r="I409" s="2"/>
      <c r="K409" s="253"/>
      <c r="L409" s="2"/>
    </row>
    <row r="410" spans="1:12" ht="15.75" customHeight="1">
      <c r="A410" s="4"/>
      <c r="G410" s="2"/>
      <c r="H410" s="2"/>
      <c r="I410" s="2"/>
      <c r="K410" s="253"/>
      <c r="L410" s="2"/>
    </row>
    <row r="411" spans="1:12" ht="15.75" customHeight="1">
      <c r="A411" s="4"/>
      <c r="G411" s="2"/>
      <c r="H411" s="2"/>
      <c r="I411" s="2"/>
      <c r="K411" s="253"/>
      <c r="L411" s="2"/>
    </row>
    <row r="412" spans="1:12" ht="15.75" customHeight="1">
      <c r="A412" s="4"/>
      <c r="G412" s="2"/>
      <c r="H412" s="2"/>
      <c r="I412" s="2"/>
      <c r="K412" s="253"/>
      <c r="L412" s="2"/>
    </row>
    <row r="413" spans="1:12" ht="15.75" customHeight="1">
      <c r="A413" s="4"/>
      <c r="G413" s="2"/>
      <c r="H413" s="2"/>
      <c r="I413" s="2"/>
      <c r="K413" s="253"/>
      <c r="L413" s="2"/>
    </row>
    <row r="414" spans="1:12" ht="15.75" customHeight="1">
      <c r="A414" s="4"/>
      <c r="G414" s="2"/>
      <c r="H414" s="2"/>
      <c r="I414" s="2"/>
      <c r="K414" s="253"/>
      <c r="L414" s="2"/>
    </row>
    <row r="415" spans="1:12" ht="15.75" customHeight="1">
      <c r="A415" s="4"/>
      <c r="G415" s="2"/>
      <c r="H415" s="2"/>
      <c r="I415" s="2"/>
      <c r="K415" s="253"/>
      <c r="L415" s="2"/>
    </row>
    <row r="416" spans="1:12" ht="15.75" customHeight="1">
      <c r="A416" s="4"/>
      <c r="G416" s="2"/>
      <c r="H416" s="2"/>
      <c r="I416" s="2"/>
      <c r="K416" s="253"/>
      <c r="L416" s="2"/>
    </row>
    <row r="417" spans="1:12" ht="15.75" customHeight="1">
      <c r="A417" s="4"/>
      <c r="G417" s="2"/>
      <c r="H417" s="2"/>
      <c r="I417" s="2"/>
      <c r="K417" s="253"/>
      <c r="L417" s="2"/>
    </row>
    <row r="418" spans="1:12" ht="15.75" customHeight="1">
      <c r="A418" s="4"/>
      <c r="G418" s="2"/>
      <c r="H418" s="2"/>
      <c r="I418" s="2"/>
      <c r="K418" s="253"/>
      <c r="L418" s="2"/>
    </row>
    <row r="419" spans="1:12" ht="15.75" customHeight="1">
      <c r="A419" s="4"/>
      <c r="G419" s="2"/>
      <c r="H419" s="2"/>
      <c r="I419" s="2"/>
      <c r="K419" s="253"/>
      <c r="L419" s="2"/>
    </row>
    <row r="420" spans="1:12" ht="15.75" customHeight="1">
      <c r="A420" s="4"/>
      <c r="G420" s="2"/>
      <c r="H420" s="2"/>
      <c r="I420" s="2"/>
      <c r="K420" s="253"/>
      <c r="L420" s="2"/>
    </row>
    <row r="421" spans="1:12" ht="15.75" customHeight="1">
      <c r="A421" s="4"/>
      <c r="G421" s="2"/>
      <c r="H421" s="2"/>
      <c r="I421" s="2"/>
      <c r="K421" s="253"/>
      <c r="L421" s="2"/>
    </row>
    <row r="422" spans="1:12" ht="15.75" customHeight="1">
      <c r="A422" s="4"/>
      <c r="G422" s="2"/>
      <c r="H422" s="2"/>
      <c r="I422" s="2"/>
      <c r="K422" s="253"/>
      <c r="L422" s="2"/>
    </row>
    <row r="423" spans="1:12" ht="15.75" customHeight="1">
      <c r="A423" s="4"/>
      <c r="G423" s="2"/>
      <c r="H423" s="2"/>
      <c r="I423" s="2"/>
      <c r="K423" s="253"/>
      <c r="L423" s="2"/>
    </row>
    <row r="424" spans="1:12" ht="15.75" customHeight="1">
      <c r="A424" s="4"/>
      <c r="G424" s="2"/>
      <c r="H424" s="2"/>
      <c r="I424" s="2"/>
      <c r="K424" s="253"/>
      <c r="L424" s="2"/>
    </row>
    <row r="425" spans="1:12" ht="15.75" customHeight="1">
      <c r="A425" s="4"/>
      <c r="G425" s="2"/>
      <c r="H425" s="2"/>
      <c r="I425" s="2"/>
      <c r="K425" s="253"/>
      <c r="L425" s="2"/>
    </row>
    <row r="426" spans="1:12" ht="15.75" customHeight="1">
      <c r="A426" s="4"/>
      <c r="G426" s="2"/>
      <c r="H426" s="2"/>
      <c r="I426" s="2"/>
      <c r="K426" s="253"/>
      <c r="L426" s="2"/>
    </row>
    <row r="427" spans="1:12" ht="15.75" customHeight="1">
      <c r="A427" s="4"/>
      <c r="G427" s="2"/>
      <c r="H427" s="2"/>
      <c r="I427" s="2"/>
      <c r="K427" s="253"/>
      <c r="L427" s="2"/>
    </row>
    <row r="428" spans="1:12" ht="15.75" customHeight="1">
      <c r="A428" s="4"/>
      <c r="G428" s="2"/>
      <c r="H428" s="2"/>
      <c r="I428" s="2"/>
      <c r="K428" s="253"/>
      <c r="L428" s="2"/>
    </row>
    <row r="429" spans="1:12" ht="15.75" customHeight="1">
      <c r="A429" s="4"/>
      <c r="G429" s="2"/>
      <c r="H429" s="2"/>
      <c r="I429" s="2"/>
      <c r="K429" s="253"/>
      <c r="L429" s="2"/>
    </row>
    <row r="430" spans="1:12" ht="15.75" customHeight="1">
      <c r="A430" s="4"/>
      <c r="G430" s="2"/>
      <c r="H430" s="2"/>
      <c r="I430" s="2"/>
      <c r="K430" s="253"/>
      <c r="L430" s="2"/>
    </row>
    <row r="431" spans="1:12" ht="15.75" customHeight="1">
      <c r="A431" s="4"/>
      <c r="G431" s="2"/>
      <c r="H431" s="2"/>
      <c r="I431" s="2"/>
      <c r="K431" s="253"/>
      <c r="L431" s="2"/>
    </row>
    <row r="432" spans="1:12" ht="15.75" customHeight="1">
      <c r="A432" s="4"/>
      <c r="G432" s="2"/>
      <c r="H432" s="2"/>
      <c r="I432" s="2"/>
      <c r="K432" s="253"/>
      <c r="L432" s="2"/>
    </row>
    <row r="433" spans="1:12" ht="15.75" customHeight="1">
      <c r="A433" s="4"/>
      <c r="G433" s="2"/>
      <c r="H433" s="2"/>
      <c r="I433" s="2"/>
      <c r="K433" s="253"/>
      <c r="L433" s="2"/>
    </row>
    <row r="434" spans="1:12" ht="15.75" customHeight="1">
      <c r="A434" s="4"/>
      <c r="G434" s="2"/>
      <c r="H434" s="2"/>
      <c r="I434" s="2"/>
      <c r="K434" s="253"/>
      <c r="L434" s="2"/>
    </row>
    <row r="435" spans="1:12" ht="15.75" customHeight="1">
      <c r="A435" s="4"/>
      <c r="G435" s="2"/>
      <c r="H435" s="2"/>
      <c r="I435" s="2"/>
      <c r="K435" s="253"/>
      <c r="L435" s="2"/>
    </row>
    <row r="436" spans="1:12" ht="15.75" customHeight="1">
      <c r="A436" s="4"/>
      <c r="G436" s="2"/>
      <c r="H436" s="2"/>
      <c r="I436" s="2"/>
      <c r="K436" s="253"/>
      <c r="L436" s="2"/>
    </row>
    <row r="437" spans="1:12" ht="15.75" customHeight="1">
      <c r="A437" s="4"/>
      <c r="G437" s="2"/>
      <c r="H437" s="2"/>
      <c r="I437" s="2"/>
      <c r="K437" s="253"/>
      <c r="L437" s="2"/>
    </row>
    <row r="438" spans="1:12" ht="15.75" customHeight="1">
      <c r="A438" s="4"/>
      <c r="G438" s="2"/>
      <c r="H438" s="2"/>
      <c r="I438" s="2"/>
      <c r="K438" s="253"/>
      <c r="L438" s="2"/>
    </row>
    <row r="439" spans="1:12" ht="15.75" customHeight="1">
      <c r="A439" s="4"/>
      <c r="G439" s="2"/>
      <c r="H439" s="2"/>
      <c r="I439" s="2"/>
      <c r="K439" s="253"/>
      <c r="L439" s="2"/>
    </row>
    <row r="440" spans="1:12" ht="15.75" customHeight="1">
      <c r="A440" s="4"/>
      <c r="G440" s="2"/>
      <c r="H440" s="2"/>
      <c r="I440" s="2"/>
      <c r="K440" s="253"/>
      <c r="L440" s="2"/>
    </row>
    <row r="441" spans="1:12" ht="15.75" customHeight="1">
      <c r="A441" s="4"/>
      <c r="G441" s="2"/>
      <c r="H441" s="2"/>
      <c r="I441" s="2"/>
      <c r="K441" s="253"/>
      <c r="L441" s="2"/>
    </row>
    <row r="442" spans="1:12" ht="15.75" customHeight="1">
      <c r="A442" s="4"/>
      <c r="G442" s="2"/>
      <c r="H442" s="2"/>
      <c r="I442" s="2"/>
      <c r="K442" s="253"/>
      <c r="L442" s="2"/>
    </row>
    <row r="443" spans="1:12" ht="15.75" customHeight="1">
      <c r="A443" s="4"/>
      <c r="G443" s="2"/>
      <c r="H443" s="2"/>
      <c r="I443" s="2"/>
      <c r="K443" s="253"/>
      <c r="L443" s="2"/>
    </row>
    <row r="444" spans="1:12" ht="15.75" customHeight="1">
      <c r="A444" s="4"/>
      <c r="G444" s="2"/>
      <c r="H444" s="2"/>
      <c r="I444" s="2"/>
      <c r="K444" s="253"/>
      <c r="L444" s="2"/>
    </row>
    <row r="445" spans="1:12" ht="15.75" customHeight="1">
      <c r="A445" s="4"/>
      <c r="G445" s="2"/>
      <c r="H445" s="2"/>
      <c r="I445" s="2"/>
      <c r="K445" s="253"/>
      <c r="L445" s="2"/>
    </row>
    <row r="446" spans="1:12" ht="15.75" customHeight="1">
      <c r="A446" s="4"/>
      <c r="G446" s="2"/>
      <c r="H446" s="2"/>
      <c r="I446" s="2"/>
      <c r="K446" s="253"/>
      <c r="L446" s="2"/>
    </row>
    <row r="447" spans="1:12" ht="15.75" customHeight="1">
      <c r="A447" s="4"/>
      <c r="G447" s="2"/>
      <c r="H447" s="2"/>
      <c r="I447" s="2"/>
      <c r="K447" s="253"/>
      <c r="L447" s="2"/>
    </row>
    <row r="448" spans="1:12" ht="15.75" customHeight="1">
      <c r="A448" s="4"/>
      <c r="G448" s="2"/>
      <c r="H448" s="2"/>
      <c r="I448" s="2"/>
      <c r="K448" s="253"/>
      <c r="L448" s="2"/>
    </row>
    <row r="449" spans="1:12" ht="15.75" customHeight="1">
      <c r="A449" s="4"/>
      <c r="G449" s="2"/>
      <c r="H449" s="2"/>
      <c r="I449" s="2"/>
      <c r="K449" s="253"/>
      <c r="L449" s="2"/>
    </row>
    <row r="450" spans="1:12" ht="15.75" customHeight="1">
      <c r="A450" s="4"/>
      <c r="G450" s="2"/>
      <c r="H450" s="2"/>
      <c r="I450" s="2"/>
      <c r="K450" s="253"/>
      <c r="L450" s="2"/>
    </row>
    <row r="451" spans="1:12" ht="15.75" customHeight="1">
      <c r="A451" s="4"/>
      <c r="G451" s="2"/>
      <c r="H451" s="2"/>
      <c r="I451" s="2"/>
      <c r="K451" s="253"/>
      <c r="L451" s="2"/>
    </row>
    <row r="452" spans="1:12" ht="15.75" customHeight="1">
      <c r="A452" s="4"/>
      <c r="G452" s="2"/>
      <c r="H452" s="2"/>
      <c r="I452" s="2"/>
      <c r="K452" s="253"/>
      <c r="L452" s="2"/>
    </row>
    <row r="453" spans="1:12" ht="15.75" customHeight="1">
      <c r="A453" s="4"/>
      <c r="G453" s="2"/>
      <c r="H453" s="2"/>
      <c r="I453" s="2"/>
      <c r="K453" s="253"/>
      <c r="L453" s="2"/>
    </row>
    <row r="454" spans="1:12" ht="15.75" customHeight="1">
      <c r="A454" s="4"/>
      <c r="G454" s="2"/>
      <c r="H454" s="2"/>
      <c r="I454" s="2"/>
      <c r="K454" s="253"/>
      <c r="L454" s="2"/>
    </row>
    <row r="455" spans="1:12" ht="15.75" customHeight="1">
      <c r="A455" s="4"/>
      <c r="G455" s="2"/>
      <c r="H455" s="2"/>
      <c r="I455" s="2"/>
      <c r="K455" s="253"/>
      <c r="L455" s="2"/>
    </row>
    <row r="456" spans="1:12" ht="15.75" customHeight="1">
      <c r="A456" s="4"/>
      <c r="G456" s="2"/>
      <c r="H456" s="2"/>
      <c r="I456" s="2"/>
      <c r="K456" s="253"/>
      <c r="L456" s="2"/>
    </row>
    <row r="457" spans="1:12" ht="15.75" customHeight="1">
      <c r="A457" s="4"/>
      <c r="G457" s="2"/>
      <c r="H457" s="2"/>
      <c r="I457" s="2"/>
      <c r="K457" s="253"/>
      <c r="L457" s="2"/>
    </row>
    <row r="458" spans="1:12" ht="15.75" customHeight="1">
      <c r="A458" s="4"/>
      <c r="G458" s="2"/>
      <c r="H458" s="2"/>
      <c r="I458" s="2"/>
      <c r="K458" s="253"/>
      <c r="L458" s="2"/>
    </row>
    <row r="459" spans="1:12" ht="15.75" customHeight="1">
      <c r="A459" s="4"/>
      <c r="G459" s="2"/>
      <c r="H459" s="2"/>
      <c r="I459" s="2"/>
      <c r="K459" s="253"/>
      <c r="L459" s="2"/>
    </row>
    <row r="460" spans="1:12" ht="15.75" customHeight="1">
      <c r="A460" s="4"/>
      <c r="G460" s="2"/>
      <c r="H460" s="2"/>
      <c r="I460" s="2"/>
      <c r="K460" s="253"/>
      <c r="L460" s="2"/>
    </row>
    <row r="461" spans="1:12" ht="15.75" customHeight="1">
      <c r="A461" s="4"/>
      <c r="G461" s="2"/>
      <c r="H461" s="2"/>
      <c r="I461" s="2"/>
      <c r="K461" s="253"/>
      <c r="L461" s="2"/>
    </row>
    <row r="462" spans="1:12" ht="15.75" customHeight="1">
      <c r="A462" s="4"/>
      <c r="G462" s="2"/>
      <c r="H462" s="2"/>
      <c r="I462" s="2"/>
      <c r="K462" s="253"/>
      <c r="L462" s="2"/>
    </row>
    <row r="463" spans="1:12" ht="15.75" customHeight="1">
      <c r="A463" s="4"/>
      <c r="G463" s="2"/>
      <c r="H463" s="2"/>
      <c r="I463" s="2"/>
      <c r="K463" s="253"/>
      <c r="L463" s="2"/>
    </row>
    <row r="464" spans="1:12" ht="15.75" customHeight="1">
      <c r="A464" s="4"/>
      <c r="G464" s="2"/>
      <c r="H464" s="2"/>
      <c r="I464" s="2"/>
      <c r="K464" s="253"/>
      <c r="L464" s="2"/>
    </row>
    <row r="465" spans="1:12" ht="15.75" customHeight="1">
      <c r="A465" s="4"/>
      <c r="G465" s="2"/>
      <c r="H465" s="2"/>
      <c r="I465" s="2"/>
      <c r="K465" s="253"/>
      <c r="L465" s="2"/>
    </row>
    <row r="466" spans="1:12" ht="15.75" customHeight="1">
      <c r="A466" s="4"/>
      <c r="G466" s="2"/>
      <c r="H466" s="2"/>
      <c r="I466" s="2"/>
      <c r="K466" s="253"/>
      <c r="L466" s="2"/>
    </row>
    <row r="467" spans="1:12" ht="15.75" customHeight="1">
      <c r="A467" s="4"/>
      <c r="G467" s="2"/>
      <c r="H467" s="2"/>
      <c r="I467" s="2"/>
      <c r="K467" s="253"/>
      <c r="L467" s="2"/>
    </row>
    <row r="468" spans="1:12" ht="15.75" customHeight="1">
      <c r="A468" s="4"/>
      <c r="G468" s="2"/>
      <c r="H468" s="2"/>
      <c r="I468" s="2"/>
      <c r="K468" s="253"/>
      <c r="L468" s="2"/>
    </row>
    <row r="469" spans="1:12" ht="15.75" customHeight="1">
      <c r="A469" s="4"/>
      <c r="G469" s="2"/>
      <c r="H469" s="2"/>
      <c r="I469" s="2"/>
      <c r="K469" s="253"/>
      <c r="L469" s="2"/>
    </row>
    <row r="470" spans="1:12" ht="15.75" customHeight="1">
      <c r="A470" s="4"/>
      <c r="G470" s="2"/>
      <c r="H470" s="2"/>
      <c r="I470" s="2"/>
      <c r="K470" s="253"/>
      <c r="L470" s="2"/>
    </row>
    <row r="471" spans="1:12" ht="15.75" customHeight="1">
      <c r="A471" s="4"/>
      <c r="G471" s="2"/>
      <c r="H471" s="2"/>
      <c r="I471" s="2"/>
      <c r="K471" s="253"/>
      <c r="L471" s="2"/>
    </row>
    <row r="472" spans="1:12" ht="15.75" customHeight="1">
      <c r="A472" s="4"/>
      <c r="G472" s="2"/>
      <c r="H472" s="2"/>
      <c r="I472" s="2"/>
      <c r="K472" s="253"/>
      <c r="L472" s="2"/>
    </row>
    <row r="473" spans="1:12" ht="15.75" customHeight="1">
      <c r="A473" s="4"/>
      <c r="G473" s="2"/>
      <c r="H473" s="2"/>
      <c r="I473" s="2"/>
      <c r="K473" s="253"/>
      <c r="L473" s="2"/>
    </row>
    <row r="474" spans="1:12" ht="15.75" customHeight="1">
      <c r="A474" s="4"/>
      <c r="G474" s="2"/>
      <c r="H474" s="2"/>
      <c r="I474" s="2"/>
      <c r="K474" s="253"/>
      <c r="L474" s="2"/>
    </row>
    <row r="475" spans="1:12" ht="15.75" customHeight="1">
      <c r="A475" s="4"/>
      <c r="G475" s="2"/>
      <c r="H475" s="2"/>
      <c r="I475" s="2"/>
      <c r="K475" s="253"/>
      <c r="L475" s="2"/>
    </row>
    <row r="476" spans="1:12" ht="15.75" customHeight="1">
      <c r="A476" s="4"/>
      <c r="G476" s="2"/>
      <c r="H476" s="2"/>
      <c r="I476" s="2"/>
      <c r="K476" s="253"/>
      <c r="L476" s="2"/>
    </row>
    <row r="477" spans="1:12" ht="15.75" customHeight="1">
      <c r="A477" s="4"/>
      <c r="G477" s="2"/>
      <c r="H477" s="2"/>
      <c r="I477" s="2"/>
      <c r="K477" s="253"/>
      <c r="L477" s="2"/>
    </row>
    <row r="478" spans="1:12" ht="15.75" customHeight="1">
      <c r="A478" s="4"/>
      <c r="G478" s="2"/>
      <c r="H478" s="2"/>
      <c r="I478" s="2"/>
      <c r="K478" s="253"/>
      <c r="L478" s="2"/>
    </row>
    <row r="479" spans="1:12" ht="15.75" customHeight="1">
      <c r="A479" s="4"/>
      <c r="G479" s="2"/>
      <c r="H479" s="2"/>
      <c r="I479" s="2"/>
      <c r="K479" s="253"/>
      <c r="L479" s="2"/>
    </row>
    <row r="480" spans="1:12" ht="15.75" customHeight="1">
      <c r="A480" s="4"/>
      <c r="G480" s="2"/>
      <c r="H480" s="2"/>
      <c r="I480" s="2"/>
      <c r="K480" s="253"/>
      <c r="L480" s="2"/>
    </row>
    <row r="481" spans="1:12" ht="15.75" customHeight="1">
      <c r="A481" s="4"/>
      <c r="G481" s="2"/>
      <c r="H481" s="2"/>
      <c r="I481" s="2"/>
      <c r="K481" s="253"/>
      <c r="L481" s="2"/>
    </row>
    <row r="482" spans="1:12" ht="15.75" customHeight="1">
      <c r="A482" s="4"/>
      <c r="G482" s="2"/>
      <c r="H482" s="2"/>
      <c r="I482" s="2"/>
      <c r="K482" s="253"/>
      <c r="L482" s="2"/>
    </row>
    <row r="483" spans="1:12" ht="15.75" customHeight="1">
      <c r="A483" s="4"/>
      <c r="G483" s="2"/>
      <c r="H483" s="2"/>
      <c r="I483" s="2"/>
      <c r="K483" s="253"/>
      <c r="L483" s="2"/>
    </row>
    <row r="484" spans="1:12" ht="15.75" customHeight="1">
      <c r="A484" s="4"/>
      <c r="G484" s="2"/>
      <c r="H484" s="2"/>
      <c r="I484" s="2"/>
      <c r="K484" s="253"/>
      <c r="L484" s="2"/>
    </row>
    <row r="485" spans="1:12" ht="15.75" customHeight="1">
      <c r="A485" s="4"/>
      <c r="G485" s="2"/>
      <c r="H485" s="2"/>
      <c r="I485" s="2"/>
      <c r="K485" s="253"/>
      <c r="L485" s="2"/>
    </row>
    <row r="486" spans="1:12" ht="15.75" customHeight="1">
      <c r="A486" s="4"/>
      <c r="G486" s="2"/>
      <c r="H486" s="2"/>
      <c r="I486" s="2"/>
      <c r="K486" s="253"/>
      <c r="L486" s="2"/>
    </row>
    <row r="487" spans="1:12" ht="15.75" customHeight="1">
      <c r="A487" s="4"/>
      <c r="G487" s="2"/>
      <c r="H487" s="2"/>
      <c r="I487" s="2"/>
      <c r="K487" s="253"/>
      <c r="L487" s="2"/>
    </row>
    <row r="488" spans="1:12" ht="15.75" customHeight="1">
      <c r="A488" s="4"/>
      <c r="G488" s="2"/>
      <c r="H488" s="2"/>
      <c r="I488" s="2"/>
      <c r="K488" s="253"/>
      <c r="L488" s="2"/>
    </row>
    <row r="489" spans="1:12" ht="15.75" customHeight="1">
      <c r="A489" s="4"/>
      <c r="G489" s="2"/>
      <c r="H489" s="2"/>
      <c r="I489" s="2"/>
      <c r="K489" s="253"/>
      <c r="L489" s="2"/>
    </row>
    <row r="490" spans="1:12" ht="15.75" customHeight="1">
      <c r="A490" s="4"/>
      <c r="G490" s="2"/>
      <c r="H490" s="2"/>
      <c r="I490" s="2"/>
      <c r="K490" s="253"/>
      <c r="L490" s="2"/>
    </row>
    <row r="491" spans="1:12" ht="15.75" customHeight="1">
      <c r="A491" s="4"/>
      <c r="G491" s="2"/>
      <c r="H491" s="2"/>
      <c r="I491" s="2"/>
      <c r="K491" s="253"/>
      <c r="L491" s="2"/>
    </row>
    <row r="492" spans="1:12" ht="15.75" customHeight="1">
      <c r="A492" s="4"/>
      <c r="G492" s="2"/>
      <c r="H492" s="2"/>
      <c r="I492" s="2"/>
      <c r="K492" s="253"/>
      <c r="L492" s="2"/>
    </row>
    <row r="493" spans="1:12" ht="15.75" customHeight="1">
      <c r="A493" s="4"/>
      <c r="G493" s="2"/>
      <c r="H493" s="2"/>
      <c r="I493" s="2"/>
      <c r="K493" s="253"/>
      <c r="L493" s="2"/>
    </row>
    <row r="494" spans="1:12" ht="15.75" customHeight="1">
      <c r="A494" s="4"/>
      <c r="G494" s="2"/>
      <c r="H494" s="2"/>
      <c r="I494" s="2"/>
      <c r="K494" s="253"/>
      <c r="L494" s="2"/>
    </row>
    <row r="495" spans="1:12" ht="15.75" customHeight="1">
      <c r="A495" s="4"/>
      <c r="G495" s="2"/>
      <c r="H495" s="2"/>
      <c r="I495" s="2"/>
      <c r="K495" s="253"/>
      <c r="L495" s="2"/>
    </row>
    <row r="496" spans="1:12" ht="15.75" customHeight="1">
      <c r="A496" s="4"/>
      <c r="G496" s="2"/>
      <c r="H496" s="2"/>
      <c r="I496" s="2"/>
      <c r="K496" s="253"/>
      <c r="L496" s="2"/>
    </row>
    <row r="497" spans="1:12" ht="15.75" customHeight="1">
      <c r="A497" s="4"/>
      <c r="G497" s="2"/>
      <c r="H497" s="2"/>
      <c r="I497" s="2"/>
      <c r="K497" s="253"/>
      <c r="L497" s="2"/>
    </row>
    <row r="498" spans="1:12" ht="15.75" customHeight="1">
      <c r="A498" s="4"/>
      <c r="G498" s="2"/>
      <c r="H498" s="2"/>
      <c r="I498" s="2"/>
      <c r="K498" s="253"/>
      <c r="L498" s="2"/>
    </row>
    <row r="499" spans="1:12" ht="15.75" customHeight="1">
      <c r="A499" s="4"/>
      <c r="G499" s="2"/>
      <c r="H499" s="2"/>
      <c r="I499" s="2"/>
      <c r="K499" s="253"/>
      <c r="L499" s="2"/>
    </row>
    <row r="500" spans="1:12" ht="15.75" customHeight="1">
      <c r="A500" s="4"/>
      <c r="G500" s="2"/>
      <c r="H500" s="2"/>
      <c r="I500" s="2"/>
      <c r="K500" s="253"/>
      <c r="L500" s="2"/>
    </row>
    <row r="501" spans="1:12" ht="15.75" customHeight="1">
      <c r="A501" s="4"/>
      <c r="G501" s="2"/>
      <c r="H501" s="2"/>
      <c r="I501" s="2"/>
      <c r="K501" s="253"/>
      <c r="L501" s="2"/>
    </row>
    <row r="502" spans="1:12" ht="15.75" customHeight="1">
      <c r="A502" s="4"/>
      <c r="G502" s="2"/>
      <c r="H502" s="2"/>
      <c r="I502" s="2"/>
      <c r="K502" s="253"/>
      <c r="L502" s="2"/>
    </row>
    <row r="503" spans="1:12" ht="15.75" customHeight="1">
      <c r="A503" s="4"/>
      <c r="G503" s="2"/>
      <c r="H503" s="2"/>
      <c r="I503" s="2"/>
      <c r="K503" s="253"/>
      <c r="L503" s="2"/>
    </row>
    <row r="504" spans="1:12" ht="15.75" customHeight="1">
      <c r="A504" s="4"/>
      <c r="G504" s="2"/>
      <c r="H504" s="2"/>
      <c r="I504" s="2"/>
      <c r="K504" s="253"/>
      <c r="L504" s="2"/>
    </row>
    <row r="505" spans="1:12" ht="15.75" customHeight="1">
      <c r="A505" s="4"/>
      <c r="G505" s="2"/>
      <c r="H505" s="2"/>
      <c r="I505" s="2"/>
      <c r="K505" s="253"/>
      <c r="L505" s="2"/>
    </row>
    <row r="506" spans="1:12" ht="15.75" customHeight="1">
      <c r="A506" s="4"/>
      <c r="G506" s="2"/>
      <c r="H506" s="2"/>
      <c r="I506" s="2"/>
      <c r="K506" s="253"/>
      <c r="L506" s="2"/>
    </row>
    <row r="507" spans="1:12" ht="15.75" customHeight="1">
      <c r="A507" s="4"/>
      <c r="G507" s="2"/>
      <c r="H507" s="2"/>
      <c r="I507" s="2"/>
      <c r="K507" s="253"/>
      <c r="L507" s="2"/>
    </row>
    <row r="508" spans="1:12" ht="15.75" customHeight="1">
      <c r="A508" s="4"/>
      <c r="G508" s="2"/>
      <c r="H508" s="2"/>
      <c r="I508" s="2"/>
      <c r="K508" s="253"/>
      <c r="L508" s="2"/>
    </row>
    <row r="509" spans="1:12" ht="15.75" customHeight="1">
      <c r="A509" s="4"/>
      <c r="G509" s="2"/>
      <c r="H509" s="2"/>
      <c r="I509" s="2"/>
      <c r="K509" s="253"/>
      <c r="L509" s="2"/>
    </row>
    <row r="510" spans="1:12" ht="15.75" customHeight="1">
      <c r="A510" s="4"/>
      <c r="G510" s="2"/>
      <c r="H510" s="2"/>
      <c r="I510" s="2"/>
      <c r="K510" s="253"/>
      <c r="L510" s="2"/>
    </row>
    <row r="511" spans="1:12" ht="15.75" customHeight="1">
      <c r="A511" s="4"/>
      <c r="G511" s="2"/>
      <c r="H511" s="2"/>
      <c r="I511" s="2"/>
      <c r="K511" s="253"/>
      <c r="L511" s="2"/>
    </row>
    <row r="512" spans="1:12" ht="15.75" customHeight="1">
      <c r="A512" s="4"/>
      <c r="G512" s="2"/>
      <c r="H512" s="2"/>
      <c r="I512" s="2"/>
      <c r="K512" s="253"/>
      <c r="L512" s="2"/>
    </row>
    <row r="513" spans="1:12" ht="15.75" customHeight="1">
      <c r="A513" s="4"/>
      <c r="G513" s="2"/>
      <c r="H513" s="2"/>
      <c r="I513" s="2"/>
      <c r="K513" s="253"/>
      <c r="L513" s="2"/>
    </row>
    <row r="514" spans="1:12" ht="15.75" customHeight="1">
      <c r="A514" s="4"/>
      <c r="G514" s="2"/>
      <c r="H514" s="2"/>
      <c r="I514" s="2"/>
      <c r="K514" s="253"/>
      <c r="L514" s="2"/>
    </row>
    <row r="515" spans="1:12" ht="15.75" customHeight="1">
      <c r="A515" s="4"/>
      <c r="G515" s="2"/>
      <c r="H515" s="2"/>
      <c r="I515" s="2"/>
      <c r="K515" s="253"/>
      <c r="L515" s="2"/>
    </row>
    <row r="516" spans="1:12" ht="15.75" customHeight="1">
      <c r="A516" s="4"/>
      <c r="G516" s="2"/>
      <c r="H516" s="2"/>
      <c r="I516" s="2"/>
      <c r="K516" s="253"/>
      <c r="L516" s="2"/>
    </row>
    <row r="517" spans="1:12" ht="15.75" customHeight="1">
      <c r="A517" s="4"/>
      <c r="G517" s="2"/>
      <c r="H517" s="2"/>
      <c r="I517" s="2"/>
      <c r="K517" s="253"/>
      <c r="L517" s="2"/>
    </row>
    <row r="518" spans="1:12" ht="15.75" customHeight="1">
      <c r="A518" s="4"/>
      <c r="G518" s="2"/>
      <c r="H518" s="2"/>
      <c r="I518" s="2"/>
      <c r="K518" s="253"/>
      <c r="L518" s="2"/>
    </row>
    <row r="519" spans="1:12" ht="15.75" customHeight="1">
      <c r="A519" s="4"/>
      <c r="G519" s="2"/>
      <c r="H519" s="2"/>
      <c r="I519" s="2"/>
      <c r="K519" s="253"/>
      <c r="L519" s="2"/>
    </row>
    <row r="520" spans="1:12" ht="15.75" customHeight="1">
      <c r="A520" s="4"/>
      <c r="G520" s="2"/>
      <c r="H520" s="2"/>
      <c r="I520" s="2"/>
      <c r="K520" s="253"/>
      <c r="L520" s="2"/>
    </row>
    <row r="521" spans="1:12" ht="15.75" customHeight="1">
      <c r="A521" s="4"/>
      <c r="G521" s="2"/>
      <c r="H521" s="2"/>
      <c r="I521" s="2"/>
      <c r="K521" s="253"/>
      <c r="L521" s="2"/>
    </row>
    <row r="522" spans="1:12" ht="15.75" customHeight="1">
      <c r="A522" s="4"/>
      <c r="G522" s="2"/>
      <c r="H522" s="2"/>
      <c r="I522" s="2"/>
      <c r="K522" s="253"/>
      <c r="L522" s="2"/>
    </row>
    <row r="523" spans="1:12" ht="15.75" customHeight="1">
      <c r="A523" s="4"/>
      <c r="G523" s="2"/>
      <c r="H523" s="2"/>
      <c r="I523" s="2"/>
      <c r="K523" s="253"/>
      <c r="L523" s="2"/>
    </row>
    <row r="524" spans="1:12" ht="15.75" customHeight="1">
      <c r="A524" s="4"/>
      <c r="G524" s="2"/>
      <c r="H524" s="2"/>
      <c r="I524" s="2"/>
      <c r="K524" s="253"/>
      <c r="L524" s="2"/>
    </row>
    <row r="525" spans="1:12" ht="15.75" customHeight="1">
      <c r="A525" s="4"/>
      <c r="G525" s="2"/>
      <c r="H525" s="2"/>
      <c r="I525" s="2"/>
      <c r="K525" s="253"/>
      <c r="L525" s="2"/>
    </row>
    <row r="526" spans="1:12" ht="15.75" customHeight="1">
      <c r="A526" s="4"/>
      <c r="G526" s="2"/>
      <c r="H526" s="2"/>
      <c r="I526" s="2"/>
      <c r="K526" s="253"/>
      <c r="L526" s="2"/>
    </row>
    <row r="527" spans="1:12" ht="15.75" customHeight="1">
      <c r="A527" s="4"/>
      <c r="G527" s="2"/>
      <c r="H527" s="2"/>
      <c r="I527" s="2"/>
      <c r="K527" s="253"/>
      <c r="L527" s="2"/>
    </row>
    <row r="528" spans="1:12" ht="15.75" customHeight="1">
      <c r="A528" s="4"/>
      <c r="G528" s="2"/>
      <c r="H528" s="2"/>
      <c r="I528" s="2"/>
      <c r="K528" s="253"/>
      <c r="L528" s="2"/>
    </row>
    <row r="529" spans="1:12" ht="15.75" customHeight="1">
      <c r="A529" s="4"/>
      <c r="G529" s="2"/>
      <c r="H529" s="2"/>
      <c r="I529" s="2"/>
      <c r="K529" s="253"/>
      <c r="L529" s="2"/>
    </row>
    <row r="530" spans="1:12" ht="15.75" customHeight="1">
      <c r="A530" s="4"/>
      <c r="G530" s="2"/>
      <c r="H530" s="2"/>
      <c r="I530" s="2"/>
      <c r="K530" s="253"/>
      <c r="L530" s="2"/>
    </row>
    <row r="531" spans="1:12" ht="15.75" customHeight="1">
      <c r="A531" s="4"/>
      <c r="G531" s="2"/>
      <c r="H531" s="2"/>
      <c r="I531" s="2"/>
      <c r="K531" s="253"/>
      <c r="L531" s="2"/>
    </row>
    <row r="532" spans="1:12" ht="15.75" customHeight="1">
      <c r="A532" s="4"/>
      <c r="G532" s="2"/>
      <c r="H532" s="2"/>
      <c r="I532" s="2"/>
      <c r="K532" s="253"/>
      <c r="L532" s="2"/>
    </row>
    <row r="533" spans="1:12" ht="15.75" customHeight="1">
      <c r="A533" s="4"/>
      <c r="G533" s="2"/>
      <c r="H533" s="2"/>
      <c r="I533" s="2"/>
      <c r="K533" s="253"/>
      <c r="L533" s="2"/>
    </row>
    <row r="534" spans="1:12" ht="15.75" customHeight="1">
      <c r="A534" s="4"/>
      <c r="G534" s="2"/>
      <c r="H534" s="2"/>
      <c r="I534" s="2"/>
      <c r="K534" s="253"/>
      <c r="L534" s="2"/>
    </row>
    <row r="535" spans="1:12" ht="15.75" customHeight="1">
      <c r="A535" s="4"/>
      <c r="G535" s="2"/>
      <c r="H535" s="2"/>
      <c r="I535" s="2"/>
      <c r="K535" s="253"/>
      <c r="L535" s="2"/>
    </row>
    <row r="536" spans="1:12" ht="15.75" customHeight="1">
      <c r="A536" s="4"/>
      <c r="G536" s="2"/>
      <c r="H536" s="2"/>
      <c r="I536" s="2"/>
      <c r="K536" s="253"/>
      <c r="L536" s="2"/>
    </row>
    <row r="537" spans="1:12" ht="15.75" customHeight="1">
      <c r="A537" s="4"/>
      <c r="G537" s="2"/>
      <c r="H537" s="2"/>
      <c r="I537" s="2"/>
      <c r="K537" s="253"/>
      <c r="L537" s="2"/>
    </row>
    <row r="538" spans="1:12" ht="15.75" customHeight="1">
      <c r="A538" s="4"/>
      <c r="G538" s="2"/>
      <c r="H538" s="2"/>
      <c r="I538" s="2"/>
      <c r="K538" s="253"/>
      <c r="L538" s="2"/>
    </row>
    <row r="539" spans="1:12" ht="15.75" customHeight="1">
      <c r="A539" s="4"/>
      <c r="G539" s="2"/>
      <c r="H539" s="2"/>
      <c r="I539" s="2"/>
      <c r="K539" s="253"/>
      <c r="L539" s="2"/>
    </row>
    <row r="540" spans="1:12" ht="15.75" customHeight="1">
      <c r="A540" s="4"/>
      <c r="G540" s="2"/>
      <c r="H540" s="2"/>
      <c r="I540" s="2"/>
      <c r="K540" s="253"/>
      <c r="L540" s="2"/>
    </row>
    <row r="541" spans="1:12" ht="15.75" customHeight="1">
      <c r="A541" s="4"/>
      <c r="G541" s="2"/>
      <c r="H541" s="2"/>
      <c r="I541" s="2"/>
      <c r="K541" s="253"/>
      <c r="L541" s="2"/>
    </row>
    <row r="542" spans="1:12" ht="15.75" customHeight="1">
      <c r="A542" s="4"/>
      <c r="G542" s="2"/>
      <c r="H542" s="2"/>
      <c r="I542" s="2"/>
      <c r="K542" s="253"/>
      <c r="L542" s="2"/>
    </row>
    <row r="543" spans="1:12" ht="15.75" customHeight="1">
      <c r="A543" s="4"/>
      <c r="G543" s="2"/>
      <c r="H543" s="2"/>
      <c r="I543" s="2"/>
      <c r="K543" s="253"/>
      <c r="L543" s="2"/>
    </row>
    <row r="544" spans="1:12" ht="15.75" customHeight="1">
      <c r="A544" s="4"/>
      <c r="G544" s="2"/>
      <c r="H544" s="2"/>
      <c r="I544" s="2"/>
      <c r="K544" s="253"/>
      <c r="L544" s="2"/>
    </row>
    <row r="545" spans="1:12" ht="15.75" customHeight="1">
      <c r="A545" s="4"/>
      <c r="G545" s="2"/>
      <c r="H545" s="2"/>
      <c r="I545" s="2"/>
      <c r="K545" s="253"/>
      <c r="L545" s="2"/>
    </row>
    <row r="546" spans="1:12" ht="15.75" customHeight="1">
      <c r="A546" s="4"/>
      <c r="G546" s="2"/>
      <c r="H546" s="2"/>
      <c r="I546" s="2"/>
      <c r="K546" s="253"/>
      <c r="L546" s="2"/>
    </row>
    <row r="547" spans="1:12" ht="15.75" customHeight="1">
      <c r="A547" s="4"/>
      <c r="G547" s="2"/>
      <c r="H547" s="2"/>
      <c r="I547" s="2"/>
      <c r="K547" s="253"/>
      <c r="L547" s="2"/>
    </row>
    <row r="548" spans="1:12" ht="15.75" customHeight="1">
      <c r="A548" s="4"/>
      <c r="G548" s="2"/>
      <c r="H548" s="2"/>
      <c r="I548" s="2"/>
      <c r="K548" s="253"/>
      <c r="L548" s="2"/>
    </row>
    <row r="549" spans="1:12" ht="15.75" customHeight="1">
      <c r="A549" s="4"/>
      <c r="G549" s="2"/>
      <c r="H549" s="2"/>
      <c r="I549" s="2"/>
      <c r="K549" s="253"/>
      <c r="L549" s="2"/>
    </row>
    <row r="550" spans="1:12" ht="15.75" customHeight="1">
      <c r="A550" s="4"/>
      <c r="G550" s="2"/>
      <c r="H550" s="2"/>
      <c r="I550" s="2"/>
      <c r="K550" s="253"/>
      <c r="L550" s="2"/>
    </row>
    <row r="551" spans="1:12" ht="15.75" customHeight="1">
      <c r="A551" s="4"/>
      <c r="G551" s="2"/>
      <c r="H551" s="2"/>
      <c r="I551" s="2"/>
      <c r="K551" s="253"/>
      <c r="L551" s="2"/>
    </row>
    <row r="552" spans="1:12" ht="15.75" customHeight="1">
      <c r="A552" s="4"/>
      <c r="G552" s="2"/>
      <c r="H552" s="2"/>
      <c r="I552" s="2"/>
      <c r="K552" s="253"/>
      <c r="L552" s="2"/>
    </row>
    <row r="553" spans="1:12" ht="15.75" customHeight="1">
      <c r="A553" s="4"/>
      <c r="G553" s="2"/>
      <c r="H553" s="2"/>
      <c r="I553" s="2"/>
      <c r="K553" s="253"/>
      <c r="L553" s="2"/>
    </row>
    <row r="554" spans="1:12" ht="15.75" customHeight="1">
      <c r="A554" s="4"/>
      <c r="G554" s="2"/>
      <c r="H554" s="2"/>
      <c r="I554" s="2"/>
      <c r="K554" s="253"/>
      <c r="L554" s="2"/>
    </row>
    <row r="555" spans="1:12" ht="15.75" customHeight="1">
      <c r="A555" s="4"/>
      <c r="G555" s="2"/>
      <c r="H555" s="2"/>
      <c r="I555" s="2"/>
      <c r="K555" s="253"/>
      <c r="L555" s="2"/>
    </row>
    <row r="556" spans="1:12" ht="15.75" customHeight="1">
      <c r="A556" s="4"/>
      <c r="G556" s="2"/>
      <c r="H556" s="2"/>
      <c r="I556" s="2"/>
      <c r="K556" s="253"/>
      <c r="L556" s="2"/>
    </row>
    <row r="557" spans="1:12" ht="15.75" customHeight="1">
      <c r="A557" s="4"/>
      <c r="G557" s="2"/>
      <c r="H557" s="2"/>
      <c r="I557" s="2"/>
      <c r="K557" s="253"/>
      <c r="L557" s="2"/>
    </row>
    <row r="558" spans="1:12" ht="15.75" customHeight="1">
      <c r="A558" s="4"/>
      <c r="G558" s="2"/>
      <c r="H558" s="2"/>
      <c r="I558" s="2"/>
      <c r="K558" s="253"/>
      <c r="L558" s="2"/>
    </row>
    <row r="559" spans="1:12" ht="15.75" customHeight="1">
      <c r="A559" s="4"/>
      <c r="G559" s="2"/>
      <c r="H559" s="2"/>
      <c r="I559" s="2"/>
      <c r="K559" s="253"/>
      <c r="L559" s="2"/>
    </row>
    <row r="560" spans="1:12" ht="15.75" customHeight="1">
      <c r="A560" s="4"/>
      <c r="G560" s="2"/>
      <c r="H560" s="2"/>
      <c r="I560" s="2"/>
      <c r="K560" s="253"/>
      <c r="L560" s="2"/>
    </row>
    <row r="561" spans="1:12" ht="15.75" customHeight="1">
      <c r="A561" s="4"/>
      <c r="G561" s="2"/>
      <c r="H561" s="2"/>
      <c r="I561" s="2"/>
      <c r="K561" s="253"/>
      <c r="L561" s="2"/>
    </row>
    <row r="562" spans="1:12" ht="15.75" customHeight="1">
      <c r="A562" s="4"/>
      <c r="G562" s="2"/>
      <c r="H562" s="2"/>
      <c r="I562" s="2"/>
      <c r="K562" s="253"/>
      <c r="L562" s="2"/>
    </row>
    <row r="563" spans="1:12" ht="15.75" customHeight="1">
      <c r="A563" s="4"/>
      <c r="G563" s="2"/>
      <c r="H563" s="2"/>
      <c r="I563" s="2"/>
      <c r="K563" s="253"/>
      <c r="L563" s="2"/>
    </row>
    <row r="564" spans="1:12" ht="15.75" customHeight="1">
      <c r="A564" s="4"/>
      <c r="G564" s="2"/>
      <c r="H564" s="2"/>
      <c r="I564" s="2"/>
      <c r="K564" s="253"/>
      <c r="L564" s="2"/>
    </row>
    <row r="565" spans="1:12" ht="15.75" customHeight="1">
      <c r="A565" s="4"/>
      <c r="G565" s="2"/>
      <c r="H565" s="2"/>
      <c r="I565" s="2"/>
      <c r="K565" s="253"/>
      <c r="L565" s="2"/>
    </row>
    <row r="566" spans="1:12" ht="15.75" customHeight="1">
      <c r="A566" s="4"/>
      <c r="G566" s="2"/>
      <c r="H566" s="2"/>
      <c r="I566" s="2"/>
      <c r="K566" s="253"/>
      <c r="L566" s="2"/>
    </row>
    <row r="567" spans="1:12" ht="15.75" customHeight="1">
      <c r="A567" s="4"/>
      <c r="G567" s="2"/>
      <c r="H567" s="2"/>
      <c r="I567" s="2"/>
      <c r="K567" s="253"/>
      <c r="L567" s="2"/>
    </row>
    <row r="568" spans="1:12" ht="15.75" customHeight="1">
      <c r="A568" s="4"/>
      <c r="G568" s="2"/>
      <c r="H568" s="2"/>
      <c r="I568" s="2"/>
      <c r="K568" s="253"/>
      <c r="L568" s="2"/>
    </row>
    <row r="569" spans="1:12" ht="15.75" customHeight="1">
      <c r="A569" s="4"/>
      <c r="G569" s="2"/>
      <c r="H569" s="2"/>
      <c r="I569" s="2"/>
      <c r="K569" s="253"/>
      <c r="L569" s="2"/>
    </row>
    <row r="570" spans="1:12" ht="15.75" customHeight="1">
      <c r="A570" s="4"/>
      <c r="G570" s="2"/>
      <c r="H570" s="2"/>
      <c r="I570" s="2"/>
      <c r="K570" s="253"/>
      <c r="L570" s="2"/>
    </row>
    <row r="571" spans="1:12" ht="15.75" customHeight="1">
      <c r="A571" s="4"/>
      <c r="G571" s="2"/>
      <c r="H571" s="2"/>
      <c r="I571" s="2"/>
      <c r="K571" s="253"/>
      <c r="L571" s="2"/>
    </row>
    <row r="572" spans="1:12" ht="15.75" customHeight="1">
      <c r="A572" s="4"/>
      <c r="G572" s="2"/>
      <c r="H572" s="2"/>
      <c r="I572" s="2"/>
      <c r="K572" s="253"/>
      <c r="L572" s="2"/>
    </row>
    <row r="573" spans="1:12" ht="15.75" customHeight="1">
      <c r="A573" s="4"/>
      <c r="G573" s="2"/>
      <c r="H573" s="2"/>
      <c r="I573" s="2"/>
      <c r="K573" s="253"/>
      <c r="L573" s="2"/>
    </row>
    <row r="574" spans="1:12" ht="15.75" customHeight="1">
      <c r="A574" s="4"/>
      <c r="G574" s="2"/>
      <c r="H574" s="2"/>
      <c r="I574" s="2"/>
      <c r="K574" s="253"/>
      <c r="L574" s="2"/>
    </row>
    <row r="575" spans="1:12" ht="15.75" customHeight="1">
      <c r="A575" s="4"/>
      <c r="G575" s="2"/>
      <c r="H575" s="2"/>
      <c r="I575" s="2"/>
      <c r="K575" s="253"/>
      <c r="L575" s="2"/>
    </row>
    <row r="576" spans="1:12" ht="15.75" customHeight="1">
      <c r="A576" s="4"/>
      <c r="G576" s="2"/>
      <c r="H576" s="2"/>
      <c r="I576" s="2"/>
      <c r="K576" s="253"/>
      <c r="L576" s="2"/>
    </row>
    <row r="577" spans="1:12" ht="15.75" customHeight="1">
      <c r="A577" s="4"/>
      <c r="G577" s="2"/>
      <c r="H577" s="2"/>
      <c r="I577" s="2"/>
      <c r="K577" s="253"/>
      <c r="L577" s="2"/>
    </row>
    <row r="578" spans="1:12" ht="15.75" customHeight="1">
      <c r="A578" s="4"/>
      <c r="G578" s="2"/>
      <c r="H578" s="2"/>
      <c r="I578" s="2"/>
      <c r="K578" s="253"/>
      <c r="L578" s="2"/>
    </row>
    <row r="579" spans="1:12" ht="15.75" customHeight="1">
      <c r="A579" s="4"/>
      <c r="G579" s="2"/>
      <c r="H579" s="2"/>
      <c r="I579" s="2"/>
      <c r="K579" s="253"/>
      <c r="L579" s="2"/>
    </row>
    <row r="580" spans="1:12" ht="15.75" customHeight="1">
      <c r="A580" s="4"/>
      <c r="G580" s="2"/>
      <c r="H580" s="2"/>
      <c r="I580" s="2"/>
      <c r="K580" s="253"/>
      <c r="L580" s="2"/>
    </row>
    <row r="581" spans="1:12" ht="15.75" customHeight="1">
      <c r="A581" s="4"/>
      <c r="G581" s="2"/>
      <c r="H581" s="2"/>
      <c r="I581" s="2"/>
      <c r="K581" s="253"/>
      <c r="L581" s="2"/>
    </row>
    <row r="582" spans="1:12" ht="15.75" customHeight="1">
      <c r="A582" s="4"/>
      <c r="G582" s="2"/>
      <c r="H582" s="2"/>
      <c r="I582" s="2"/>
      <c r="K582" s="253"/>
      <c r="L582" s="2"/>
    </row>
    <row r="583" spans="1:12" ht="15.75" customHeight="1">
      <c r="A583" s="4"/>
      <c r="G583" s="2"/>
      <c r="H583" s="2"/>
      <c r="I583" s="2"/>
      <c r="K583" s="253"/>
      <c r="L583" s="2"/>
    </row>
    <row r="584" spans="1:12" ht="15.75" customHeight="1">
      <c r="A584" s="4"/>
      <c r="G584" s="2"/>
      <c r="H584" s="2"/>
      <c r="I584" s="2"/>
      <c r="K584" s="253"/>
      <c r="L584" s="2"/>
    </row>
    <row r="585" spans="1:12" ht="15.75" customHeight="1">
      <c r="A585" s="4"/>
      <c r="G585" s="2"/>
      <c r="H585" s="2"/>
      <c r="I585" s="2"/>
      <c r="K585" s="253"/>
      <c r="L585" s="2"/>
    </row>
    <row r="586" spans="1:12" ht="15.75" customHeight="1">
      <c r="A586" s="4"/>
      <c r="G586" s="2"/>
      <c r="H586" s="2"/>
      <c r="I586" s="2"/>
      <c r="K586" s="253"/>
      <c r="L586" s="2"/>
    </row>
    <row r="587" spans="1:12" ht="15.75" customHeight="1">
      <c r="A587" s="4"/>
      <c r="G587" s="2"/>
      <c r="H587" s="2"/>
      <c r="I587" s="2"/>
      <c r="K587" s="253"/>
      <c r="L587" s="2"/>
    </row>
    <row r="588" spans="1:12" ht="15.75" customHeight="1">
      <c r="A588" s="4"/>
      <c r="G588" s="2"/>
      <c r="H588" s="2"/>
      <c r="I588" s="2"/>
      <c r="K588" s="253"/>
      <c r="L588" s="2"/>
    </row>
    <row r="589" spans="1:12" ht="15.75" customHeight="1">
      <c r="A589" s="4"/>
      <c r="G589" s="2"/>
      <c r="H589" s="2"/>
      <c r="I589" s="2"/>
      <c r="K589" s="253"/>
      <c r="L589" s="2"/>
    </row>
    <row r="590" spans="1:12" ht="15.75" customHeight="1">
      <c r="A590" s="4"/>
      <c r="G590" s="2"/>
      <c r="H590" s="2"/>
      <c r="I590" s="2"/>
      <c r="K590" s="253"/>
      <c r="L590" s="2"/>
    </row>
    <row r="591" spans="1:12" ht="15.75" customHeight="1">
      <c r="A591" s="4"/>
      <c r="G591" s="2"/>
      <c r="H591" s="2"/>
      <c r="I591" s="2"/>
      <c r="K591" s="253"/>
      <c r="L591" s="2"/>
    </row>
    <row r="592" spans="1:12" ht="15.75" customHeight="1">
      <c r="A592" s="4"/>
      <c r="G592" s="2"/>
      <c r="H592" s="2"/>
      <c r="I592" s="2"/>
      <c r="K592" s="253"/>
      <c r="L592" s="2"/>
    </row>
    <row r="593" spans="1:12" ht="15.75" customHeight="1">
      <c r="A593" s="4"/>
      <c r="G593" s="2"/>
      <c r="H593" s="2"/>
      <c r="I593" s="2"/>
      <c r="K593" s="253"/>
      <c r="L593" s="2"/>
    </row>
    <row r="594" spans="1:12" ht="15.75" customHeight="1">
      <c r="A594" s="4"/>
      <c r="G594" s="2"/>
      <c r="H594" s="2"/>
      <c r="I594" s="2"/>
      <c r="K594" s="253"/>
      <c r="L594" s="2"/>
    </row>
    <row r="595" spans="1:12" ht="15.75" customHeight="1">
      <c r="A595" s="4"/>
      <c r="G595" s="2"/>
      <c r="H595" s="2"/>
      <c r="I595" s="2"/>
      <c r="K595" s="253"/>
      <c r="L595" s="2"/>
    </row>
    <row r="596" spans="1:12" ht="15.75" customHeight="1">
      <c r="A596" s="4"/>
      <c r="G596" s="2"/>
      <c r="H596" s="2"/>
      <c r="I596" s="2"/>
      <c r="K596" s="253"/>
      <c r="L596" s="2"/>
    </row>
    <row r="597" spans="1:12" ht="15.75" customHeight="1">
      <c r="A597" s="4"/>
      <c r="G597" s="2"/>
      <c r="H597" s="2"/>
      <c r="I597" s="2"/>
      <c r="K597" s="253"/>
      <c r="L597" s="2"/>
    </row>
    <row r="598" spans="1:12" ht="15.75" customHeight="1">
      <c r="A598" s="4"/>
      <c r="G598" s="2"/>
      <c r="H598" s="2"/>
      <c r="I598" s="2"/>
      <c r="K598" s="253"/>
      <c r="L598" s="2"/>
    </row>
    <row r="599" spans="1:12" ht="15.75" customHeight="1">
      <c r="A599" s="4"/>
      <c r="G599" s="2"/>
      <c r="H599" s="2"/>
      <c r="I599" s="2"/>
      <c r="K599" s="253"/>
      <c r="L599" s="2"/>
    </row>
    <row r="600" spans="1:12" ht="15.75" customHeight="1">
      <c r="A600" s="4"/>
      <c r="G600" s="2"/>
      <c r="H600" s="2"/>
      <c r="I600" s="2"/>
      <c r="K600" s="253"/>
      <c r="L600" s="2"/>
    </row>
    <row r="601" spans="1:12" ht="15.75" customHeight="1">
      <c r="A601" s="4"/>
      <c r="G601" s="2"/>
      <c r="H601" s="2"/>
      <c r="I601" s="2"/>
      <c r="K601" s="253"/>
      <c r="L601" s="2"/>
    </row>
    <row r="602" spans="1:12" ht="15.75" customHeight="1">
      <c r="A602" s="4"/>
      <c r="G602" s="2"/>
      <c r="H602" s="2"/>
      <c r="I602" s="2"/>
      <c r="K602" s="253"/>
      <c r="L602" s="2"/>
    </row>
    <row r="603" spans="1:12" ht="15.75" customHeight="1">
      <c r="A603" s="4"/>
      <c r="G603" s="2"/>
      <c r="H603" s="2"/>
      <c r="I603" s="2"/>
      <c r="K603" s="253"/>
      <c r="L603" s="2"/>
    </row>
    <row r="604" spans="1:12" ht="15.75" customHeight="1">
      <c r="A604" s="4"/>
      <c r="G604" s="2"/>
      <c r="H604" s="2"/>
      <c r="I604" s="2"/>
      <c r="K604" s="253"/>
      <c r="L604" s="2"/>
    </row>
    <row r="605" spans="1:12" ht="15.75" customHeight="1">
      <c r="A605" s="4"/>
      <c r="G605" s="2"/>
      <c r="H605" s="2"/>
      <c r="I605" s="2"/>
      <c r="K605" s="253"/>
      <c r="L605" s="2"/>
    </row>
    <row r="606" spans="1:12" ht="15.75" customHeight="1">
      <c r="A606" s="4"/>
      <c r="G606" s="2"/>
      <c r="H606" s="2"/>
      <c r="I606" s="2"/>
      <c r="K606" s="253"/>
      <c r="L606" s="2"/>
    </row>
    <row r="607" spans="1:12" ht="15.75" customHeight="1">
      <c r="A607" s="4"/>
      <c r="G607" s="2"/>
      <c r="H607" s="2"/>
      <c r="I607" s="2"/>
      <c r="K607" s="253"/>
      <c r="L607" s="2"/>
    </row>
    <row r="608" spans="1:12" ht="15.75" customHeight="1">
      <c r="A608" s="4"/>
      <c r="G608" s="2"/>
      <c r="H608" s="2"/>
      <c r="I608" s="2"/>
      <c r="K608" s="253"/>
      <c r="L608" s="2"/>
    </row>
    <row r="609" spans="1:12" ht="15.75" customHeight="1">
      <c r="A609" s="4"/>
      <c r="G609" s="2"/>
      <c r="H609" s="2"/>
      <c r="I609" s="2"/>
      <c r="K609" s="253"/>
      <c r="L609" s="2"/>
    </row>
    <row r="610" spans="1:12" ht="15.75" customHeight="1">
      <c r="A610" s="4"/>
      <c r="G610" s="2"/>
      <c r="H610" s="2"/>
      <c r="I610" s="2"/>
      <c r="K610" s="253"/>
      <c r="L610" s="2"/>
    </row>
    <row r="611" spans="1:12" ht="15.75" customHeight="1">
      <c r="A611" s="4"/>
      <c r="G611" s="2"/>
      <c r="H611" s="2"/>
      <c r="I611" s="2"/>
      <c r="K611" s="253"/>
      <c r="L611" s="2"/>
    </row>
    <row r="612" spans="1:12" ht="15.75" customHeight="1">
      <c r="A612" s="4"/>
      <c r="G612" s="2"/>
      <c r="H612" s="2"/>
      <c r="I612" s="2"/>
      <c r="K612" s="253"/>
      <c r="L612" s="2"/>
    </row>
    <row r="613" spans="1:12" ht="15.75" customHeight="1">
      <c r="A613" s="4"/>
      <c r="G613" s="2"/>
      <c r="H613" s="2"/>
      <c r="I613" s="2"/>
      <c r="K613" s="253"/>
      <c r="L613" s="2"/>
    </row>
    <row r="614" spans="1:12" ht="15.75" customHeight="1">
      <c r="A614" s="4"/>
      <c r="G614" s="2"/>
      <c r="H614" s="2"/>
      <c r="I614" s="2"/>
      <c r="K614" s="253"/>
      <c r="L614" s="2"/>
    </row>
    <row r="615" spans="1:12" ht="15.75" customHeight="1">
      <c r="A615" s="4"/>
      <c r="G615" s="2"/>
      <c r="H615" s="2"/>
      <c r="I615" s="2"/>
      <c r="K615" s="253"/>
      <c r="L615" s="2"/>
    </row>
    <row r="616" spans="1:12" ht="15.75" customHeight="1">
      <c r="A616" s="4"/>
      <c r="G616" s="2"/>
      <c r="H616" s="2"/>
      <c r="I616" s="2"/>
      <c r="K616" s="253"/>
      <c r="L616" s="2"/>
    </row>
    <row r="617" spans="1:12" ht="15.75" customHeight="1">
      <c r="A617" s="4"/>
      <c r="G617" s="2"/>
      <c r="H617" s="2"/>
      <c r="I617" s="2"/>
      <c r="K617" s="253"/>
      <c r="L617" s="2"/>
    </row>
    <row r="618" spans="1:12" ht="15.75" customHeight="1">
      <c r="A618" s="4"/>
      <c r="G618" s="2"/>
      <c r="H618" s="2"/>
      <c r="I618" s="2"/>
      <c r="K618" s="253"/>
      <c r="L618" s="2"/>
    </row>
    <row r="619" spans="1:12" ht="15.75" customHeight="1">
      <c r="A619" s="4"/>
      <c r="G619" s="2"/>
      <c r="H619" s="2"/>
      <c r="I619" s="2"/>
      <c r="K619" s="253"/>
      <c r="L619" s="2"/>
    </row>
    <row r="620" spans="1:12" ht="15.75" customHeight="1">
      <c r="A620" s="4"/>
      <c r="G620" s="2"/>
      <c r="H620" s="2"/>
      <c r="I620" s="2"/>
      <c r="K620" s="253"/>
      <c r="L620" s="2"/>
    </row>
    <row r="621" spans="1:12" ht="15.75" customHeight="1">
      <c r="A621" s="4"/>
      <c r="G621" s="2"/>
      <c r="H621" s="2"/>
      <c r="I621" s="2"/>
      <c r="K621" s="253"/>
      <c r="L621" s="2"/>
    </row>
    <row r="622" spans="1:12" ht="15.75" customHeight="1">
      <c r="A622" s="4"/>
      <c r="G622" s="2"/>
      <c r="H622" s="2"/>
      <c r="I622" s="2"/>
      <c r="K622" s="253"/>
      <c r="L622" s="2"/>
    </row>
    <row r="623" spans="1:12" ht="15.75" customHeight="1">
      <c r="A623" s="4"/>
      <c r="G623" s="2"/>
      <c r="H623" s="2"/>
      <c r="I623" s="2"/>
      <c r="K623" s="253"/>
      <c r="L623" s="2"/>
    </row>
    <row r="624" spans="1:12" ht="15.75" customHeight="1">
      <c r="A624" s="4"/>
      <c r="G624" s="2"/>
      <c r="H624" s="2"/>
      <c r="I624" s="2"/>
      <c r="K624" s="253"/>
      <c r="L624" s="2"/>
    </row>
    <row r="625" spans="1:12" ht="15.75" customHeight="1">
      <c r="A625" s="4"/>
      <c r="G625" s="2"/>
      <c r="H625" s="2"/>
      <c r="I625" s="2"/>
      <c r="K625" s="253"/>
      <c r="L625" s="2"/>
    </row>
    <row r="626" spans="1:12" ht="15.75" customHeight="1">
      <c r="A626" s="4"/>
      <c r="G626" s="2"/>
      <c r="H626" s="2"/>
      <c r="I626" s="2"/>
      <c r="K626" s="253"/>
      <c r="L626" s="2"/>
    </row>
    <row r="627" spans="1:12" ht="15.75" customHeight="1">
      <c r="A627" s="4"/>
      <c r="G627" s="2"/>
      <c r="H627" s="2"/>
      <c r="I627" s="2"/>
      <c r="K627" s="253"/>
      <c r="L627" s="2"/>
    </row>
    <row r="628" spans="1:12" ht="15.75" customHeight="1">
      <c r="A628" s="4"/>
      <c r="G628" s="2"/>
      <c r="H628" s="2"/>
      <c r="I628" s="2"/>
      <c r="K628" s="253"/>
      <c r="L628" s="2"/>
    </row>
    <row r="629" spans="1:12" ht="15.75" customHeight="1">
      <c r="A629" s="4"/>
      <c r="G629" s="2"/>
      <c r="H629" s="2"/>
      <c r="I629" s="2"/>
      <c r="K629" s="253"/>
      <c r="L629" s="2"/>
    </row>
    <row r="630" spans="1:12" ht="15.75" customHeight="1">
      <c r="A630" s="4"/>
      <c r="G630" s="2"/>
      <c r="H630" s="2"/>
      <c r="I630" s="2"/>
      <c r="K630" s="253"/>
      <c r="L630" s="2"/>
    </row>
    <row r="631" spans="1:12" ht="15.75" customHeight="1">
      <c r="A631" s="4"/>
      <c r="G631" s="2"/>
      <c r="H631" s="2"/>
      <c r="I631" s="2"/>
      <c r="K631" s="253"/>
      <c r="L631" s="2"/>
    </row>
    <row r="632" spans="1:12" ht="15.75" customHeight="1">
      <c r="A632" s="4"/>
      <c r="G632" s="2"/>
      <c r="H632" s="2"/>
      <c r="I632" s="2"/>
      <c r="K632" s="253"/>
      <c r="L632" s="2"/>
    </row>
    <row r="633" spans="1:12" ht="15.75" customHeight="1">
      <c r="A633" s="4"/>
      <c r="G633" s="2"/>
      <c r="H633" s="2"/>
      <c r="I633" s="2"/>
      <c r="K633" s="253"/>
      <c r="L633" s="2"/>
    </row>
    <row r="634" spans="1:12" ht="15.75" customHeight="1">
      <c r="A634" s="4"/>
      <c r="G634" s="2"/>
      <c r="H634" s="2"/>
      <c r="I634" s="2"/>
      <c r="K634" s="253"/>
      <c r="L634" s="2"/>
    </row>
    <row r="635" spans="1:12" ht="15.75" customHeight="1">
      <c r="A635" s="4"/>
      <c r="G635" s="2"/>
      <c r="H635" s="2"/>
      <c r="I635" s="2"/>
      <c r="K635" s="253"/>
      <c r="L635" s="2"/>
    </row>
    <row r="636" spans="1:12" ht="15.75" customHeight="1">
      <c r="A636" s="4"/>
      <c r="G636" s="2"/>
      <c r="H636" s="2"/>
      <c r="I636" s="2"/>
      <c r="K636" s="253"/>
      <c r="L636" s="2"/>
    </row>
    <row r="637" spans="1:12" ht="15.75" customHeight="1">
      <c r="A637" s="4"/>
      <c r="G637" s="2"/>
      <c r="H637" s="2"/>
      <c r="I637" s="2"/>
      <c r="K637" s="253"/>
      <c r="L637" s="2"/>
    </row>
    <row r="638" spans="1:12" ht="15.75" customHeight="1">
      <c r="A638" s="4"/>
      <c r="G638" s="2"/>
      <c r="H638" s="2"/>
      <c r="I638" s="2"/>
      <c r="K638" s="253"/>
      <c r="L638" s="2"/>
    </row>
    <row r="639" spans="1:12" ht="15.75" customHeight="1">
      <c r="A639" s="4"/>
      <c r="G639" s="2"/>
      <c r="H639" s="2"/>
      <c r="I639" s="2"/>
      <c r="K639" s="253"/>
      <c r="L639" s="2"/>
    </row>
    <row r="640" spans="1:12" ht="15.75" customHeight="1">
      <c r="A640" s="4"/>
      <c r="G640" s="2"/>
      <c r="H640" s="2"/>
      <c r="I640" s="2"/>
      <c r="K640" s="253"/>
      <c r="L640" s="2"/>
    </row>
    <row r="641" spans="1:12" ht="15.75" customHeight="1">
      <c r="A641" s="4"/>
      <c r="G641" s="2"/>
      <c r="H641" s="2"/>
      <c r="I641" s="2"/>
      <c r="K641" s="253"/>
      <c r="L641" s="2"/>
    </row>
    <row r="642" spans="1:12" ht="15.75" customHeight="1">
      <c r="A642" s="4"/>
      <c r="G642" s="2"/>
      <c r="H642" s="2"/>
      <c r="I642" s="2"/>
      <c r="K642" s="253"/>
      <c r="L642" s="2"/>
    </row>
    <row r="643" spans="1:12" ht="15.75" customHeight="1">
      <c r="A643" s="4"/>
      <c r="G643" s="2"/>
      <c r="H643" s="2"/>
      <c r="I643" s="2"/>
      <c r="K643" s="253"/>
      <c r="L643" s="2"/>
    </row>
    <row r="644" spans="1:12" ht="15.75" customHeight="1">
      <c r="A644" s="4"/>
      <c r="G644" s="2"/>
      <c r="H644" s="2"/>
      <c r="I644" s="2"/>
      <c r="K644" s="253"/>
      <c r="L644" s="2"/>
    </row>
    <row r="645" spans="1:12" ht="15.75" customHeight="1">
      <c r="A645" s="4"/>
      <c r="G645" s="2"/>
      <c r="H645" s="2"/>
      <c r="I645" s="2"/>
      <c r="K645" s="253"/>
      <c r="L645" s="2"/>
    </row>
    <row r="646" spans="1:12" ht="15.75" customHeight="1">
      <c r="A646" s="4"/>
      <c r="G646" s="2"/>
      <c r="H646" s="2"/>
      <c r="I646" s="2"/>
      <c r="K646" s="253"/>
      <c r="L646" s="2"/>
    </row>
    <row r="647" spans="1:12" ht="15.75" customHeight="1">
      <c r="A647" s="4"/>
      <c r="G647" s="2"/>
      <c r="H647" s="2"/>
      <c r="I647" s="2"/>
      <c r="K647" s="253"/>
      <c r="L647" s="2"/>
    </row>
    <row r="648" spans="1:12" ht="15.75" customHeight="1">
      <c r="A648" s="4"/>
      <c r="G648" s="2"/>
      <c r="H648" s="2"/>
      <c r="I648" s="2"/>
      <c r="K648" s="253"/>
      <c r="L648" s="2"/>
    </row>
    <row r="649" spans="1:12" ht="15.75" customHeight="1">
      <c r="A649" s="4"/>
      <c r="G649" s="2"/>
      <c r="H649" s="2"/>
      <c r="I649" s="2"/>
      <c r="K649" s="253"/>
      <c r="L649" s="2"/>
    </row>
    <row r="650" spans="1:12" ht="15.75" customHeight="1">
      <c r="A650" s="4"/>
      <c r="G650" s="2"/>
      <c r="H650" s="2"/>
      <c r="I650" s="2"/>
      <c r="K650" s="253"/>
      <c r="L650" s="2"/>
    </row>
    <row r="651" spans="1:12" ht="15.75" customHeight="1">
      <c r="A651" s="4"/>
      <c r="G651" s="2"/>
      <c r="H651" s="2"/>
      <c r="I651" s="2"/>
      <c r="K651" s="253"/>
      <c r="L651" s="2"/>
    </row>
    <row r="652" spans="1:12" ht="15.75" customHeight="1">
      <c r="A652" s="4"/>
      <c r="G652" s="2"/>
      <c r="H652" s="2"/>
      <c r="I652" s="2"/>
      <c r="K652" s="253"/>
      <c r="L652" s="2"/>
    </row>
    <row r="653" spans="1:12" ht="15.75" customHeight="1">
      <c r="A653" s="4"/>
      <c r="G653" s="2"/>
      <c r="H653" s="2"/>
      <c r="I653" s="2"/>
      <c r="K653" s="253"/>
      <c r="L653" s="2"/>
    </row>
    <row r="654" spans="1:12" ht="15.75" customHeight="1">
      <c r="A654" s="4"/>
      <c r="G654" s="2"/>
      <c r="H654" s="2"/>
      <c r="I654" s="2"/>
      <c r="K654" s="253"/>
      <c r="L654" s="2"/>
    </row>
    <row r="655" spans="1:12" ht="15.75" customHeight="1">
      <c r="A655" s="4"/>
      <c r="G655" s="2"/>
      <c r="H655" s="2"/>
      <c r="I655" s="2"/>
      <c r="K655" s="253"/>
      <c r="L655" s="2"/>
    </row>
    <row r="656" spans="1:12" ht="15.75" customHeight="1">
      <c r="A656" s="4"/>
      <c r="G656" s="2"/>
      <c r="H656" s="2"/>
      <c r="I656" s="2"/>
      <c r="K656" s="253"/>
      <c r="L656" s="2"/>
    </row>
    <row r="657" spans="1:12" ht="15.75" customHeight="1">
      <c r="A657" s="4"/>
      <c r="G657" s="2"/>
      <c r="H657" s="2"/>
      <c r="I657" s="2"/>
      <c r="K657" s="253"/>
      <c r="L657" s="2"/>
    </row>
    <row r="658" spans="1:12" ht="15.75" customHeight="1">
      <c r="A658" s="4"/>
      <c r="G658" s="2"/>
      <c r="H658" s="2"/>
      <c r="I658" s="2"/>
      <c r="K658" s="253"/>
      <c r="L658" s="2"/>
    </row>
    <row r="659" spans="1:12" ht="15.75" customHeight="1">
      <c r="A659" s="4"/>
      <c r="G659" s="2"/>
      <c r="H659" s="2"/>
      <c r="I659" s="2"/>
      <c r="K659" s="253"/>
      <c r="L659" s="2"/>
    </row>
    <row r="660" spans="1:12" ht="15.75" customHeight="1">
      <c r="A660" s="4"/>
      <c r="G660" s="2"/>
      <c r="H660" s="2"/>
      <c r="I660" s="2"/>
      <c r="K660" s="253"/>
      <c r="L660" s="2"/>
    </row>
    <row r="661" spans="1:12" ht="15.75" customHeight="1">
      <c r="A661" s="4"/>
      <c r="G661" s="2"/>
      <c r="H661" s="2"/>
      <c r="I661" s="2"/>
      <c r="K661" s="253"/>
      <c r="L661" s="2"/>
    </row>
    <row r="662" spans="1:12" ht="15.75" customHeight="1">
      <c r="A662" s="4"/>
      <c r="G662" s="2"/>
      <c r="H662" s="2"/>
      <c r="I662" s="2"/>
      <c r="K662" s="253"/>
      <c r="L662" s="2"/>
    </row>
    <row r="663" spans="1:12" ht="15.75" customHeight="1">
      <c r="A663" s="4"/>
      <c r="G663" s="2"/>
      <c r="H663" s="2"/>
      <c r="I663" s="2"/>
      <c r="K663" s="253"/>
      <c r="L663" s="2"/>
    </row>
    <row r="664" spans="1:12" ht="15.75" customHeight="1">
      <c r="A664" s="4"/>
      <c r="G664" s="2"/>
      <c r="H664" s="2"/>
      <c r="I664" s="2"/>
      <c r="K664" s="253"/>
      <c r="L664" s="2"/>
    </row>
    <row r="665" spans="1:12" ht="15.75" customHeight="1">
      <c r="A665" s="4"/>
      <c r="G665" s="2"/>
      <c r="H665" s="2"/>
      <c r="I665" s="2"/>
      <c r="K665" s="253"/>
      <c r="L665" s="2"/>
    </row>
    <row r="666" spans="1:12" ht="15.75" customHeight="1">
      <c r="A666" s="4"/>
      <c r="G666" s="2"/>
      <c r="H666" s="2"/>
      <c r="I666" s="2"/>
      <c r="K666" s="253"/>
      <c r="L666" s="2"/>
    </row>
    <row r="667" spans="1:12" ht="15.75" customHeight="1">
      <c r="A667" s="4"/>
      <c r="G667" s="2"/>
      <c r="H667" s="2"/>
      <c r="I667" s="2"/>
      <c r="K667" s="253"/>
      <c r="L667" s="2"/>
    </row>
    <row r="668" spans="1:12" ht="15.75" customHeight="1">
      <c r="A668" s="4"/>
      <c r="G668" s="2"/>
      <c r="H668" s="2"/>
      <c r="I668" s="2"/>
      <c r="K668" s="253"/>
      <c r="L668" s="2"/>
    </row>
    <row r="669" spans="1:12" ht="15.75" customHeight="1">
      <c r="A669" s="4"/>
      <c r="G669" s="2"/>
      <c r="H669" s="2"/>
      <c r="I669" s="2"/>
      <c r="K669" s="253"/>
      <c r="L669" s="2"/>
    </row>
    <row r="670" spans="1:12" ht="15.75" customHeight="1">
      <c r="A670" s="4"/>
      <c r="G670" s="2"/>
      <c r="H670" s="2"/>
      <c r="I670" s="2"/>
      <c r="K670" s="253"/>
      <c r="L670" s="2"/>
    </row>
    <row r="671" spans="1:12" ht="15.75" customHeight="1">
      <c r="A671" s="4"/>
      <c r="G671" s="2"/>
      <c r="H671" s="2"/>
      <c r="I671" s="2"/>
      <c r="K671" s="253"/>
      <c r="L671" s="2"/>
    </row>
    <row r="672" spans="1:12" ht="15.75" customHeight="1">
      <c r="A672" s="4"/>
      <c r="G672" s="2"/>
      <c r="H672" s="2"/>
      <c r="I672" s="2"/>
      <c r="K672" s="253"/>
      <c r="L672" s="2"/>
    </row>
    <row r="673" spans="1:12" ht="15.75" customHeight="1">
      <c r="A673" s="4"/>
      <c r="G673" s="2"/>
      <c r="H673" s="2"/>
      <c r="I673" s="2"/>
      <c r="K673" s="253"/>
      <c r="L673" s="2"/>
    </row>
    <row r="674" spans="1:12" ht="15.75" customHeight="1">
      <c r="A674" s="4"/>
      <c r="G674" s="2"/>
      <c r="H674" s="2"/>
      <c r="I674" s="2"/>
      <c r="K674" s="253"/>
      <c r="L674" s="2"/>
    </row>
    <row r="675" spans="1:12" ht="15.75" customHeight="1">
      <c r="A675" s="4"/>
      <c r="G675" s="2"/>
      <c r="H675" s="2"/>
      <c r="I675" s="2"/>
      <c r="K675" s="253"/>
      <c r="L675" s="2"/>
    </row>
    <row r="676" spans="1:12" ht="15.75" customHeight="1">
      <c r="A676" s="4"/>
      <c r="G676" s="2"/>
      <c r="H676" s="2"/>
      <c r="I676" s="2"/>
      <c r="K676" s="253"/>
      <c r="L676" s="2"/>
    </row>
    <row r="677" spans="1:12" ht="15.75" customHeight="1">
      <c r="A677" s="4"/>
      <c r="G677" s="2"/>
      <c r="H677" s="2"/>
      <c r="I677" s="2"/>
      <c r="K677" s="253"/>
      <c r="L677" s="2"/>
    </row>
    <row r="678" spans="1:12" ht="15.75" customHeight="1">
      <c r="A678" s="4"/>
      <c r="G678" s="2"/>
      <c r="H678" s="2"/>
      <c r="I678" s="2"/>
      <c r="K678" s="253"/>
      <c r="L678" s="2"/>
    </row>
    <row r="679" spans="1:12" ht="15.75" customHeight="1">
      <c r="A679" s="4"/>
      <c r="G679" s="2"/>
      <c r="H679" s="2"/>
      <c r="I679" s="2"/>
      <c r="K679" s="253"/>
      <c r="L679" s="2"/>
    </row>
    <row r="680" spans="1:12" ht="15.75" customHeight="1">
      <c r="A680" s="4"/>
      <c r="G680" s="2"/>
      <c r="H680" s="2"/>
      <c r="I680" s="2"/>
      <c r="K680" s="253"/>
      <c r="L680" s="2"/>
    </row>
    <row r="681" spans="1:12" ht="15.75" customHeight="1">
      <c r="A681" s="4"/>
      <c r="G681" s="2"/>
      <c r="H681" s="2"/>
      <c r="I681" s="2"/>
      <c r="K681" s="253"/>
      <c r="L681" s="2"/>
    </row>
    <row r="682" spans="1:12" ht="15.75" customHeight="1">
      <c r="A682" s="4"/>
      <c r="G682" s="2"/>
      <c r="H682" s="2"/>
      <c r="I682" s="2"/>
      <c r="K682" s="253"/>
      <c r="L682" s="2"/>
    </row>
    <row r="683" spans="1:12" ht="15.75" customHeight="1">
      <c r="A683" s="4"/>
      <c r="G683" s="2"/>
      <c r="H683" s="2"/>
      <c r="I683" s="2"/>
      <c r="K683" s="253"/>
      <c r="L683" s="2"/>
    </row>
    <row r="684" spans="1:12" ht="15.75" customHeight="1">
      <c r="A684" s="4"/>
      <c r="G684" s="2"/>
      <c r="H684" s="2"/>
      <c r="I684" s="2"/>
      <c r="K684" s="253"/>
      <c r="L684" s="2"/>
    </row>
    <row r="685" spans="1:12" ht="15.75" customHeight="1">
      <c r="A685" s="4"/>
      <c r="G685" s="2"/>
      <c r="H685" s="2"/>
      <c r="I685" s="2"/>
      <c r="K685" s="253"/>
      <c r="L685" s="2"/>
    </row>
    <row r="686" spans="1:12" ht="15.75" customHeight="1">
      <c r="A686" s="4"/>
      <c r="G686" s="2"/>
      <c r="H686" s="2"/>
      <c r="I686" s="2"/>
      <c r="K686" s="253"/>
      <c r="L686" s="2"/>
    </row>
    <row r="687" spans="1:12" ht="15.75" customHeight="1">
      <c r="A687" s="4"/>
      <c r="G687" s="2"/>
      <c r="H687" s="2"/>
      <c r="I687" s="2"/>
      <c r="K687" s="253"/>
      <c r="L687" s="2"/>
    </row>
    <row r="688" spans="1:12" ht="15.75" customHeight="1">
      <c r="A688" s="4"/>
      <c r="G688" s="2"/>
      <c r="H688" s="2"/>
      <c r="I688" s="2"/>
      <c r="K688" s="253"/>
      <c r="L688" s="2"/>
    </row>
    <row r="689" spans="1:12" ht="15.75" customHeight="1">
      <c r="A689" s="4"/>
      <c r="G689" s="2"/>
      <c r="H689" s="2"/>
      <c r="I689" s="2"/>
      <c r="K689" s="253"/>
      <c r="L689" s="2"/>
    </row>
    <row r="690" spans="1:12" ht="15.75" customHeight="1">
      <c r="A690" s="4"/>
      <c r="G690" s="2"/>
      <c r="H690" s="2"/>
      <c r="I690" s="2"/>
      <c r="K690" s="253"/>
      <c r="L690" s="2"/>
    </row>
    <row r="691" spans="1:12" ht="15.75" customHeight="1">
      <c r="A691" s="4"/>
      <c r="G691" s="2"/>
      <c r="H691" s="2"/>
      <c r="I691" s="2"/>
      <c r="K691" s="253"/>
      <c r="L691" s="2"/>
    </row>
    <row r="692" spans="1:12" ht="15.75" customHeight="1">
      <c r="A692" s="4"/>
      <c r="G692" s="2"/>
      <c r="H692" s="2"/>
      <c r="I692" s="2"/>
      <c r="K692" s="253"/>
      <c r="L692" s="2"/>
    </row>
    <row r="693" spans="1:12" ht="15.75" customHeight="1">
      <c r="A693" s="4"/>
      <c r="G693" s="2"/>
      <c r="H693" s="2"/>
      <c r="I693" s="2"/>
      <c r="K693" s="253"/>
      <c r="L693" s="2"/>
    </row>
    <row r="694" spans="1:12" ht="15.75" customHeight="1">
      <c r="A694" s="4"/>
      <c r="G694" s="2"/>
      <c r="H694" s="2"/>
      <c r="I694" s="2"/>
      <c r="K694" s="253"/>
      <c r="L694" s="2"/>
    </row>
    <row r="695" spans="1:12" ht="15.75" customHeight="1">
      <c r="A695" s="4"/>
      <c r="G695" s="2"/>
      <c r="H695" s="2"/>
      <c r="I695" s="2"/>
      <c r="K695" s="253"/>
      <c r="L695" s="2"/>
    </row>
    <row r="696" spans="1:12" ht="15.75" customHeight="1">
      <c r="A696" s="4"/>
      <c r="G696" s="2"/>
      <c r="H696" s="2"/>
      <c r="I696" s="2"/>
      <c r="K696" s="253"/>
      <c r="L696" s="2"/>
    </row>
    <row r="697" spans="1:12" ht="15.75" customHeight="1">
      <c r="A697" s="4"/>
      <c r="G697" s="2"/>
      <c r="H697" s="2"/>
      <c r="I697" s="2"/>
      <c r="K697" s="253"/>
      <c r="L697" s="2"/>
    </row>
    <row r="698" spans="1:12" ht="15.75" customHeight="1">
      <c r="A698" s="4"/>
      <c r="G698" s="2"/>
      <c r="H698" s="2"/>
      <c r="I698" s="2"/>
      <c r="K698" s="253"/>
      <c r="L698" s="2"/>
    </row>
    <row r="699" spans="1:12" ht="15.75" customHeight="1">
      <c r="A699" s="4"/>
      <c r="G699" s="2"/>
      <c r="H699" s="2"/>
      <c r="I699" s="2"/>
      <c r="K699" s="253"/>
      <c r="L699" s="2"/>
    </row>
    <row r="700" spans="1:12" ht="15.75" customHeight="1">
      <c r="A700" s="4"/>
      <c r="G700" s="2"/>
      <c r="H700" s="2"/>
      <c r="I700" s="2"/>
      <c r="K700" s="253"/>
      <c r="L700" s="2"/>
    </row>
    <row r="701" spans="1:12" ht="15.75" customHeight="1">
      <c r="A701" s="4"/>
      <c r="G701" s="2"/>
      <c r="H701" s="2"/>
      <c r="I701" s="2"/>
      <c r="K701" s="253"/>
      <c r="L701" s="2"/>
    </row>
    <row r="702" spans="1:12" ht="15.75" customHeight="1">
      <c r="A702" s="4"/>
      <c r="G702" s="2"/>
      <c r="H702" s="2"/>
      <c r="I702" s="2"/>
      <c r="K702" s="253"/>
      <c r="L702" s="2"/>
    </row>
    <row r="703" spans="1:12" ht="15.75" customHeight="1">
      <c r="A703" s="4"/>
      <c r="G703" s="2"/>
      <c r="H703" s="2"/>
      <c r="I703" s="2"/>
      <c r="K703" s="253"/>
      <c r="L703" s="2"/>
    </row>
    <row r="704" spans="1:12" ht="15.75" customHeight="1">
      <c r="A704" s="4"/>
      <c r="G704" s="2"/>
      <c r="H704" s="2"/>
      <c r="I704" s="2"/>
      <c r="K704" s="253"/>
      <c r="L704" s="2"/>
    </row>
    <row r="705" spans="1:12" ht="15.75" customHeight="1">
      <c r="A705" s="4"/>
      <c r="G705" s="2"/>
      <c r="H705" s="2"/>
      <c r="I705" s="2"/>
      <c r="K705" s="253"/>
      <c r="L705" s="2"/>
    </row>
    <row r="706" spans="1:12" ht="15.75" customHeight="1">
      <c r="A706" s="4"/>
      <c r="G706" s="2"/>
      <c r="H706" s="2"/>
      <c r="I706" s="2"/>
      <c r="K706" s="253"/>
      <c r="L706" s="2"/>
    </row>
    <row r="707" spans="1:12" ht="15.75" customHeight="1">
      <c r="A707" s="4"/>
      <c r="G707" s="2"/>
      <c r="H707" s="2"/>
      <c r="I707" s="2"/>
      <c r="K707" s="253"/>
      <c r="L707" s="2"/>
    </row>
    <row r="708" spans="1:12" ht="15.75" customHeight="1">
      <c r="A708" s="4"/>
      <c r="G708" s="2"/>
      <c r="H708" s="2"/>
      <c r="I708" s="2"/>
      <c r="K708" s="253"/>
      <c r="L708" s="2"/>
    </row>
    <row r="709" spans="1:12" ht="15.75" customHeight="1">
      <c r="A709" s="4"/>
      <c r="G709" s="2"/>
      <c r="H709" s="2"/>
      <c r="I709" s="2"/>
      <c r="K709" s="253"/>
      <c r="L709" s="2"/>
    </row>
    <row r="710" spans="1:12" ht="15.75" customHeight="1">
      <c r="A710" s="4"/>
      <c r="G710" s="2"/>
      <c r="H710" s="2"/>
      <c r="I710" s="2"/>
      <c r="K710" s="253"/>
      <c r="L710" s="2"/>
    </row>
    <row r="711" spans="1:12" ht="15.75" customHeight="1">
      <c r="A711" s="4"/>
      <c r="G711" s="2"/>
      <c r="H711" s="2"/>
      <c r="I711" s="2"/>
      <c r="K711" s="253"/>
      <c r="L711" s="2"/>
    </row>
    <row r="712" spans="1:12" ht="15.75" customHeight="1">
      <c r="A712" s="4"/>
      <c r="G712" s="2"/>
      <c r="H712" s="2"/>
      <c r="I712" s="2"/>
      <c r="K712" s="253"/>
      <c r="L712" s="2"/>
    </row>
    <row r="713" spans="1:12" ht="15.75" customHeight="1">
      <c r="A713" s="4"/>
      <c r="G713" s="2"/>
      <c r="H713" s="2"/>
      <c r="I713" s="2"/>
      <c r="K713" s="253"/>
      <c r="L713" s="2"/>
    </row>
    <row r="714" spans="1:12" ht="15.75" customHeight="1">
      <c r="A714" s="4"/>
      <c r="G714" s="2"/>
      <c r="H714" s="2"/>
      <c r="I714" s="2"/>
      <c r="K714" s="253"/>
      <c r="L714" s="2"/>
    </row>
    <row r="715" spans="1:12" ht="15.75" customHeight="1">
      <c r="A715" s="4"/>
      <c r="G715" s="2"/>
      <c r="H715" s="2"/>
      <c r="I715" s="2"/>
      <c r="K715" s="253"/>
      <c r="L715" s="2"/>
    </row>
    <row r="716" spans="1:12" ht="15.75" customHeight="1">
      <c r="A716" s="4"/>
      <c r="G716" s="2"/>
      <c r="H716" s="2"/>
      <c r="I716" s="2"/>
      <c r="K716" s="253"/>
      <c r="L716" s="2"/>
    </row>
    <row r="717" spans="1:12" ht="15.75" customHeight="1">
      <c r="A717" s="4"/>
      <c r="G717" s="2"/>
      <c r="H717" s="2"/>
      <c r="I717" s="2"/>
      <c r="K717" s="253"/>
      <c r="L717" s="2"/>
    </row>
    <row r="718" spans="1:12" ht="15.75" customHeight="1">
      <c r="A718" s="4"/>
      <c r="G718" s="2"/>
      <c r="H718" s="2"/>
      <c r="I718" s="2"/>
      <c r="K718" s="253"/>
      <c r="L718" s="2"/>
    </row>
    <row r="719" spans="1:12" ht="15.75" customHeight="1">
      <c r="A719" s="4"/>
      <c r="G719" s="2"/>
      <c r="H719" s="2"/>
      <c r="I719" s="2"/>
      <c r="K719" s="253"/>
      <c r="L719" s="2"/>
    </row>
    <row r="720" spans="1:12" ht="15.75" customHeight="1">
      <c r="A720" s="4"/>
      <c r="G720" s="2"/>
      <c r="H720" s="2"/>
      <c r="I720" s="2"/>
      <c r="K720" s="253"/>
      <c r="L720" s="2"/>
    </row>
    <row r="721" spans="1:12" ht="15.75" customHeight="1">
      <c r="A721" s="4"/>
      <c r="G721" s="2"/>
      <c r="H721" s="2"/>
      <c r="I721" s="2"/>
      <c r="K721" s="253"/>
      <c r="L721" s="2"/>
    </row>
    <row r="722" spans="1:12" ht="15.75" customHeight="1">
      <c r="A722" s="4"/>
      <c r="G722" s="2"/>
      <c r="H722" s="2"/>
      <c r="I722" s="2"/>
      <c r="K722" s="253"/>
      <c r="L722" s="2"/>
    </row>
    <row r="723" spans="1:12" ht="15.75" customHeight="1">
      <c r="A723" s="4"/>
      <c r="G723" s="2"/>
      <c r="H723" s="2"/>
      <c r="I723" s="2"/>
      <c r="K723" s="253"/>
      <c r="L723" s="2"/>
    </row>
    <row r="724" spans="1:12" ht="15.75" customHeight="1">
      <c r="A724" s="4"/>
      <c r="G724" s="2"/>
      <c r="H724" s="2"/>
      <c r="I724" s="2"/>
      <c r="K724" s="253"/>
      <c r="L724" s="2"/>
    </row>
    <row r="725" spans="1:12" ht="15.75" customHeight="1">
      <c r="A725" s="4"/>
      <c r="G725" s="2"/>
      <c r="H725" s="2"/>
      <c r="I725" s="2"/>
      <c r="K725" s="253"/>
      <c r="L725" s="2"/>
    </row>
    <row r="726" spans="1:12" ht="15.75" customHeight="1">
      <c r="A726" s="4"/>
      <c r="G726" s="2"/>
      <c r="H726" s="2"/>
      <c r="I726" s="2"/>
      <c r="K726" s="253"/>
      <c r="L726" s="2"/>
    </row>
    <row r="727" spans="1:12" ht="15.75" customHeight="1">
      <c r="A727" s="4"/>
      <c r="G727" s="2"/>
      <c r="H727" s="2"/>
      <c r="I727" s="2"/>
      <c r="K727" s="253"/>
      <c r="L727" s="2"/>
    </row>
    <row r="728" spans="1:12" ht="15.75" customHeight="1">
      <c r="A728" s="4"/>
      <c r="G728" s="2"/>
      <c r="H728" s="2"/>
      <c r="I728" s="2"/>
      <c r="K728" s="253"/>
      <c r="L728" s="2"/>
    </row>
    <row r="729" spans="1:12" ht="15.75" customHeight="1">
      <c r="A729" s="4"/>
      <c r="G729" s="2"/>
      <c r="H729" s="2"/>
      <c r="I729" s="2"/>
      <c r="K729" s="253"/>
      <c r="L729" s="2"/>
    </row>
    <row r="730" spans="1:12" ht="15.75" customHeight="1">
      <c r="A730" s="4"/>
      <c r="G730" s="2"/>
      <c r="H730" s="2"/>
      <c r="I730" s="2"/>
      <c r="K730" s="253"/>
      <c r="L730" s="2"/>
    </row>
    <row r="731" spans="1:12" ht="15.75" customHeight="1">
      <c r="A731" s="4"/>
      <c r="G731" s="2"/>
      <c r="H731" s="2"/>
      <c r="I731" s="2"/>
      <c r="K731" s="253"/>
      <c r="L731" s="2"/>
    </row>
    <row r="732" spans="1:12" ht="15.75" customHeight="1">
      <c r="A732" s="4"/>
      <c r="G732" s="2"/>
      <c r="H732" s="2"/>
      <c r="I732" s="2"/>
      <c r="K732" s="253"/>
      <c r="L732" s="2"/>
    </row>
    <row r="733" spans="1:12" ht="15.75" customHeight="1">
      <c r="A733" s="4"/>
      <c r="G733" s="2"/>
      <c r="H733" s="2"/>
      <c r="I733" s="2"/>
      <c r="K733" s="253"/>
      <c r="L733" s="2"/>
    </row>
    <row r="734" spans="1:12" ht="15.75" customHeight="1">
      <c r="A734" s="4"/>
      <c r="G734" s="2"/>
      <c r="H734" s="2"/>
      <c r="I734" s="2"/>
      <c r="K734" s="253"/>
      <c r="L734" s="2"/>
    </row>
    <row r="735" spans="1:12" ht="15.75" customHeight="1">
      <c r="A735" s="4"/>
      <c r="G735" s="2"/>
      <c r="H735" s="2"/>
      <c r="I735" s="2"/>
      <c r="K735" s="253"/>
      <c r="L735" s="2"/>
    </row>
    <row r="736" spans="1:12" ht="15.75" customHeight="1">
      <c r="A736" s="4"/>
      <c r="G736" s="2"/>
      <c r="H736" s="2"/>
      <c r="I736" s="2"/>
      <c r="K736" s="253"/>
      <c r="L736" s="2"/>
    </row>
    <row r="737" spans="1:12" ht="15.75" customHeight="1">
      <c r="A737" s="4"/>
      <c r="G737" s="2"/>
      <c r="H737" s="2"/>
      <c r="I737" s="2"/>
      <c r="K737" s="253"/>
      <c r="L737" s="2"/>
    </row>
    <row r="738" spans="1:12" ht="15.75" customHeight="1">
      <c r="A738" s="4"/>
      <c r="G738" s="2"/>
      <c r="H738" s="2"/>
      <c r="I738" s="2"/>
      <c r="K738" s="253"/>
      <c r="L738" s="2"/>
    </row>
    <row r="739" spans="1:12" ht="15.75" customHeight="1">
      <c r="A739" s="4"/>
      <c r="G739" s="2"/>
      <c r="H739" s="2"/>
      <c r="I739" s="2"/>
      <c r="K739" s="253"/>
      <c r="L739" s="2"/>
    </row>
    <row r="740" spans="1:12" ht="15.75" customHeight="1">
      <c r="A740" s="4"/>
      <c r="G740" s="2"/>
      <c r="H740" s="2"/>
      <c r="I740" s="2"/>
      <c r="K740" s="253"/>
      <c r="L740" s="2"/>
    </row>
    <row r="741" spans="1:12" ht="15.75" customHeight="1">
      <c r="A741" s="4"/>
      <c r="G741" s="2"/>
      <c r="H741" s="2"/>
      <c r="I741" s="2"/>
      <c r="K741" s="253"/>
      <c r="L741" s="2"/>
    </row>
    <row r="742" spans="1:12" ht="15.75" customHeight="1">
      <c r="A742" s="4"/>
      <c r="G742" s="2"/>
      <c r="H742" s="2"/>
      <c r="I742" s="2"/>
      <c r="K742" s="253"/>
      <c r="L742" s="2"/>
    </row>
    <row r="743" spans="1:12" ht="15.75" customHeight="1">
      <c r="A743" s="4"/>
      <c r="G743" s="2"/>
      <c r="H743" s="2"/>
      <c r="I743" s="2"/>
      <c r="K743" s="253"/>
      <c r="L743" s="2"/>
    </row>
    <row r="744" spans="1:12" ht="15.75" customHeight="1">
      <c r="A744" s="4"/>
      <c r="G744" s="2"/>
      <c r="H744" s="2"/>
      <c r="I744" s="2"/>
      <c r="K744" s="253"/>
      <c r="L744" s="2"/>
    </row>
    <row r="745" spans="1:12" ht="15.75" customHeight="1">
      <c r="A745" s="4"/>
      <c r="G745" s="2"/>
      <c r="H745" s="2"/>
      <c r="I745" s="2"/>
      <c r="K745" s="253"/>
      <c r="L745" s="2"/>
    </row>
    <row r="746" spans="1:12" ht="15.75" customHeight="1">
      <c r="A746" s="4"/>
      <c r="G746" s="2"/>
      <c r="H746" s="2"/>
      <c r="I746" s="2"/>
      <c r="K746" s="253"/>
      <c r="L746" s="2"/>
    </row>
    <row r="747" spans="1:12" ht="15.75" customHeight="1">
      <c r="A747" s="4"/>
      <c r="G747" s="2"/>
      <c r="H747" s="2"/>
      <c r="I747" s="2"/>
      <c r="K747" s="253"/>
      <c r="L747" s="2"/>
    </row>
    <row r="748" spans="1:12" ht="15.75" customHeight="1">
      <c r="A748" s="4"/>
      <c r="G748" s="2"/>
      <c r="H748" s="2"/>
      <c r="I748" s="2"/>
      <c r="K748" s="253"/>
      <c r="L748" s="2"/>
    </row>
    <row r="749" spans="1:12" ht="15.75" customHeight="1">
      <c r="A749" s="4"/>
      <c r="G749" s="2"/>
      <c r="H749" s="2"/>
      <c r="I749" s="2"/>
      <c r="K749" s="253"/>
      <c r="L749" s="2"/>
    </row>
    <row r="750" spans="1:12" ht="15.75" customHeight="1">
      <c r="A750" s="4"/>
      <c r="G750" s="2"/>
      <c r="H750" s="2"/>
      <c r="I750" s="2"/>
      <c r="K750" s="253"/>
      <c r="L750" s="2"/>
    </row>
    <row r="751" spans="1:12" ht="15.75" customHeight="1">
      <c r="A751" s="4"/>
      <c r="G751" s="2"/>
      <c r="H751" s="2"/>
      <c r="I751" s="2"/>
      <c r="K751" s="253"/>
      <c r="L751" s="2"/>
    </row>
    <row r="752" spans="1:12" ht="15.75" customHeight="1">
      <c r="A752" s="4"/>
      <c r="G752" s="2"/>
      <c r="H752" s="2"/>
      <c r="I752" s="2"/>
      <c r="K752" s="253"/>
      <c r="L752" s="2"/>
    </row>
    <row r="753" spans="1:12" ht="15.75" customHeight="1">
      <c r="A753" s="4"/>
      <c r="G753" s="2"/>
      <c r="H753" s="2"/>
      <c r="I753" s="2"/>
      <c r="K753" s="253"/>
      <c r="L753" s="2"/>
    </row>
    <row r="754" spans="1:12" ht="15.75" customHeight="1">
      <c r="A754" s="4"/>
      <c r="G754" s="2"/>
      <c r="H754" s="2"/>
      <c r="I754" s="2"/>
      <c r="K754" s="253"/>
      <c r="L754" s="2"/>
    </row>
    <row r="755" spans="1:12" ht="15.75" customHeight="1">
      <c r="A755" s="4"/>
      <c r="G755" s="2"/>
      <c r="H755" s="2"/>
      <c r="I755" s="2"/>
      <c r="K755" s="253"/>
      <c r="L755" s="2"/>
    </row>
    <row r="756" spans="1:12" ht="15.75" customHeight="1">
      <c r="A756" s="4"/>
      <c r="G756" s="2"/>
      <c r="H756" s="2"/>
      <c r="I756" s="2"/>
      <c r="K756" s="253"/>
      <c r="L756" s="2"/>
    </row>
    <row r="757" spans="1:12" ht="15.75" customHeight="1">
      <c r="A757" s="4"/>
      <c r="G757" s="2"/>
      <c r="H757" s="2"/>
      <c r="I757" s="2"/>
      <c r="K757" s="253"/>
      <c r="L757" s="2"/>
    </row>
    <row r="758" spans="1:12" ht="15.75" customHeight="1">
      <c r="A758" s="4"/>
      <c r="G758" s="2"/>
      <c r="H758" s="2"/>
      <c r="I758" s="2"/>
      <c r="K758" s="253"/>
      <c r="L758" s="2"/>
    </row>
    <row r="759" spans="1:12" ht="15.75" customHeight="1">
      <c r="A759" s="4"/>
      <c r="G759" s="2"/>
      <c r="H759" s="2"/>
      <c r="I759" s="2"/>
      <c r="K759" s="253"/>
      <c r="L759" s="2"/>
    </row>
    <row r="760" spans="1:12" ht="15.75" customHeight="1">
      <c r="A760" s="4"/>
      <c r="G760" s="2"/>
      <c r="H760" s="2"/>
      <c r="I760" s="2"/>
      <c r="K760" s="253"/>
      <c r="L760" s="2"/>
    </row>
    <row r="761" spans="1:12" ht="15.75" customHeight="1">
      <c r="A761" s="4"/>
      <c r="G761" s="2"/>
      <c r="H761" s="2"/>
      <c r="I761" s="2"/>
      <c r="K761" s="253"/>
      <c r="L761" s="2"/>
    </row>
    <row r="762" spans="1:12" ht="15.75" customHeight="1">
      <c r="A762" s="4"/>
      <c r="G762" s="2"/>
      <c r="H762" s="2"/>
      <c r="I762" s="2"/>
      <c r="K762" s="253"/>
      <c r="L762" s="2"/>
    </row>
    <row r="763" spans="1:12" ht="15.75" customHeight="1">
      <c r="A763" s="4"/>
      <c r="G763" s="2"/>
      <c r="H763" s="2"/>
      <c r="I763" s="2"/>
      <c r="K763" s="253"/>
      <c r="L763" s="2"/>
    </row>
    <row r="764" spans="1:12" ht="15.75" customHeight="1">
      <c r="A764" s="4"/>
      <c r="G764" s="2"/>
      <c r="H764" s="2"/>
      <c r="I764" s="2"/>
      <c r="K764" s="253"/>
      <c r="L764" s="2"/>
    </row>
    <row r="765" spans="1:12" ht="15.75" customHeight="1">
      <c r="A765" s="4"/>
      <c r="G765" s="2"/>
      <c r="H765" s="2"/>
      <c r="I765" s="2"/>
      <c r="K765" s="253"/>
      <c r="L765" s="2"/>
    </row>
    <row r="766" spans="1:12" ht="15.75" customHeight="1">
      <c r="A766" s="4"/>
      <c r="G766" s="2"/>
      <c r="H766" s="2"/>
      <c r="I766" s="2"/>
      <c r="K766" s="253"/>
      <c r="L766" s="2"/>
    </row>
    <row r="767" spans="1:12" ht="15.75" customHeight="1">
      <c r="A767" s="4"/>
      <c r="G767" s="2"/>
      <c r="H767" s="2"/>
      <c r="I767" s="2"/>
      <c r="K767" s="253"/>
      <c r="L767" s="2"/>
    </row>
    <row r="768" spans="1:12" ht="15.75" customHeight="1">
      <c r="A768" s="4"/>
      <c r="G768" s="2"/>
      <c r="H768" s="2"/>
      <c r="I768" s="2"/>
      <c r="K768" s="253"/>
      <c r="L768" s="2"/>
    </row>
    <row r="769" spans="1:12" ht="15.75" customHeight="1">
      <c r="A769" s="4"/>
      <c r="G769" s="2"/>
      <c r="H769" s="2"/>
      <c r="I769" s="2"/>
      <c r="K769" s="253"/>
      <c r="L769" s="2"/>
    </row>
    <row r="770" spans="1:12" ht="15.75" customHeight="1">
      <c r="A770" s="4"/>
      <c r="G770" s="2"/>
      <c r="H770" s="2"/>
      <c r="I770" s="2"/>
      <c r="K770" s="253"/>
      <c r="L770" s="2"/>
    </row>
    <row r="771" spans="1:12" ht="15.75" customHeight="1">
      <c r="A771" s="4"/>
      <c r="G771" s="2"/>
      <c r="H771" s="2"/>
      <c r="I771" s="2"/>
      <c r="K771" s="253"/>
      <c r="L771" s="2"/>
    </row>
    <row r="772" spans="1:12" ht="15.75" customHeight="1">
      <c r="A772" s="4"/>
      <c r="G772" s="2"/>
      <c r="H772" s="2"/>
      <c r="I772" s="2"/>
      <c r="K772" s="253"/>
      <c r="L772" s="2"/>
    </row>
    <row r="773" spans="1:12" ht="15.75" customHeight="1">
      <c r="A773" s="4"/>
      <c r="G773" s="2"/>
      <c r="H773" s="2"/>
      <c r="I773" s="2"/>
      <c r="K773" s="253"/>
      <c r="L773" s="2"/>
    </row>
    <row r="774" spans="1:12" ht="15.75" customHeight="1">
      <c r="A774" s="4"/>
      <c r="G774" s="2"/>
      <c r="H774" s="2"/>
      <c r="I774" s="2"/>
      <c r="K774" s="253"/>
      <c r="L774" s="2"/>
    </row>
    <row r="775" spans="1:12" ht="15.75" customHeight="1">
      <c r="A775" s="4"/>
      <c r="G775" s="2"/>
      <c r="H775" s="2"/>
      <c r="I775" s="2"/>
      <c r="K775" s="253"/>
      <c r="L775" s="2"/>
    </row>
    <row r="776" spans="1:12" ht="15.75" customHeight="1">
      <c r="A776" s="4"/>
      <c r="G776" s="2"/>
      <c r="H776" s="2"/>
      <c r="I776" s="2"/>
      <c r="K776" s="253"/>
      <c r="L776" s="2"/>
    </row>
    <row r="777" spans="1:12" ht="15.75" customHeight="1">
      <c r="A777" s="4"/>
      <c r="G777" s="2"/>
      <c r="H777" s="2"/>
      <c r="I777" s="2"/>
      <c r="K777" s="253"/>
      <c r="L777" s="2"/>
    </row>
    <row r="778" spans="1:12" ht="15.75" customHeight="1">
      <c r="A778" s="4"/>
      <c r="G778" s="2"/>
      <c r="H778" s="2"/>
      <c r="I778" s="2"/>
      <c r="K778" s="253"/>
      <c r="L778" s="2"/>
    </row>
    <row r="779" spans="1:12" ht="15.75" customHeight="1">
      <c r="A779" s="4"/>
      <c r="G779" s="2"/>
      <c r="H779" s="2"/>
      <c r="I779" s="2"/>
      <c r="K779" s="253"/>
      <c r="L779" s="2"/>
    </row>
    <row r="780" spans="1:12" ht="15.75" customHeight="1">
      <c r="A780" s="4"/>
      <c r="G780" s="2"/>
      <c r="H780" s="2"/>
      <c r="I780" s="2"/>
      <c r="K780" s="253"/>
      <c r="L780" s="2"/>
    </row>
    <row r="781" spans="1:12" ht="15.75" customHeight="1">
      <c r="A781" s="4"/>
      <c r="G781" s="2"/>
      <c r="H781" s="2"/>
      <c r="I781" s="2"/>
      <c r="K781" s="253"/>
      <c r="L781" s="2"/>
    </row>
    <row r="782" spans="1:12" ht="15.75" customHeight="1">
      <c r="A782" s="4"/>
      <c r="G782" s="2"/>
      <c r="H782" s="2"/>
      <c r="I782" s="2"/>
      <c r="K782" s="253"/>
      <c r="L782" s="2"/>
    </row>
    <row r="783" spans="1:12" ht="15.75" customHeight="1">
      <c r="A783" s="4"/>
      <c r="G783" s="2"/>
      <c r="H783" s="2"/>
      <c r="I783" s="2"/>
      <c r="K783" s="253"/>
      <c r="L783" s="2"/>
    </row>
    <row r="784" spans="1:12" ht="15.75" customHeight="1">
      <c r="A784" s="4"/>
      <c r="G784" s="2"/>
      <c r="H784" s="2"/>
      <c r="I784" s="2"/>
      <c r="K784" s="253"/>
      <c r="L784" s="2"/>
    </row>
    <row r="785" spans="1:12" ht="15.75" customHeight="1">
      <c r="A785" s="4"/>
      <c r="G785" s="2"/>
      <c r="H785" s="2"/>
      <c r="I785" s="2"/>
      <c r="K785" s="253"/>
      <c r="L785" s="2"/>
    </row>
    <row r="786" spans="1:12" ht="15.75" customHeight="1">
      <c r="A786" s="4"/>
      <c r="G786" s="2"/>
      <c r="H786" s="2"/>
      <c r="I786" s="2"/>
      <c r="K786" s="253"/>
      <c r="L786" s="2"/>
    </row>
    <row r="787" spans="1:12" ht="15.75" customHeight="1">
      <c r="A787" s="4"/>
      <c r="G787" s="2"/>
      <c r="H787" s="2"/>
      <c r="I787" s="2"/>
      <c r="K787" s="253"/>
      <c r="L787" s="2"/>
    </row>
    <row r="788" spans="1:12" ht="15.75" customHeight="1">
      <c r="A788" s="4"/>
      <c r="G788" s="2"/>
      <c r="H788" s="2"/>
      <c r="I788" s="2"/>
      <c r="K788" s="253"/>
      <c r="L788" s="2"/>
    </row>
    <row r="789" spans="1:12" ht="15.75" customHeight="1">
      <c r="A789" s="4"/>
      <c r="G789" s="2"/>
      <c r="H789" s="2"/>
      <c r="I789" s="2"/>
      <c r="K789" s="253"/>
      <c r="L789" s="2"/>
    </row>
    <row r="790" spans="1:12" ht="15.75" customHeight="1">
      <c r="A790" s="4"/>
      <c r="G790" s="2"/>
      <c r="H790" s="2"/>
      <c r="I790" s="2"/>
      <c r="K790" s="253"/>
      <c r="L790" s="2"/>
    </row>
    <row r="791" spans="1:12" ht="15.75" customHeight="1">
      <c r="A791" s="4"/>
      <c r="G791" s="2"/>
      <c r="H791" s="2"/>
      <c r="I791" s="2"/>
      <c r="K791" s="253"/>
      <c r="L791" s="2"/>
    </row>
    <row r="792" spans="1:12" ht="15.75" customHeight="1">
      <c r="A792" s="4"/>
      <c r="G792" s="2"/>
      <c r="H792" s="2"/>
      <c r="I792" s="2"/>
      <c r="K792" s="253"/>
      <c r="L792" s="2"/>
    </row>
    <row r="793" spans="1:12" ht="15.75" customHeight="1">
      <c r="A793" s="4"/>
      <c r="G793" s="2"/>
      <c r="H793" s="2"/>
      <c r="I793" s="2"/>
      <c r="K793" s="253"/>
      <c r="L793" s="2"/>
    </row>
    <row r="794" spans="1:12" ht="15.75" customHeight="1">
      <c r="A794" s="4"/>
      <c r="G794" s="2"/>
      <c r="H794" s="2"/>
      <c r="I794" s="2"/>
      <c r="K794" s="253"/>
      <c r="L794" s="2"/>
    </row>
    <row r="795" spans="1:12" ht="15.75" customHeight="1">
      <c r="A795" s="4"/>
      <c r="G795" s="2"/>
      <c r="H795" s="2"/>
      <c r="I795" s="2"/>
      <c r="K795" s="253"/>
      <c r="L795" s="2"/>
    </row>
    <row r="796" spans="1:12" ht="15.75" customHeight="1">
      <c r="A796" s="4"/>
      <c r="G796" s="2"/>
      <c r="H796" s="2"/>
      <c r="I796" s="2"/>
      <c r="K796" s="253"/>
      <c r="L796" s="2"/>
    </row>
    <row r="797" spans="1:12" ht="15.75" customHeight="1">
      <c r="A797" s="4"/>
      <c r="G797" s="2"/>
      <c r="H797" s="2"/>
      <c r="I797" s="2"/>
      <c r="K797" s="253"/>
      <c r="L797" s="2"/>
    </row>
    <row r="798" spans="1:12" ht="15.75" customHeight="1">
      <c r="A798" s="4"/>
      <c r="G798" s="2"/>
      <c r="H798" s="2"/>
      <c r="I798" s="2"/>
      <c r="K798" s="253"/>
      <c r="L798" s="2"/>
    </row>
    <row r="799" spans="1:12" ht="15.75" customHeight="1">
      <c r="A799" s="4"/>
      <c r="G799" s="2"/>
      <c r="H799" s="2"/>
      <c r="I799" s="2"/>
      <c r="K799" s="253"/>
      <c r="L799" s="2"/>
    </row>
    <row r="800" spans="1:12" ht="15.75" customHeight="1">
      <c r="A800" s="4"/>
      <c r="G800" s="2"/>
      <c r="H800" s="2"/>
      <c r="I800" s="2"/>
      <c r="K800" s="253"/>
      <c r="L800" s="2"/>
    </row>
    <row r="801" spans="1:12" ht="15.75" customHeight="1">
      <c r="A801" s="4"/>
      <c r="G801" s="2"/>
      <c r="H801" s="2"/>
      <c r="I801" s="2"/>
      <c r="K801" s="253"/>
      <c r="L801" s="2"/>
    </row>
    <row r="802" spans="1:12" ht="15.75" customHeight="1">
      <c r="A802" s="4"/>
      <c r="G802" s="2"/>
      <c r="H802" s="2"/>
      <c r="I802" s="2"/>
      <c r="K802" s="253"/>
      <c r="L802" s="2"/>
    </row>
    <row r="803" spans="1:12" ht="15.75" customHeight="1">
      <c r="A803" s="4"/>
      <c r="G803" s="2"/>
      <c r="H803" s="2"/>
      <c r="I803" s="2"/>
      <c r="K803" s="253"/>
      <c r="L803" s="2"/>
    </row>
    <row r="804" spans="1:12" ht="15.75" customHeight="1">
      <c r="A804" s="4"/>
      <c r="G804" s="2"/>
      <c r="H804" s="2"/>
      <c r="I804" s="2"/>
      <c r="K804" s="253"/>
      <c r="L804" s="2"/>
    </row>
    <row r="805" spans="1:12" ht="15.75" customHeight="1">
      <c r="A805" s="4"/>
      <c r="G805" s="2"/>
      <c r="H805" s="2"/>
      <c r="I805" s="2"/>
      <c r="K805" s="253"/>
      <c r="L805" s="2"/>
    </row>
    <row r="806" spans="1:12" ht="15.75" customHeight="1">
      <c r="A806" s="4"/>
      <c r="G806" s="2"/>
      <c r="H806" s="2"/>
      <c r="I806" s="2"/>
      <c r="K806" s="253"/>
      <c r="L806" s="2"/>
    </row>
    <row r="807" spans="1:12" ht="15.75" customHeight="1">
      <c r="A807" s="4"/>
      <c r="G807" s="2"/>
      <c r="H807" s="2"/>
      <c r="I807" s="2"/>
      <c r="K807" s="253"/>
      <c r="L807" s="2"/>
    </row>
    <row r="808" spans="1:12" ht="15.75" customHeight="1">
      <c r="A808" s="4"/>
      <c r="G808" s="2"/>
      <c r="H808" s="2"/>
      <c r="I808" s="2"/>
      <c r="K808" s="253"/>
      <c r="L808" s="2"/>
    </row>
    <row r="809" spans="1:12" ht="15.75" customHeight="1">
      <c r="A809" s="4"/>
      <c r="G809" s="2"/>
      <c r="H809" s="2"/>
      <c r="I809" s="2"/>
      <c r="K809" s="253"/>
      <c r="L809" s="2"/>
    </row>
    <row r="810" spans="1:12" ht="15.75" customHeight="1">
      <c r="A810" s="4"/>
      <c r="G810" s="2"/>
      <c r="H810" s="2"/>
      <c r="I810" s="2"/>
      <c r="K810" s="253"/>
      <c r="L810" s="2"/>
    </row>
    <row r="811" spans="1:12" ht="15.75" customHeight="1">
      <c r="A811" s="4"/>
      <c r="G811" s="2"/>
      <c r="H811" s="2"/>
      <c r="I811" s="2"/>
      <c r="K811" s="253"/>
      <c r="L811" s="2"/>
    </row>
    <row r="812" spans="1:12" ht="15.75" customHeight="1">
      <c r="A812" s="4"/>
      <c r="G812" s="2"/>
      <c r="H812" s="2"/>
      <c r="I812" s="2"/>
      <c r="K812" s="253"/>
      <c r="L812" s="2"/>
    </row>
    <row r="813" spans="1:12" ht="15.75" customHeight="1">
      <c r="A813" s="4"/>
      <c r="G813" s="2"/>
      <c r="H813" s="2"/>
      <c r="I813" s="2"/>
      <c r="K813" s="253"/>
      <c r="L813" s="2"/>
    </row>
    <row r="814" spans="1:12" ht="15.75" customHeight="1">
      <c r="A814" s="4"/>
      <c r="G814" s="2"/>
      <c r="H814" s="2"/>
      <c r="I814" s="2"/>
      <c r="K814" s="253"/>
      <c r="L814" s="2"/>
    </row>
    <row r="815" spans="1:12" ht="15.75" customHeight="1">
      <c r="A815" s="4"/>
      <c r="G815" s="2"/>
      <c r="H815" s="2"/>
      <c r="I815" s="2"/>
      <c r="K815" s="253"/>
      <c r="L815" s="2"/>
    </row>
    <row r="816" spans="1:12" ht="15.75" customHeight="1">
      <c r="A816" s="4"/>
      <c r="G816" s="2"/>
      <c r="H816" s="2"/>
      <c r="I816" s="2"/>
      <c r="K816" s="253"/>
      <c r="L816" s="2"/>
    </row>
    <row r="817" spans="1:12" ht="15.75" customHeight="1">
      <c r="A817" s="4"/>
      <c r="G817" s="2"/>
      <c r="H817" s="2"/>
      <c r="I817" s="2"/>
      <c r="K817" s="253"/>
      <c r="L817" s="2"/>
    </row>
    <row r="818" spans="1:12" ht="15.75" customHeight="1">
      <c r="A818" s="4"/>
      <c r="G818" s="2"/>
      <c r="H818" s="2"/>
      <c r="I818" s="2"/>
      <c r="K818" s="253"/>
      <c r="L818" s="2"/>
    </row>
    <row r="819" spans="1:12" ht="15.75" customHeight="1">
      <c r="A819" s="4"/>
      <c r="G819" s="2"/>
      <c r="H819" s="2"/>
      <c r="I819" s="2"/>
      <c r="K819" s="253"/>
      <c r="L819" s="2"/>
    </row>
    <row r="820" spans="1:12" ht="15.75" customHeight="1">
      <c r="A820" s="4"/>
      <c r="G820" s="2"/>
      <c r="H820" s="2"/>
      <c r="I820" s="2"/>
      <c r="K820" s="253"/>
      <c r="L820" s="2"/>
    </row>
    <row r="821" spans="1:12" ht="15.75" customHeight="1">
      <c r="A821" s="4"/>
      <c r="G821" s="2"/>
      <c r="H821" s="2"/>
      <c r="I821" s="2"/>
      <c r="K821" s="253"/>
      <c r="L821" s="2"/>
    </row>
    <row r="822" spans="1:12" ht="15.75" customHeight="1">
      <c r="A822" s="4"/>
      <c r="G822" s="2"/>
      <c r="H822" s="2"/>
      <c r="I822" s="2"/>
      <c r="K822" s="253"/>
      <c r="L822" s="2"/>
    </row>
    <row r="823" spans="1:12" ht="15.75" customHeight="1">
      <c r="A823" s="4"/>
      <c r="G823" s="2"/>
      <c r="H823" s="2"/>
      <c r="I823" s="2"/>
      <c r="K823" s="253"/>
      <c r="L823" s="2"/>
    </row>
    <row r="824" spans="1:12" ht="15.75" customHeight="1">
      <c r="A824" s="4"/>
      <c r="G824" s="2"/>
      <c r="H824" s="2"/>
      <c r="I824" s="2"/>
      <c r="K824" s="253"/>
      <c r="L824" s="2"/>
    </row>
    <row r="825" spans="1:12" ht="15.75" customHeight="1">
      <c r="A825" s="4"/>
      <c r="G825" s="2"/>
      <c r="H825" s="2"/>
      <c r="I825" s="2"/>
      <c r="K825" s="253"/>
      <c r="L825" s="2"/>
    </row>
    <row r="826" spans="1:12" ht="15.75" customHeight="1">
      <c r="A826" s="4"/>
      <c r="G826" s="2"/>
      <c r="H826" s="2"/>
      <c r="I826" s="2"/>
      <c r="K826" s="253"/>
      <c r="L826" s="2"/>
    </row>
    <row r="827" spans="1:12" ht="15.75" customHeight="1">
      <c r="A827" s="4"/>
      <c r="G827" s="2"/>
      <c r="H827" s="2"/>
      <c r="I827" s="2"/>
      <c r="K827" s="253"/>
      <c r="L827" s="2"/>
    </row>
    <row r="828" spans="1:12" ht="15.75" customHeight="1">
      <c r="A828" s="4"/>
      <c r="G828" s="2"/>
      <c r="H828" s="2"/>
      <c r="I828" s="2"/>
      <c r="K828" s="253"/>
      <c r="L828" s="2"/>
    </row>
    <row r="829" spans="1:12" ht="15.75" customHeight="1">
      <c r="A829" s="4"/>
      <c r="G829" s="2"/>
      <c r="H829" s="2"/>
      <c r="I829" s="2"/>
      <c r="K829" s="253"/>
      <c r="L829" s="2"/>
    </row>
    <row r="830" spans="1:12" ht="15.75" customHeight="1">
      <c r="A830" s="4"/>
      <c r="G830" s="2"/>
      <c r="H830" s="2"/>
      <c r="I830" s="2"/>
      <c r="K830" s="253"/>
      <c r="L830" s="2"/>
    </row>
    <row r="831" spans="1:12" ht="15.75" customHeight="1">
      <c r="A831" s="4"/>
      <c r="G831" s="2"/>
      <c r="H831" s="2"/>
      <c r="I831" s="2"/>
      <c r="K831" s="253"/>
      <c r="L831" s="2"/>
    </row>
    <row r="832" spans="1:12" ht="15.75" customHeight="1">
      <c r="A832" s="4"/>
      <c r="G832" s="2"/>
      <c r="H832" s="2"/>
      <c r="I832" s="2"/>
      <c r="K832" s="253"/>
      <c r="L832" s="2"/>
    </row>
    <row r="833" spans="1:12" ht="15.75" customHeight="1">
      <c r="A833" s="4"/>
      <c r="G833" s="2"/>
      <c r="H833" s="2"/>
      <c r="I833" s="2"/>
      <c r="K833" s="253"/>
      <c r="L833" s="2"/>
    </row>
    <row r="834" spans="1:12" ht="15.75" customHeight="1">
      <c r="A834" s="4"/>
      <c r="G834" s="2"/>
      <c r="H834" s="2"/>
      <c r="I834" s="2"/>
      <c r="K834" s="253"/>
      <c r="L834" s="2"/>
    </row>
    <row r="835" spans="1:12" ht="15.75" customHeight="1">
      <c r="A835" s="4"/>
      <c r="G835" s="2"/>
      <c r="H835" s="2"/>
      <c r="I835" s="2"/>
      <c r="K835" s="253"/>
      <c r="L835" s="2"/>
    </row>
    <row r="836" spans="1:12" ht="15.75" customHeight="1">
      <c r="A836" s="4"/>
      <c r="G836" s="2"/>
      <c r="H836" s="2"/>
      <c r="I836" s="2"/>
      <c r="K836" s="253"/>
      <c r="L836" s="2"/>
    </row>
    <row r="837" spans="1:12" ht="15.75" customHeight="1">
      <c r="A837" s="4"/>
      <c r="G837" s="2"/>
      <c r="H837" s="2"/>
      <c r="I837" s="2"/>
      <c r="K837" s="253"/>
      <c r="L837" s="2"/>
    </row>
    <row r="838" spans="1:12" ht="15.75" customHeight="1">
      <c r="A838" s="4"/>
      <c r="G838" s="2"/>
      <c r="H838" s="2"/>
      <c r="I838" s="2"/>
      <c r="K838" s="253"/>
      <c r="L838" s="2"/>
    </row>
    <row r="839" spans="1:12" ht="15.75" customHeight="1">
      <c r="A839" s="4"/>
      <c r="G839" s="2"/>
      <c r="H839" s="2"/>
      <c r="I839" s="2"/>
      <c r="K839" s="253"/>
      <c r="L839" s="2"/>
    </row>
    <row r="840" spans="1:12" ht="15.75" customHeight="1">
      <c r="A840" s="4"/>
      <c r="G840" s="2"/>
      <c r="H840" s="2"/>
      <c r="I840" s="2"/>
      <c r="K840" s="253"/>
      <c r="L840" s="2"/>
    </row>
    <row r="841" spans="1:12" ht="15.75" customHeight="1">
      <c r="A841" s="4"/>
      <c r="G841" s="2"/>
      <c r="H841" s="2"/>
      <c r="I841" s="2"/>
      <c r="K841" s="253"/>
      <c r="L841" s="2"/>
    </row>
    <row r="842" spans="1:12" ht="15.75" customHeight="1">
      <c r="A842" s="4"/>
      <c r="G842" s="2"/>
      <c r="H842" s="2"/>
      <c r="I842" s="2"/>
      <c r="K842" s="253"/>
      <c r="L842" s="2"/>
    </row>
    <row r="843" spans="1:12" ht="15.75" customHeight="1">
      <c r="A843" s="4"/>
      <c r="G843" s="2"/>
      <c r="H843" s="2"/>
      <c r="I843" s="2"/>
      <c r="K843" s="253"/>
      <c r="L843" s="2"/>
    </row>
    <row r="844" spans="1:12" ht="15.75" customHeight="1">
      <c r="A844" s="4"/>
      <c r="G844" s="2"/>
      <c r="H844" s="2"/>
      <c r="I844" s="2"/>
      <c r="K844" s="253"/>
      <c r="L844" s="2"/>
    </row>
    <row r="845" spans="1:12" ht="15.75" customHeight="1">
      <c r="A845" s="4"/>
      <c r="G845" s="2"/>
      <c r="H845" s="2"/>
      <c r="I845" s="2"/>
      <c r="K845" s="253"/>
      <c r="L845" s="2"/>
    </row>
    <row r="846" spans="1:12" ht="15.75" customHeight="1">
      <c r="A846" s="4"/>
      <c r="G846" s="2"/>
      <c r="H846" s="2"/>
      <c r="I846" s="2"/>
      <c r="K846" s="253"/>
      <c r="L846" s="2"/>
    </row>
    <row r="847" spans="1:12" ht="15.75" customHeight="1">
      <c r="A847" s="4"/>
      <c r="G847" s="2"/>
      <c r="H847" s="2"/>
      <c r="I847" s="2"/>
      <c r="K847" s="253"/>
      <c r="L847" s="2"/>
    </row>
    <row r="848" spans="1:12" ht="15.75" customHeight="1">
      <c r="A848" s="4"/>
      <c r="G848" s="2"/>
      <c r="H848" s="2"/>
      <c r="I848" s="2"/>
      <c r="K848" s="253"/>
      <c r="L848" s="2"/>
    </row>
    <row r="849" spans="1:12" ht="15.75" customHeight="1">
      <c r="A849" s="4"/>
      <c r="G849" s="2"/>
      <c r="H849" s="2"/>
      <c r="I849" s="2"/>
      <c r="K849" s="253"/>
      <c r="L849" s="2"/>
    </row>
    <row r="850" spans="1:12" ht="15.75" customHeight="1">
      <c r="A850" s="4"/>
      <c r="G850" s="2"/>
      <c r="H850" s="2"/>
      <c r="I850" s="2"/>
      <c r="K850" s="253"/>
      <c r="L850" s="2"/>
    </row>
    <row r="851" spans="1:12" ht="15.75" customHeight="1">
      <c r="A851" s="4"/>
      <c r="G851" s="2"/>
      <c r="H851" s="2"/>
      <c r="I851" s="2"/>
      <c r="K851" s="253"/>
      <c r="L851" s="2"/>
    </row>
    <row r="852" spans="1:12" ht="15.75" customHeight="1">
      <c r="A852" s="4"/>
      <c r="G852" s="2"/>
      <c r="H852" s="2"/>
      <c r="I852" s="2"/>
      <c r="K852" s="253"/>
      <c r="L852" s="2"/>
    </row>
    <row r="853" spans="1:12" ht="15.75" customHeight="1">
      <c r="A853" s="4"/>
      <c r="G853" s="2"/>
      <c r="H853" s="2"/>
      <c r="I853" s="2"/>
      <c r="K853" s="253"/>
      <c r="L853" s="2"/>
    </row>
    <row r="854" spans="1:12" ht="15.75" customHeight="1">
      <c r="A854" s="4"/>
      <c r="G854" s="2"/>
      <c r="H854" s="2"/>
      <c r="I854" s="2"/>
      <c r="K854" s="253"/>
      <c r="L854" s="2"/>
    </row>
    <row r="855" spans="1:12" ht="15.75" customHeight="1">
      <c r="A855" s="4"/>
      <c r="G855" s="2"/>
      <c r="H855" s="2"/>
      <c r="I855" s="2"/>
      <c r="K855" s="253"/>
      <c r="L855" s="2"/>
    </row>
    <row r="856" spans="1:12" ht="15.75" customHeight="1">
      <c r="A856" s="4"/>
      <c r="G856" s="2"/>
      <c r="H856" s="2"/>
      <c r="I856" s="2"/>
      <c r="K856" s="253"/>
      <c r="L856" s="2"/>
    </row>
    <row r="857" spans="1:12" ht="15.75" customHeight="1">
      <c r="A857" s="4"/>
      <c r="G857" s="2"/>
      <c r="H857" s="2"/>
      <c r="I857" s="2"/>
      <c r="K857" s="253"/>
      <c r="L857" s="2"/>
    </row>
    <row r="858" spans="1:12" ht="15.75" customHeight="1">
      <c r="A858" s="4"/>
      <c r="G858" s="2"/>
      <c r="H858" s="2"/>
      <c r="I858" s="2"/>
      <c r="K858" s="253"/>
      <c r="L858" s="2"/>
    </row>
    <row r="859" spans="1:12" ht="15.75" customHeight="1">
      <c r="A859" s="4"/>
      <c r="G859" s="2"/>
      <c r="H859" s="2"/>
      <c r="I859" s="2"/>
      <c r="K859" s="253"/>
      <c r="L859" s="2"/>
    </row>
    <row r="860" spans="1:12" ht="15.75" customHeight="1">
      <c r="A860" s="4"/>
      <c r="G860" s="2"/>
      <c r="H860" s="2"/>
      <c r="I860" s="2"/>
      <c r="K860" s="253"/>
      <c r="L860" s="2"/>
    </row>
    <row r="861" spans="1:12" ht="15.75" customHeight="1">
      <c r="A861" s="4"/>
      <c r="G861" s="2"/>
      <c r="H861" s="2"/>
      <c r="I861" s="2"/>
      <c r="K861" s="253"/>
      <c r="L861" s="2"/>
    </row>
    <row r="862" spans="1:12" ht="15.75" customHeight="1">
      <c r="A862" s="4"/>
      <c r="G862" s="2"/>
      <c r="H862" s="2"/>
      <c r="I862" s="2"/>
      <c r="K862" s="253"/>
      <c r="L862" s="2"/>
    </row>
    <row r="863" spans="1:12" ht="15.75" customHeight="1">
      <c r="A863" s="4"/>
      <c r="G863" s="2"/>
      <c r="H863" s="2"/>
      <c r="I863" s="2"/>
      <c r="K863" s="253"/>
      <c r="L863" s="2"/>
    </row>
    <row r="864" spans="1:12" ht="15.75" customHeight="1">
      <c r="A864" s="4"/>
      <c r="G864" s="2"/>
      <c r="H864" s="2"/>
      <c r="I864" s="2"/>
      <c r="K864" s="253"/>
      <c r="L864" s="2"/>
    </row>
    <row r="865" spans="1:12" ht="15.75" customHeight="1">
      <c r="A865" s="4"/>
      <c r="G865" s="2"/>
      <c r="H865" s="2"/>
      <c r="I865" s="2"/>
      <c r="K865" s="253"/>
      <c r="L865" s="2"/>
    </row>
    <row r="866" spans="1:12" ht="15.75" customHeight="1">
      <c r="A866" s="4"/>
      <c r="G866" s="2"/>
      <c r="H866" s="2"/>
      <c r="I866" s="2"/>
      <c r="K866" s="253"/>
      <c r="L866" s="2"/>
    </row>
    <row r="867" spans="1:12" ht="15.75" customHeight="1">
      <c r="A867" s="4"/>
      <c r="G867" s="2"/>
      <c r="H867" s="2"/>
      <c r="I867" s="2"/>
      <c r="K867" s="253"/>
      <c r="L867" s="2"/>
    </row>
    <row r="868" spans="1:12" ht="15.75" customHeight="1">
      <c r="A868" s="4"/>
      <c r="G868" s="2"/>
      <c r="H868" s="2"/>
      <c r="I868" s="2"/>
      <c r="K868" s="253"/>
      <c r="L868" s="2"/>
    </row>
    <row r="869" spans="1:12" ht="15.75" customHeight="1">
      <c r="A869" s="4"/>
      <c r="G869" s="2"/>
      <c r="H869" s="2"/>
      <c r="I869" s="2"/>
      <c r="K869" s="253"/>
      <c r="L869" s="2"/>
    </row>
    <row r="870" spans="1:12" ht="15.75" customHeight="1">
      <c r="A870" s="4"/>
      <c r="G870" s="2"/>
      <c r="H870" s="2"/>
      <c r="I870" s="2"/>
      <c r="K870" s="253"/>
      <c r="L870" s="2"/>
    </row>
    <row r="871" spans="1:12" ht="15.75" customHeight="1">
      <c r="A871" s="4"/>
      <c r="G871" s="2"/>
      <c r="H871" s="2"/>
      <c r="I871" s="2"/>
      <c r="K871" s="253"/>
      <c r="L871" s="2"/>
    </row>
    <row r="872" spans="1:12" ht="15.75" customHeight="1">
      <c r="A872" s="4"/>
      <c r="G872" s="2"/>
      <c r="H872" s="2"/>
      <c r="I872" s="2"/>
      <c r="K872" s="253"/>
      <c r="L872" s="2"/>
    </row>
    <row r="873" spans="1:12" ht="15.75" customHeight="1">
      <c r="A873" s="4"/>
      <c r="G873" s="2"/>
      <c r="H873" s="2"/>
      <c r="I873" s="2"/>
      <c r="K873" s="253"/>
      <c r="L873" s="2"/>
    </row>
    <row r="874" spans="1:12" ht="15.75" customHeight="1">
      <c r="A874" s="4"/>
      <c r="G874" s="2"/>
      <c r="H874" s="2"/>
      <c r="I874" s="2"/>
      <c r="K874" s="253"/>
      <c r="L874" s="2"/>
    </row>
    <row r="875" spans="1:12" ht="15.75" customHeight="1">
      <c r="A875" s="4"/>
      <c r="G875" s="2"/>
      <c r="H875" s="2"/>
      <c r="I875" s="2"/>
      <c r="K875" s="253"/>
      <c r="L875" s="2"/>
    </row>
    <row r="876" spans="1:12" ht="15.75" customHeight="1">
      <c r="A876" s="4"/>
      <c r="G876" s="2"/>
      <c r="H876" s="2"/>
      <c r="I876" s="2"/>
      <c r="K876" s="253"/>
      <c r="L876" s="2"/>
    </row>
    <row r="877" spans="1:12" ht="15.75" customHeight="1">
      <c r="A877" s="4"/>
      <c r="G877" s="2"/>
      <c r="H877" s="2"/>
      <c r="I877" s="2"/>
      <c r="K877" s="253"/>
      <c r="L877" s="2"/>
    </row>
    <row r="878" spans="1:12" ht="15.75" customHeight="1">
      <c r="A878" s="4"/>
      <c r="G878" s="2"/>
      <c r="H878" s="2"/>
      <c r="I878" s="2"/>
      <c r="K878" s="253"/>
      <c r="L878" s="2"/>
    </row>
    <row r="879" spans="1:12" ht="15.75" customHeight="1">
      <c r="A879" s="4"/>
      <c r="G879" s="2"/>
      <c r="H879" s="2"/>
      <c r="I879" s="2"/>
      <c r="K879" s="253"/>
      <c r="L879" s="2"/>
    </row>
    <row r="880" spans="1:12" ht="15.75" customHeight="1">
      <c r="A880" s="4"/>
      <c r="G880" s="2"/>
      <c r="H880" s="2"/>
      <c r="I880" s="2"/>
      <c r="K880" s="253"/>
      <c r="L880" s="2"/>
    </row>
    <row r="881" spans="1:12" ht="15.75" customHeight="1">
      <c r="A881" s="4"/>
      <c r="G881" s="2"/>
      <c r="H881" s="2"/>
      <c r="I881" s="2"/>
      <c r="K881" s="253"/>
      <c r="L881" s="2"/>
    </row>
    <row r="882" spans="1:12" ht="15.75" customHeight="1">
      <c r="A882" s="4"/>
      <c r="G882" s="2"/>
      <c r="H882" s="2"/>
      <c r="I882" s="2"/>
      <c r="K882" s="253"/>
      <c r="L882" s="2"/>
    </row>
    <row r="883" spans="1:12" ht="15.75" customHeight="1">
      <c r="A883" s="4"/>
      <c r="G883" s="2"/>
      <c r="H883" s="2"/>
      <c r="I883" s="2"/>
      <c r="K883" s="253"/>
      <c r="L883" s="2"/>
    </row>
    <row r="884" spans="1:12" ht="15.75" customHeight="1">
      <c r="A884" s="4"/>
      <c r="G884" s="2"/>
      <c r="H884" s="2"/>
      <c r="I884" s="2"/>
      <c r="K884" s="253"/>
      <c r="L884" s="2"/>
    </row>
    <row r="885" spans="1:12" ht="15.75" customHeight="1">
      <c r="A885" s="4"/>
      <c r="G885" s="2"/>
      <c r="H885" s="2"/>
      <c r="I885" s="2"/>
      <c r="K885" s="253"/>
      <c r="L885" s="2"/>
    </row>
    <row r="886" spans="1:12" ht="15.75" customHeight="1">
      <c r="A886" s="4"/>
      <c r="G886" s="2"/>
      <c r="H886" s="2"/>
      <c r="I886" s="2"/>
      <c r="K886" s="253"/>
      <c r="L886" s="2"/>
    </row>
    <row r="887" spans="1:12" ht="15.75" customHeight="1">
      <c r="A887" s="4"/>
      <c r="G887" s="2"/>
      <c r="H887" s="2"/>
      <c r="I887" s="2"/>
      <c r="K887" s="253"/>
      <c r="L887" s="2"/>
    </row>
    <row r="888" spans="1:12" ht="15.75" customHeight="1">
      <c r="A888" s="4"/>
      <c r="G888" s="2"/>
      <c r="H888" s="2"/>
      <c r="I888" s="2"/>
      <c r="K888" s="253"/>
      <c r="L888" s="2"/>
    </row>
    <row r="889" spans="1:12" ht="15.75" customHeight="1">
      <c r="A889" s="4"/>
      <c r="G889" s="2"/>
      <c r="H889" s="2"/>
      <c r="I889" s="2"/>
      <c r="K889" s="253"/>
      <c r="L889" s="2"/>
    </row>
    <row r="890" spans="1:12" ht="15.75" customHeight="1">
      <c r="A890" s="4"/>
      <c r="G890" s="2"/>
      <c r="H890" s="2"/>
      <c r="I890" s="2"/>
      <c r="K890" s="253"/>
      <c r="L890" s="2"/>
    </row>
    <row r="891" spans="1:12" ht="15.75" customHeight="1">
      <c r="A891" s="4"/>
      <c r="G891" s="2"/>
      <c r="H891" s="2"/>
      <c r="I891" s="2"/>
      <c r="K891" s="253"/>
      <c r="L891" s="2"/>
    </row>
    <row r="892" spans="1:12" ht="15.75" customHeight="1">
      <c r="A892" s="4"/>
      <c r="G892" s="2"/>
      <c r="H892" s="2"/>
      <c r="I892" s="2"/>
      <c r="K892" s="253"/>
      <c r="L892" s="2"/>
    </row>
    <row r="893" spans="1:12" ht="15.75" customHeight="1">
      <c r="A893" s="4"/>
      <c r="G893" s="2"/>
      <c r="H893" s="2"/>
      <c r="I893" s="2"/>
      <c r="K893" s="253"/>
      <c r="L893" s="2"/>
    </row>
    <row r="894" spans="1:12" ht="15.75" customHeight="1">
      <c r="A894" s="4"/>
      <c r="G894" s="2"/>
      <c r="H894" s="2"/>
      <c r="I894" s="2"/>
      <c r="K894" s="253"/>
      <c r="L894" s="2"/>
    </row>
    <row r="895" spans="1:12" ht="15.75" customHeight="1">
      <c r="A895" s="4"/>
      <c r="G895" s="2"/>
      <c r="H895" s="2"/>
      <c r="I895" s="2"/>
      <c r="K895" s="253"/>
      <c r="L895" s="2"/>
    </row>
    <row r="896" spans="1:12" ht="15.75" customHeight="1">
      <c r="A896" s="4"/>
      <c r="G896" s="2"/>
      <c r="H896" s="2"/>
      <c r="I896" s="2"/>
      <c r="K896" s="253"/>
      <c r="L896" s="2"/>
    </row>
    <row r="897" spans="1:12" ht="15.75" customHeight="1">
      <c r="A897" s="4"/>
      <c r="G897" s="2"/>
      <c r="H897" s="2"/>
      <c r="I897" s="2"/>
      <c r="K897" s="253"/>
      <c r="L897" s="2"/>
    </row>
    <row r="898" spans="1:12" ht="15.75" customHeight="1">
      <c r="A898" s="4"/>
      <c r="G898" s="2"/>
      <c r="H898" s="2"/>
      <c r="I898" s="2"/>
      <c r="K898" s="253"/>
      <c r="L898" s="2"/>
    </row>
    <row r="899" spans="1:12" ht="15.75" customHeight="1">
      <c r="A899" s="4"/>
      <c r="G899" s="2"/>
      <c r="H899" s="2"/>
      <c r="I899" s="2"/>
      <c r="K899" s="253"/>
      <c r="L899" s="2"/>
    </row>
    <row r="900" spans="1:12" ht="15.75" customHeight="1">
      <c r="A900" s="4"/>
      <c r="G900" s="2"/>
      <c r="H900" s="2"/>
      <c r="I900" s="2"/>
      <c r="K900" s="253"/>
      <c r="L900" s="2"/>
    </row>
    <row r="901" spans="1:12" ht="15.75" customHeight="1">
      <c r="A901" s="4"/>
      <c r="G901" s="2"/>
      <c r="H901" s="2"/>
      <c r="I901" s="2"/>
      <c r="K901" s="253"/>
      <c r="L901" s="2"/>
    </row>
    <row r="902" spans="1:12" ht="15.75" customHeight="1">
      <c r="A902" s="4"/>
      <c r="G902" s="2"/>
      <c r="H902" s="2"/>
      <c r="I902" s="2"/>
      <c r="K902" s="253"/>
      <c r="L902" s="2"/>
    </row>
    <row r="903" spans="1:12" ht="15.75" customHeight="1">
      <c r="A903" s="4"/>
      <c r="G903" s="2"/>
      <c r="H903" s="2"/>
      <c r="I903" s="2"/>
      <c r="K903" s="253"/>
      <c r="L903" s="2"/>
    </row>
    <row r="904" spans="1:12" ht="15.75" customHeight="1">
      <c r="A904" s="4"/>
      <c r="G904" s="2"/>
      <c r="H904" s="2"/>
      <c r="I904" s="2"/>
      <c r="K904" s="253"/>
      <c r="L904" s="2"/>
    </row>
    <row r="905" spans="1:12" ht="15.75" customHeight="1">
      <c r="A905" s="4"/>
      <c r="G905" s="2"/>
      <c r="H905" s="2"/>
      <c r="I905" s="2"/>
      <c r="K905" s="253"/>
      <c r="L905" s="2"/>
    </row>
    <row r="906" spans="1:12" ht="15.75" customHeight="1">
      <c r="A906" s="4"/>
      <c r="G906" s="2"/>
      <c r="H906" s="2"/>
      <c r="I906" s="2"/>
      <c r="K906" s="253"/>
      <c r="L906" s="2"/>
    </row>
    <row r="907" spans="1:12" ht="15.75" customHeight="1">
      <c r="A907" s="4"/>
      <c r="G907" s="2"/>
      <c r="H907" s="2"/>
      <c r="I907" s="2"/>
      <c r="K907" s="253"/>
      <c r="L907" s="2"/>
    </row>
    <row r="908" spans="1:12" ht="15.75" customHeight="1">
      <c r="A908" s="4"/>
      <c r="G908" s="2"/>
      <c r="H908" s="2"/>
      <c r="I908" s="2"/>
      <c r="K908" s="253"/>
      <c r="L908" s="2"/>
    </row>
    <row r="909" spans="1:12" ht="15.75" customHeight="1">
      <c r="A909" s="4"/>
      <c r="G909" s="2"/>
      <c r="H909" s="2"/>
      <c r="I909" s="2"/>
      <c r="K909" s="253"/>
      <c r="L909" s="2"/>
    </row>
    <row r="910" spans="1:12" ht="15.75" customHeight="1">
      <c r="A910" s="4"/>
      <c r="G910" s="2"/>
      <c r="H910" s="2"/>
      <c r="I910" s="2"/>
      <c r="K910" s="253"/>
      <c r="L910" s="2"/>
    </row>
    <row r="911" spans="1:12" ht="15.75" customHeight="1">
      <c r="A911" s="4"/>
      <c r="G911" s="2"/>
      <c r="H911" s="2"/>
      <c r="I911" s="2"/>
      <c r="K911" s="253"/>
      <c r="L911" s="2"/>
    </row>
    <row r="912" spans="1:12" ht="15.75" customHeight="1">
      <c r="A912" s="4"/>
      <c r="G912" s="2"/>
      <c r="H912" s="2"/>
      <c r="I912" s="2"/>
      <c r="K912" s="253"/>
      <c r="L912" s="2"/>
    </row>
    <row r="913" spans="1:12" ht="15.75" customHeight="1">
      <c r="A913" s="4"/>
      <c r="G913" s="2"/>
      <c r="H913" s="2"/>
      <c r="I913" s="2"/>
      <c r="K913" s="253"/>
      <c r="L913" s="2"/>
    </row>
    <row r="914" spans="1:12" ht="15.75" customHeight="1">
      <c r="A914" s="4"/>
      <c r="G914" s="2"/>
      <c r="H914" s="2"/>
      <c r="I914" s="2"/>
      <c r="K914" s="253"/>
      <c r="L914" s="2"/>
    </row>
    <row r="915" spans="1:12" ht="15.75" customHeight="1">
      <c r="A915" s="4"/>
      <c r="G915" s="2"/>
      <c r="H915" s="2"/>
      <c r="I915" s="2"/>
      <c r="K915" s="253"/>
      <c r="L915" s="2"/>
    </row>
    <row r="916" spans="1:12" ht="15.75" customHeight="1">
      <c r="A916" s="4"/>
      <c r="G916" s="2"/>
      <c r="H916" s="2"/>
      <c r="I916" s="2"/>
      <c r="K916" s="253"/>
      <c r="L916" s="2"/>
    </row>
    <row r="917" spans="1:12" ht="15.75" customHeight="1">
      <c r="A917" s="4"/>
      <c r="G917" s="2"/>
      <c r="H917" s="2"/>
      <c r="I917" s="2"/>
      <c r="K917" s="253"/>
      <c r="L917" s="2"/>
    </row>
    <row r="918" spans="1:12" ht="15.75" customHeight="1">
      <c r="A918" s="4"/>
      <c r="G918" s="2"/>
      <c r="H918" s="2"/>
      <c r="I918" s="2"/>
      <c r="K918" s="253"/>
      <c r="L918" s="2"/>
    </row>
    <row r="919" spans="1:12" ht="15.75" customHeight="1">
      <c r="A919" s="4"/>
      <c r="G919" s="2"/>
      <c r="H919" s="2"/>
      <c r="I919" s="2"/>
      <c r="K919" s="253"/>
      <c r="L919" s="2"/>
    </row>
    <row r="920" spans="1:12" ht="15.75" customHeight="1">
      <c r="A920" s="4"/>
      <c r="G920" s="2"/>
      <c r="H920" s="2"/>
      <c r="I920" s="2"/>
      <c r="K920" s="253"/>
      <c r="L920" s="2"/>
    </row>
    <row r="921" spans="1:12" ht="15.75" customHeight="1">
      <c r="A921" s="4"/>
      <c r="G921" s="2"/>
      <c r="H921" s="2"/>
      <c r="I921" s="2"/>
      <c r="K921" s="253"/>
      <c r="L921" s="2"/>
    </row>
    <row r="922" spans="1:12" ht="15.75" customHeight="1">
      <c r="A922" s="4"/>
      <c r="G922" s="2"/>
      <c r="H922" s="2"/>
      <c r="I922" s="2"/>
      <c r="K922" s="253"/>
      <c r="L922" s="2"/>
    </row>
    <row r="923" spans="1:12" ht="15.75" customHeight="1">
      <c r="A923" s="4"/>
      <c r="G923" s="2"/>
      <c r="H923" s="2"/>
      <c r="I923" s="2"/>
      <c r="K923" s="253"/>
      <c r="L923" s="2"/>
    </row>
    <row r="924" spans="1:12" ht="15.75" customHeight="1">
      <c r="A924" s="4"/>
      <c r="G924" s="2"/>
      <c r="H924" s="2"/>
      <c r="I924" s="2"/>
      <c r="K924" s="253"/>
      <c r="L924" s="2"/>
    </row>
    <row r="925" spans="1:12" ht="15.75" customHeight="1">
      <c r="A925" s="4"/>
      <c r="G925" s="2"/>
      <c r="H925" s="2"/>
      <c r="I925" s="2"/>
      <c r="K925" s="253"/>
      <c r="L925" s="2"/>
    </row>
    <row r="926" spans="1:12" ht="15.75" customHeight="1">
      <c r="A926" s="4"/>
      <c r="G926" s="2"/>
      <c r="H926" s="2"/>
      <c r="I926" s="2"/>
      <c r="K926" s="253"/>
      <c r="L926" s="2"/>
    </row>
    <row r="927" spans="1:12" ht="15.75" customHeight="1">
      <c r="A927" s="4"/>
      <c r="G927" s="2"/>
      <c r="H927" s="2"/>
      <c r="I927" s="2"/>
      <c r="K927" s="253"/>
      <c r="L927" s="2"/>
    </row>
    <row r="928" spans="1:12" ht="15.75" customHeight="1">
      <c r="A928" s="4"/>
      <c r="G928" s="2"/>
      <c r="H928" s="2"/>
      <c r="I928" s="2"/>
      <c r="K928" s="253"/>
      <c r="L928" s="2"/>
    </row>
    <row r="929" spans="1:12" ht="15.75" customHeight="1">
      <c r="A929" s="4"/>
      <c r="G929" s="2"/>
      <c r="H929" s="2"/>
      <c r="I929" s="2"/>
      <c r="K929" s="253"/>
      <c r="L929" s="2"/>
    </row>
    <row r="930" spans="1:12" ht="15.75" customHeight="1">
      <c r="A930" s="4"/>
      <c r="G930" s="2"/>
      <c r="H930" s="2"/>
      <c r="I930" s="2"/>
      <c r="K930" s="253"/>
      <c r="L930" s="2"/>
    </row>
    <row r="931" spans="1:12" ht="15.75" customHeight="1">
      <c r="A931" s="4"/>
      <c r="G931" s="2"/>
      <c r="H931" s="2"/>
      <c r="I931" s="2"/>
      <c r="K931" s="253"/>
      <c r="L931" s="2"/>
    </row>
    <row r="932" spans="1:12" ht="15.75" customHeight="1">
      <c r="A932" s="4"/>
      <c r="G932" s="2"/>
      <c r="H932" s="2"/>
      <c r="I932" s="2"/>
      <c r="K932" s="253"/>
      <c r="L932" s="2"/>
    </row>
    <row r="933" spans="1:12" ht="15.75" customHeight="1">
      <c r="A933" s="4"/>
      <c r="G933" s="2"/>
      <c r="H933" s="2"/>
      <c r="I933" s="2"/>
      <c r="K933" s="253"/>
      <c r="L933" s="2"/>
    </row>
    <row r="934" spans="1:12" ht="15.75" customHeight="1">
      <c r="A934" s="4"/>
      <c r="G934" s="2"/>
      <c r="H934" s="2"/>
      <c r="I934" s="2"/>
      <c r="K934" s="253"/>
      <c r="L934" s="2"/>
    </row>
    <row r="935" spans="1:12" ht="15.75" customHeight="1">
      <c r="A935" s="4"/>
      <c r="G935" s="2"/>
      <c r="H935" s="2"/>
      <c r="I935" s="2"/>
      <c r="K935" s="253"/>
      <c r="L935" s="2"/>
    </row>
    <row r="936" spans="1:12" ht="15.75" customHeight="1">
      <c r="A936" s="4"/>
      <c r="G936" s="2"/>
      <c r="H936" s="2"/>
      <c r="I936" s="2"/>
      <c r="K936" s="253"/>
      <c r="L936" s="2"/>
    </row>
    <row r="937" spans="1:12" ht="15.75" customHeight="1">
      <c r="A937" s="4"/>
      <c r="G937" s="2"/>
      <c r="H937" s="2"/>
      <c r="I937" s="2"/>
      <c r="K937" s="253"/>
      <c r="L937" s="2"/>
    </row>
    <row r="938" spans="1:12" ht="15.75" customHeight="1">
      <c r="A938" s="4"/>
      <c r="G938" s="2"/>
      <c r="H938" s="2"/>
      <c r="I938" s="2"/>
      <c r="K938" s="253"/>
      <c r="L938" s="2"/>
    </row>
    <row r="939" spans="1:12" ht="15.75" customHeight="1">
      <c r="A939" s="4"/>
      <c r="G939" s="2"/>
      <c r="H939" s="2"/>
      <c r="I939" s="2"/>
      <c r="K939" s="253"/>
      <c r="L939" s="2"/>
    </row>
    <row r="940" spans="1:12" ht="15.75" customHeight="1">
      <c r="A940" s="4"/>
      <c r="G940" s="2"/>
      <c r="H940" s="2"/>
      <c r="I940" s="2"/>
      <c r="K940" s="253"/>
      <c r="L940" s="2"/>
    </row>
    <row r="941" spans="1:12" ht="15.75" customHeight="1">
      <c r="A941" s="4"/>
      <c r="G941" s="2"/>
      <c r="H941" s="2"/>
      <c r="I941" s="2"/>
      <c r="K941" s="253"/>
      <c r="L941" s="2"/>
    </row>
    <row r="942" spans="1:12" ht="15.75" customHeight="1">
      <c r="A942" s="4"/>
      <c r="G942" s="2"/>
      <c r="H942" s="2"/>
      <c r="I942" s="2"/>
      <c r="K942" s="253"/>
      <c r="L942" s="2"/>
    </row>
    <row r="943" spans="1:12" ht="15.75" customHeight="1">
      <c r="A943" s="4"/>
      <c r="G943" s="2"/>
      <c r="H943" s="2"/>
      <c r="I943" s="2"/>
      <c r="K943" s="253"/>
      <c r="L943" s="2"/>
    </row>
    <row r="944" spans="1:12" ht="15.75" customHeight="1">
      <c r="A944" s="4"/>
      <c r="G944" s="2"/>
      <c r="H944" s="2"/>
      <c r="I944" s="2"/>
      <c r="K944" s="253"/>
      <c r="L944" s="2"/>
    </row>
    <row r="945" spans="1:12" ht="15.75" customHeight="1">
      <c r="A945" s="4"/>
      <c r="G945" s="2"/>
      <c r="H945" s="2"/>
      <c r="I945" s="2"/>
      <c r="K945" s="253"/>
      <c r="L945" s="2"/>
    </row>
    <row r="946" spans="1:12" ht="15.75" customHeight="1">
      <c r="A946" s="4"/>
      <c r="G946" s="2"/>
      <c r="H946" s="2"/>
      <c r="I946" s="2"/>
      <c r="K946" s="253"/>
      <c r="L946" s="2"/>
    </row>
    <row r="947" spans="1:12" ht="15.75" customHeight="1">
      <c r="A947" s="4"/>
      <c r="G947" s="2"/>
      <c r="H947" s="2"/>
      <c r="I947" s="2"/>
      <c r="K947" s="253"/>
      <c r="L947" s="2"/>
    </row>
    <row r="948" spans="1:12" ht="15.75" customHeight="1">
      <c r="A948" s="4"/>
      <c r="G948" s="2"/>
      <c r="H948" s="2"/>
      <c r="I948" s="2"/>
      <c r="K948" s="253"/>
      <c r="L948" s="2"/>
    </row>
    <row r="949" spans="1:12" ht="15.75" customHeight="1">
      <c r="A949" s="4"/>
      <c r="G949" s="2"/>
      <c r="H949" s="2"/>
      <c r="I949" s="2"/>
      <c r="K949" s="253"/>
      <c r="L949" s="2"/>
    </row>
    <row r="950" spans="1:12" ht="15.75" customHeight="1">
      <c r="A950" s="4"/>
      <c r="G950" s="2"/>
      <c r="H950" s="2"/>
      <c r="I950" s="2"/>
      <c r="K950" s="253"/>
      <c r="L950" s="2"/>
    </row>
    <row r="951" spans="1:12" ht="15.75" customHeight="1">
      <c r="A951" s="4"/>
      <c r="G951" s="2"/>
      <c r="H951" s="2"/>
      <c r="I951" s="2"/>
      <c r="K951" s="253"/>
      <c r="L951" s="2"/>
    </row>
    <row r="952" spans="1:12" ht="15.75" customHeight="1">
      <c r="A952" s="4"/>
      <c r="G952" s="2"/>
      <c r="H952" s="2"/>
      <c r="I952" s="2"/>
      <c r="K952" s="253"/>
      <c r="L952" s="2"/>
    </row>
    <row r="953" spans="1:12" ht="15.75" customHeight="1">
      <c r="A953" s="4"/>
      <c r="G953" s="2"/>
      <c r="H953" s="2"/>
      <c r="I953" s="2"/>
      <c r="K953" s="253"/>
      <c r="L953" s="2"/>
    </row>
    <row r="954" spans="1:12" ht="15.75" customHeight="1">
      <c r="A954" s="4"/>
      <c r="G954" s="2"/>
      <c r="H954" s="2"/>
      <c r="I954" s="2"/>
      <c r="K954" s="253"/>
      <c r="L954" s="2"/>
    </row>
    <row r="955" spans="1:12" ht="15.75" customHeight="1">
      <c r="A955" s="4"/>
      <c r="G955" s="2"/>
      <c r="H955" s="2"/>
      <c r="I955" s="2"/>
      <c r="K955" s="253"/>
      <c r="L955" s="2"/>
    </row>
    <row r="956" spans="1:12" ht="15.75" customHeight="1">
      <c r="A956" s="4"/>
      <c r="G956" s="2"/>
      <c r="H956" s="2"/>
      <c r="I956" s="2"/>
      <c r="K956" s="253"/>
      <c r="L956" s="2"/>
    </row>
    <row r="957" spans="1:12" ht="15.75" customHeight="1">
      <c r="A957" s="4"/>
      <c r="G957" s="2"/>
      <c r="H957" s="2"/>
      <c r="I957" s="2"/>
      <c r="K957" s="253"/>
      <c r="L957" s="2"/>
    </row>
    <row r="958" spans="1:12" ht="15.75" customHeight="1">
      <c r="A958" s="4"/>
      <c r="G958" s="2"/>
      <c r="H958" s="2"/>
      <c r="I958" s="2"/>
      <c r="K958" s="253"/>
      <c r="L958" s="2"/>
    </row>
    <row r="959" spans="1:12" ht="15.75" customHeight="1">
      <c r="A959" s="4"/>
      <c r="G959" s="2"/>
      <c r="H959" s="2"/>
      <c r="I959" s="2"/>
      <c r="K959" s="253"/>
      <c r="L959" s="2"/>
    </row>
    <row r="960" spans="1:12" ht="15.75" customHeight="1">
      <c r="A960" s="4"/>
      <c r="G960" s="2"/>
      <c r="H960" s="2"/>
      <c r="I960" s="2"/>
      <c r="K960" s="253"/>
      <c r="L960" s="2"/>
    </row>
    <row r="961" spans="1:12" ht="15.75" customHeight="1">
      <c r="A961" s="4"/>
      <c r="G961" s="2"/>
      <c r="H961" s="2"/>
      <c r="I961" s="2"/>
      <c r="K961" s="253"/>
      <c r="L961" s="2"/>
    </row>
    <row r="962" spans="1:12" ht="15.75" customHeight="1">
      <c r="A962" s="4"/>
      <c r="G962" s="2"/>
      <c r="H962" s="2"/>
      <c r="I962" s="2"/>
      <c r="K962" s="253"/>
      <c r="L962" s="2"/>
    </row>
    <row r="963" spans="1:12" ht="15.75" customHeight="1">
      <c r="A963" s="4"/>
      <c r="G963" s="2"/>
      <c r="H963" s="2"/>
      <c r="I963" s="2"/>
      <c r="K963" s="253"/>
      <c r="L963" s="2"/>
    </row>
    <row r="964" spans="1:12" ht="15.75" customHeight="1">
      <c r="A964" s="4"/>
      <c r="G964" s="2"/>
      <c r="H964" s="2"/>
      <c r="I964" s="2"/>
      <c r="K964" s="253"/>
      <c r="L964" s="2"/>
    </row>
    <row r="965" spans="1:12" ht="15.75" customHeight="1">
      <c r="A965" s="4"/>
      <c r="G965" s="2"/>
      <c r="H965" s="2"/>
      <c r="I965" s="2"/>
      <c r="K965" s="253"/>
      <c r="L965" s="2"/>
    </row>
    <row r="966" spans="1:12" ht="15.75" customHeight="1">
      <c r="A966" s="4"/>
      <c r="G966" s="2"/>
      <c r="H966" s="2"/>
      <c r="I966" s="2"/>
      <c r="K966" s="253"/>
      <c r="L966" s="2"/>
    </row>
    <row r="967" spans="1:12" ht="15.75" customHeight="1">
      <c r="A967" s="4"/>
      <c r="G967" s="2"/>
      <c r="H967" s="2"/>
      <c r="I967" s="2"/>
      <c r="K967" s="253"/>
      <c r="L967" s="2"/>
    </row>
    <row r="968" spans="1:12" ht="15.75" customHeight="1">
      <c r="A968" s="4"/>
      <c r="G968" s="2"/>
      <c r="H968" s="2"/>
      <c r="I968" s="2"/>
      <c r="K968" s="253"/>
      <c r="L968" s="2"/>
    </row>
    <row r="969" spans="1:12" ht="15.75" customHeight="1">
      <c r="A969" s="4"/>
      <c r="G969" s="2"/>
      <c r="H969" s="2"/>
      <c r="I969" s="2"/>
      <c r="K969" s="253"/>
      <c r="L969" s="2"/>
    </row>
    <row r="970" spans="1:12" ht="15.75" customHeight="1">
      <c r="A970" s="4"/>
      <c r="G970" s="2"/>
      <c r="H970" s="2"/>
      <c r="I970" s="2"/>
      <c r="K970" s="253"/>
      <c r="L970" s="2"/>
    </row>
    <row r="971" spans="1:12" ht="15.75" customHeight="1">
      <c r="A971" s="4"/>
      <c r="G971" s="2"/>
      <c r="H971" s="2"/>
      <c r="I971" s="2"/>
      <c r="K971" s="253"/>
      <c r="L971" s="2"/>
    </row>
    <row r="972" spans="1:12" ht="15.75" customHeight="1">
      <c r="A972" s="4"/>
      <c r="G972" s="2"/>
      <c r="H972" s="2"/>
      <c r="I972" s="2"/>
      <c r="K972" s="253"/>
      <c r="L972" s="2"/>
    </row>
    <row r="973" spans="1:12" ht="15.75" customHeight="1">
      <c r="A973" s="4"/>
      <c r="G973" s="2"/>
      <c r="H973" s="2"/>
      <c r="I973" s="2"/>
      <c r="K973" s="253"/>
      <c r="L973" s="2"/>
    </row>
    <row r="974" spans="1:12" ht="15.75" customHeight="1">
      <c r="A974" s="4"/>
      <c r="G974" s="2"/>
      <c r="H974" s="2"/>
      <c r="I974" s="2"/>
      <c r="K974" s="253"/>
      <c r="L974" s="2"/>
    </row>
    <row r="975" spans="1:12" ht="15.75" customHeight="1">
      <c r="A975" s="4"/>
      <c r="G975" s="2"/>
      <c r="H975" s="2"/>
      <c r="I975" s="2"/>
      <c r="K975" s="253"/>
      <c r="L975" s="2"/>
    </row>
    <row r="976" spans="1:12" ht="15.75" customHeight="1">
      <c r="A976" s="4"/>
      <c r="G976" s="2"/>
      <c r="H976" s="2"/>
      <c r="I976" s="2"/>
      <c r="K976" s="253"/>
      <c r="L976" s="2"/>
    </row>
    <row r="977" spans="1:12" ht="15.75" customHeight="1">
      <c r="A977" s="4"/>
      <c r="G977" s="2"/>
      <c r="H977" s="2"/>
      <c r="I977" s="2"/>
      <c r="K977" s="253"/>
      <c r="L977" s="2"/>
    </row>
    <row r="978" spans="1:12" ht="15.75" customHeight="1">
      <c r="A978" s="4"/>
      <c r="G978" s="2"/>
      <c r="H978" s="2"/>
      <c r="I978" s="2"/>
      <c r="K978" s="253"/>
      <c r="L978" s="2"/>
    </row>
    <row r="979" spans="1:12" ht="15.75" customHeight="1">
      <c r="A979" s="4"/>
      <c r="G979" s="2"/>
      <c r="H979" s="2"/>
      <c r="I979" s="2"/>
      <c r="K979" s="253"/>
      <c r="L979" s="2"/>
    </row>
    <row r="980" spans="1:12" ht="15.75" customHeight="1">
      <c r="A980" s="4"/>
      <c r="G980" s="2"/>
      <c r="H980" s="2"/>
      <c r="I980" s="2"/>
      <c r="K980" s="253"/>
      <c r="L980" s="2"/>
    </row>
    <row r="981" spans="1:12" ht="15.75" customHeight="1">
      <c r="A981" s="4"/>
      <c r="G981" s="2"/>
      <c r="H981" s="2"/>
      <c r="I981" s="2"/>
      <c r="K981" s="253"/>
      <c r="L981" s="2"/>
    </row>
    <row r="982" spans="1:12" ht="15.75" customHeight="1">
      <c r="A982" s="4"/>
      <c r="G982" s="2"/>
      <c r="H982" s="2"/>
      <c r="I982" s="2"/>
      <c r="K982" s="253"/>
      <c r="L982" s="2"/>
    </row>
    <row r="983" spans="1:12" ht="15.75" customHeight="1">
      <c r="A983" s="4"/>
      <c r="G983" s="2"/>
      <c r="H983" s="2"/>
      <c r="I983" s="2"/>
      <c r="K983" s="253"/>
      <c r="L983" s="2"/>
    </row>
    <row r="984" spans="1:12" ht="15.75" customHeight="1">
      <c r="A984" s="4"/>
      <c r="G984" s="2"/>
      <c r="H984" s="2"/>
      <c r="I984" s="2"/>
      <c r="K984" s="253"/>
      <c r="L984" s="2"/>
    </row>
    <row r="985" spans="1:12" ht="15.75" customHeight="1">
      <c r="A985" s="4"/>
      <c r="G985" s="2"/>
      <c r="H985" s="2"/>
      <c r="I985" s="2"/>
      <c r="K985" s="253"/>
      <c r="L985" s="2"/>
    </row>
    <row r="986" spans="1:12" ht="15.75" customHeight="1">
      <c r="A986" s="4"/>
      <c r="G986" s="2"/>
      <c r="H986" s="2"/>
      <c r="I986" s="2"/>
      <c r="K986" s="253"/>
      <c r="L986" s="2"/>
    </row>
    <row r="987" spans="1:12" ht="15.75" customHeight="1">
      <c r="A987" s="4"/>
      <c r="G987" s="2"/>
      <c r="H987" s="2"/>
      <c r="I987" s="2"/>
      <c r="K987" s="253"/>
      <c r="L987" s="2"/>
    </row>
    <row r="988" spans="1:12" ht="15.75" customHeight="1">
      <c r="A988" s="4"/>
      <c r="G988" s="2"/>
      <c r="H988" s="2"/>
      <c r="I988" s="2"/>
      <c r="K988" s="253"/>
      <c r="L988" s="2"/>
    </row>
    <row r="989" spans="1:12" ht="15.75" customHeight="1">
      <c r="A989" s="4"/>
      <c r="G989" s="2"/>
      <c r="H989" s="2"/>
      <c r="I989" s="2"/>
      <c r="K989" s="253"/>
      <c r="L989" s="2"/>
    </row>
    <row r="990" spans="1:12" ht="15.75" customHeight="1">
      <c r="A990" s="4"/>
      <c r="G990" s="2"/>
      <c r="H990" s="2"/>
      <c r="I990" s="2"/>
      <c r="K990" s="253"/>
      <c r="L990" s="2"/>
    </row>
    <row r="991" spans="1:12" ht="15.75" customHeight="1">
      <c r="A991" s="4"/>
      <c r="G991" s="2"/>
      <c r="H991" s="2"/>
      <c r="I991" s="2"/>
      <c r="K991" s="253"/>
      <c r="L991" s="2"/>
    </row>
    <row r="992" spans="1:12" ht="15.75" customHeight="1">
      <c r="A992" s="4"/>
      <c r="G992" s="2"/>
      <c r="H992" s="2"/>
      <c r="I992" s="2"/>
      <c r="K992" s="253"/>
      <c r="L992" s="2"/>
    </row>
    <row r="993" spans="1:12" ht="15.75" customHeight="1">
      <c r="A993" s="4"/>
      <c r="G993" s="2"/>
      <c r="H993" s="2"/>
      <c r="I993" s="2"/>
      <c r="K993" s="253"/>
      <c r="L993" s="2"/>
    </row>
    <row r="994" spans="1:12" ht="15.75" customHeight="1">
      <c r="A994" s="4"/>
      <c r="G994" s="2"/>
      <c r="H994" s="2"/>
      <c r="I994" s="2"/>
      <c r="K994" s="253"/>
      <c r="L994" s="2"/>
    </row>
    <row r="995" spans="1:12" ht="15.75" customHeight="1">
      <c r="A995" s="4"/>
      <c r="G995" s="2"/>
      <c r="H995" s="2"/>
      <c r="I995" s="2"/>
      <c r="K995" s="253"/>
      <c r="L995" s="2"/>
    </row>
    <row r="996" spans="1:12" ht="15.75" customHeight="1">
      <c r="A996" s="4"/>
      <c r="G996" s="2"/>
      <c r="H996" s="2"/>
      <c r="I996" s="2"/>
      <c r="K996" s="253"/>
      <c r="L996" s="2"/>
    </row>
    <row r="997" spans="1:12" ht="15.75" customHeight="1">
      <c r="A997" s="4"/>
      <c r="G997" s="2"/>
      <c r="H997" s="2"/>
      <c r="I997" s="2"/>
      <c r="K997" s="253"/>
      <c r="L997" s="2"/>
    </row>
    <row r="998" spans="1:12" ht="15.75" customHeight="1">
      <c r="A998" s="4"/>
      <c r="G998" s="2"/>
      <c r="H998" s="2"/>
      <c r="I998" s="2"/>
      <c r="K998" s="253"/>
      <c r="L998" s="2"/>
    </row>
    <row r="999" spans="1:12" ht="15.75" customHeight="1">
      <c r="A999" s="4"/>
      <c r="G999" s="2"/>
      <c r="H999" s="2"/>
      <c r="I999" s="2"/>
      <c r="K999" s="253"/>
      <c r="L999" s="2"/>
    </row>
    <row r="1000" spans="1:12" ht="15.75" customHeight="1">
      <c r="A1000" s="4"/>
      <c r="G1000" s="2"/>
      <c r="H1000" s="2"/>
      <c r="I1000" s="2"/>
      <c r="K1000" s="253"/>
      <c r="L1000" s="2"/>
    </row>
  </sheetData>
  <mergeCells count="35">
    <mergeCell ref="P319:Q319"/>
    <mergeCell ref="P323:Q323"/>
    <mergeCell ref="P293:Q293"/>
    <mergeCell ref="P294:Q294"/>
    <mergeCell ref="P298:Q298"/>
    <mergeCell ref="P314:Q314"/>
    <mergeCell ref="P315:Q315"/>
    <mergeCell ref="P324:Q324"/>
    <mergeCell ref="P328:Q328"/>
    <mergeCell ref="P330:Q330"/>
    <mergeCell ref="E341:G341"/>
    <mergeCell ref="E342:H342"/>
    <mergeCell ref="P240:Q240"/>
    <mergeCell ref="P241:Q241"/>
    <mergeCell ref="P245:Q245"/>
    <mergeCell ref="P269:Q269"/>
    <mergeCell ref="P270:Q270"/>
    <mergeCell ref="A8:B8"/>
    <mergeCell ref="P136:Q136"/>
    <mergeCell ref="C147:C148"/>
    <mergeCell ref="D147:D148"/>
    <mergeCell ref="P137:Q137"/>
    <mergeCell ref="P141:Q141"/>
    <mergeCell ref="P143:Q143"/>
    <mergeCell ref="A145:A146"/>
    <mergeCell ref="B145:B146"/>
    <mergeCell ref="A147:A148"/>
    <mergeCell ref="B147:B148"/>
    <mergeCell ref="E147:E148"/>
    <mergeCell ref="F147:F148"/>
    <mergeCell ref="A1:I1"/>
    <mergeCell ref="C2:G2"/>
    <mergeCell ref="J3:K3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99594"/>
  </sheetPr>
  <dimension ref="A1:Z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2" width="9.140625" customWidth="1"/>
    <col min="13" max="15" width="8.7109375" customWidth="1"/>
    <col min="16" max="16" width="14.28515625" customWidth="1"/>
    <col min="17" max="17" width="16" customWidth="1"/>
    <col min="18" max="19" width="8.7109375" customWidth="1"/>
    <col min="20" max="20" width="11.5703125" customWidth="1"/>
    <col min="21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  <c r="L1" s="2"/>
    </row>
    <row r="2" spans="1:13" ht="18">
      <c r="A2" s="4"/>
      <c r="B2" s="5"/>
      <c r="C2" s="712" t="s">
        <v>2155</v>
      </c>
      <c r="D2" s="711"/>
      <c r="E2" s="711"/>
      <c r="F2" s="711"/>
      <c r="G2" s="711"/>
      <c r="H2" s="6"/>
      <c r="I2" s="140"/>
      <c r="J2" s="8"/>
      <c r="K2" s="285"/>
      <c r="L2" s="2"/>
    </row>
    <row r="3" spans="1:13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  <c r="L3" s="2"/>
    </row>
    <row r="4" spans="1:13">
      <c r="A4" s="4"/>
      <c r="B4" s="5"/>
      <c r="C4" s="10"/>
      <c r="D4" s="5"/>
      <c r="E4" s="5"/>
      <c r="G4" s="10"/>
      <c r="H4" s="6"/>
      <c r="I4" s="141"/>
      <c r="J4" s="1" t="s">
        <v>569</v>
      </c>
      <c r="K4" s="214"/>
      <c r="L4" s="2"/>
    </row>
    <row r="5" spans="1:13">
      <c r="A5" s="4"/>
      <c r="B5" s="5"/>
      <c r="C5" s="10"/>
      <c r="D5" s="5"/>
      <c r="E5" s="5"/>
      <c r="G5" s="10"/>
      <c r="H5" s="6"/>
      <c r="I5" s="141"/>
      <c r="J5" s="1" t="s">
        <v>4</v>
      </c>
      <c r="K5" s="214"/>
      <c r="L5" s="2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  <c r="L6" s="2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  <c r="L7" s="2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  <c r="L8" s="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  <c r="L9" s="2"/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  <c r="L10" s="2"/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2"/>
    </row>
    <row r="12" spans="1:13">
      <c r="A12" s="50">
        <v>4</v>
      </c>
      <c r="B12" s="48" t="s">
        <v>2156</v>
      </c>
      <c r="C12" s="48" t="s">
        <v>27</v>
      </c>
      <c r="D12" s="48" t="s">
        <v>666</v>
      </c>
      <c r="E12" s="48" t="s">
        <v>86</v>
      </c>
      <c r="F12" s="48"/>
      <c r="G12" s="48" t="s">
        <v>30</v>
      </c>
      <c r="H12" s="51">
        <v>1500</v>
      </c>
      <c r="I12" s="119">
        <v>300</v>
      </c>
      <c r="J12" s="48" t="s">
        <v>31</v>
      </c>
      <c r="K12" s="48" t="s">
        <v>32</v>
      </c>
      <c r="L12" s="2"/>
      <c r="M12" s="126">
        <v>300</v>
      </c>
    </row>
    <row r="13" spans="1:13">
      <c r="A13" s="50">
        <v>4</v>
      </c>
      <c r="B13" s="48" t="s">
        <v>2072</v>
      </c>
      <c r="C13" s="48" t="s">
        <v>27</v>
      </c>
      <c r="D13" s="48" t="s">
        <v>1110</v>
      </c>
      <c r="E13" s="48" t="s">
        <v>209</v>
      </c>
      <c r="F13" s="48"/>
      <c r="G13" s="48" t="s">
        <v>30</v>
      </c>
      <c r="H13" s="51">
        <v>18000</v>
      </c>
      <c r="I13" s="119">
        <v>3600</v>
      </c>
      <c r="J13" s="48" t="s">
        <v>31</v>
      </c>
      <c r="K13" s="48" t="s">
        <v>32</v>
      </c>
      <c r="L13" s="2"/>
      <c r="M13" s="126">
        <v>4000</v>
      </c>
    </row>
    <row r="14" spans="1:13">
      <c r="A14" s="787">
        <v>4</v>
      </c>
      <c r="B14" s="787" t="s">
        <v>2157</v>
      </c>
      <c r="C14" s="784" t="s">
        <v>27</v>
      </c>
      <c r="D14" s="784" t="s">
        <v>68</v>
      </c>
      <c r="E14" s="784" t="s">
        <v>79</v>
      </c>
      <c r="F14" s="789"/>
      <c r="G14" s="48" t="s">
        <v>30</v>
      </c>
      <c r="H14" s="51">
        <v>500</v>
      </c>
      <c r="I14" s="119" t="s">
        <v>1586</v>
      </c>
      <c r="J14" s="784" t="s">
        <v>31</v>
      </c>
      <c r="K14" s="784" t="s">
        <v>32</v>
      </c>
      <c r="L14" s="2"/>
      <c r="M14" s="126">
        <v>400</v>
      </c>
    </row>
    <row r="15" spans="1:13">
      <c r="A15" s="788"/>
      <c r="B15" s="788"/>
      <c r="C15" s="788"/>
      <c r="D15" s="788"/>
      <c r="E15" s="788"/>
      <c r="F15" s="788"/>
      <c r="G15" s="48" t="s">
        <v>30</v>
      </c>
      <c r="H15" s="51">
        <v>2000</v>
      </c>
      <c r="I15" s="119">
        <v>400</v>
      </c>
      <c r="J15" s="788"/>
      <c r="K15" s="788"/>
      <c r="L15" s="2"/>
    </row>
    <row r="16" spans="1:13">
      <c r="A16" s="787">
        <v>4</v>
      </c>
      <c r="B16" s="784" t="s">
        <v>2158</v>
      </c>
      <c r="C16" s="784" t="s">
        <v>27</v>
      </c>
      <c r="D16" s="784" t="s">
        <v>68</v>
      </c>
      <c r="E16" s="784" t="s">
        <v>79</v>
      </c>
      <c r="F16" s="789"/>
      <c r="G16" s="48" t="s">
        <v>30</v>
      </c>
      <c r="H16" s="51">
        <v>500</v>
      </c>
      <c r="I16" s="49" t="s">
        <v>1586</v>
      </c>
      <c r="J16" s="784" t="s">
        <v>31</v>
      </c>
      <c r="K16" s="784" t="s">
        <v>32</v>
      </c>
      <c r="L16" s="2"/>
      <c r="M16" s="126">
        <v>400</v>
      </c>
    </row>
    <row r="17" spans="1:13">
      <c r="A17" s="788"/>
      <c r="B17" s="788"/>
      <c r="C17" s="788"/>
      <c r="D17" s="788"/>
      <c r="E17" s="788"/>
      <c r="F17" s="788"/>
      <c r="G17" s="48" t="s">
        <v>30</v>
      </c>
      <c r="H17" s="51">
        <v>1500</v>
      </c>
      <c r="I17" s="119">
        <v>300</v>
      </c>
      <c r="J17" s="788"/>
      <c r="K17" s="788"/>
      <c r="L17" s="2"/>
    </row>
    <row r="18" spans="1:13">
      <c r="A18" s="50">
        <v>4</v>
      </c>
      <c r="B18" s="48" t="s">
        <v>2159</v>
      </c>
      <c r="C18" s="48" t="s">
        <v>39</v>
      </c>
      <c r="D18" s="48" t="s">
        <v>68</v>
      </c>
      <c r="E18" s="48" t="s">
        <v>79</v>
      </c>
      <c r="F18" s="48"/>
      <c r="G18" s="48" t="s">
        <v>30</v>
      </c>
      <c r="H18" s="51">
        <v>3000</v>
      </c>
      <c r="I18" s="119">
        <v>600</v>
      </c>
      <c r="J18" s="48" t="s">
        <v>31</v>
      </c>
      <c r="K18" s="48" t="s">
        <v>32</v>
      </c>
      <c r="L18" s="2"/>
      <c r="M18" s="126">
        <v>1000</v>
      </c>
    </row>
    <row r="19" spans="1:13">
      <c r="A19" s="787">
        <v>4</v>
      </c>
      <c r="B19" s="784" t="s">
        <v>2160</v>
      </c>
      <c r="C19" s="784" t="s">
        <v>39</v>
      </c>
      <c r="D19" s="784" t="s">
        <v>68</v>
      </c>
      <c r="E19" s="784" t="s">
        <v>79</v>
      </c>
      <c r="F19" s="789"/>
      <c r="G19" s="48" t="s">
        <v>30</v>
      </c>
      <c r="H19" s="51">
        <v>500</v>
      </c>
      <c r="I19" s="119" t="s">
        <v>1586</v>
      </c>
      <c r="J19" s="784" t="s">
        <v>31</v>
      </c>
      <c r="K19" s="784" t="s">
        <v>32</v>
      </c>
      <c r="L19" s="2"/>
      <c r="M19" s="126">
        <v>500</v>
      </c>
    </row>
    <row r="20" spans="1:13">
      <c r="A20" s="788"/>
      <c r="B20" s="788"/>
      <c r="C20" s="788"/>
      <c r="D20" s="788"/>
      <c r="E20" s="788"/>
      <c r="F20" s="788"/>
      <c r="G20" s="48" t="s">
        <v>30</v>
      </c>
      <c r="H20" s="51">
        <v>2000</v>
      </c>
      <c r="I20" s="119">
        <v>400</v>
      </c>
      <c r="J20" s="788"/>
      <c r="K20" s="788"/>
      <c r="L20" s="2"/>
    </row>
    <row r="21" spans="1:13" ht="15.75" customHeight="1">
      <c r="A21" s="787">
        <v>4</v>
      </c>
      <c r="B21" s="784" t="s">
        <v>2161</v>
      </c>
      <c r="C21" s="784" t="s">
        <v>39</v>
      </c>
      <c r="D21" s="784" t="s">
        <v>68</v>
      </c>
      <c r="E21" s="784" t="s">
        <v>79</v>
      </c>
      <c r="F21" s="789"/>
      <c r="G21" s="48" t="s">
        <v>30</v>
      </c>
      <c r="H21" s="51">
        <v>500</v>
      </c>
      <c r="I21" s="119" t="s">
        <v>1586</v>
      </c>
      <c r="J21" s="784" t="s">
        <v>31</v>
      </c>
      <c r="K21" s="784" t="s">
        <v>32</v>
      </c>
      <c r="L21" s="2"/>
      <c r="M21" s="126">
        <v>1500</v>
      </c>
    </row>
    <row r="22" spans="1:13" ht="15.75" customHeight="1">
      <c r="A22" s="788"/>
      <c r="B22" s="788"/>
      <c r="C22" s="788"/>
      <c r="D22" s="788"/>
      <c r="E22" s="788"/>
      <c r="F22" s="788"/>
      <c r="G22" s="48" t="s">
        <v>30</v>
      </c>
      <c r="H22" s="51">
        <v>6000</v>
      </c>
      <c r="I22" s="119">
        <v>1200</v>
      </c>
      <c r="J22" s="788"/>
      <c r="K22" s="788"/>
      <c r="L22" s="2"/>
    </row>
    <row r="23" spans="1:13" ht="15.75" customHeight="1">
      <c r="A23" s="50">
        <v>4</v>
      </c>
      <c r="B23" s="48" t="s">
        <v>2162</v>
      </c>
      <c r="C23" s="48" t="s">
        <v>27</v>
      </c>
      <c r="D23" s="48" t="s">
        <v>910</v>
      </c>
      <c r="E23" s="48" t="s">
        <v>36</v>
      </c>
      <c r="F23" s="48"/>
      <c r="G23" s="48" t="s">
        <v>30</v>
      </c>
      <c r="H23" s="51">
        <v>3000</v>
      </c>
      <c r="I23" s="119">
        <v>600</v>
      </c>
      <c r="J23" s="48" t="s">
        <v>31</v>
      </c>
      <c r="K23" s="48" t="s">
        <v>32</v>
      </c>
      <c r="L23" s="2"/>
      <c r="M23" s="126">
        <v>1296</v>
      </c>
    </row>
    <row r="24" spans="1:13" ht="15.75" customHeight="1">
      <c r="A24" s="50">
        <v>4</v>
      </c>
      <c r="B24" s="48" t="s">
        <v>2163</v>
      </c>
      <c r="C24" s="48" t="s">
        <v>27</v>
      </c>
      <c r="D24" s="48" t="s">
        <v>728</v>
      </c>
      <c r="E24" s="48" t="s">
        <v>86</v>
      </c>
      <c r="F24" s="48"/>
      <c r="G24" s="48" t="s">
        <v>30</v>
      </c>
      <c r="H24" s="51">
        <v>2000</v>
      </c>
      <c r="I24" s="119">
        <v>400</v>
      </c>
      <c r="J24" s="48" t="s">
        <v>31</v>
      </c>
      <c r="K24" s="48" t="s">
        <v>32</v>
      </c>
      <c r="L24" s="2"/>
      <c r="M24" s="126">
        <v>300</v>
      </c>
    </row>
    <row r="25" spans="1:13" ht="15.75" customHeight="1">
      <c r="A25" s="50">
        <v>4</v>
      </c>
      <c r="B25" s="48" t="s">
        <v>2164</v>
      </c>
      <c r="C25" s="48" t="s">
        <v>27</v>
      </c>
      <c r="D25" s="48" t="s">
        <v>108</v>
      </c>
      <c r="E25" s="48" t="s">
        <v>36</v>
      </c>
      <c r="F25" s="48"/>
      <c r="G25" s="48" t="s">
        <v>30</v>
      </c>
      <c r="H25" s="51">
        <v>500</v>
      </c>
      <c r="I25" s="119" t="s">
        <v>1586</v>
      </c>
      <c r="J25" s="48" t="s">
        <v>31</v>
      </c>
      <c r="K25" s="48" t="s">
        <v>32</v>
      </c>
      <c r="L25" s="2"/>
      <c r="M25" s="126">
        <v>225</v>
      </c>
    </row>
    <row r="26" spans="1:13" ht="15.75" customHeight="1">
      <c r="A26" s="50">
        <v>4</v>
      </c>
      <c r="B26" s="48" t="s">
        <v>2164</v>
      </c>
      <c r="C26" s="48" t="s">
        <v>27</v>
      </c>
      <c r="D26" s="48" t="s">
        <v>108</v>
      </c>
      <c r="E26" s="48" t="s">
        <v>36</v>
      </c>
      <c r="F26" s="48"/>
      <c r="G26" s="48" t="s">
        <v>30</v>
      </c>
      <c r="H26" s="51">
        <v>1500</v>
      </c>
      <c r="I26" s="119">
        <v>300</v>
      </c>
      <c r="J26" s="48"/>
      <c r="K26" s="48"/>
      <c r="L26" s="2"/>
    </row>
    <row r="27" spans="1:13" ht="15.75" customHeight="1">
      <c r="A27" s="50">
        <v>4</v>
      </c>
      <c r="B27" s="48" t="s">
        <v>2165</v>
      </c>
      <c r="C27" s="48" t="s">
        <v>27</v>
      </c>
      <c r="D27" s="48" t="s">
        <v>439</v>
      </c>
      <c r="E27" s="48" t="s">
        <v>145</v>
      </c>
      <c r="F27" s="48"/>
      <c r="G27" s="48" t="s">
        <v>30</v>
      </c>
      <c r="H27" s="51">
        <v>500</v>
      </c>
      <c r="I27" s="119">
        <v>100</v>
      </c>
      <c r="J27" s="48" t="s">
        <v>31</v>
      </c>
      <c r="K27" s="48" t="s">
        <v>32</v>
      </c>
      <c r="L27" s="2"/>
      <c r="M27" s="126">
        <v>100</v>
      </c>
    </row>
    <row r="28" spans="1:13" ht="15.75" customHeight="1">
      <c r="A28" s="50">
        <v>4</v>
      </c>
      <c r="B28" s="48" t="s">
        <v>2166</v>
      </c>
      <c r="C28" s="48" t="s">
        <v>27</v>
      </c>
      <c r="D28" s="48" t="s">
        <v>128</v>
      </c>
      <c r="E28" s="48" t="s">
        <v>44</v>
      </c>
      <c r="F28" s="48"/>
      <c r="G28" s="48" t="s">
        <v>30</v>
      </c>
      <c r="H28" s="51">
        <v>1000</v>
      </c>
      <c r="I28" s="119">
        <v>200</v>
      </c>
      <c r="J28" s="48" t="s">
        <v>31</v>
      </c>
      <c r="K28" s="48" t="s">
        <v>32</v>
      </c>
      <c r="L28" s="2"/>
      <c r="M28" s="126">
        <v>200</v>
      </c>
    </row>
    <row r="29" spans="1:13" ht="15.75" customHeight="1">
      <c r="A29" s="50">
        <v>4</v>
      </c>
      <c r="B29" s="48" t="s">
        <v>2167</v>
      </c>
      <c r="C29" s="48" t="s">
        <v>39</v>
      </c>
      <c r="D29" s="48" t="s">
        <v>132</v>
      </c>
      <c r="E29" s="48" t="s">
        <v>86</v>
      </c>
      <c r="F29" s="48"/>
      <c r="G29" s="48" t="s">
        <v>30</v>
      </c>
      <c r="H29" s="51">
        <v>200</v>
      </c>
      <c r="I29" s="119">
        <v>40</v>
      </c>
      <c r="J29" s="48" t="s">
        <v>31</v>
      </c>
      <c r="K29" s="48" t="s">
        <v>32</v>
      </c>
      <c r="L29" s="2"/>
      <c r="M29" s="126">
        <v>40</v>
      </c>
    </row>
    <row r="30" spans="1:13" ht="15.75" customHeight="1">
      <c r="A30" s="50">
        <v>4</v>
      </c>
      <c r="B30" s="48" t="s">
        <v>2168</v>
      </c>
      <c r="C30" s="48" t="s">
        <v>27</v>
      </c>
      <c r="D30" s="48" t="s">
        <v>108</v>
      </c>
      <c r="E30" s="48" t="s">
        <v>36</v>
      </c>
      <c r="F30" s="48"/>
      <c r="G30" s="48" t="s">
        <v>30</v>
      </c>
      <c r="H30" s="51">
        <v>2000</v>
      </c>
      <c r="I30" s="119">
        <v>400</v>
      </c>
      <c r="J30" s="48" t="s">
        <v>31</v>
      </c>
      <c r="K30" s="48" t="s">
        <v>32</v>
      </c>
      <c r="L30" s="2"/>
      <c r="M30" s="126">
        <v>600</v>
      </c>
    </row>
    <row r="31" spans="1:13" ht="15.75" customHeight="1">
      <c r="A31" s="50">
        <v>4</v>
      </c>
      <c r="B31" s="48" t="s">
        <v>2169</v>
      </c>
      <c r="C31" s="48" t="s">
        <v>27</v>
      </c>
      <c r="D31" s="48" t="s">
        <v>173</v>
      </c>
      <c r="E31" s="48" t="s">
        <v>84</v>
      </c>
      <c r="F31" s="48"/>
      <c r="G31" s="48" t="s">
        <v>30</v>
      </c>
      <c r="H31" s="51">
        <v>2000</v>
      </c>
      <c r="I31" s="119">
        <v>400</v>
      </c>
      <c r="J31" s="48" t="s">
        <v>31</v>
      </c>
      <c r="K31" s="48" t="s">
        <v>32</v>
      </c>
      <c r="L31" s="2"/>
      <c r="M31" s="126">
        <v>300</v>
      </c>
    </row>
    <row r="32" spans="1:13" ht="15.75" customHeight="1">
      <c r="A32" s="50">
        <v>4</v>
      </c>
      <c r="B32" s="48" t="s">
        <v>718</v>
      </c>
      <c r="C32" s="48" t="s">
        <v>27</v>
      </c>
      <c r="D32" s="48" t="s">
        <v>128</v>
      </c>
      <c r="E32" s="48" t="s">
        <v>44</v>
      </c>
      <c r="F32" s="48"/>
      <c r="G32" s="48" t="s">
        <v>30</v>
      </c>
      <c r="H32" s="51">
        <v>1000</v>
      </c>
      <c r="I32" s="119">
        <v>200</v>
      </c>
      <c r="J32" s="48" t="s">
        <v>31</v>
      </c>
      <c r="K32" s="48" t="s">
        <v>32</v>
      </c>
      <c r="L32" s="2"/>
      <c r="M32" s="126">
        <v>300</v>
      </c>
    </row>
    <row r="33" spans="1:13" ht="15.75" customHeight="1">
      <c r="A33" s="50">
        <v>4</v>
      </c>
      <c r="B33" s="218" t="s">
        <v>2170</v>
      </c>
      <c r="C33" s="48" t="s">
        <v>27</v>
      </c>
      <c r="D33" s="48" t="s">
        <v>205</v>
      </c>
      <c r="E33" s="48" t="s">
        <v>191</v>
      </c>
      <c r="F33" s="48"/>
      <c r="G33" s="48" t="s">
        <v>30</v>
      </c>
      <c r="H33" s="51">
        <v>1000</v>
      </c>
      <c r="I33" s="119">
        <v>200</v>
      </c>
      <c r="J33" s="48" t="s">
        <v>31</v>
      </c>
      <c r="K33" s="48" t="s">
        <v>32</v>
      </c>
      <c r="L33" s="2"/>
      <c r="M33" s="126">
        <v>50</v>
      </c>
    </row>
    <row r="34" spans="1:13" ht="15.75" customHeight="1">
      <c r="A34" s="50">
        <v>4</v>
      </c>
      <c r="B34" s="166" t="s">
        <v>2171</v>
      </c>
      <c r="C34" s="48" t="s">
        <v>27</v>
      </c>
      <c r="D34" s="48" t="s">
        <v>400</v>
      </c>
      <c r="E34" s="48" t="s">
        <v>36</v>
      </c>
      <c r="F34" s="48"/>
      <c r="G34" s="48" t="s">
        <v>30</v>
      </c>
      <c r="H34" s="51">
        <v>2500</v>
      </c>
      <c r="I34" s="119">
        <v>500</v>
      </c>
      <c r="J34" s="48" t="s">
        <v>31</v>
      </c>
      <c r="K34" s="48" t="s">
        <v>32</v>
      </c>
      <c r="L34" s="2"/>
      <c r="M34" s="126">
        <v>400</v>
      </c>
    </row>
    <row r="35" spans="1:13" ht="15.75" customHeight="1">
      <c r="A35" s="50">
        <v>4</v>
      </c>
      <c r="B35" s="48" t="s">
        <v>2172</v>
      </c>
      <c r="C35" s="48" t="s">
        <v>27</v>
      </c>
      <c r="D35" s="48" t="s">
        <v>297</v>
      </c>
      <c r="E35" s="48" t="s">
        <v>44</v>
      </c>
      <c r="F35" s="48"/>
      <c r="G35" s="48" t="s">
        <v>30</v>
      </c>
      <c r="H35" s="51">
        <v>500</v>
      </c>
      <c r="I35" s="119" t="s">
        <v>1586</v>
      </c>
      <c r="J35" s="48" t="s">
        <v>31</v>
      </c>
      <c r="K35" s="48" t="s">
        <v>32</v>
      </c>
      <c r="L35" s="2"/>
      <c r="M35" s="126">
        <v>525</v>
      </c>
    </row>
    <row r="36" spans="1:13" ht="15.75" customHeight="1">
      <c r="A36" s="50">
        <v>4</v>
      </c>
      <c r="B36" s="48" t="s">
        <v>2172</v>
      </c>
      <c r="C36" s="48" t="s">
        <v>27</v>
      </c>
      <c r="D36" s="48" t="s">
        <v>297</v>
      </c>
      <c r="E36" s="48" t="s">
        <v>44</v>
      </c>
      <c r="F36" s="48"/>
      <c r="G36" s="48" t="s">
        <v>30</v>
      </c>
      <c r="H36" s="51">
        <v>2000</v>
      </c>
      <c r="I36" s="119">
        <v>400</v>
      </c>
      <c r="J36" s="48"/>
      <c r="K36" s="48"/>
      <c r="L36" s="2"/>
    </row>
    <row r="37" spans="1:13" ht="15.75" customHeight="1">
      <c r="A37" s="50">
        <v>4</v>
      </c>
      <c r="B37" s="48" t="s">
        <v>888</v>
      </c>
      <c r="C37" s="48" t="s">
        <v>27</v>
      </c>
      <c r="D37" s="48" t="s">
        <v>35</v>
      </c>
      <c r="E37" s="48" t="s">
        <v>36</v>
      </c>
      <c r="F37" s="48"/>
      <c r="G37" s="48" t="s">
        <v>30</v>
      </c>
      <c r="H37" s="51">
        <v>8000</v>
      </c>
      <c r="I37" s="119">
        <v>1600</v>
      </c>
      <c r="J37" s="48" t="s">
        <v>31</v>
      </c>
      <c r="K37" s="48" t="s">
        <v>32</v>
      </c>
      <c r="L37" s="2"/>
      <c r="M37" s="126">
        <v>1200</v>
      </c>
    </row>
    <row r="38" spans="1:13" ht="15.75" customHeight="1">
      <c r="A38" s="50">
        <v>4</v>
      </c>
      <c r="B38" s="48" t="s">
        <v>2173</v>
      </c>
      <c r="C38" s="48" t="s">
        <v>27</v>
      </c>
      <c r="D38" s="48" t="s">
        <v>211</v>
      </c>
      <c r="E38" s="48" t="s">
        <v>245</v>
      </c>
      <c r="F38" s="48"/>
      <c r="G38" s="48" t="s">
        <v>30</v>
      </c>
      <c r="H38" s="51">
        <v>1200</v>
      </c>
      <c r="I38" s="119">
        <v>240</v>
      </c>
      <c r="J38" s="48" t="s">
        <v>31</v>
      </c>
      <c r="K38" s="48" t="s">
        <v>32</v>
      </c>
      <c r="L38" s="2"/>
      <c r="M38" s="126">
        <v>250</v>
      </c>
    </row>
    <row r="39" spans="1:13" ht="15.75" customHeight="1">
      <c r="A39" s="50">
        <v>4</v>
      </c>
      <c r="B39" s="48" t="s">
        <v>2174</v>
      </c>
      <c r="C39" s="48" t="s">
        <v>27</v>
      </c>
      <c r="D39" s="48" t="s">
        <v>1661</v>
      </c>
      <c r="E39" s="48" t="s">
        <v>135</v>
      </c>
      <c r="F39" s="48"/>
      <c r="G39" s="48" t="s">
        <v>30</v>
      </c>
      <c r="H39" s="51">
        <v>2500</v>
      </c>
      <c r="I39" s="119">
        <v>500</v>
      </c>
      <c r="J39" s="48" t="s">
        <v>31</v>
      </c>
      <c r="K39" s="48" t="s">
        <v>32</v>
      </c>
      <c r="L39" s="2"/>
      <c r="M39" s="126">
        <v>600</v>
      </c>
    </row>
    <row r="40" spans="1:13" ht="15.75" customHeight="1">
      <c r="A40" s="50">
        <v>4</v>
      </c>
      <c r="B40" s="48" t="s">
        <v>2175</v>
      </c>
      <c r="C40" s="48" t="s">
        <v>39</v>
      </c>
      <c r="D40" s="48" t="s">
        <v>2176</v>
      </c>
      <c r="E40" s="48" t="s">
        <v>54</v>
      </c>
      <c r="F40" s="48"/>
      <c r="G40" s="48" t="s">
        <v>30</v>
      </c>
      <c r="H40" s="51">
        <v>7000</v>
      </c>
      <c r="I40" s="119">
        <v>1400</v>
      </c>
      <c r="J40" s="48" t="s">
        <v>31</v>
      </c>
      <c r="K40" s="48" t="s">
        <v>32</v>
      </c>
      <c r="L40" s="2"/>
      <c r="M40" s="126">
        <v>1500</v>
      </c>
    </row>
    <row r="41" spans="1:13" ht="15.75" customHeight="1">
      <c r="A41" s="65">
        <v>4</v>
      </c>
      <c r="B41" s="58" t="s">
        <v>2177</v>
      </c>
      <c r="C41" s="58" t="s">
        <v>27</v>
      </c>
      <c r="D41" s="58" t="s">
        <v>651</v>
      </c>
      <c r="E41" s="58" t="s">
        <v>86</v>
      </c>
      <c r="F41" s="58"/>
      <c r="G41" s="58" t="s">
        <v>30</v>
      </c>
      <c r="H41" s="59">
        <v>3000</v>
      </c>
      <c r="I41" s="160">
        <v>600</v>
      </c>
      <c r="J41" s="58" t="s">
        <v>31</v>
      </c>
      <c r="K41" s="58" t="s">
        <v>32</v>
      </c>
      <c r="L41" s="2"/>
      <c r="M41" s="126">
        <v>600</v>
      </c>
    </row>
    <row r="42" spans="1:13" ht="15.75" customHeight="1">
      <c r="A42" s="61">
        <v>5</v>
      </c>
      <c r="B42" s="62" t="s">
        <v>2178</v>
      </c>
      <c r="C42" s="62" t="s">
        <v>27</v>
      </c>
      <c r="D42" s="62" t="s">
        <v>242</v>
      </c>
      <c r="E42" s="62" t="s">
        <v>237</v>
      </c>
      <c r="F42" s="62"/>
      <c r="G42" s="62" t="s">
        <v>30</v>
      </c>
      <c r="H42" s="63">
        <v>1000</v>
      </c>
      <c r="I42" s="159">
        <v>200</v>
      </c>
      <c r="J42" s="62" t="s">
        <v>31</v>
      </c>
      <c r="K42" s="62" t="s">
        <v>32</v>
      </c>
      <c r="L42" s="2"/>
      <c r="M42" s="126">
        <v>200</v>
      </c>
    </row>
    <row r="43" spans="1:13" ht="15.75" customHeight="1">
      <c r="A43" s="50">
        <v>5</v>
      </c>
      <c r="B43" s="48" t="s">
        <v>2179</v>
      </c>
      <c r="C43" s="48" t="s">
        <v>39</v>
      </c>
      <c r="D43" s="48" t="s">
        <v>607</v>
      </c>
      <c r="E43" s="48" t="s">
        <v>36</v>
      </c>
      <c r="F43" s="48"/>
      <c r="G43" s="48" t="s">
        <v>30</v>
      </c>
      <c r="H43" s="51">
        <v>1600</v>
      </c>
      <c r="I43" s="119">
        <v>320</v>
      </c>
      <c r="J43" s="48" t="s">
        <v>31</v>
      </c>
      <c r="K43" s="48" t="s">
        <v>32</v>
      </c>
      <c r="L43" s="2"/>
      <c r="M43" s="126">
        <v>3000</v>
      </c>
    </row>
    <row r="44" spans="1:13" ht="15.75" customHeight="1">
      <c r="A44" s="50">
        <v>5</v>
      </c>
      <c r="B44" s="48" t="s">
        <v>2180</v>
      </c>
      <c r="C44" s="48" t="s">
        <v>27</v>
      </c>
      <c r="D44" s="48" t="s">
        <v>910</v>
      </c>
      <c r="E44" s="48" t="s">
        <v>36</v>
      </c>
      <c r="F44" s="48"/>
      <c r="G44" s="48" t="s">
        <v>30</v>
      </c>
      <c r="H44" s="51">
        <v>500</v>
      </c>
      <c r="I44" s="119" t="s">
        <v>1586</v>
      </c>
      <c r="J44" s="48" t="s">
        <v>31</v>
      </c>
      <c r="K44" s="48" t="s">
        <v>32</v>
      </c>
      <c r="L44" s="2"/>
      <c r="M44" s="126">
        <v>400</v>
      </c>
    </row>
    <row r="45" spans="1:13" ht="15.75" customHeight="1">
      <c r="A45" s="50">
        <v>5</v>
      </c>
      <c r="B45" s="48" t="s">
        <v>2180</v>
      </c>
      <c r="C45" s="48" t="s">
        <v>27</v>
      </c>
      <c r="D45" s="48" t="s">
        <v>910</v>
      </c>
      <c r="E45" s="48" t="s">
        <v>36</v>
      </c>
      <c r="F45" s="48"/>
      <c r="G45" s="48" t="s">
        <v>30</v>
      </c>
      <c r="H45" s="51">
        <v>1500</v>
      </c>
      <c r="I45" s="119">
        <v>300</v>
      </c>
      <c r="J45" s="48" t="s">
        <v>31</v>
      </c>
      <c r="K45" s="48" t="s">
        <v>32</v>
      </c>
      <c r="L45" s="2"/>
    </row>
    <row r="46" spans="1:13" ht="15.75" customHeight="1">
      <c r="A46" s="50">
        <v>5</v>
      </c>
      <c r="B46" s="48" t="s">
        <v>2181</v>
      </c>
      <c r="C46" s="48" t="s">
        <v>27</v>
      </c>
      <c r="D46" s="48" t="s">
        <v>2182</v>
      </c>
      <c r="E46" s="48" t="s">
        <v>29</v>
      </c>
      <c r="F46" s="48"/>
      <c r="G46" s="48" t="s">
        <v>30</v>
      </c>
      <c r="H46" s="51">
        <v>1000</v>
      </c>
      <c r="I46" s="119">
        <v>200</v>
      </c>
      <c r="J46" s="48" t="s">
        <v>31</v>
      </c>
      <c r="K46" s="48" t="s">
        <v>32</v>
      </c>
      <c r="L46" s="2"/>
      <c r="M46" s="126">
        <v>300</v>
      </c>
    </row>
    <row r="47" spans="1:13" ht="15.75" customHeight="1">
      <c r="A47" s="50">
        <v>5</v>
      </c>
      <c r="B47" s="48" t="s">
        <v>2183</v>
      </c>
      <c r="C47" s="48" t="s">
        <v>39</v>
      </c>
      <c r="D47" s="48" t="s">
        <v>193</v>
      </c>
      <c r="E47" s="48" t="s">
        <v>36</v>
      </c>
      <c r="F47" s="48"/>
      <c r="G47" s="48" t="s">
        <v>30</v>
      </c>
      <c r="H47" s="51">
        <v>500</v>
      </c>
      <c r="I47" s="119" t="s">
        <v>1586</v>
      </c>
      <c r="J47" s="48" t="s">
        <v>31</v>
      </c>
      <c r="K47" s="48" t="s">
        <v>32</v>
      </c>
      <c r="L47" s="2"/>
      <c r="M47" s="126">
        <v>240</v>
      </c>
    </row>
    <row r="48" spans="1:13" ht="15.75" customHeight="1">
      <c r="A48" s="50">
        <v>5</v>
      </c>
      <c r="B48" s="48" t="s">
        <v>2183</v>
      </c>
      <c r="C48" s="48" t="s">
        <v>39</v>
      </c>
      <c r="D48" s="48" t="s">
        <v>193</v>
      </c>
      <c r="E48" s="48" t="s">
        <v>36</v>
      </c>
      <c r="F48" s="48"/>
      <c r="G48" s="48" t="s">
        <v>30</v>
      </c>
      <c r="H48" s="51">
        <v>1500</v>
      </c>
      <c r="I48" s="119">
        <v>300</v>
      </c>
      <c r="J48" s="48" t="s">
        <v>31</v>
      </c>
      <c r="K48" s="48" t="s">
        <v>32</v>
      </c>
      <c r="L48" s="2"/>
    </row>
    <row r="49" spans="1:13" ht="15.75" customHeight="1">
      <c r="A49" s="50">
        <v>5</v>
      </c>
      <c r="B49" s="48" t="s">
        <v>2184</v>
      </c>
      <c r="C49" s="48" t="s">
        <v>27</v>
      </c>
      <c r="D49" s="48" t="s">
        <v>68</v>
      </c>
      <c r="E49" s="48" t="s">
        <v>79</v>
      </c>
      <c r="F49" s="48"/>
      <c r="G49" s="48" t="s">
        <v>30</v>
      </c>
      <c r="H49" s="51">
        <v>1500</v>
      </c>
      <c r="I49" s="119">
        <v>300</v>
      </c>
      <c r="J49" s="48" t="s">
        <v>31</v>
      </c>
      <c r="K49" s="48" t="s">
        <v>32</v>
      </c>
      <c r="L49" s="2"/>
      <c r="M49" s="126">
        <v>300</v>
      </c>
    </row>
    <row r="50" spans="1:13" ht="15.75" customHeight="1">
      <c r="A50" s="50">
        <v>5</v>
      </c>
      <c r="B50" s="48" t="s">
        <v>2185</v>
      </c>
      <c r="C50" s="48" t="s">
        <v>27</v>
      </c>
      <c r="D50" s="48" t="s">
        <v>657</v>
      </c>
      <c r="E50" s="48" t="s">
        <v>84</v>
      </c>
      <c r="F50" s="48"/>
      <c r="G50" s="48" t="s">
        <v>30</v>
      </c>
      <c r="H50" s="51">
        <v>1500</v>
      </c>
      <c r="I50" s="119">
        <v>300</v>
      </c>
      <c r="J50" s="48" t="s">
        <v>31</v>
      </c>
      <c r="K50" s="48" t="s">
        <v>32</v>
      </c>
      <c r="L50" s="2"/>
      <c r="M50" s="126">
        <v>300</v>
      </c>
    </row>
    <row r="51" spans="1:13" ht="15.75" customHeight="1">
      <c r="A51" s="50">
        <v>5</v>
      </c>
      <c r="B51" s="48" t="s">
        <v>2186</v>
      </c>
      <c r="C51" s="48" t="s">
        <v>27</v>
      </c>
      <c r="D51" s="48" t="s">
        <v>2187</v>
      </c>
      <c r="E51" s="48" t="s">
        <v>84</v>
      </c>
      <c r="F51" s="48"/>
      <c r="G51" s="48" t="s">
        <v>30</v>
      </c>
      <c r="H51" s="51">
        <v>500</v>
      </c>
      <c r="I51" s="119" t="s">
        <v>1586</v>
      </c>
      <c r="J51" s="48" t="s">
        <v>31</v>
      </c>
      <c r="K51" s="48" t="s">
        <v>32</v>
      </c>
      <c r="L51" s="2"/>
      <c r="M51" s="126">
        <v>250</v>
      </c>
    </row>
    <row r="52" spans="1:13" ht="15.75" customHeight="1">
      <c r="A52" s="50">
        <v>5</v>
      </c>
      <c r="B52" s="48" t="s">
        <v>2186</v>
      </c>
      <c r="C52" s="48" t="s">
        <v>27</v>
      </c>
      <c r="D52" s="48" t="s">
        <v>2187</v>
      </c>
      <c r="E52" s="48" t="s">
        <v>84</v>
      </c>
      <c r="F52" s="48"/>
      <c r="G52" s="48" t="s">
        <v>30</v>
      </c>
      <c r="H52" s="51">
        <v>1000</v>
      </c>
      <c r="I52" s="119">
        <v>200</v>
      </c>
      <c r="J52" s="48" t="s">
        <v>31</v>
      </c>
      <c r="K52" s="48" t="s">
        <v>32</v>
      </c>
      <c r="L52" s="2"/>
    </row>
    <row r="53" spans="1:13" ht="15.75" customHeight="1">
      <c r="A53" s="50">
        <v>5</v>
      </c>
      <c r="B53" s="48" t="s">
        <v>2188</v>
      </c>
      <c r="C53" s="48" t="s">
        <v>39</v>
      </c>
      <c r="D53" s="48" t="s">
        <v>418</v>
      </c>
      <c r="E53" s="48" t="s">
        <v>51</v>
      </c>
      <c r="F53" s="48"/>
      <c r="G53" s="48" t="s">
        <v>30</v>
      </c>
      <c r="H53" s="51">
        <v>4000</v>
      </c>
      <c r="I53" s="119">
        <v>800</v>
      </c>
      <c r="J53" s="48" t="s">
        <v>31</v>
      </c>
      <c r="K53" s="48" t="s">
        <v>32</v>
      </c>
      <c r="L53" s="2"/>
      <c r="M53" s="126">
        <v>800</v>
      </c>
    </row>
    <row r="54" spans="1:13" ht="15.75" customHeight="1">
      <c r="A54" s="50">
        <v>5</v>
      </c>
      <c r="B54" s="48" t="s">
        <v>2189</v>
      </c>
      <c r="C54" s="48" t="s">
        <v>27</v>
      </c>
      <c r="D54" s="48" t="s">
        <v>2190</v>
      </c>
      <c r="E54" s="48" t="s">
        <v>41</v>
      </c>
      <c r="F54" s="48"/>
      <c r="G54" s="48" t="s">
        <v>30</v>
      </c>
      <c r="H54" s="51">
        <v>12000</v>
      </c>
      <c r="I54" s="119">
        <v>2400</v>
      </c>
      <c r="J54" s="48" t="s">
        <v>31</v>
      </c>
      <c r="K54" s="48" t="s">
        <v>32</v>
      </c>
      <c r="L54" s="2"/>
      <c r="M54" s="126">
        <v>2500</v>
      </c>
    </row>
    <row r="55" spans="1:13" ht="15.75" customHeight="1">
      <c r="A55" s="50">
        <v>5</v>
      </c>
      <c r="B55" s="48" t="s">
        <v>2191</v>
      </c>
      <c r="C55" s="48" t="s">
        <v>27</v>
      </c>
      <c r="D55" s="48" t="s">
        <v>211</v>
      </c>
      <c r="E55" s="48" t="s">
        <v>245</v>
      </c>
      <c r="F55" s="48"/>
      <c r="G55" s="48" t="s">
        <v>30</v>
      </c>
      <c r="H55" s="51">
        <v>2800</v>
      </c>
      <c r="I55" s="119">
        <v>560</v>
      </c>
      <c r="J55" s="48" t="s">
        <v>31</v>
      </c>
      <c r="K55" s="48" t="s">
        <v>32</v>
      </c>
      <c r="L55" s="2"/>
      <c r="M55" s="126">
        <v>600</v>
      </c>
    </row>
    <row r="56" spans="1:13" ht="15.75" customHeight="1">
      <c r="A56" s="50">
        <v>5</v>
      </c>
      <c r="B56" s="48" t="s">
        <v>2192</v>
      </c>
      <c r="C56" s="48" t="s">
        <v>27</v>
      </c>
      <c r="D56" s="48" t="s">
        <v>2193</v>
      </c>
      <c r="E56" s="48" t="s">
        <v>839</v>
      </c>
      <c r="F56" s="48"/>
      <c r="G56" s="48" t="s">
        <v>30</v>
      </c>
      <c r="H56" s="51">
        <v>150</v>
      </c>
      <c r="I56" s="119">
        <v>30</v>
      </c>
      <c r="J56" s="48" t="s">
        <v>31</v>
      </c>
      <c r="K56" s="48" t="s">
        <v>32</v>
      </c>
      <c r="L56" s="2"/>
      <c r="M56" s="126">
        <v>30</v>
      </c>
    </row>
    <row r="57" spans="1:13" ht="15.75" customHeight="1">
      <c r="A57" s="50">
        <v>5</v>
      </c>
      <c r="B57" s="48" t="s">
        <v>2194</v>
      </c>
      <c r="C57" s="48" t="s">
        <v>27</v>
      </c>
      <c r="D57" s="48" t="s">
        <v>2195</v>
      </c>
      <c r="E57" s="48" t="s">
        <v>824</v>
      </c>
      <c r="F57" s="48"/>
      <c r="G57" s="48" t="s">
        <v>30</v>
      </c>
      <c r="H57" s="51">
        <v>500</v>
      </c>
      <c r="I57" s="119" t="s">
        <v>1586</v>
      </c>
      <c r="J57" s="48" t="s">
        <v>31</v>
      </c>
      <c r="K57" s="48" t="s">
        <v>32</v>
      </c>
      <c r="L57" s="2"/>
      <c r="M57" s="126">
        <v>150</v>
      </c>
    </row>
    <row r="58" spans="1:13" ht="15.75" customHeight="1">
      <c r="A58" s="50">
        <v>5</v>
      </c>
      <c r="B58" s="48" t="s">
        <v>2194</v>
      </c>
      <c r="C58" s="48" t="s">
        <v>27</v>
      </c>
      <c r="D58" s="48" t="s">
        <v>2195</v>
      </c>
      <c r="E58" s="48" t="s">
        <v>824</v>
      </c>
      <c r="F58" s="48"/>
      <c r="G58" s="48" t="s">
        <v>30</v>
      </c>
      <c r="H58" s="51">
        <v>500</v>
      </c>
      <c r="I58" s="119">
        <v>100</v>
      </c>
      <c r="J58" s="48" t="s">
        <v>31</v>
      </c>
      <c r="K58" s="48" t="s">
        <v>32</v>
      </c>
      <c r="L58" s="2"/>
    </row>
    <row r="59" spans="1:13" ht="15.75" customHeight="1">
      <c r="A59" s="50">
        <v>5</v>
      </c>
      <c r="B59" s="166" t="s">
        <v>2067</v>
      </c>
      <c r="C59" s="48" t="s">
        <v>27</v>
      </c>
      <c r="D59" s="48" t="s">
        <v>213</v>
      </c>
      <c r="E59" s="48" t="s">
        <v>36</v>
      </c>
      <c r="F59" s="48"/>
      <c r="G59" s="48" t="s">
        <v>30</v>
      </c>
      <c r="H59" s="51">
        <v>300</v>
      </c>
      <c r="I59" s="119">
        <v>60</v>
      </c>
      <c r="J59" s="48" t="s">
        <v>31</v>
      </c>
      <c r="K59" s="48" t="s">
        <v>32</v>
      </c>
      <c r="L59" s="2"/>
      <c r="M59" s="126">
        <v>25</v>
      </c>
    </row>
    <row r="60" spans="1:13" ht="15.75" customHeight="1">
      <c r="A60" s="50">
        <v>5</v>
      </c>
      <c r="B60" s="166" t="s">
        <v>2196</v>
      </c>
      <c r="C60" s="48" t="s">
        <v>27</v>
      </c>
      <c r="D60" s="48" t="s">
        <v>253</v>
      </c>
      <c r="E60" s="48" t="s">
        <v>2197</v>
      </c>
      <c r="F60" s="48"/>
      <c r="G60" s="48" t="s">
        <v>30</v>
      </c>
      <c r="H60" s="51">
        <v>500</v>
      </c>
      <c r="I60" s="119">
        <v>100</v>
      </c>
      <c r="J60" s="48" t="s">
        <v>31</v>
      </c>
      <c r="K60" s="48" t="s">
        <v>32</v>
      </c>
      <c r="L60" s="2"/>
      <c r="M60" s="126">
        <v>100</v>
      </c>
    </row>
    <row r="61" spans="1:13" ht="15.75" customHeight="1">
      <c r="A61" s="50">
        <v>5</v>
      </c>
      <c r="B61" s="48" t="s">
        <v>2198</v>
      </c>
      <c r="C61" s="48" t="s">
        <v>27</v>
      </c>
      <c r="D61" s="48" t="s">
        <v>651</v>
      </c>
      <c r="E61" s="48" t="s">
        <v>86</v>
      </c>
      <c r="F61" s="48"/>
      <c r="G61" s="48" t="s">
        <v>30</v>
      </c>
      <c r="H61" s="51">
        <v>300</v>
      </c>
      <c r="I61" s="119">
        <v>60</v>
      </c>
      <c r="J61" s="48" t="s">
        <v>31</v>
      </c>
      <c r="K61" s="48" t="s">
        <v>32</v>
      </c>
      <c r="L61" s="2"/>
      <c r="M61" s="126">
        <v>20</v>
      </c>
    </row>
    <row r="62" spans="1:13" ht="15.75" customHeight="1">
      <c r="A62" s="50">
        <v>5</v>
      </c>
      <c r="B62" s="48" t="s">
        <v>2199</v>
      </c>
      <c r="C62" s="48" t="s">
        <v>27</v>
      </c>
      <c r="D62" s="48" t="s">
        <v>651</v>
      </c>
      <c r="E62" s="48" t="s">
        <v>86</v>
      </c>
      <c r="F62" s="48"/>
      <c r="G62" s="48" t="s">
        <v>30</v>
      </c>
      <c r="H62" s="51">
        <v>600</v>
      </c>
      <c r="I62" s="119">
        <v>120</v>
      </c>
      <c r="J62" s="48" t="s">
        <v>31</v>
      </c>
      <c r="K62" s="48" t="s">
        <v>32</v>
      </c>
      <c r="L62" s="2"/>
      <c r="M62" s="126">
        <v>100</v>
      </c>
    </row>
    <row r="63" spans="1:13" ht="15.75" customHeight="1">
      <c r="A63" s="50">
        <v>5</v>
      </c>
      <c r="B63" s="48" t="s">
        <v>2200</v>
      </c>
      <c r="C63" s="48" t="s">
        <v>27</v>
      </c>
      <c r="D63" s="48" t="s">
        <v>422</v>
      </c>
      <c r="E63" s="48" t="s">
        <v>245</v>
      </c>
      <c r="F63" s="48"/>
      <c r="G63" s="48" t="s">
        <v>30</v>
      </c>
      <c r="H63" s="51">
        <v>700</v>
      </c>
      <c r="I63" s="119">
        <v>140</v>
      </c>
      <c r="J63" s="48" t="s">
        <v>31</v>
      </c>
      <c r="K63" s="48" t="s">
        <v>32</v>
      </c>
      <c r="L63" s="2"/>
      <c r="M63" s="126">
        <v>150</v>
      </c>
    </row>
    <row r="64" spans="1:13" ht="15.75" customHeight="1">
      <c r="A64" s="50">
        <v>5</v>
      </c>
      <c r="B64" s="48" t="s">
        <v>2201</v>
      </c>
      <c r="C64" s="48" t="s">
        <v>27</v>
      </c>
      <c r="D64" s="48" t="s">
        <v>882</v>
      </c>
      <c r="E64" s="48" t="s">
        <v>51</v>
      </c>
      <c r="F64" s="48"/>
      <c r="G64" s="48" t="s">
        <v>30</v>
      </c>
      <c r="H64" s="51">
        <v>400</v>
      </c>
      <c r="I64" s="119">
        <v>80</v>
      </c>
      <c r="J64" s="48" t="s">
        <v>31</v>
      </c>
      <c r="K64" s="48" t="s">
        <v>32</v>
      </c>
      <c r="L64" s="2"/>
      <c r="M64" s="126">
        <v>80</v>
      </c>
    </row>
    <row r="65" spans="1:13" ht="15.75" customHeight="1">
      <c r="A65" s="50">
        <v>5</v>
      </c>
      <c r="B65" s="218" t="s">
        <v>2202</v>
      </c>
      <c r="C65" s="48" t="s">
        <v>27</v>
      </c>
      <c r="D65" s="48" t="s">
        <v>256</v>
      </c>
      <c r="E65" s="48" t="s">
        <v>245</v>
      </c>
      <c r="F65" s="48"/>
      <c r="G65" s="48" t="s">
        <v>30</v>
      </c>
      <c r="H65" s="51">
        <v>300</v>
      </c>
      <c r="I65" s="119">
        <v>60</v>
      </c>
      <c r="J65" s="48" t="s">
        <v>31</v>
      </c>
      <c r="K65" s="48" t="s">
        <v>32</v>
      </c>
      <c r="L65" s="2"/>
      <c r="M65" s="126">
        <v>60</v>
      </c>
    </row>
    <row r="66" spans="1:13" ht="15.75" customHeight="1">
      <c r="A66" s="50">
        <v>5</v>
      </c>
      <c r="B66" s="48" t="s">
        <v>2203</v>
      </c>
      <c r="C66" s="48" t="s">
        <v>27</v>
      </c>
      <c r="D66" s="48" t="s">
        <v>1165</v>
      </c>
      <c r="E66" s="48" t="s">
        <v>191</v>
      </c>
      <c r="F66" s="48"/>
      <c r="G66" s="48" t="s">
        <v>30</v>
      </c>
      <c r="H66" s="51">
        <v>300</v>
      </c>
      <c r="I66" s="119">
        <v>60</v>
      </c>
      <c r="J66" s="48" t="s">
        <v>31</v>
      </c>
      <c r="K66" s="48" t="s">
        <v>32</v>
      </c>
      <c r="L66" s="2"/>
      <c r="M66" s="126">
        <v>50</v>
      </c>
    </row>
    <row r="67" spans="1:13" ht="15.75" customHeight="1">
      <c r="A67" s="50">
        <v>5</v>
      </c>
      <c r="B67" s="48" t="s">
        <v>2204</v>
      </c>
      <c r="C67" s="48" t="s">
        <v>27</v>
      </c>
      <c r="D67" s="48" t="s">
        <v>2205</v>
      </c>
      <c r="E67" s="48" t="s">
        <v>84</v>
      </c>
      <c r="F67" s="48"/>
      <c r="G67" s="48" t="s">
        <v>30</v>
      </c>
      <c r="H67" s="51">
        <v>200</v>
      </c>
      <c r="I67" s="119">
        <v>40</v>
      </c>
      <c r="J67" s="48" t="s">
        <v>31</v>
      </c>
      <c r="K67" s="48" t="s">
        <v>32</v>
      </c>
      <c r="L67" s="2"/>
      <c r="M67" s="126">
        <v>40</v>
      </c>
    </row>
    <row r="68" spans="1:13" ht="15.75" customHeight="1">
      <c r="A68" s="50">
        <v>5</v>
      </c>
      <c r="B68" s="48" t="s">
        <v>2206</v>
      </c>
      <c r="C68" s="48" t="s">
        <v>27</v>
      </c>
      <c r="D68" s="48" t="s">
        <v>100</v>
      </c>
      <c r="E68" s="48" t="s">
        <v>145</v>
      </c>
      <c r="F68" s="48"/>
      <c r="G68" s="48" t="s">
        <v>30</v>
      </c>
      <c r="H68" s="51">
        <v>500</v>
      </c>
      <c r="I68" s="119">
        <v>100</v>
      </c>
      <c r="J68" s="48" t="s">
        <v>31</v>
      </c>
      <c r="K68" s="48" t="s">
        <v>32</v>
      </c>
      <c r="L68" s="2"/>
      <c r="M68" s="126">
        <v>60</v>
      </c>
    </row>
    <row r="69" spans="1:13" ht="15.75" customHeight="1">
      <c r="A69" s="50">
        <v>5</v>
      </c>
      <c r="B69" s="48" t="s">
        <v>2207</v>
      </c>
      <c r="C69" s="48" t="s">
        <v>27</v>
      </c>
      <c r="D69" s="48" t="s">
        <v>68</v>
      </c>
      <c r="E69" s="48" t="s">
        <v>79</v>
      </c>
      <c r="F69" s="48"/>
      <c r="G69" s="48" t="s">
        <v>30</v>
      </c>
      <c r="H69" s="51">
        <v>500</v>
      </c>
      <c r="I69" s="119">
        <v>100</v>
      </c>
      <c r="J69" s="48" t="s">
        <v>31</v>
      </c>
      <c r="K69" s="48" t="s">
        <v>32</v>
      </c>
      <c r="L69" s="2"/>
      <c r="M69" s="126">
        <v>100</v>
      </c>
    </row>
    <row r="70" spans="1:13" ht="15.75" customHeight="1">
      <c r="A70" s="50">
        <v>5</v>
      </c>
      <c r="B70" s="48" t="s">
        <v>2208</v>
      </c>
      <c r="C70" s="48" t="s">
        <v>39</v>
      </c>
      <c r="D70" s="48" t="s">
        <v>1120</v>
      </c>
      <c r="E70" s="48" t="s">
        <v>84</v>
      </c>
      <c r="F70" s="48"/>
      <c r="G70" s="48" t="s">
        <v>30</v>
      </c>
      <c r="H70" s="51">
        <v>700</v>
      </c>
      <c r="I70" s="119">
        <v>140</v>
      </c>
      <c r="J70" s="48" t="s">
        <v>31</v>
      </c>
      <c r="K70" s="48" t="s">
        <v>32</v>
      </c>
      <c r="L70" s="2"/>
      <c r="M70" s="126">
        <v>150</v>
      </c>
    </row>
    <row r="71" spans="1:13" ht="15.75" customHeight="1">
      <c r="A71" s="50">
        <v>5</v>
      </c>
      <c r="B71" s="48" t="s">
        <v>1629</v>
      </c>
      <c r="C71" s="48" t="s">
        <v>39</v>
      </c>
      <c r="D71" s="48" t="s">
        <v>100</v>
      </c>
      <c r="E71" s="48" t="s">
        <v>29</v>
      </c>
      <c r="F71" s="48"/>
      <c r="G71" s="48" t="s">
        <v>30</v>
      </c>
      <c r="H71" s="51">
        <v>600</v>
      </c>
      <c r="I71" s="119">
        <v>120</v>
      </c>
      <c r="J71" s="48" t="s">
        <v>31</v>
      </c>
      <c r="K71" s="48" t="s">
        <v>32</v>
      </c>
      <c r="L71" s="2"/>
      <c r="M71" s="126">
        <v>130</v>
      </c>
    </row>
    <row r="72" spans="1:13" ht="15.75" customHeight="1">
      <c r="A72" s="50">
        <v>5</v>
      </c>
      <c r="B72" s="48" t="s">
        <v>2080</v>
      </c>
      <c r="C72" s="48" t="s">
        <v>27</v>
      </c>
      <c r="D72" s="48" t="s">
        <v>2081</v>
      </c>
      <c r="E72" s="48" t="s">
        <v>223</v>
      </c>
      <c r="F72" s="48"/>
      <c r="G72" s="48" t="s">
        <v>30</v>
      </c>
      <c r="H72" s="51">
        <v>700</v>
      </c>
      <c r="I72" s="119">
        <v>140</v>
      </c>
      <c r="J72" s="48" t="s">
        <v>31</v>
      </c>
      <c r="K72" s="48" t="s">
        <v>32</v>
      </c>
      <c r="L72" s="2"/>
      <c r="M72" s="126">
        <v>150</v>
      </c>
    </row>
    <row r="73" spans="1:13" ht="15.75" customHeight="1">
      <c r="A73" s="50">
        <v>5</v>
      </c>
      <c r="B73" s="48" t="s">
        <v>2209</v>
      </c>
      <c r="C73" s="48" t="s">
        <v>27</v>
      </c>
      <c r="D73" s="48" t="s">
        <v>100</v>
      </c>
      <c r="E73" s="48" t="s">
        <v>36</v>
      </c>
      <c r="F73" s="48"/>
      <c r="G73" s="48" t="s">
        <v>30</v>
      </c>
      <c r="H73" s="51">
        <v>400</v>
      </c>
      <c r="I73" s="119">
        <v>80</v>
      </c>
      <c r="J73" s="48" t="s">
        <v>31</v>
      </c>
      <c r="K73" s="48" t="s">
        <v>32</v>
      </c>
      <c r="L73" s="2"/>
      <c r="M73" s="126">
        <v>100</v>
      </c>
    </row>
    <row r="74" spans="1:13" ht="15.75" customHeight="1">
      <c r="A74" s="50">
        <v>5</v>
      </c>
      <c r="B74" s="48" t="s">
        <v>2210</v>
      </c>
      <c r="C74" s="48" t="s">
        <v>27</v>
      </c>
      <c r="D74" s="48" t="s">
        <v>2211</v>
      </c>
      <c r="E74" s="48" t="s">
        <v>29</v>
      </c>
      <c r="F74" s="48"/>
      <c r="G74" s="48" t="s">
        <v>30</v>
      </c>
      <c r="H74" s="51">
        <v>1000</v>
      </c>
      <c r="I74" s="119">
        <v>200</v>
      </c>
      <c r="J74" s="48" t="s">
        <v>31</v>
      </c>
      <c r="K74" s="48" t="s">
        <v>32</v>
      </c>
      <c r="L74" s="2"/>
      <c r="M74" s="126">
        <v>200</v>
      </c>
    </row>
    <row r="75" spans="1:13" ht="15.75" customHeight="1">
      <c r="A75" s="50">
        <v>5</v>
      </c>
      <c r="B75" s="48" t="s">
        <v>2212</v>
      </c>
      <c r="C75" s="48" t="s">
        <v>27</v>
      </c>
      <c r="D75" s="48" t="s">
        <v>132</v>
      </c>
      <c r="E75" s="48" t="s">
        <v>86</v>
      </c>
      <c r="F75" s="48"/>
      <c r="G75" s="48" t="s">
        <v>30</v>
      </c>
      <c r="H75" s="51">
        <v>200</v>
      </c>
      <c r="I75" s="119">
        <v>40</v>
      </c>
      <c r="J75" s="48" t="s">
        <v>31</v>
      </c>
      <c r="K75" s="48" t="s">
        <v>32</v>
      </c>
      <c r="L75" s="2"/>
      <c r="M75" s="126">
        <v>50</v>
      </c>
    </row>
    <row r="76" spans="1:13" ht="15.75" customHeight="1">
      <c r="A76" s="50">
        <v>5</v>
      </c>
      <c r="B76" s="48" t="s">
        <v>2213</v>
      </c>
      <c r="C76" s="48" t="s">
        <v>27</v>
      </c>
      <c r="D76" s="48" t="s">
        <v>195</v>
      </c>
      <c r="E76" s="48" t="s">
        <v>86</v>
      </c>
      <c r="F76" s="48"/>
      <c r="G76" s="48" t="s">
        <v>30</v>
      </c>
      <c r="H76" s="51">
        <v>400</v>
      </c>
      <c r="I76" s="119">
        <v>80</v>
      </c>
      <c r="J76" s="48" t="s">
        <v>31</v>
      </c>
      <c r="K76" s="48" t="s">
        <v>32</v>
      </c>
      <c r="L76" s="2"/>
      <c r="M76" s="126">
        <v>200</v>
      </c>
    </row>
    <row r="77" spans="1:13" ht="15.75" customHeight="1">
      <c r="A77" s="50">
        <v>5</v>
      </c>
      <c r="B77" s="48" t="s">
        <v>2214</v>
      </c>
      <c r="C77" s="48" t="s">
        <v>27</v>
      </c>
      <c r="D77" s="48" t="s">
        <v>2215</v>
      </c>
      <c r="E77" s="48" t="s">
        <v>245</v>
      </c>
      <c r="F77" s="48"/>
      <c r="G77" s="48" t="s">
        <v>30</v>
      </c>
      <c r="H77" s="51">
        <v>200</v>
      </c>
      <c r="I77" s="119">
        <v>40</v>
      </c>
      <c r="J77" s="48" t="s">
        <v>31</v>
      </c>
      <c r="K77" s="48" t="s">
        <v>32</v>
      </c>
      <c r="L77" s="2"/>
      <c r="M77" s="126">
        <v>50</v>
      </c>
    </row>
    <row r="78" spans="1:13" ht="15.75" customHeight="1">
      <c r="A78" s="50">
        <v>5</v>
      </c>
      <c r="B78" s="48" t="s">
        <v>2216</v>
      </c>
      <c r="C78" s="48" t="s">
        <v>27</v>
      </c>
      <c r="D78" s="48" t="s">
        <v>289</v>
      </c>
      <c r="E78" s="48" t="s">
        <v>36</v>
      </c>
      <c r="F78" s="48"/>
      <c r="G78" s="48" t="s">
        <v>30</v>
      </c>
      <c r="H78" s="51">
        <v>500</v>
      </c>
      <c r="I78" s="119">
        <v>100</v>
      </c>
      <c r="J78" s="48" t="s">
        <v>31</v>
      </c>
      <c r="K78" s="48" t="s">
        <v>32</v>
      </c>
      <c r="L78" s="2"/>
      <c r="M78" s="126">
        <v>100</v>
      </c>
    </row>
    <row r="79" spans="1:13" ht="15.75" customHeight="1">
      <c r="A79" s="50">
        <v>5</v>
      </c>
      <c r="B79" s="48" t="s">
        <v>2217</v>
      </c>
      <c r="C79" s="48" t="s">
        <v>27</v>
      </c>
      <c r="D79" s="48" t="s">
        <v>1076</v>
      </c>
      <c r="E79" s="48" t="s">
        <v>89</v>
      </c>
      <c r="F79" s="48"/>
      <c r="G79" s="48" t="s">
        <v>30</v>
      </c>
      <c r="H79" s="51">
        <v>500</v>
      </c>
      <c r="I79" s="119" t="s">
        <v>1586</v>
      </c>
      <c r="J79" s="48" t="s">
        <v>31</v>
      </c>
      <c r="K79" s="48" t="s">
        <v>32</v>
      </c>
      <c r="L79" s="2"/>
      <c r="M79" s="126">
        <v>120</v>
      </c>
    </row>
    <row r="80" spans="1:13" ht="15.75" customHeight="1">
      <c r="A80" s="50">
        <v>5</v>
      </c>
      <c r="B80" s="48" t="s">
        <v>2217</v>
      </c>
      <c r="C80" s="48" t="s">
        <v>27</v>
      </c>
      <c r="D80" s="48" t="s">
        <v>1076</v>
      </c>
      <c r="E80" s="48" t="s">
        <v>89</v>
      </c>
      <c r="F80" s="48"/>
      <c r="G80" s="48" t="s">
        <v>30</v>
      </c>
      <c r="H80" s="51">
        <v>500</v>
      </c>
      <c r="I80" s="119">
        <v>100</v>
      </c>
      <c r="J80" s="48" t="s">
        <v>31</v>
      </c>
      <c r="K80" s="48" t="s">
        <v>32</v>
      </c>
      <c r="L80" s="2"/>
    </row>
    <row r="81" spans="1:13" ht="15.75" customHeight="1">
      <c r="A81" s="50">
        <v>5</v>
      </c>
      <c r="B81" s="373" t="s">
        <v>2218</v>
      </c>
      <c r="C81" s="48" t="s">
        <v>27</v>
      </c>
      <c r="D81" s="48" t="s">
        <v>2219</v>
      </c>
      <c r="E81" s="48" t="s">
        <v>79</v>
      </c>
      <c r="F81" s="48"/>
      <c r="G81" s="48" t="s">
        <v>30</v>
      </c>
      <c r="H81" s="51">
        <v>5000</v>
      </c>
      <c r="I81" s="119">
        <v>1000</v>
      </c>
      <c r="J81" s="48" t="s">
        <v>31</v>
      </c>
      <c r="K81" s="48" t="s">
        <v>32</v>
      </c>
      <c r="L81" s="2"/>
      <c r="M81" s="126">
        <v>600</v>
      </c>
    </row>
    <row r="82" spans="1:13" ht="15.75" customHeight="1">
      <c r="A82" s="65">
        <v>5</v>
      </c>
      <c r="B82" s="374" t="s">
        <v>2220</v>
      </c>
      <c r="C82" s="58" t="s">
        <v>27</v>
      </c>
      <c r="D82" s="58" t="s">
        <v>278</v>
      </c>
      <c r="E82" s="58" t="s">
        <v>245</v>
      </c>
      <c r="F82" s="58"/>
      <c r="G82" s="58" t="s">
        <v>30</v>
      </c>
      <c r="H82" s="59">
        <v>100</v>
      </c>
      <c r="I82" s="160">
        <v>20</v>
      </c>
      <c r="J82" s="58" t="s">
        <v>31</v>
      </c>
      <c r="K82" s="58" t="s">
        <v>32</v>
      </c>
      <c r="L82" s="2"/>
      <c r="M82" s="126">
        <v>15</v>
      </c>
    </row>
    <row r="83" spans="1:13" ht="15.75" customHeight="1">
      <c r="A83" s="61">
        <v>6</v>
      </c>
      <c r="B83" s="375" t="s">
        <v>2221</v>
      </c>
      <c r="C83" s="62" t="s">
        <v>39</v>
      </c>
      <c r="D83" s="62" t="s">
        <v>114</v>
      </c>
      <c r="E83" s="62" t="s">
        <v>2222</v>
      </c>
      <c r="F83" s="62"/>
      <c r="G83" s="62" t="s">
        <v>30</v>
      </c>
      <c r="H83" s="63">
        <v>4900</v>
      </c>
      <c r="I83" s="159">
        <v>980</v>
      </c>
      <c r="J83" s="62" t="s">
        <v>31</v>
      </c>
      <c r="K83" s="62" t="s">
        <v>32</v>
      </c>
      <c r="L83" s="2"/>
      <c r="M83" s="126">
        <v>400</v>
      </c>
    </row>
    <row r="84" spans="1:13" ht="15.75" customHeight="1">
      <c r="A84" s="61">
        <v>6</v>
      </c>
      <c r="B84" s="375" t="s">
        <v>2223</v>
      </c>
      <c r="C84" s="62" t="s">
        <v>27</v>
      </c>
      <c r="D84" s="62" t="s">
        <v>637</v>
      </c>
      <c r="E84" s="62" t="s">
        <v>54</v>
      </c>
      <c r="F84" s="62"/>
      <c r="G84" s="62" t="s">
        <v>30</v>
      </c>
      <c r="H84" s="63">
        <v>500</v>
      </c>
      <c r="I84" s="159">
        <v>100</v>
      </c>
      <c r="J84" s="62" t="s">
        <v>31</v>
      </c>
      <c r="K84" s="62" t="s">
        <v>32</v>
      </c>
      <c r="L84" s="2"/>
      <c r="M84" s="126">
        <v>100</v>
      </c>
    </row>
    <row r="85" spans="1:13" ht="15.75" customHeight="1">
      <c r="A85" s="61">
        <v>6</v>
      </c>
      <c r="B85" s="375" t="s">
        <v>2224</v>
      </c>
      <c r="C85" s="62" t="s">
        <v>27</v>
      </c>
      <c r="D85" s="62" t="s">
        <v>326</v>
      </c>
      <c r="E85" s="62" t="s">
        <v>41</v>
      </c>
      <c r="F85" s="62"/>
      <c r="G85" s="62" t="s">
        <v>30</v>
      </c>
      <c r="H85" s="63">
        <v>10000</v>
      </c>
      <c r="I85" s="159">
        <v>2000</v>
      </c>
      <c r="J85" s="62" t="s">
        <v>31</v>
      </c>
      <c r="K85" s="62" t="s">
        <v>32</v>
      </c>
      <c r="L85" s="2"/>
      <c r="M85" s="126">
        <v>3000</v>
      </c>
    </row>
    <row r="86" spans="1:13" ht="15.75" customHeight="1">
      <c r="A86" s="61">
        <v>6</v>
      </c>
      <c r="B86" s="375" t="s">
        <v>2225</v>
      </c>
      <c r="C86" s="62" t="s">
        <v>27</v>
      </c>
      <c r="D86" s="62" t="s">
        <v>1489</v>
      </c>
      <c r="E86" s="62" t="s">
        <v>86</v>
      </c>
      <c r="F86" s="62"/>
      <c r="G86" s="62" t="s">
        <v>30</v>
      </c>
      <c r="H86" s="63">
        <v>200</v>
      </c>
      <c r="I86" s="159">
        <v>40</v>
      </c>
      <c r="J86" s="62" t="s">
        <v>31</v>
      </c>
      <c r="K86" s="62" t="s">
        <v>32</v>
      </c>
      <c r="L86" s="2"/>
      <c r="M86" s="126">
        <v>9</v>
      </c>
    </row>
    <row r="87" spans="1:13" ht="15.75" customHeight="1">
      <c r="A87" s="61">
        <v>6</v>
      </c>
      <c r="B87" s="375" t="s">
        <v>2226</v>
      </c>
      <c r="C87" s="62" t="s">
        <v>27</v>
      </c>
      <c r="D87" s="62" t="s">
        <v>1439</v>
      </c>
      <c r="E87" s="62" t="s">
        <v>54</v>
      </c>
      <c r="F87" s="62"/>
      <c r="G87" s="62" t="s">
        <v>30</v>
      </c>
      <c r="H87" s="63">
        <v>3000</v>
      </c>
      <c r="I87" s="159">
        <v>600</v>
      </c>
      <c r="J87" s="62" t="s">
        <v>31</v>
      </c>
      <c r="K87" s="62" t="s">
        <v>32</v>
      </c>
      <c r="L87" s="2"/>
      <c r="M87" s="126">
        <v>600</v>
      </c>
    </row>
    <row r="88" spans="1:13" ht="15.75" customHeight="1">
      <c r="A88" s="61">
        <v>6</v>
      </c>
      <c r="B88" s="375" t="s">
        <v>2227</v>
      </c>
      <c r="C88" s="62" t="s">
        <v>27</v>
      </c>
      <c r="D88" s="62" t="s">
        <v>2228</v>
      </c>
      <c r="E88" s="62" t="s">
        <v>385</v>
      </c>
      <c r="F88" s="62"/>
      <c r="G88" s="62" t="s">
        <v>30</v>
      </c>
      <c r="H88" s="63">
        <v>500</v>
      </c>
      <c r="I88" s="159">
        <v>100</v>
      </c>
      <c r="J88" s="62" t="s">
        <v>31</v>
      </c>
      <c r="K88" s="62" t="s">
        <v>32</v>
      </c>
      <c r="L88" s="2"/>
      <c r="M88" s="126">
        <v>64</v>
      </c>
    </row>
    <row r="89" spans="1:13" ht="15.75" customHeight="1">
      <c r="A89" s="61">
        <v>6</v>
      </c>
      <c r="B89" s="375" t="s">
        <v>2229</v>
      </c>
      <c r="C89" s="62" t="s">
        <v>27</v>
      </c>
      <c r="D89" s="62" t="s">
        <v>266</v>
      </c>
      <c r="E89" s="62" t="s">
        <v>79</v>
      </c>
      <c r="F89" s="62"/>
      <c r="G89" s="62" t="s">
        <v>30</v>
      </c>
      <c r="H89" s="63">
        <v>500</v>
      </c>
      <c r="I89" s="159" t="s">
        <v>1586</v>
      </c>
      <c r="J89" s="62" t="s">
        <v>31</v>
      </c>
      <c r="K89" s="62" t="s">
        <v>32</v>
      </c>
      <c r="L89" s="2"/>
      <c r="M89" s="126">
        <v>500</v>
      </c>
    </row>
    <row r="90" spans="1:13" ht="15.75" customHeight="1">
      <c r="A90" s="61">
        <v>6</v>
      </c>
      <c r="B90" s="375" t="s">
        <v>2229</v>
      </c>
      <c r="C90" s="62" t="s">
        <v>27</v>
      </c>
      <c r="D90" s="62" t="s">
        <v>266</v>
      </c>
      <c r="E90" s="62" t="s">
        <v>79</v>
      </c>
      <c r="F90" s="62"/>
      <c r="G90" s="62" t="s">
        <v>30</v>
      </c>
      <c r="H90" s="63">
        <v>2000</v>
      </c>
      <c r="I90" s="159">
        <v>400</v>
      </c>
      <c r="J90" s="62" t="s">
        <v>31</v>
      </c>
      <c r="K90" s="62" t="s">
        <v>32</v>
      </c>
      <c r="L90" s="2"/>
    </row>
    <row r="91" spans="1:13" ht="15.75" customHeight="1">
      <c r="A91" s="61">
        <v>6</v>
      </c>
      <c r="B91" s="62" t="s">
        <v>2230</v>
      </c>
      <c r="C91" s="62" t="s">
        <v>27</v>
      </c>
      <c r="D91" s="62" t="s">
        <v>400</v>
      </c>
      <c r="E91" s="62" t="s">
        <v>36</v>
      </c>
      <c r="F91" s="62"/>
      <c r="G91" s="62" t="s">
        <v>30</v>
      </c>
      <c r="H91" s="63">
        <v>5000</v>
      </c>
      <c r="I91" s="159">
        <v>1000</v>
      </c>
      <c r="J91" s="62" t="s">
        <v>31</v>
      </c>
      <c r="K91" s="62" t="s">
        <v>32</v>
      </c>
      <c r="L91" s="2"/>
      <c r="M91" s="126">
        <v>1200</v>
      </c>
    </row>
    <row r="92" spans="1:13" ht="15.75" customHeight="1">
      <c r="A92" s="61">
        <v>6</v>
      </c>
      <c r="B92" s="375" t="s">
        <v>2231</v>
      </c>
      <c r="C92" s="62" t="s">
        <v>27</v>
      </c>
      <c r="D92" s="62" t="s">
        <v>193</v>
      </c>
      <c r="E92" s="62" t="s">
        <v>36</v>
      </c>
      <c r="F92" s="62"/>
      <c r="G92" s="62" t="s">
        <v>30</v>
      </c>
      <c r="H92" s="63">
        <v>500</v>
      </c>
      <c r="I92" s="159" t="s">
        <v>1586</v>
      </c>
      <c r="J92" s="62" t="s">
        <v>31</v>
      </c>
      <c r="K92" s="62" t="s">
        <v>32</v>
      </c>
      <c r="L92" s="2"/>
      <c r="M92" s="126">
        <v>400</v>
      </c>
    </row>
    <row r="93" spans="1:13" ht="15.75" customHeight="1">
      <c r="A93" s="61">
        <v>6</v>
      </c>
      <c r="B93" s="375" t="s">
        <v>2231</v>
      </c>
      <c r="C93" s="62" t="s">
        <v>27</v>
      </c>
      <c r="D93" s="62" t="s">
        <v>193</v>
      </c>
      <c r="E93" s="62" t="s">
        <v>36</v>
      </c>
      <c r="F93" s="62"/>
      <c r="G93" s="62" t="s">
        <v>30</v>
      </c>
      <c r="H93" s="63">
        <v>4000</v>
      </c>
      <c r="I93" s="159">
        <v>800</v>
      </c>
      <c r="J93" s="62" t="s">
        <v>31</v>
      </c>
      <c r="K93" s="62" t="s">
        <v>32</v>
      </c>
      <c r="L93" s="2"/>
    </row>
    <row r="94" spans="1:13" ht="15.75" customHeight="1">
      <c r="A94" s="61">
        <v>6</v>
      </c>
      <c r="B94" s="375" t="s">
        <v>2232</v>
      </c>
      <c r="C94" s="62" t="s">
        <v>27</v>
      </c>
      <c r="D94" s="62" t="s">
        <v>2233</v>
      </c>
      <c r="E94" s="62" t="s">
        <v>73</v>
      </c>
      <c r="F94" s="62"/>
      <c r="G94" s="62" t="s">
        <v>30</v>
      </c>
      <c r="H94" s="63">
        <v>300</v>
      </c>
      <c r="I94" s="159">
        <v>60</v>
      </c>
      <c r="J94" s="62" t="s">
        <v>31</v>
      </c>
      <c r="K94" s="62" t="s">
        <v>32</v>
      </c>
      <c r="L94" s="2"/>
      <c r="M94" s="126">
        <v>60</v>
      </c>
    </row>
    <row r="95" spans="1:13" ht="15.75" customHeight="1">
      <c r="A95" s="61">
        <v>6</v>
      </c>
      <c r="B95" s="375" t="s">
        <v>2234</v>
      </c>
      <c r="C95" s="62" t="s">
        <v>39</v>
      </c>
      <c r="D95" s="62" t="s">
        <v>110</v>
      </c>
      <c r="E95" s="62" t="s">
        <v>36</v>
      </c>
      <c r="F95" s="62"/>
      <c r="G95" s="62" t="s">
        <v>30</v>
      </c>
      <c r="H95" s="63">
        <v>2000</v>
      </c>
      <c r="I95" s="159">
        <v>400</v>
      </c>
      <c r="J95" s="62" t="s">
        <v>31</v>
      </c>
      <c r="K95" s="62" t="s">
        <v>32</v>
      </c>
      <c r="L95" s="2"/>
      <c r="M95" s="126">
        <v>450</v>
      </c>
    </row>
    <row r="96" spans="1:13" ht="15.75" customHeight="1">
      <c r="A96" s="61">
        <v>6</v>
      </c>
      <c r="B96" s="375" t="s">
        <v>2235</v>
      </c>
      <c r="C96" s="62" t="s">
        <v>27</v>
      </c>
      <c r="D96" s="62" t="s">
        <v>623</v>
      </c>
      <c r="E96" s="62" t="s">
        <v>44</v>
      </c>
      <c r="F96" s="62"/>
      <c r="G96" s="62" t="s">
        <v>30</v>
      </c>
      <c r="H96" s="63">
        <v>500</v>
      </c>
      <c r="I96" s="159">
        <v>100</v>
      </c>
      <c r="J96" s="62" t="s">
        <v>31</v>
      </c>
      <c r="K96" s="62" t="s">
        <v>32</v>
      </c>
      <c r="L96" s="2"/>
      <c r="M96" s="126">
        <v>100</v>
      </c>
    </row>
    <row r="97" spans="1:13" ht="15.75" customHeight="1">
      <c r="A97" s="61">
        <v>6</v>
      </c>
      <c r="B97" s="375" t="s">
        <v>2236</v>
      </c>
      <c r="C97" s="62" t="s">
        <v>27</v>
      </c>
      <c r="D97" s="62" t="s">
        <v>1621</v>
      </c>
      <c r="E97" s="62" t="s">
        <v>84</v>
      </c>
      <c r="F97" s="62"/>
      <c r="G97" s="62" t="s">
        <v>30</v>
      </c>
      <c r="H97" s="63">
        <v>300</v>
      </c>
      <c r="I97" s="159">
        <v>60</v>
      </c>
      <c r="J97" s="62" t="s">
        <v>31</v>
      </c>
      <c r="K97" s="62" t="s">
        <v>32</v>
      </c>
      <c r="L97" s="2"/>
      <c r="M97" s="126">
        <v>65</v>
      </c>
    </row>
    <row r="98" spans="1:13" ht="15.75" customHeight="1">
      <c r="A98" s="61">
        <v>6</v>
      </c>
      <c r="B98" s="375" t="s">
        <v>2237</v>
      </c>
      <c r="C98" s="62" t="s">
        <v>39</v>
      </c>
      <c r="D98" s="62" t="s">
        <v>2238</v>
      </c>
      <c r="E98" s="62" t="s">
        <v>839</v>
      </c>
      <c r="F98" s="62"/>
      <c r="G98" s="62" t="s">
        <v>608</v>
      </c>
      <c r="H98" s="63">
        <v>30</v>
      </c>
      <c r="I98" s="159">
        <v>300</v>
      </c>
      <c r="J98" s="62" t="s">
        <v>31</v>
      </c>
      <c r="K98" s="62" t="s">
        <v>32</v>
      </c>
      <c r="L98" s="2"/>
    </row>
    <row r="99" spans="1:13" ht="15.75" customHeight="1">
      <c r="A99" s="61">
        <v>6</v>
      </c>
      <c r="B99" s="375" t="s">
        <v>2239</v>
      </c>
      <c r="C99" s="62" t="s">
        <v>27</v>
      </c>
      <c r="D99" s="62" t="s">
        <v>2240</v>
      </c>
      <c r="E99" s="62" t="s">
        <v>310</v>
      </c>
      <c r="F99" s="62"/>
      <c r="G99" s="62" t="s">
        <v>30</v>
      </c>
      <c r="H99" s="63">
        <v>1500</v>
      </c>
      <c r="I99" s="159">
        <v>300</v>
      </c>
      <c r="J99" s="62" t="s">
        <v>31</v>
      </c>
      <c r="K99" s="62" t="s">
        <v>32</v>
      </c>
      <c r="L99" s="2"/>
      <c r="M99" s="126">
        <v>100</v>
      </c>
    </row>
    <row r="100" spans="1:13" ht="15.75" customHeight="1">
      <c r="A100" s="61">
        <v>6</v>
      </c>
      <c r="B100" s="375" t="s">
        <v>2241</v>
      </c>
      <c r="C100" s="62" t="s">
        <v>39</v>
      </c>
      <c r="D100" s="62" t="s">
        <v>400</v>
      </c>
      <c r="E100" s="62" t="s">
        <v>36</v>
      </c>
      <c r="F100" s="62"/>
      <c r="G100" s="62" t="s">
        <v>30</v>
      </c>
      <c r="H100" s="63">
        <v>4000</v>
      </c>
      <c r="I100" s="159">
        <v>800</v>
      </c>
      <c r="J100" s="62" t="s">
        <v>31</v>
      </c>
      <c r="K100" s="62" t="s">
        <v>32</v>
      </c>
      <c r="L100" s="2"/>
      <c r="M100" s="126">
        <v>800</v>
      </c>
    </row>
    <row r="101" spans="1:13" ht="15.75" customHeight="1">
      <c r="A101" s="61">
        <v>6</v>
      </c>
      <c r="B101" s="376" t="s">
        <v>2242</v>
      </c>
      <c r="C101" s="376" t="s">
        <v>27</v>
      </c>
      <c r="D101" s="376" t="s">
        <v>2243</v>
      </c>
      <c r="E101" s="376" t="s">
        <v>68</v>
      </c>
      <c r="F101" s="376"/>
      <c r="G101" s="376" t="s">
        <v>579</v>
      </c>
      <c r="H101" s="377">
        <v>1000</v>
      </c>
      <c r="I101" s="378">
        <v>1000</v>
      </c>
      <c r="J101" s="62" t="s">
        <v>31</v>
      </c>
      <c r="K101" s="62" t="s">
        <v>32</v>
      </c>
      <c r="L101" s="2"/>
      <c r="M101" s="126">
        <v>400</v>
      </c>
    </row>
    <row r="102" spans="1:13" ht="15.75" customHeight="1">
      <c r="A102" s="61">
        <v>6</v>
      </c>
      <c r="B102" s="375" t="s">
        <v>2244</v>
      </c>
      <c r="C102" s="62" t="s">
        <v>27</v>
      </c>
      <c r="D102" s="62" t="s">
        <v>193</v>
      </c>
      <c r="E102" s="62" t="s">
        <v>36</v>
      </c>
      <c r="F102" s="62"/>
      <c r="G102" s="62" t="s">
        <v>30</v>
      </c>
      <c r="H102" s="63">
        <v>500</v>
      </c>
      <c r="I102" s="159" t="s">
        <v>1586</v>
      </c>
      <c r="J102" s="62" t="s">
        <v>31</v>
      </c>
      <c r="K102" s="62" t="s">
        <v>32</v>
      </c>
      <c r="L102" s="2"/>
      <c r="M102" s="126">
        <v>360</v>
      </c>
    </row>
    <row r="103" spans="1:13" ht="15.75" customHeight="1">
      <c r="A103" s="61">
        <v>6</v>
      </c>
      <c r="B103" s="375" t="s">
        <v>2244</v>
      </c>
      <c r="C103" s="62" t="s">
        <v>27</v>
      </c>
      <c r="D103" s="62" t="s">
        <v>193</v>
      </c>
      <c r="E103" s="62" t="s">
        <v>36</v>
      </c>
      <c r="F103" s="62"/>
      <c r="G103" s="62" t="s">
        <v>30</v>
      </c>
      <c r="H103" s="63">
        <v>1500</v>
      </c>
      <c r="I103" s="159">
        <v>300</v>
      </c>
      <c r="J103" s="62" t="s">
        <v>31</v>
      </c>
      <c r="K103" s="62" t="s">
        <v>32</v>
      </c>
      <c r="L103" s="2"/>
    </row>
    <row r="104" spans="1:13" ht="15.75" customHeight="1">
      <c r="A104" s="61">
        <v>6</v>
      </c>
      <c r="B104" s="375" t="s">
        <v>2245</v>
      </c>
      <c r="C104" s="62" t="s">
        <v>27</v>
      </c>
      <c r="D104" s="62" t="s">
        <v>193</v>
      </c>
      <c r="E104" s="62" t="s">
        <v>36</v>
      </c>
      <c r="F104" s="62"/>
      <c r="G104" s="62" t="s">
        <v>30</v>
      </c>
      <c r="H104" s="63">
        <v>500</v>
      </c>
      <c r="I104" s="159" t="s">
        <v>1586</v>
      </c>
      <c r="J104" s="62" t="s">
        <v>31</v>
      </c>
      <c r="K104" s="62" t="s">
        <v>32</v>
      </c>
      <c r="L104" s="2"/>
      <c r="M104" s="126">
        <v>300</v>
      </c>
    </row>
    <row r="105" spans="1:13" ht="15.75" customHeight="1">
      <c r="A105" s="61">
        <v>6</v>
      </c>
      <c r="B105" s="375" t="s">
        <v>2245</v>
      </c>
      <c r="C105" s="62" t="s">
        <v>27</v>
      </c>
      <c r="D105" s="62" t="s">
        <v>193</v>
      </c>
      <c r="E105" s="62" t="s">
        <v>36</v>
      </c>
      <c r="F105" s="62"/>
      <c r="G105" s="62" t="s">
        <v>30</v>
      </c>
      <c r="H105" s="63">
        <v>1500</v>
      </c>
      <c r="I105" s="159">
        <v>300</v>
      </c>
      <c r="J105" s="62" t="s">
        <v>31</v>
      </c>
      <c r="K105" s="62" t="s">
        <v>32</v>
      </c>
      <c r="L105" s="2"/>
    </row>
    <row r="106" spans="1:13" ht="15.75" customHeight="1">
      <c r="A106" s="61">
        <v>6</v>
      </c>
      <c r="B106" s="375" t="s">
        <v>2246</v>
      </c>
      <c r="C106" s="62" t="s">
        <v>27</v>
      </c>
      <c r="D106" s="62" t="s">
        <v>1861</v>
      </c>
      <c r="E106" s="62" t="s">
        <v>191</v>
      </c>
      <c r="F106" s="62"/>
      <c r="G106" s="62" t="s">
        <v>30</v>
      </c>
      <c r="H106" s="63">
        <v>300</v>
      </c>
      <c r="I106" s="159">
        <v>60</v>
      </c>
      <c r="J106" s="62" t="s">
        <v>31</v>
      </c>
      <c r="K106" s="62" t="s">
        <v>32</v>
      </c>
      <c r="L106" s="2"/>
      <c r="M106" s="126">
        <v>60</v>
      </c>
    </row>
    <row r="107" spans="1:13" ht="15.75" customHeight="1">
      <c r="A107" s="61">
        <v>6</v>
      </c>
      <c r="B107" s="375" t="s">
        <v>2247</v>
      </c>
      <c r="C107" s="62" t="s">
        <v>27</v>
      </c>
      <c r="D107" s="62" t="s">
        <v>2248</v>
      </c>
      <c r="E107" s="62" t="s">
        <v>44</v>
      </c>
      <c r="F107" s="62"/>
      <c r="G107" s="62" t="s">
        <v>30</v>
      </c>
      <c r="H107" s="63">
        <v>2000</v>
      </c>
      <c r="I107" s="159">
        <v>400</v>
      </c>
      <c r="J107" s="62" t="s">
        <v>31</v>
      </c>
      <c r="K107" s="62" t="s">
        <v>32</v>
      </c>
      <c r="L107" s="2"/>
      <c r="M107" s="126">
        <v>450</v>
      </c>
    </row>
    <row r="108" spans="1:13" ht="15.75" customHeight="1">
      <c r="A108" s="61">
        <v>6</v>
      </c>
      <c r="B108" s="375" t="s">
        <v>332</v>
      </c>
      <c r="C108" s="62" t="s">
        <v>27</v>
      </c>
      <c r="D108" s="62" t="s">
        <v>1284</v>
      </c>
      <c r="E108" s="62" t="s">
        <v>334</v>
      </c>
      <c r="F108" s="62"/>
      <c r="G108" s="62" t="s">
        <v>30</v>
      </c>
      <c r="H108" s="63">
        <v>500</v>
      </c>
      <c r="I108" s="159" t="s">
        <v>1586</v>
      </c>
      <c r="J108" s="62" t="s">
        <v>31</v>
      </c>
      <c r="K108" s="62" t="s">
        <v>32</v>
      </c>
      <c r="L108" s="2"/>
      <c r="M108" s="126">
        <v>1400</v>
      </c>
    </row>
    <row r="109" spans="1:13" ht="15.75" customHeight="1">
      <c r="A109" s="61">
        <v>6</v>
      </c>
      <c r="B109" s="375" t="s">
        <v>332</v>
      </c>
      <c r="C109" s="62" t="s">
        <v>27</v>
      </c>
      <c r="D109" s="62" t="s">
        <v>1284</v>
      </c>
      <c r="E109" s="62" t="s">
        <v>334</v>
      </c>
      <c r="F109" s="62"/>
      <c r="G109" s="62" t="s">
        <v>30</v>
      </c>
      <c r="H109" s="63">
        <v>7500</v>
      </c>
      <c r="I109" s="159">
        <v>1500</v>
      </c>
      <c r="J109" s="62" t="s">
        <v>31</v>
      </c>
      <c r="K109" s="62" t="s">
        <v>32</v>
      </c>
      <c r="L109" s="2"/>
    </row>
    <row r="110" spans="1:13" ht="15.75" customHeight="1">
      <c r="A110" s="61">
        <v>6</v>
      </c>
      <c r="B110" s="375" t="s">
        <v>2249</v>
      </c>
      <c r="C110" s="62" t="s">
        <v>27</v>
      </c>
      <c r="D110" s="62" t="s">
        <v>137</v>
      </c>
      <c r="E110" s="62" t="s">
        <v>84</v>
      </c>
      <c r="F110" s="62"/>
      <c r="G110" s="62" t="s">
        <v>30</v>
      </c>
      <c r="H110" s="63">
        <v>100</v>
      </c>
      <c r="I110" s="159">
        <v>20</v>
      </c>
      <c r="J110" s="62" t="s">
        <v>31</v>
      </c>
      <c r="K110" s="62" t="s">
        <v>32</v>
      </c>
      <c r="L110" s="2"/>
      <c r="M110" s="126">
        <v>20</v>
      </c>
    </row>
    <row r="111" spans="1:13" ht="15.75" customHeight="1">
      <c r="A111" s="61">
        <v>6</v>
      </c>
      <c r="B111" s="375" t="s">
        <v>2250</v>
      </c>
      <c r="C111" s="62" t="s">
        <v>27</v>
      </c>
      <c r="D111" s="62" t="s">
        <v>712</v>
      </c>
      <c r="E111" s="62" t="s">
        <v>145</v>
      </c>
      <c r="F111" s="62"/>
      <c r="G111" s="62" t="s">
        <v>30</v>
      </c>
      <c r="H111" s="63">
        <v>500</v>
      </c>
      <c r="I111" s="159" t="s">
        <v>1586</v>
      </c>
      <c r="J111" s="62" t="s">
        <v>31</v>
      </c>
      <c r="K111" s="62" t="s">
        <v>32</v>
      </c>
      <c r="L111" s="2"/>
      <c r="M111" s="126">
        <v>400</v>
      </c>
    </row>
    <row r="112" spans="1:13" ht="15.75" customHeight="1">
      <c r="A112" s="61">
        <v>6</v>
      </c>
      <c r="B112" s="375" t="s">
        <v>2250</v>
      </c>
      <c r="C112" s="62" t="s">
        <v>27</v>
      </c>
      <c r="D112" s="62" t="s">
        <v>712</v>
      </c>
      <c r="E112" s="62" t="s">
        <v>145</v>
      </c>
      <c r="F112" s="62"/>
      <c r="G112" s="62" t="s">
        <v>30</v>
      </c>
      <c r="H112" s="63">
        <v>1500</v>
      </c>
      <c r="I112" s="159">
        <v>300</v>
      </c>
      <c r="J112" s="62" t="s">
        <v>31</v>
      </c>
      <c r="K112" s="62" t="s">
        <v>32</v>
      </c>
      <c r="L112" s="2"/>
    </row>
    <row r="113" spans="1:26" ht="15.75" customHeight="1">
      <c r="A113" s="61">
        <v>6</v>
      </c>
      <c r="B113" s="375" t="s">
        <v>2251</v>
      </c>
      <c r="C113" s="62" t="s">
        <v>27</v>
      </c>
      <c r="D113" s="62" t="s">
        <v>712</v>
      </c>
      <c r="E113" s="62" t="s">
        <v>145</v>
      </c>
      <c r="F113" s="62"/>
      <c r="G113" s="62" t="s">
        <v>30</v>
      </c>
      <c r="H113" s="63">
        <v>500</v>
      </c>
      <c r="I113" s="159" t="s">
        <v>1586</v>
      </c>
      <c r="J113" s="62" t="s">
        <v>31</v>
      </c>
      <c r="K113" s="62" t="s">
        <v>32</v>
      </c>
      <c r="L113" s="2"/>
      <c r="M113" s="126">
        <v>360</v>
      </c>
    </row>
    <row r="114" spans="1:26" ht="15.75" customHeight="1">
      <c r="A114" s="61">
        <v>6</v>
      </c>
      <c r="B114" s="375" t="s">
        <v>2252</v>
      </c>
      <c r="C114" s="62" t="s">
        <v>39</v>
      </c>
      <c r="D114" s="62" t="s">
        <v>193</v>
      </c>
      <c r="E114" s="62" t="s">
        <v>36</v>
      </c>
      <c r="F114" s="62"/>
      <c r="G114" s="62" t="s">
        <v>30</v>
      </c>
      <c r="H114" s="63">
        <v>500</v>
      </c>
      <c r="I114" s="159" t="s">
        <v>1586</v>
      </c>
      <c r="J114" s="62" t="s">
        <v>31</v>
      </c>
      <c r="K114" s="62" t="s">
        <v>32</v>
      </c>
      <c r="L114" s="2"/>
      <c r="M114" s="126">
        <v>100</v>
      </c>
    </row>
    <row r="115" spans="1:26" ht="15.75" customHeight="1">
      <c r="A115" s="61">
        <v>6</v>
      </c>
      <c r="B115" s="375" t="s">
        <v>2253</v>
      </c>
      <c r="C115" s="62" t="s">
        <v>39</v>
      </c>
      <c r="D115" s="62" t="s">
        <v>804</v>
      </c>
      <c r="E115" s="62" t="s">
        <v>145</v>
      </c>
      <c r="F115" s="62"/>
      <c r="G115" s="62" t="s">
        <v>30</v>
      </c>
      <c r="H115" s="63">
        <v>500</v>
      </c>
      <c r="I115" s="159" t="s">
        <v>1586</v>
      </c>
      <c r="J115" s="62" t="s">
        <v>31</v>
      </c>
      <c r="K115" s="62" t="s">
        <v>32</v>
      </c>
      <c r="L115" s="2"/>
      <c r="M115" s="126">
        <v>100</v>
      </c>
    </row>
    <row r="116" spans="1:26" ht="15.75" customHeight="1">
      <c r="A116" s="61">
        <v>6</v>
      </c>
      <c r="B116" s="375" t="s">
        <v>2254</v>
      </c>
      <c r="C116" s="62" t="s">
        <v>27</v>
      </c>
      <c r="D116" s="62" t="s">
        <v>804</v>
      </c>
      <c r="E116" s="62" t="s">
        <v>145</v>
      </c>
      <c r="F116" s="62"/>
      <c r="G116" s="62" t="s">
        <v>30</v>
      </c>
      <c r="H116" s="63">
        <v>500</v>
      </c>
      <c r="I116" s="159" t="s">
        <v>1586</v>
      </c>
      <c r="J116" s="62" t="s">
        <v>31</v>
      </c>
      <c r="K116" s="62" t="s">
        <v>32</v>
      </c>
      <c r="L116" s="2"/>
      <c r="M116" s="126">
        <v>100</v>
      </c>
    </row>
    <row r="117" spans="1:26" ht="15.75" customHeight="1">
      <c r="A117" s="61">
        <v>6</v>
      </c>
      <c r="B117" s="290" t="s">
        <v>2255</v>
      </c>
      <c r="C117" s="62" t="s">
        <v>27</v>
      </c>
      <c r="D117" s="292" t="s">
        <v>934</v>
      </c>
      <c r="E117" s="62" t="s">
        <v>44</v>
      </c>
      <c r="F117" s="62"/>
      <c r="G117" s="62" t="s">
        <v>30</v>
      </c>
      <c r="H117" s="63">
        <v>3000</v>
      </c>
      <c r="I117" s="159" t="s">
        <v>1586</v>
      </c>
      <c r="J117" s="62" t="s">
        <v>31</v>
      </c>
      <c r="K117" s="62" t="s">
        <v>32</v>
      </c>
      <c r="L117" s="2"/>
      <c r="M117" s="126">
        <v>600</v>
      </c>
    </row>
    <row r="118" spans="1:26" ht="15.75" customHeight="1">
      <c r="A118" s="61">
        <v>6</v>
      </c>
      <c r="B118" s="290" t="s">
        <v>2256</v>
      </c>
      <c r="C118" s="62" t="s">
        <v>27</v>
      </c>
      <c r="D118" s="62" t="s">
        <v>177</v>
      </c>
      <c r="E118" s="62" t="s">
        <v>223</v>
      </c>
      <c r="F118" s="62"/>
      <c r="G118" s="62" t="s">
        <v>608</v>
      </c>
      <c r="H118" s="63">
        <v>20</v>
      </c>
      <c r="I118" s="159" t="s">
        <v>1586</v>
      </c>
      <c r="J118" s="62" t="s">
        <v>31</v>
      </c>
      <c r="K118" s="62" t="s">
        <v>32</v>
      </c>
      <c r="L118" s="2"/>
    </row>
    <row r="119" spans="1:26" ht="15.75" customHeight="1">
      <c r="A119" s="61">
        <v>6</v>
      </c>
      <c r="B119" s="376" t="s">
        <v>766</v>
      </c>
      <c r="C119" s="376" t="s">
        <v>27</v>
      </c>
      <c r="D119" s="376" t="s">
        <v>2070</v>
      </c>
      <c r="E119" s="376" t="s">
        <v>84</v>
      </c>
      <c r="F119" s="376"/>
      <c r="G119" s="376" t="s">
        <v>579</v>
      </c>
      <c r="H119" s="377">
        <v>100</v>
      </c>
      <c r="I119" s="378">
        <v>100</v>
      </c>
      <c r="J119" s="62" t="s">
        <v>31</v>
      </c>
      <c r="K119" s="62" t="s">
        <v>32</v>
      </c>
      <c r="L119" s="2"/>
      <c r="M119" s="126">
        <v>10</v>
      </c>
    </row>
    <row r="120" spans="1:26" ht="15.75" customHeight="1">
      <c r="A120" s="61">
        <v>6</v>
      </c>
      <c r="B120" s="292" t="s">
        <v>2257</v>
      </c>
      <c r="C120" s="62" t="s">
        <v>27</v>
      </c>
      <c r="D120" s="62" t="s">
        <v>67</v>
      </c>
      <c r="E120" s="62" t="s">
        <v>68</v>
      </c>
      <c r="F120" s="62"/>
      <c r="G120" s="62" t="s">
        <v>30</v>
      </c>
      <c r="H120" s="63">
        <v>6000</v>
      </c>
      <c r="I120" s="159">
        <v>1200</v>
      </c>
      <c r="J120" s="62" t="s">
        <v>31</v>
      </c>
      <c r="K120" s="62" t="s">
        <v>32</v>
      </c>
      <c r="L120" s="2"/>
      <c r="M120" s="126">
        <v>1200</v>
      </c>
    </row>
    <row r="121" spans="1:26" ht="15.75" customHeight="1">
      <c r="A121" s="50">
        <v>6</v>
      </c>
      <c r="B121" s="379" t="s">
        <v>2258</v>
      </c>
      <c r="C121" s="379" t="s">
        <v>27</v>
      </c>
      <c r="D121" s="379" t="s">
        <v>108</v>
      </c>
      <c r="E121" s="379" t="s">
        <v>36</v>
      </c>
      <c r="F121" s="379"/>
      <c r="G121" s="379" t="s">
        <v>579</v>
      </c>
      <c r="H121" s="380">
        <v>500</v>
      </c>
      <c r="I121" s="381">
        <v>500</v>
      </c>
      <c r="J121" s="48" t="s">
        <v>31</v>
      </c>
      <c r="K121" s="48" t="s">
        <v>32</v>
      </c>
      <c r="L121" s="2"/>
    </row>
    <row r="122" spans="1:26" ht="15.75" customHeight="1">
      <c r="A122" s="382">
        <v>6</v>
      </c>
      <c r="B122" s="151" t="s">
        <v>1728</v>
      </c>
      <c r="C122" s="151" t="s">
        <v>27</v>
      </c>
      <c r="D122" s="151" t="s">
        <v>108</v>
      </c>
      <c r="E122" s="151" t="s">
        <v>36</v>
      </c>
      <c r="F122" s="151"/>
      <c r="G122" s="48" t="s">
        <v>608</v>
      </c>
      <c r="H122" s="51">
        <v>40</v>
      </c>
      <c r="I122" s="119">
        <v>200</v>
      </c>
      <c r="J122" s="151" t="s">
        <v>31</v>
      </c>
      <c r="K122" s="151" t="s">
        <v>32</v>
      </c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</row>
    <row r="123" spans="1:26" ht="15.75" customHeight="1">
      <c r="A123" s="384">
        <v>6</v>
      </c>
      <c r="B123" s="385" t="s">
        <v>1794</v>
      </c>
      <c r="C123" s="386" t="s">
        <v>27</v>
      </c>
      <c r="D123" s="386" t="s">
        <v>1024</v>
      </c>
      <c r="E123" s="386" t="s">
        <v>552</v>
      </c>
      <c r="F123" s="386"/>
      <c r="G123" s="48" t="s">
        <v>30</v>
      </c>
      <c r="H123" s="51">
        <v>3000</v>
      </c>
      <c r="I123" s="119">
        <v>600</v>
      </c>
      <c r="J123" s="386" t="s">
        <v>31</v>
      </c>
      <c r="K123" s="386" t="s">
        <v>32</v>
      </c>
      <c r="L123" s="370"/>
      <c r="M123" s="370">
        <v>600</v>
      </c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5.75" customHeight="1">
      <c r="A124" s="50">
        <v>6</v>
      </c>
      <c r="B124" s="151" t="s">
        <v>2259</v>
      </c>
      <c r="C124" s="48" t="s">
        <v>27</v>
      </c>
      <c r="D124" s="48" t="s">
        <v>400</v>
      </c>
      <c r="E124" s="48" t="s">
        <v>36</v>
      </c>
      <c r="F124" s="48"/>
      <c r="G124" s="48" t="s">
        <v>30</v>
      </c>
      <c r="H124" s="51">
        <v>600</v>
      </c>
      <c r="I124" s="119">
        <v>120</v>
      </c>
      <c r="J124" s="48" t="s">
        <v>31</v>
      </c>
      <c r="K124" s="48" t="s">
        <v>32</v>
      </c>
      <c r="L124" s="2"/>
      <c r="M124" s="126">
        <v>2500</v>
      </c>
    </row>
    <row r="125" spans="1:26" ht="15.75" customHeight="1">
      <c r="A125" s="50">
        <v>6</v>
      </c>
      <c r="B125" s="151" t="s">
        <v>2259</v>
      </c>
      <c r="C125" s="48" t="s">
        <v>27</v>
      </c>
      <c r="D125" s="48" t="s">
        <v>400</v>
      </c>
      <c r="E125" s="48" t="s">
        <v>36</v>
      </c>
      <c r="F125" s="48"/>
      <c r="G125" s="48" t="s">
        <v>608</v>
      </c>
      <c r="H125" s="51">
        <v>20</v>
      </c>
      <c r="I125" s="49">
        <v>100</v>
      </c>
      <c r="J125" s="48" t="s">
        <v>31</v>
      </c>
      <c r="K125" s="48" t="s">
        <v>32</v>
      </c>
      <c r="L125" s="2"/>
    </row>
    <row r="126" spans="1:26" ht="15.75" customHeight="1">
      <c r="A126" s="50">
        <v>6</v>
      </c>
      <c r="B126" s="151" t="s">
        <v>2260</v>
      </c>
      <c r="C126" s="48" t="s">
        <v>27</v>
      </c>
      <c r="D126" s="48" t="s">
        <v>43</v>
      </c>
      <c r="E126" s="48" t="s">
        <v>44</v>
      </c>
      <c r="F126" s="48"/>
      <c r="G126" s="48" t="s">
        <v>30</v>
      </c>
      <c r="H126" s="51">
        <v>1200</v>
      </c>
      <c r="I126" s="49">
        <v>240</v>
      </c>
      <c r="J126" s="48" t="s">
        <v>31</v>
      </c>
      <c r="K126" s="48" t="s">
        <v>32</v>
      </c>
      <c r="L126" s="2"/>
      <c r="M126" s="126">
        <v>300</v>
      </c>
    </row>
    <row r="127" spans="1:26" ht="15.75" customHeight="1">
      <c r="A127" s="50">
        <v>6</v>
      </c>
      <c r="B127" s="151" t="s">
        <v>2261</v>
      </c>
      <c r="C127" s="48" t="s">
        <v>27</v>
      </c>
      <c r="D127" s="48" t="s">
        <v>2262</v>
      </c>
      <c r="E127" s="48" t="s">
        <v>209</v>
      </c>
      <c r="F127" s="48"/>
      <c r="G127" s="48" t="s">
        <v>30</v>
      </c>
      <c r="H127" s="51">
        <v>1500</v>
      </c>
      <c r="I127" s="49">
        <v>300</v>
      </c>
      <c r="J127" s="48" t="s">
        <v>31</v>
      </c>
      <c r="K127" s="48" t="s">
        <v>32</v>
      </c>
      <c r="L127" s="2"/>
      <c r="M127" s="126">
        <v>300</v>
      </c>
    </row>
    <row r="128" spans="1:26" ht="15.75" customHeight="1">
      <c r="A128" s="65">
        <v>6</v>
      </c>
      <c r="B128" s="175" t="s">
        <v>2263</v>
      </c>
      <c r="C128" s="58" t="s">
        <v>27</v>
      </c>
      <c r="D128" s="58" t="s">
        <v>400</v>
      </c>
      <c r="E128" s="58" t="s">
        <v>36</v>
      </c>
      <c r="F128" s="58"/>
      <c r="G128" s="58" t="s">
        <v>30</v>
      </c>
      <c r="H128" s="59">
        <v>500</v>
      </c>
      <c r="I128" s="60" t="s">
        <v>1586</v>
      </c>
      <c r="J128" s="58" t="s">
        <v>31</v>
      </c>
      <c r="K128" s="58" t="s">
        <v>32</v>
      </c>
      <c r="L128" s="2"/>
      <c r="M128" s="126">
        <v>2500</v>
      </c>
    </row>
    <row r="129" spans="1:13" ht="15.75" customHeight="1">
      <c r="A129" s="61">
        <v>8</v>
      </c>
      <c r="B129" s="290" t="s">
        <v>2264</v>
      </c>
      <c r="C129" s="62" t="s">
        <v>39</v>
      </c>
      <c r="D129" s="62" t="s">
        <v>2265</v>
      </c>
      <c r="E129" s="62" t="s">
        <v>102</v>
      </c>
      <c r="F129" s="62"/>
      <c r="G129" s="62" t="s">
        <v>30</v>
      </c>
      <c r="H129" s="63">
        <v>150</v>
      </c>
      <c r="I129" s="64">
        <v>30</v>
      </c>
      <c r="J129" s="62" t="s">
        <v>31</v>
      </c>
      <c r="K129" s="62" t="s">
        <v>32</v>
      </c>
      <c r="L129" s="2"/>
      <c r="M129" s="126">
        <v>30</v>
      </c>
    </row>
    <row r="130" spans="1:13" ht="15.75" customHeight="1">
      <c r="A130" s="50">
        <v>8</v>
      </c>
      <c r="B130" s="290" t="s">
        <v>2264</v>
      </c>
      <c r="C130" s="62" t="s">
        <v>39</v>
      </c>
      <c r="D130" s="62" t="s">
        <v>2265</v>
      </c>
      <c r="E130" s="62" t="s">
        <v>102</v>
      </c>
      <c r="F130" s="48"/>
      <c r="G130" s="48" t="s">
        <v>608</v>
      </c>
      <c r="H130" s="51">
        <v>15</v>
      </c>
      <c r="I130" s="49">
        <v>75</v>
      </c>
      <c r="J130" s="62" t="s">
        <v>31</v>
      </c>
      <c r="K130" s="62" t="s">
        <v>32</v>
      </c>
      <c r="L130" s="2"/>
    </row>
    <row r="131" spans="1:13" ht="15.75" customHeight="1">
      <c r="A131" s="50">
        <v>8</v>
      </c>
      <c r="B131" s="218" t="s">
        <v>2266</v>
      </c>
      <c r="C131" s="48" t="s">
        <v>27</v>
      </c>
      <c r="D131" s="48" t="s">
        <v>104</v>
      </c>
      <c r="E131" s="48" t="s">
        <v>36</v>
      </c>
      <c r="F131" s="48"/>
      <c r="G131" s="48" t="s">
        <v>608</v>
      </c>
      <c r="H131" s="51">
        <v>40</v>
      </c>
      <c r="I131" s="49">
        <v>200</v>
      </c>
      <c r="J131" s="62" t="s">
        <v>31</v>
      </c>
      <c r="K131" s="62" t="s">
        <v>32</v>
      </c>
      <c r="L131" s="2"/>
    </row>
    <row r="132" spans="1:13" ht="15.75" customHeight="1">
      <c r="A132" s="50">
        <v>8</v>
      </c>
      <c r="B132" s="218" t="s">
        <v>2267</v>
      </c>
      <c r="C132" s="48" t="s">
        <v>27</v>
      </c>
      <c r="D132" s="48" t="s">
        <v>657</v>
      </c>
      <c r="E132" s="48" t="s">
        <v>73</v>
      </c>
      <c r="F132" s="48"/>
      <c r="G132" s="48" t="s">
        <v>30</v>
      </c>
      <c r="H132" s="51">
        <v>1500</v>
      </c>
      <c r="I132" s="49">
        <v>300</v>
      </c>
      <c r="J132" s="62" t="s">
        <v>31</v>
      </c>
      <c r="K132" s="62" t="s">
        <v>32</v>
      </c>
      <c r="L132" s="2"/>
      <c r="M132" s="126">
        <v>300</v>
      </c>
    </row>
    <row r="133" spans="1:13" ht="15.75" customHeight="1">
      <c r="A133" s="50">
        <v>8</v>
      </c>
      <c r="B133" s="218" t="s">
        <v>2268</v>
      </c>
      <c r="C133" s="48" t="s">
        <v>27</v>
      </c>
      <c r="D133" s="48" t="s">
        <v>1612</v>
      </c>
      <c r="E133" s="48" t="s">
        <v>839</v>
      </c>
      <c r="F133" s="48"/>
      <c r="G133" s="48" t="s">
        <v>608</v>
      </c>
      <c r="H133" s="51">
        <v>400</v>
      </c>
      <c r="I133" s="49">
        <v>2000</v>
      </c>
      <c r="J133" s="62" t="s">
        <v>31</v>
      </c>
      <c r="K133" s="62" t="s">
        <v>32</v>
      </c>
      <c r="L133" s="2"/>
    </row>
    <row r="134" spans="1:13" ht="15.75" customHeight="1">
      <c r="A134" s="50">
        <v>8</v>
      </c>
      <c r="B134" s="48" t="s">
        <v>2269</v>
      </c>
      <c r="C134" s="48" t="s">
        <v>39</v>
      </c>
      <c r="D134" s="48" t="s">
        <v>1431</v>
      </c>
      <c r="E134" s="48" t="s">
        <v>44</v>
      </c>
      <c r="F134" s="48"/>
      <c r="G134" s="48" t="s">
        <v>30</v>
      </c>
      <c r="H134" s="51">
        <v>1000</v>
      </c>
      <c r="I134" s="49">
        <v>200</v>
      </c>
      <c r="J134" s="62" t="s">
        <v>31</v>
      </c>
      <c r="K134" s="62" t="s">
        <v>32</v>
      </c>
      <c r="L134" s="2"/>
      <c r="M134" s="126">
        <v>300</v>
      </c>
    </row>
    <row r="135" spans="1:13" ht="15.75" customHeight="1">
      <c r="A135" s="50">
        <v>8</v>
      </c>
      <c r="B135" s="48" t="s">
        <v>2269</v>
      </c>
      <c r="C135" s="48" t="s">
        <v>39</v>
      </c>
      <c r="D135" s="48" t="s">
        <v>1431</v>
      </c>
      <c r="E135" s="48" t="s">
        <v>44</v>
      </c>
      <c r="F135" s="48"/>
      <c r="G135" s="48" t="s">
        <v>608</v>
      </c>
      <c r="H135" s="51">
        <v>20</v>
      </c>
      <c r="I135" s="49">
        <v>100</v>
      </c>
      <c r="J135" s="62" t="s">
        <v>31</v>
      </c>
      <c r="K135" s="62" t="s">
        <v>32</v>
      </c>
      <c r="L135" s="2"/>
    </row>
    <row r="136" spans="1:13" ht="15.75" customHeight="1">
      <c r="A136" s="50">
        <v>8</v>
      </c>
      <c r="B136" s="218" t="s">
        <v>2270</v>
      </c>
      <c r="C136" s="48" t="s">
        <v>27</v>
      </c>
      <c r="D136" s="48" t="s">
        <v>266</v>
      </c>
      <c r="E136" s="48" t="s">
        <v>68</v>
      </c>
      <c r="F136" s="48"/>
      <c r="G136" s="48" t="s">
        <v>30</v>
      </c>
      <c r="H136" s="51">
        <v>3000</v>
      </c>
      <c r="I136" s="49">
        <v>600</v>
      </c>
      <c r="J136" s="62" t="s">
        <v>31</v>
      </c>
      <c r="K136" s="62" t="s">
        <v>32</v>
      </c>
      <c r="L136" s="2"/>
      <c r="M136" s="126">
        <v>700</v>
      </c>
    </row>
    <row r="137" spans="1:13" ht="15.75" customHeight="1">
      <c r="A137" s="50">
        <v>8</v>
      </c>
      <c r="B137" s="48" t="s">
        <v>71</v>
      </c>
      <c r="C137" s="48" t="s">
        <v>27</v>
      </c>
      <c r="D137" s="48" t="s">
        <v>72</v>
      </c>
      <c r="E137" s="48" t="s">
        <v>73</v>
      </c>
      <c r="F137" s="48"/>
      <c r="G137" s="48" t="s">
        <v>30</v>
      </c>
      <c r="H137" s="51">
        <v>6000</v>
      </c>
      <c r="I137" s="49">
        <v>1200</v>
      </c>
      <c r="J137" s="62" t="s">
        <v>31</v>
      </c>
      <c r="K137" s="62" t="s">
        <v>32</v>
      </c>
      <c r="L137" s="2"/>
      <c r="M137" s="126">
        <v>1200</v>
      </c>
    </row>
    <row r="138" spans="1:13" ht="15.75" customHeight="1">
      <c r="A138" s="50">
        <v>8</v>
      </c>
      <c r="B138" s="48" t="s">
        <v>71</v>
      </c>
      <c r="C138" s="48" t="s">
        <v>27</v>
      </c>
      <c r="D138" s="48" t="s">
        <v>72</v>
      </c>
      <c r="E138" s="48" t="s">
        <v>73</v>
      </c>
      <c r="F138" s="48"/>
      <c r="G138" s="379" t="s">
        <v>579</v>
      </c>
      <c r="H138" s="380">
        <v>2000</v>
      </c>
      <c r="I138" s="387">
        <v>2000</v>
      </c>
      <c r="J138" s="62" t="s">
        <v>31</v>
      </c>
      <c r="K138" s="62" t="s">
        <v>32</v>
      </c>
      <c r="L138" s="2"/>
    </row>
    <row r="139" spans="1:13" ht="15.75" customHeight="1">
      <c r="A139" s="50">
        <v>8</v>
      </c>
      <c r="B139" s="218" t="s">
        <v>2271</v>
      </c>
      <c r="C139" s="48" t="s">
        <v>27</v>
      </c>
      <c r="D139" s="48" t="s">
        <v>657</v>
      </c>
      <c r="E139" s="48" t="s">
        <v>73</v>
      </c>
      <c r="F139" s="48"/>
      <c r="G139" s="48" t="s">
        <v>30</v>
      </c>
      <c r="H139" s="51">
        <v>500</v>
      </c>
      <c r="I139" s="49">
        <v>100</v>
      </c>
      <c r="J139" s="48" t="s">
        <v>31</v>
      </c>
      <c r="K139" s="48" t="s">
        <v>32</v>
      </c>
      <c r="L139" s="2"/>
      <c r="M139" s="126">
        <v>50</v>
      </c>
    </row>
    <row r="140" spans="1:13" ht="15.75" customHeight="1">
      <c r="A140" s="50">
        <v>8</v>
      </c>
      <c r="B140" s="218" t="s">
        <v>2272</v>
      </c>
      <c r="C140" s="48" t="s">
        <v>39</v>
      </c>
      <c r="D140" s="48" t="s">
        <v>319</v>
      </c>
      <c r="E140" s="48" t="s">
        <v>36</v>
      </c>
      <c r="F140" s="48"/>
      <c r="G140" s="48" t="s">
        <v>30</v>
      </c>
      <c r="H140" s="51">
        <v>500</v>
      </c>
      <c r="I140" s="49">
        <v>100</v>
      </c>
      <c r="J140" s="48" t="s">
        <v>31</v>
      </c>
      <c r="K140" s="48" t="s">
        <v>32</v>
      </c>
      <c r="L140" s="2"/>
      <c r="M140" s="126">
        <v>100</v>
      </c>
    </row>
    <row r="141" spans="1:13" ht="15.75" customHeight="1">
      <c r="A141" s="50">
        <v>8</v>
      </c>
      <c r="B141" s="218" t="s">
        <v>2273</v>
      </c>
      <c r="C141" s="48" t="s">
        <v>27</v>
      </c>
      <c r="D141" s="48" t="s">
        <v>100</v>
      </c>
      <c r="E141" s="48" t="s">
        <v>47</v>
      </c>
      <c r="F141" s="48"/>
      <c r="G141" s="48" t="s">
        <v>30</v>
      </c>
      <c r="H141" s="51">
        <v>1500</v>
      </c>
      <c r="I141" s="49">
        <v>450</v>
      </c>
      <c r="J141" s="48" t="s">
        <v>31</v>
      </c>
      <c r="K141" s="48" t="s">
        <v>32</v>
      </c>
      <c r="L141" s="2"/>
      <c r="M141" s="126">
        <v>500</v>
      </c>
    </row>
    <row r="142" spans="1:13" ht="15.75" customHeight="1">
      <c r="A142" s="50">
        <v>8</v>
      </c>
      <c r="B142" s="218" t="s">
        <v>2274</v>
      </c>
      <c r="C142" s="48" t="s">
        <v>27</v>
      </c>
      <c r="D142" s="48" t="s">
        <v>2081</v>
      </c>
      <c r="E142" s="48" t="s">
        <v>223</v>
      </c>
      <c r="F142" s="48"/>
      <c r="G142" s="48" t="s">
        <v>30</v>
      </c>
      <c r="H142" s="51">
        <v>100</v>
      </c>
      <c r="I142" s="49">
        <v>30</v>
      </c>
      <c r="J142" s="48" t="s">
        <v>31</v>
      </c>
      <c r="K142" s="48" t="s">
        <v>32</v>
      </c>
      <c r="L142" s="2"/>
      <c r="M142" s="126">
        <v>32</v>
      </c>
    </row>
    <row r="143" spans="1:13" ht="15.75" customHeight="1">
      <c r="A143" s="50">
        <v>8</v>
      </c>
      <c r="B143" s="166" t="s">
        <v>133</v>
      </c>
      <c r="C143" s="48" t="s">
        <v>27</v>
      </c>
      <c r="D143" s="48" t="s">
        <v>134</v>
      </c>
      <c r="E143" s="48" t="s">
        <v>135</v>
      </c>
      <c r="F143" s="48"/>
      <c r="G143" s="48" t="s">
        <v>30</v>
      </c>
      <c r="H143" s="51">
        <v>300</v>
      </c>
      <c r="I143" s="49">
        <v>60</v>
      </c>
      <c r="J143" s="48" t="s">
        <v>31</v>
      </c>
      <c r="K143" s="48" t="s">
        <v>32</v>
      </c>
      <c r="L143" s="2"/>
      <c r="M143" s="126">
        <v>100</v>
      </c>
    </row>
    <row r="144" spans="1:13" ht="15.75" customHeight="1">
      <c r="A144" s="65">
        <v>8</v>
      </c>
      <c r="B144" s="166" t="s">
        <v>133</v>
      </c>
      <c r="C144" s="48" t="s">
        <v>27</v>
      </c>
      <c r="D144" s="48" t="s">
        <v>134</v>
      </c>
      <c r="E144" s="48" t="s">
        <v>135</v>
      </c>
      <c r="F144" s="58"/>
      <c r="G144" s="388" t="s">
        <v>579</v>
      </c>
      <c r="H144" s="389">
        <v>1000</v>
      </c>
      <c r="I144" s="390">
        <v>1000</v>
      </c>
      <c r="J144" s="48" t="s">
        <v>31</v>
      </c>
      <c r="K144" s="48" t="s">
        <v>32</v>
      </c>
      <c r="L144" s="2"/>
    </row>
    <row r="145" spans="1:20" ht="15.75" customHeight="1">
      <c r="A145" s="61">
        <v>9</v>
      </c>
      <c r="B145" s="292" t="s">
        <v>2275</v>
      </c>
      <c r="C145" s="62" t="s">
        <v>27</v>
      </c>
      <c r="D145" s="62" t="s">
        <v>1043</v>
      </c>
      <c r="E145" s="62" t="s">
        <v>29</v>
      </c>
      <c r="F145" s="62"/>
      <c r="G145" s="62" t="s">
        <v>30</v>
      </c>
      <c r="H145" s="63">
        <v>6000</v>
      </c>
      <c r="I145" s="64">
        <v>1200</v>
      </c>
      <c r="J145" s="62" t="s">
        <v>31</v>
      </c>
      <c r="K145" s="62" t="s">
        <v>32</v>
      </c>
      <c r="L145" s="2"/>
      <c r="M145" s="126">
        <v>1500</v>
      </c>
    </row>
    <row r="146" spans="1:20" ht="15.75" customHeight="1">
      <c r="A146" s="61">
        <v>9</v>
      </c>
      <c r="B146" s="292" t="s">
        <v>2275</v>
      </c>
      <c r="C146" s="62" t="s">
        <v>27</v>
      </c>
      <c r="D146" s="62" t="s">
        <v>1043</v>
      </c>
      <c r="E146" s="62" t="s">
        <v>29</v>
      </c>
      <c r="F146" s="48"/>
      <c r="G146" s="48" t="s">
        <v>608</v>
      </c>
      <c r="H146" s="51">
        <v>200</v>
      </c>
      <c r="I146" s="49">
        <v>1000</v>
      </c>
      <c r="J146" s="62" t="s">
        <v>31</v>
      </c>
      <c r="K146" s="62" t="s">
        <v>32</v>
      </c>
      <c r="L146" s="2"/>
    </row>
    <row r="147" spans="1:20" ht="15.75" customHeight="1">
      <c r="A147" s="61">
        <v>9</v>
      </c>
      <c r="B147" s="373" t="s">
        <v>2276</v>
      </c>
      <c r="C147" s="48" t="s">
        <v>27</v>
      </c>
      <c r="D147" s="48" t="s">
        <v>2277</v>
      </c>
      <c r="E147" s="48" t="s">
        <v>86</v>
      </c>
      <c r="F147" s="48"/>
      <c r="G147" s="48" t="s">
        <v>30</v>
      </c>
      <c r="H147" s="51">
        <v>2000</v>
      </c>
      <c r="I147" s="49">
        <v>400</v>
      </c>
      <c r="J147" s="62" t="s">
        <v>31</v>
      </c>
      <c r="K147" s="62" t="s">
        <v>32</v>
      </c>
      <c r="L147" s="2"/>
      <c r="M147" s="126">
        <v>450</v>
      </c>
    </row>
    <row r="148" spans="1:20" ht="15.75" customHeight="1">
      <c r="A148" s="61">
        <v>9</v>
      </c>
      <c r="B148" s="151" t="s">
        <v>2278</v>
      </c>
      <c r="C148" s="48" t="s">
        <v>27</v>
      </c>
      <c r="D148" s="48" t="s">
        <v>191</v>
      </c>
      <c r="E148" s="48" t="s">
        <v>36</v>
      </c>
      <c r="F148" s="48"/>
      <c r="G148" s="48" t="s">
        <v>30</v>
      </c>
      <c r="H148" s="51">
        <v>1400</v>
      </c>
      <c r="I148" s="49">
        <v>280</v>
      </c>
      <c r="J148" s="62" t="s">
        <v>31</v>
      </c>
      <c r="K148" s="62" t="s">
        <v>32</v>
      </c>
      <c r="L148" s="2"/>
      <c r="M148" s="126">
        <v>300</v>
      </c>
      <c r="P148" s="753" t="s">
        <v>2279</v>
      </c>
      <c r="Q148" s="719"/>
    </row>
    <row r="149" spans="1:20" ht="15.75" customHeight="1">
      <c r="A149" s="61">
        <v>9</v>
      </c>
      <c r="B149" s="151" t="s">
        <v>2278</v>
      </c>
      <c r="C149" s="48" t="s">
        <v>27</v>
      </c>
      <c r="D149" s="48" t="s">
        <v>191</v>
      </c>
      <c r="E149" s="48" t="s">
        <v>36</v>
      </c>
      <c r="F149" s="48"/>
      <c r="G149" s="48" t="s">
        <v>608</v>
      </c>
      <c r="H149" s="51">
        <v>10</v>
      </c>
      <c r="I149" s="49">
        <v>50</v>
      </c>
      <c r="J149" s="62" t="s">
        <v>31</v>
      </c>
      <c r="K149" s="62" t="s">
        <v>32</v>
      </c>
      <c r="L149" s="2"/>
      <c r="P149" s="723" t="s">
        <v>25</v>
      </c>
      <c r="Q149" s="719"/>
      <c r="S149" s="55"/>
    </row>
    <row r="150" spans="1:20" ht="15.75" customHeight="1">
      <c r="A150" s="50">
        <v>9</v>
      </c>
      <c r="B150" s="373" t="s">
        <v>2280</v>
      </c>
      <c r="C150" s="48" t="s">
        <v>27</v>
      </c>
      <c r="D150" s="48" t="s">
        <v>100</v>
      </c>
      <c r="E150" s="48" t="s">
        <v>84</v>
      </c>
      <c r="F150" s="48"/>
      <c r="G150" s="48" t="s">
        <v>30</v>
      </c>
      <c r="H150" s="51">
        <v>200</v>
      </c>
      <c r="I150" s="49">
        <v>40</v>
      </c>
      <c r="J150" s="48" t="s">
        <v>31</v>
      </c>
      <c r="K150" s="48" t="s">
        <v>32</v>
      </c>
      <c r="L150" s="2"/>
      <c r="M150" s="126">
        <v>40</v>
      </c>
      <c r="P150" s="48" t="s">
        <v>33</v>
      </c>
      <c r="Q150" s="51">
        <v>234900</v>
      </c>
      <c r="R150" s="55"/>
    </row>
    <row r="151" spans="1:20" ht="15.75" customHeight="1">
      <c r="A151" s="384">
        <v>9</v>
      </c>
      <c r="B151" s="385" t="s">
        <v>2281</v>
      </c>
      <c r="C151" s="386" t="s">
        <v>27</v>
      </c>
      <c r="D151" s="386" t="s">
        <v>297</v>
      </c>
      <c r="E151" s="386" t="s">
        <v>44</v>
      </c>
      <c r="F151" s="386"/>
      <c r="G151" s="48" t="s">
        <v>30</v>
      </c>
      <c r="H151" s="51">
        <v>1000</v>
      </c>
      <c r="I151" s="49">
        <v>200</v>
      </c>
      <c r="J151" s="386" t="s">
        <v>31</v>
      </c>
      <c r="K151" s="386" t="s">
        <v>32</v>
      </c>
      <c r="L151" s="2"/>
      <c r="M151" s="126">
        <v>200</v>
      </c>
      <c r="P151" s="48" t="s">
        <v>37</v>
      </c>
      <c r="Q151" s="51">
        <v>55259</v>
      </c>
      <c r="R151" s="55"/>
      <c r="T151" s="55"/>
    </row>
    <row r="152" spans="1:20" ht="15.75" customHeight="1">
      <c r="A152" s="50">
        <v>9</v>
      </c>
      <c r="B152" s="385" t="s">
        <v>2281</v>
      </c>
      <c r="C152" s="386" t="s">
        <v>27</v>
      </c>
      <c r="D152" s="386" t="s">
        <v>297</v>
      </c>
      <c r="E152" s="386" t="s">
        <v>44</v>
      </c>
      <c r="F152" s="386"/>
      <c r="G152" s="48" t="s">
        <v>608</v>
      </c>
      <c r="H152" s="51">
        <v>20</v>
      </c>
      <c r="I152" s="49">
        <v>100</v>
      </c>
      <c r="J152" s="48" t="s">
        <v>31</v>
      </c>
      <c r="K152" s="48" t="s">
        <v>32</v>
      </c>
      <c r="L152" s="2"/>
      <c r="P152" s="391" t="s">
        <v>282</v>
      </c>
      <c r="Q152" s="392">
        <v>271159</v>
      </c>
    </row>
    <row r="153" spans="1:20" ht="15.75" customHeight="1">
      <c r="A153" s="50">
        <v>9</v>
      </c>
      <c r="B153" s="151" t="s">
        <v>2282</v>
      </c>
      <c r="C153" s="48" t="s">
        <v>27</v>
      </c>
      <c r="D153" s="48" t="s">
        <v>910</v>
      </c>
      <c r="E153" s="48" t="s">
        <v>36</v>
      </c>
      <c r="F153" s="48"/>
      <c r="G153" s="48" t="s">
        <v>30</v>
      </c>
      <c r="H153" s="51">
        <v>3000</v>
      </c>
      <c r="I153" s="49">
        <v>600</v>
      </c>
      <c r="J153" s="48" t="s">
        <v>31</v>
      </c>
      <c r="K153" s="48" t="s">
        <v>32</v>
      </c>
      <c r="L153" s="2"/>
      <c r="M153" s="126">
        <v>600</v>
      </c>
      <c r="P153" s="723" t="s">
        <v>586</v>
      </c>
      <c r="Q153" s="719"/>
    </row>
    <row r="154" spans="1:20" ht="15.75" customHeight="1">
      <c r="A154" s="50">
        <v>9</v>
      </c>
      <c r="B154" s="151" t="s">
        <v>2282</v>
      </c>
      <c r="C154" s="48" t="s">
        <v>27</v>
      </c>
      <c r="D154" s="48" t="s">
        <v>910</v>
      </c>
      <c r="E154" s="48" t="s">
        <v>36</v>
      </c>
      <c r="F154" s="48"/>
      <c r="G154" s="379" t="s">
        <v>579</v>
      </c>
      <c r="H154" s="380">
        <v>300</v>
      </c>
      <c r="I154" s="387">
        <v>300</v>
      </c>
      <c r="J154" s="48" t="s">
        <v>31</v>
      </c>
      <c r="K154" s="48" t="s">
        <v>32</v>
      </c>
      <c r="L154" s="2"/>
      <c r="P154" s="48" t="s">
        <v>33</v>
      </c>
      <c r="Q154" s="51">
        <v>5900</v>
      </c>
      <c r="R154" s="55"/>
    </row>
    <row r="155" spans="1:20" ht="15.75" customHeight="1">
      <c r="A155" s="50">
        <v>9</v>
      </c>
      <c r="B155" s="151" t="s">
        <v>2283</v>
      </c>
      <c r="C155" s="48" t="s">
        <v>27</v>
      </c>
      <c r="D155" s="48" t="s">
        <v>472</v>
      </c>
      <c r="E155" s="48" t="s">
        <v>89</v>
      </c>
      <c r="F155" s="48"/>
      <c r="G155" s="48" t="s">
        <v>30</v>
      </c>
      <c r="H155" s="51">
        <v>1500</v>
      </c>
      <c r="I155" s="49">
        <v>300</v>
      </c>
      <c r="J155" s="48" t="s">
        <v>31</v>
      </c>
      <c r="K155" s="48" t="s">
        <v>32</v>
      </c>
      <c r="L155" s="2"/>
      <c r="M155" s="126">
        <v>300</v>
      </c>
      <c r="P155" s="48" t="s">
        <v>37</v>
      </c>
      <c r="Q155" s="48"/>
    </row>
    <row r="156" spans="1:20" ht="15.75" customHeight="1">
      <c r="A156" s="50">
        <v>9</v>
      </c>
      <c r="B156" s="151" t="s">
        <v>2283</v>
      </c>
      <c r="C156" s="48" t="s">
        <v>27</v>
      </c>
      <c r="D156" s="48" t="s">
        <v>472</v>
      </c>
      <c r="E156" s="48" t="s">
        <v>89</v>
      </c>
      <c r="F156" s="48"/>
      <c r="G156" s="48" t="s">
        <v>608</v>
      </c>
      <c r="H156" s="51">
        <v>15</v>
      </c>
      <c r="I156" s="49">
        <v>75</v>
      </c>
      <c r="J156" s="48" t="s">
        <v>31</v>
      </c>
      <c r="K156" s="48" t="s">
        <v>32</v>
      </c>
      <c r="L156" s="2"/>
      <c r="P156" s="391" t="s">
        <v>282</v>
      </c>
      <c r="Q156" s="392">
        <v>5900</v>
      </c>
    </row>
    <row r="157" spans="1:20" ht="15.75" customHeight="1">
      <c r="A157" s="50">
        <v>9</v>
      </c>
      <c r="B157" s="379" t="s">
        <v>1021</v>
      </c>
      <c r="C157" s="379" t="s">
        <v>27</v>
      </c>
      <c r="D157" s="379" t="s">
        <v>845</v>
      </c>
      <c r="E157" s="379" t="s">
        <v>68</v>
      </c>
      <c r="F157" s="379"/>
      <c r="G157" s="379" t="s">
        <v>579</v>
      </c>
      <c r="H157" s="380">
        <v>1000</v>
      </c>
      <c r="I157" s="387">
        <v>1000</v>
      </c>
      <c r="J157" s="48" t="s">
        <v>31</v>
      </c>
      <c r="K157" s="48" t="s">
        <v>32</v>
      </c>
      <c r="L157" s="2"/>
      <c r="P157" s="723" t="s">
        <v>286</v>
      </c>
      <c r="Q157" s="719"/>
    </row>
    <row r="158" spans="1:20" ht="15.75" customHeight="1">
      <c r="A158" s="50">
        <v>9</v>
      </c>
      <c r="B158" s="151" t="s">
        <v>2284</v>
      </c>
      <c r="C158" s="48" t="s">
        <v>27</v>
      </c>
      <c r="D158" s="48" t="s">
        <v>110</v>
      </c>
      <c r="E158" s="48" t="s">
        <v>36</v>
      </c>
      <c r="F158" s="48"/>
      <c r="G158" s="48" t="s">
        <v>30</v>
      </c>
      <c r="H158" s="51">
        <v>1500</v>
      </c>
      <c r="I158" s="49">
        <v>300</v>
      </c>
      <c r="J158" s="48" t="s">
        <v>31</v>
      </c>
      <c r="K158" s="48" t="s">
        <v>32</v>
      </c>
      <c r="L158" s="2"/>
      <c r="M158" s="126">
        <v>300</v>
      </c>
      <c r="P158" s="48" t="s">
        <v>33</v>
      </c>
      <c r="Q158" s="48">
        <v>890</v>
      </c>
      <c r="R158" s="55"/>
    </row>
    <row r="159" spans="1:20" ht="15.75" customHeight="1">
      <c r="A159" s="50">
        <v>9</v>
      </c>
      <c r="B159" s="151" t="s">
        <v>2285</v>
      </c>
      <c r="C159" s="48" t="s">
        <v>27</v>
      </c>
      <c r="D159" s="48" t="s">
        <v>2286</v>
      </c>
      <c r="E159" s="48" t="s">
        <v>151</v>
      </c>
      <c r="F159" s="48"/>
      <c r="G159" s="48" t="s">
        <v>608</v>
      </c>
      <c r="H159" s="51">
        <v>80</v>
      </c>
      <c r="I159" s="49">
        <v>400</v>
      </c>
      <c r="J159" s="48" t="s">
        <v>31</v>
      </c>
      <c r="K159" s="48" t="s">
        <v>32</v>
      </c>
      <c r="L159" s="2"/>
      <c r="P159" s="48" t="s">
        <v>37</v>
      </c>
      <c r="Q159" s="48">
        <v>20</v>
      </c>
      <c r="R159" s="55"/>
    </row>
    <row r="160" spans="1:20" ht="15.75" customHeight="1">
      <c r="A160" s="65">
        <v>9</v>
      </c>
      <c r="B160" s="175" t="s">
        <v>2287</v>
      </c>
      <c r="C160" s="58" t="s">
        <v>39</v>
      </c>
      <c r="D160" s="58" t="s">
        <v>104</v>
      </c>
      <c r="E160" s="58" t="s">
        <v>36</v>
      </c>
      <c r="F160" s="58"/>
      <c r="G160" s="58" t="s">
        <v>30</v>
      </c>
      <c r="H160" s="59">
        <v>500</v>
      </c>
      <c r="I160" s="60" t="s">
        <v>1586</v>
      </c>
      <c r="J160" s="58" t="s">
        <v>31</v>
      </c>
      <c r="K160" s="58" t="s">
        <v>32</v>
      </c>
      <c r="L160" s="2"/>
      <c r="M160" s="126">
        <v>100</v>
      </c>
      <c r="P160" s="391" t="s">
        <v>282</v>
      </c>
      <c r="Q160" s="391">
        <v>910</v>
      </c>
    </row>
    <row r="161" spans="1:13" ht="15.75" customHeight="1">
      <c r="A161" s="61">
        <v>10</v>
      </c>
      <c r="B161" s="292" t="s">
        <v>2288</v>
      </c>
      <c r="C161" s="62" t="s">
        <v>27</v>
      </c>
      <c r="D161" s="62" t="s">
        <v>2289</v>
      </c>
      <c r="E161" s="62" t="s">
        <v>245</v>
      </c>
      <c r="F161" s="62"/>
      <c r="G161" s="62" t="s">
        <v>30</v>
      </c>
      <c r="H161" s="63">
        <v>300</v>
      </c>
      <c r="I161" s="64">
        <v>60</v>
      </c>
      <c r="J161" s="62" t="s">
        <v>31</v>
      </c>
      <c r="K161" s="62" t="s">
        <v>32</v>
      </c>
      <c r="L161" s="2"/>
      <c r="M161" s="126">
        <v>60</v>
      </c>
    </row>
    <row r="162" spans="1:13" ht="15.75" customHeight="1">
      <c r="A162" s="50">
        <v>10</v>
      </c>
      <c r="B162" s="151" t="s">
        <v>2290</v>
      </c>
      <c r="C162" s="48" t="s">
        <v>27</v>
      </c>
      <c r="D162" s="48" t="s">
        <v>1917</v>
      </c>
      <c r="E162" s="48" t="s">
        <v>68</v>
      </c>
      <c r="F162" s="48"/>
      <c r="G162" s="48" t="s">
        <v>30</v>
      </c>
      <c r="H162" s="51">
        <v>1500</v>
      </c>
      <c r="I162" s="49">
        <v>300</v>
      </c>
      <c r="J162" s="48" t="s">
        <v>31</v>
      </c>
      <c r="K162" s="48" t="s">
        <v>32</v>
      </c>
      <c r="L162" s="2"/>
      <c r="M162" s="126">
        <v>300</v>
      </c>
    </row>
    <row r="163" spans="1:13" ht="15.75" customHeight="1">
      <c r="A163" s="50">
        <v>10</v>
      </c>
      <c r="B163" s="151" t="s">
        <v>2291</v>
      </c>
      <c r="C163" s="48" t="s">
        <v>39</v>
      </c>
      <c r="D163" s="48" t="s">
        <v>1367</v>
      </c>
      <c r="E163" s="48" t="s">
        <v>484</v>
      </c>
      <c r="F163" s="48"/>
      <c r="G163" s="48" t="s">
        <v>30</v>
      </c>
      <c r="H163" s="51">
        <v>100</v>
      </c>
      <c r="I163" s="49">
        <v>40</v>
      </c>
      <c r="J163" s="48" t="s">
        <v>31</v>
      </c>
      <c r="K163" s="48" t="s">
        <v>32</v>
      </c>
      <c r="L163" s="2"/>
      <c r="M163" s="126">
        <v>50</v>
      </c>
    </row>
    <row r="164" spans="1:13" ht="15.75" customHeight="1">
      <c r="A164" s="50">
        <v>10</v>
      </c>
      <c r="B164" s="151" t="s">
        <v>2292</v>
      </c>
      <c r="C164" s="48" t="s">
        <v>27</v>
      </c>
      <c r="D164" s="48" t="s">
        <v>2293</v>
      </c>
      <c r="E164" s="48" t="s">
        <v>484</v>
      </c>
      <c r="F164" s="48"/>
      <c r="G164" s="48" t="s">
        <v>30</v>
      </c>
      <c r="H164" s="51">
        <v>500</v>
      </c>
      <c r="I164" s="49">
        <v>100</v>
      </c>
      <c r="J164" s="48" t="s">
        <v>31</v>
      </c>
      <c r="K164" s="48" t="s">
        <v>32</v>
      </c>
      <c r="L164" s="2"/>
      <c r="M164" s="126">
        <v>100</v>
      </c>
    </row>
    <row r="165" spans="1:13" ht="15.75" customHeight="1">
      <c r="A165" s="50">
        <v>10</v>
      </c>
      <c r="B165" s="151" t="s">
        <v>2292</v>
      </c>
      <c r="C165" s="48" t="s">
        <v>27</v>
      </c>
      <c r="D165" s="48" t="s">
        <v>2293</v>
      </c>
      <c r="E165" s="48" t="s">
        <v>484</v>
      </c>
      <c r="F165" s="48"/>
      <c r="G165" s="48" t="s">
        <v>608</v>
      </c>
      <c r="H165" s="51">
        <v>25</v>
      </c>
      <c r="I165" s="49">
        <v>125</v>
      </c>
      <c r="J165" s="48" t="s">
        <v>31</v>
      </c>
      <c r="K165" s="48" t="s">
        <v>32</v>
      </c>
      <c r="L165" s="2"/>
    </row>
    <row r="166" spans="1:13" ht="15.75" customHeight="1">
      <c r="A166" s="50">
        <v>10</v>
      </c>
      <c r="B166" s="151" t="s">
        <v>2294</v>
      </c>
      <c r="C166" s="48" t="s">
        <v>27</v>
      </c>
      <c r="D166" s="48" t="s">
        <v>108</v>
      </c>
      <c r="E166" s="48" t="s">
        <v>84</v>
      </c>
      <c r="F166" s="48"/>
      <c r="G166" s="48" t="s">
        <v>30</v>
      </c>
      <c r="H166" s="51">
        <v>1000</v>
      </c>
      <c r="I166" s="49">
        <v>200</v>
      </c>
      <c r="J166" s="48" t="s">
        <v>31</v>
      </c>
      <c r="K166" s="48" t="s">
        <v>32</v>
      </c>
      <c r="L166" s="2"/>
      <c r="M166" s="126">
        <v>200</v>
      </c>
    </row>
    <row r="167" spans="1:13" ht="15.75" customHeight="1">
      <c r="A167" s="50">
        <v>10</v>
      </c>
      <c r="B167" s="151" t="s">
        <v>2295</v>
      </c>
      <c r="C167" s="48" t="s">
        <v>27</v>
      </c>
      <c r="D167" s="48" t="s">
        <v>130</v>
      </c>
      <c r="E167" s="48" t="s">
        <v>51</v>
      </c>
      <c r="F167" s="48"/>
      <c r="G167" s="48" t="s">
        <v>30</v>
      </c>
      <c r="H167" s="51">
        <v>1500</v>
      </c>
      <c r="I167" s="49">
        <v>300</v>
      </c>
      <c r="J167" s="48" t="s">
        <v>31</v>
      </c>
      <c r="K167" s="48" t="s">
        <v>32</v>
      </c>
      <c r="L167" s="2"/>
      <c r="M167" s="126">
        <v>300</v>
      </c>
    </row>
    <row r="168" spans="1:13" ht="15.75" customHeight="1">
      <c r="A168" s="50">
        <v>10</v>
      </c>
      <c r="B168" s="151" t="s">
        <v>2296</v>
      </c>
      <c r="C168" s="48" t="s">
        <v>27</v>
      </c>
      <c r="D168" s="48" t="s">
        <v>1203</v>
      </c>
      <c r="E168" s="48" t="s">
        <v>73</v>
      </c>
      <c r="F168" s="48"/>
      <c r="G168" s="48" t="s">
        <v>30</v>
      </c>
      <c r="H168" s="51">
        <v>1000</v>
      </c>
      <c r="I168" s="49">
        <v>200</v>
      </c>
      <c r="J168" s="48" t="s">
        <v>31</v>
      </c>
      <c r="K168" s="48" t="s">
        <v>32</v>
      </c>
      <c r="L168" s="2"/>
      <c r="M168" s="126">
        <v>200</v>
      </c>
    </row>
    <row r="169" spans="1:13" ht="15.75" customHeight="1">
      <c r="A169" s="50">
        <v>10</v>
      </c>
      <c r="B169" s="151" t="s">
        <v>2297</v>
      </c>
      <c r="C169" s="48" t="s">
        <v>27</v>
      </c>
      <c r="D169" s="48" t="s">
        <v>804</v>
      </c>
      <c r="E169" s="48" t="s">
        <v>102</v>
      </c>
      <c r="F169" s="48"/>
      <c r="G169" s="48" t="s">
        <v>608</v>
      </c>
      <c r="H169" s="51">
        <v>30</v>
      </c>
      <c r="I169" s="49">
        <v>150</v>
      </c>
      <c r="J169" s="48" t="s">
        <v>31</v>
      </c>
      <c r="K169" s="48" t="s">
        <v>32</v>
      </c>
      <c r="L169" s="2"/>
    </row>
    <row r="170" spans="1:13" ht="15.75" customHeight="1">
      <c r="A170" s="50">
        <v>10</v>
      </c>
      <c r="B170" s="151" t="s">
        <v>2297</v>
      </c>
      <c r="C170" s="48" t="s">
        <v>27</v>
      </c>
      <c r="D170" s="48" t="s">
        <v>804</v>
      </c>
      <c r="E170" s="48" t="s">
        <v>102</v>
      </c>
      <c r="F170" s="48"/>
      <c r="G170" s="48" t="s">
        <v>589</v>
      </c>
      <c r="H170" s="51">
        <v>20</v>
      </c>
      <c r="I170" s="49">
        <v>60</v>
      </c>
      <c r="J170" s="48" t="s">
        <v>31</v>
      </c>
      <c r="K170" s="48" t="s">
        <v>32</v>
      </c>
      <c r="L170" s="2"/>
    </row>
    <row r="171" spans="1:13" ht="15.75" customHeight="1">
      <c r="A171" s="384">
        <v>10</v>
      </c>
      <c r="B171" s="385" t="s">
        <v>2298</v>
      </c>
      <c r="C171" s="386" t="s">
        <v>39</v>
      </c>
      <c r="D171" s="386" t="s">
        <v>2190</v>
      </c>
      <c r="E171" s="386" t="s">
        <v>41</v>
      </c>
      <c r="F171" s="386"/>
      <c r="G171" s="48" t="s">
        <v>30</v>
      </c>
      <c r="H171" s="51">
        <v>1000</v>
      </c>
      <c r="I171" s="49">
        <v>200</v>
      </c>
      <c r="J171" s="386" t="s">
        <v>31</v>
      </c>
      <c r="K171" s="386" t="s">
        <v>32</v>
      </c>
      <c r="L171" s="2"/>
      <c r="M171" s="126">
        <v>200</v>
      </c>
    </row>
    <row r="172" spans="1:13" ht="15.75" customHeight="1">
      <c r="A172" s="50">
        <v>10</v>
      </c>
      <c r="B172" s="151" t="s">
        <v>1364</v>
      </c>
      <c r="C172" s="48" t="s">
        <v>27</v>
      </c>
      <c r="D172" s="48" t="s">
        <v>1365</v>
      </c>
      <c r="E172" s="48" t="s">
        <v>86</v>
      </c>
      <c r="F172" s="48"/>
      <c r="G172" s="48" t="s">
        <v>30</v>
      </c>
      <c r="H172" s="51">
        <v>1000</v>
      </c>
      <c r="I172" s="49">
        <v>200</v>
      </c>
      <c r="J172" s="48" t="s">
        <v>31</v>
      </c>
      <c r="K172" s="48" t="s">
        <v>32</v>
      </c>
      <c r="L172" s="2"/>
      <c r="M172" s="126">
        <v>200</v>
      </c>
    </row>
    <row r="173" spans="1:13" ht="15.75" customHeight="1">
      <c r="A173" s="50">
        <v>10</v>
      </c>
      <c r="B173" s="151" t="s">
        <v>2299</v>
      </c>
      <c r="C173" s="48" t="s">
        <v>27</v>
      </c>
      <c r="D173" s="48" t="s">
        <v>50</v>
      </c>
      <c r="E173" s="48" t="s">
        <v>41</v>
      </c>
      <c r="F173" s="48"/>
      <c r="G173" s="48" t="s">
        <v>30</v>
      </c>
      <c r="H173" s="51">
        <v>500</v>
      </c>
      <c r="I173" s="49">
        <v>100</v>
      </c>
      <c r="J173" s="48" t="s">
        <v>31</v>
      </c>
      <c r="K173" s="48" t="s">
        <v>32</v>
      </c>
      <c r="L173" s="2"/>
      <c r="M173" s="126">
        <v>100</v>
      </c>
    </row>
    <row r="174" spans="1:13" ht="15.75" customHeight="1">
      <c r="A174" s="50">
        <v>10</v>
      </c>
      <c r="B174" s="151" t="s">
        <v>2300</v>
      </c>
      <c r="C174" s="48" t="s">
        <v>27</v>
      </c>
      <c r="D174" s="48" t="s">
        <v>1123</v>
      </c>
      <c r="E174" s="48" t="s">
        <v>73</v>
      </c>
      <c r="F174" s="48"/>
      <c r="G174" s="48" t="s">
        <v>30</v>
      </c>
      <c r="H174" s="51">
        <v>200</v>
      </c>
      <c r="I174" s="49">
        <v>40</v>
      </c>
      <c r="J174" s="48" t="s">
        <v>31</v>
      </c>
      <c r="K174" s="48" t="s">
        <v>32</v>
      </c>
      <c r="L174" s="2"/>
      <c r="M174" s="126">
        <v>40</v>
      </c>
    </row>
    <row r="175" spans="1:13" ht="15.75" customHeight="1">
      <c r="A175" s="50">
        <v>10</v>
      </c>
      <c r="B175" s="218" t="s">
        <v>1322</v>
      </c>
      <c r="C175" s="48" t="s">
        <v>27</v>
      </c>
      <c r="D175" s="48" t="s">
        <v>108</v>
      </c>
      <c r="E175" s="48" t="s">
        <v>36</v>
      </c>
      <c r="F175" s="48"/>
      <c r="G175" s="48" t="s">
        <v>30</v>
      </c>
      <c r="H175" s="51">
        <v>1000</v>
      </c>
      <c r="I175" s="49">
        <v>200</v>
      </c>
      <c r="J175" s="48" t="s">
        <v>31</v>
      </c>
      <c r="K175" s="48" t="s">
        <v>32</v>
      </c>
      <c r="L175" s="2"/>
      <c r="M175" s="126">
        <v>200</v>
      </c>
    </row>
    <row r="176" spans="1:13" ht="15.75" customHeight="1">
      <c r="A176" s="50">
        <v>10</v>
      </c>
      <c r="B176" s="151" t="s">
        <v>2301</v>
      </c>
      <c r="C176" s="48" t="s">
        <v>27</v>
      </c>
      <c r="D176" s="48" t="s">
        <v>495</v>
      </c>
      <c r="E176" s="48" t="s">
        <v>245</v>
      </c>
      <c r="F176" s="48"/>
      <c r="G176" s="48" t="s">
        <v>30</v>
      </c>
      <c r="H176" s="51">
        <v>500</v>
      </c>
      <c r="I176" s="49">
        <v>100</v>
      </c>
      <c r="J176" s="48" t="s">
        <v>31</v>
      </c>
      <c r="K176" s="48" t="s">
        <v>32</v>
      </c>
      <c r="L176" s="2"/>
      <c r="M176" s="126">
        <v>100</v>
      </c>
    </row>
    <row r="177" spans="1:13" ht="15.75" customHeight="1">
      <c r="A177" s="50">
        <v>10</v>
      </c>
      <c r="B177" s="151" t="s">
        <v>2302</v>
      </c>
      <c r="C177" s="48" t="s">
        <v>39</v>
      </c>
      <c r="D177" s="48" t="s">
        <v>1489</v>
      </c>
      <c r="E177" s="48" t="s">
        <v>86</v>
      </c>
      <c r="F177" s="48"/>
      <c r="G177" s="48" t="s">
        <v>30</v>
      </c>
      <c r="H177" s="51">
        <v>500</v>
      </c>
      <c r="I177" s="49">
        <v>100</v>
      </c>
      <c r="J177" s="48" t="s">
        <v>31</v>
      </c>
      <c r="K177" s="48" t="s">
        <v>32</v>
      </c>
      <c r="L177" s="2"/>
      <c r="M177" s="126">
        <v>100</v>
      </c>
    </row>
    <row r="178" spans="1:13" ht="15.75" customHeight="1">
      <c r="A178" s="50">
        <v>10</v>
      </c>
      <c r="B178" s="151" t="s">
        <v>2303</v>
      </c>
      <c r="C178" s="48" t="s">
        <v>27</v>
      </c>
      <c r="D178" s="48" t="s">
        <v>851</v>
      </c>
      <c r="E178" s="48" t="s">
        <v>68</v>
      </c>
      <c r="F178" s="48"/>
      <c r="G178" s="48" t="s">
        <v>30</v>
      </c>
      <c r="H178" s="51">
        <v>1000</v>
      </c>
      <c r="I178" s="49">
        <v>200</v>
      </c>
      <c r="J178" s="48" t="s">
        <v>31</v>
      </c>
      <c r="K178" s="48" t="s">
        <v>32</v>
      </c>
      <c r="L178" s="2"/>
      <c r="M178" s="126">
        <v>200</v>
      </c>
    </row>
    <row r="179" spans="1:13" ht="15.75" customHeight="1">
      <c r="A179" s="50">
        <v>10</v>
      </c>
      <c r="B179" s="151" t="s">
        <v>2304</v>
      </c>
      <c r="C179" s="48" t="s">
        <v>27</v>
      </c>
      <c r="D179" s="48" t="s">
        <v>350</v>
      </c>
      <c r="E179" s="48" t="s">
        <v>29</v>
      </c>
      <c r="F179" s="48"/>
      <c r="G179" s="48" t="s">
        <v>30</v>
      </c>
      <c r="H179" s="51">
        <v>1500</v>
      </c>
      <c r="I179" s="49">
        <v>300</v>
      </c>
      <c r="J179" s="48" t="s">
        <v>31</v>
      </c>
      <c r="K179" s="48" t="s">
        <v>32</v>
      </c>
      <c r="L179" s="2"/>
      <c r="M179" s="126">
        <v>300</v>
      </c>
    </row>
    <row r="180" spans="1:13" ht="15.75" customHeight="1">
      <c r="A180" s="50">
        <v>10</v>
      </c>
      <c r="B180" s="151" t="s">
        <v>2305</v>
      </c>
      <c r="C180" s="48" t="s">
        <v>27</v>
      </c>
      <c r="D180" s="48" t="s">
        <v>2306</v>
      </c>
      <c r="E180" s="48" t="s">
        <v>79</v>
      </c>
      <c r="F180" s="48"/>
      <c r="G180" s="48" t="s">
        <v>30</v>
      </c>
      <c r="H180" s="51">
        <v>500</v>
      </c>
      <c r="I180" s="49">
        <v>100</v>
      </c>
      <c r="J180" s="48" t="s">
        <v>31</v>
      </c>
      <c r="K180" s="48" t="s">
        <v>32</v>
      </c>
      <c r="L180" s="2"/>
      <c r="M180" s="126">
        <v>100</v>
      </c>
    </row>
    <row r="181" spans="1:13" ht="15.75" customHeight="1">
      <c r="A181" s="50">
        <v>10</v>
      </c>
      <c r="B181" s="151" t="s">
        <v>2307</v>
      </c>
      <c r="C181" s="48" t="s">
        <v>27</v>
      </c>
      <c r="D181" s="48" t="s">
        <v>2306</v>
      </c>
      <c r="E181" s="48" t="s">
        <v>79</v>
      </c>
      <c r="F181" s="48"/>
      <c r="G181" s="48" t="s">
        <v>30</v>
      </c>
      <c r="H181" s="51">
        <v>500</v>
      </c>
      <c r="I181" s="49">
        <v>100</v>
      </c>
      <c r="J181" s="48" t="s">
        <v>31</v>
      </c>
      <c r="K181" s="48" t="s">
        <v>32</v>
      </c>
      <c r="L181" s="2"/>
      <c r="M181" s="126">
        <v>100</v>
      </c>
    </row>
    <row r="182" spans="1:13" ht="15.75" customHeight="1">
      <c r="A182" s="50">
        <v>10</v>
      </c>
      <c r="B182" s="151" t="s">
        <v>2308</v>
      </c>
      <c r="C182" s="48" t="s">
        <v>27</v>
      </c>
      <c r="D182" s="48" t="s">
        <v>361</v>
      </c>
      <c r="E182" s="48" t="s">
        <v>79</v>
      </c>
      <c r="F182" s="48"/>
      <c r="G182" s="48" t="s">
        <v>30</v>
      </c>
      <c r="H182" s="51">
        <v>3000</v>
      </c>
      <c r="I182" s="49">
        <v>600</v>
      </c>
      <c r="J182" s="48" t="s">
        <v>31</v>
      </c>
      <c r="K182" s="48" t="s">
        <v>32</v>
      </c>
      <c r="L182" s="2"/>
      <c r="M182" s="126">
        <v>600</v>
      </c>
    </row>
    <row r="183" spans="1:13" ht="15.75" customHeight="1">
      <c r="A183" s="50">
        <v>10</v>
      </c>
      <c r="B183" s="151" t="s">
        <v>2309</v>
      </c>
      <c r="C183" s="48" t="s">
        <v>27</v>
      </c>
      <c r="D183" s="48"/>
      <c r="E183" s="48" t="s">
        <v>148</v>
      </c>
      <c r="F183" s="48"/>
      <c r="G183" s="48" t="s">
        <v>30</v>
      </c>
      <c r="H183" s="51">
        <v>5000</v>
      </c>
      <c r="I183" s="49">
        <v>1000</v>
      </c>
      <c r="J183" s="48" t="s">
        <v>31</v>
      </c>
      <c r="K183" s="48" t="s">
        <v>32</v>
      </c>
      <c r="L183" s="2"/>
      <c r="M183" s="126">
        <v>1200</v>
      </c>
    </row>
    <row r="184" spans="1:13" ht="15.75" customHeight="1">
      <c r="A184" s="50">
        <v>10</v>
      </c>
      <c r="B184" s="151" t="s">
        <v>2310</v>
      </c>
      <c r="C184" s="48" t="s">
        <v>27</v>
      </c>
      <c r="D184" s="48" t="s">
        <v>65</v>
      </c>
      <c r="E184" s="48" t="s">
        <v>36</v>
      </c>
      <c r="F184" s="48"/>
      <c r="G184" s="48" t="s">
        <v>30</v>
      </c>
      <c r="H184" s="51">
        <v>1500</v>
      </c>
      <c r="I184" s="49">
        <v>300</v>
      </c>
      <c r="J184" s="48" t="s">
        <v>31</v>
      </c>
      <c r="K184" s="48" t="s">
        <v>32</v>
      </c>
      <c r="L184" s="2"/>
      <c r="M184" s="126">
        <v>300</v>
      </c>
    </row>
    <row r="185" spans="1:13" ht="15.75" customHeight="1">
      <c r="A185" s="50">
        <v>10</v>
      </c>
      <c r="B185" s="151" t="s">
        <v>2311</v>
      </c>
      <c r="C185" s="48" t="s">
        <v>27</v>
      </c>
      <c r="D185" s="48" t="s">
        <v>472</v>
      </c>
      <c r="E185" s="48" t="s">
        <v>89</v>
      </c>
      <c r="F185" s="48"/>
      <c r="G185" s="48" t="s">
        <v>30</v>
      </c>
      <c r="H185" s="51">
        <v>500</v>
      </c>
      <c r="I185" s="49">
        <v>100</v>
      </c>
      <c r="J185" s="48" t="s">
        <v>31</v>
      </c>
      <c r="K185" s="48" t="s">
        <v>32</v>
      </c>
      <c r="L185" s="2"/>
      <c r="M185" s="126">
        <v>300</v>
      </c>
    </row>
    <row r="186" spans="1:13" ht="15.75" customHeight="1">
      <c r="A186" s="50">
        <v>10</v>
      </c>
      <c r="B186" s="151" t="s">
        <v>2312</v>
      </c>
      <c r="C186" s="48" t="s">
        <v>27</v>
      </c>
      <c r="D186" s="48" t="s">
        <v>472</v>
      </c>
      <c r="E186" s="48" t="s">
        <v>89</v>
      </c>
      <c r="F186" s="48"/>
      <c r="G186" s="48" t="s">
        <v>30</v>
      </c>
      <c r="H186" s="51">
        <v>500</v>
      </c>
      <c r="I186" s="49">
        <v>100</v>
      </c>
      <c r="J186" s="48" t="s">
        <v>31</v>
      </c>
      <c r="K186" s="48" t="s">
        <v>32</v>
      </c>
      <c r="L186" s="2"/>
      <c r="M186" s="126">
        <v>100</v>
      </c>
    </row>
    <row r="187" spans="1:13" ht="15.75" customHeight="1">
      <c r="A187" s="50">
        <v>10</v>
      </c>
      <c r="B187" s="151" t="s">
        <v>2313</v>
      </c>
      <c r="C187" s="48" t="s">
        <v>27</v>
      </c>
      <c r="D187" s="48" t="s">
        <v>472</v>
      </c>
      <c r="E187" s="48" t="s">
        <v>89</v>
      </c>
      <c r="F187" s="48"/>
      <c r="G187" s="48" t="s">
        <v>30</v>
      </c>
      <c r="H187" s="51">
        <v>500</v>
      </c>
      <c r="I187" s="49">
        <v>100</v>
      </c>
      <c r="J187" s="48" t="s">
        <v>31</v>
      </c>
      <c r="K187" s="48" t="s">
        <v>32</v>
      </c>
      <c r="L187" s="2"/>
      <c r="M187" s="126">
        <v>200</v>
      </c>
    </row>
    <row r="188" spans="1:13" ht="15.75" customHeight="1">
      <c r="A188" s="50">
        <v>10</v>
      </c>
      <c r="B188" s="151" t="s">
        <v>2314</v>
      </c>
      <c r="C188" s="48" t="s">
        <v>27</v>
      </c>
      <c r="D188" s="48" t="s">
        <v>1431</v>
      </c>
      <c r="E188" s="48" t="s">
        <v>44</v>
      </c>
      <c r="F188" s="48"/>
      <c r="G188" s="48" t="s">
        <v>30</v>
      </c>
      <c r="H188" s="51">
        <v>1000</v>
      </c>
      <c r="I188" s="49">
        <v>200</v>
      </c>
      <c r="J188" s="48" t="s">
        <v>31</v>
      </c>
      <c r="K188" s="48" t="s">
        <v>32</v>
      </c>
      <c r="L188" s="2"/>
      <c r="M188" s="126">
        <v>200</v>
      </c>
    </row>
    <row r="189" spans="1:13" ht="15.75" customHeight="1">
      <c r="A189" s="50">
        <v>10</v>
      </c>
      <c r="B189" s="151" t="s">
        <v>2315</v>
      </c>
      <c r="C189" s="48" t="s">
        <v>27</v>
      </c>
      <c r="D189" s="48" t="s">
        <v>2289</v>
      </c>
      <c r="E189" s="48" t="s">
        <v>245</v>
      </c>
      <c r="F189" s="48"/>
      <c r="G189" s="48" t="s">
        <v>30</v>
      </c>
      <c r="H189" s="51">
        <v>4500</v>
      </c>
      <c r="I189" s="49">
        <v>900</v>
      </c>
      <c r="J189" s="48" t="s">
        <v>31</v>
      </c>
      <c r="K189" s="48" t="s">
        <v>32</v>
      </c>
      <c r="L189" s="2"/>
      <c r="M189" s="126">
        <v>1000</v>
      </c>
    </row>
    <row r="190" spans="1:13" ht="15.75" customHeight="1">
      <c r="A190" s="50">
        <v>10</v>
      </c>
      <c r="B190" s="151" t="s">
        <v>673</v>
      </c>
      <c r="C190" s="48" t="s">
        <v>27</v>
      </c>
      <c r="D190" s="48" t="s">
        <v>98</v>
      </c>
      <c r="E190" s="48" t="s">
        <v>36</v>
      </c>
      <c r="F190" s="48"/>
      <c r="G190" s="48" t="s">
        <v>30</v>
      </c>
      <c r="H190" s="51">
        <v>2000</v>
      </c>
      <c r="I190" s="49">
        <v>400</v>
      </c>
      <c r="J190" s="48" t="s">
        <v>31</v>
      </c>
      <c r="K190" s="48" t="s">
        <v>32</v>
      </c>
      <c r="L190" s="2"/>
      <c r="M190" s="126">
        <v>300</v>
      </c>
    </row>
    <row r="191" spans="1:13" ht="15.75" customHeight="1">
      <c r="A191" s="50">
        <v>10</v>
      </c>
      <c r="B191" s="151" t="s">
        <v>2316</v>
      </c>
      <c r="C191" s="48" t="s">
        <v>27</v>
      </c>
      <c r="D191" s="48" t="s">
        <v>1503</v>
      </c>
      <c r="E191" s="48" t="s">
        <v>145</v>
      </c>
      <c r="F191" s="48"/>
      <c r="G191" s="48" t="s">
        <v>30</v>
      </c>
      <c r="H191" s="51">
        <v>3000</v>
      </c>
      <c r="I191" s="49">
        <v>600</v>
      </c>
      <c r="J191" s="48" t="s">
        <v>31</v>
      </c>
      <c r="K191" s="48" t="s">
        <v>32</v>
      </c>
      <c r="L191" s="2"/>
      <c r="M191" s="126">
        <v>300</v>
      </c>
    </row>
    <row r="192" spans="1:13" ht="15.75" customHeight="1">
      <c r="A192" s="50">
        <v>10</v>
      </c>
      <c r="B192" s="151" t="s">
        <v>26</v>
      </c>
      <c r="C192" s="48" t="s">
        <v>27</v>
      </c>
      <c r="D192" s="48" t="s">
        <v>578</v>
      </c>
      <c r="E192" s="48" t="s">
        <v>29</v>
      </c>
      <c r="F192" s="48"/>
      <c r="G192" s="48" t="s">
        <v>30</v>
      </c>
      <c r="H192" s="51">
        <v>15000</v>
      </c>
      <c r="I192" s="49">
        <v>3000</v>
      </c>
      <c r="J192" s="48" t="s">
        <v>31</v>
      </c>
      <c r="K192" s="48" t="s">
        <v>32</v>
      </c>
      <c r="L192" s="2"/>
      <c r="M192" s="126">
        <v>3000</v>
      </c>
    </row>
    <row r="193" spans="1:21" ht="15.75" customHeight="1">
      <c r="A193" s="50">
        <v>10</v>
      </c>
      <c r="B193" s="385" t="s">
        <v>1218</v>
      </c>
      <c r="C193" s="48" t="s">
        <v>27</v>
      </c>
      <c r="D193" s="48" t="s">
        <v>1219</v>
      </c>
      <c r="E193" s="48" t="s">
        <v>44</v>
      </c>
      <c r="F193" s="48"/>
      <c r="G193" s="48" t="s">
        <v>30</v>
      </c>
      <c r="H193" s="51">
        <v>2000</v>
      </c>
      <c r="I193" s="49">
        <v>400</v>
      </c>
      <c r="J193" s="48" t="s">
        <v>31</v>
      </c>
      <c r="K193" s="48" t="s">
        <v>32</v>
      </c>
      <c r="L193" s="2"/>
      <c r="M193" s="126">
        <v>300</v>
      </c>
    </row>
    <row r="194" spans="1:21" ht="15.75" customHeight="1">
      <c r="A194" s="50">
        <v>10</v>
      </c>
      <c r="B194" s="151" t="s">
        <v>492</v>
      </c>
      <c r="C194" s="48" t="s">
        <v>27</v>
      </c>
      <c r="D194" s="48" t="s">
        <v>43</v>
      </c>
      <c r="E194" s="48" t="s">
        <v>44</v>
      </c>
      <c r="F194" s="48"/>
      <c r="G194" s="48" t="s">
        <v>30</v>
      </c>
      <c r="H194" s="51">
        <v>2300</v>
      </c>
      <c r="I194" s="49">
        <v>460</v>
      </c>
      <c r="J194" s="48" t="s">
        <v>31</v>
      </c>
      <c r="K194" s="48" t="s">
        <v>32</v>
      </c>
      <c r="L194" s="2"/>
      <c r="M194" s="126">
        <v>800</v>
      </c>
    </row>
    <row r="195" spans="1:21" ht="15.75" customHeight="1">
      <c r="A195" s="50">
        <v>10</v>
      </c>
      <c r="B195" s="151" t="s">
        <v>2317</v>
      </c>
      <c r="C195" s="48" t="s">
        <v>27</v>
      </c>
      <c r="D195" s="48" t="s">
        <v>100</v>
      </c>
      <c r="E195" s="48" t="s">
        <v>84</v>
      </c>
      <c r="F195" s="48"/>
      <c r="G195" s="48" t="s">
        <v>30</v>
      </c>
      <c r="H195" s="51">
        <v>750</v>
      </c>
      <c r="I195" s="49">
        <v>150</v>
      </c>
      <c r="J195" s="48" t="s">
        <v>31</v>
      </c>
      <c r="K195" s="48" t="s">
        <v>32</v>
      </c>
      <c r="L195" s="2"/>
      <c r="M195" s="126">
        <v>150</v>
      </c>
    </row>
    <row r="196" spans="1:21" ht="15.75" customHeight="1">
      <c r="A196" s="50">
        <v>10</v>
      </c>
      <c r="B196" s="151" t="s">
        <v>641</v>
      </c>
      <c r="C196" s="48" t="s">
        <v>27</v>
      </c>
      <c r="D196" s="48" t="s">
        <v>639</v>
      </c>
      <c r="E196" s="48" t="s">
        <v>145</v>
      </c>
      <c r="F196" s="48"/>
      <c r="G196" s="48" t="s">
        <v>30</v>
      </c>
      <c r="H196" s="51">
        <v>500</v>
      </c>
      <c r="I196" s="49">
        <v>100</v>
      </c>
      <c r="J196" s="48" t="s">
        <v>31</v>
      </c>
      <c r="K196" s="48" t="s">
        <v>32</v>
      </c>
      <c r="L196" s="2"/>
      <c r="M196" s="126">
        <v>300</v>
      </c>
    </row>
    <row r="197" spans="1:21" ht="15.75" customHeight="1">
      <c r="A197" s="50">
        <v>10</v>
      </c>
      <c r="B197" s="151" t="s">
        <v>2318</v>
      </c>
      <c r="C197" s="48" t="s">
        <v>27</v>
      </c>
      <c r="D197" s="48" t="s">
        <v>607</v>
      </c>
      <c r="E197" s="48" t="s">
        <v>36</v>
      </c>
      <c r="F197" s="48"/>
      <c r="G197" s="48" t="s">
        <v>30</v>
      </c>
      <c r="H197" s="51">
        <v>2000</v>
      </c>
      <c r="I197" s="49">
        <v>400</v>
      </c>
      <c r="J197" s="48" t="s">
        <v>31</v>
      </c>
      <c r="K197" s="48" t="s">
        <v>32</v>
      </c>
      <c r="L197" s="2"/>
      <c r="M197" s="126">
        <v>400</v>
      </c>
    </row>
    <row r="198" spans="1:21" ht="15.75" customHeight="1">
      <c r="A198" s="50">
        <v>10</v>
      </c>
      <c r="B198" s="151" t="s">
        <v>2319</v>
      </c>
      <c r="C198" s="48" t="s">
        <v>27</v>
      </c>
      <c r="D198" s="48" t="s">
        <v>1993</v>
      </c>
      <c r="E198" s="48" t="s">
        <v>223</v>
      </c>
      <c r="F198" s="48"/>
      <c r="G198" s="48" t="s">
        <v>30</v>
      </c>
      <c r="H198" s="51">
        <v>300</v>
      </c>
      <c r="I198" s="49" t="s">
        <v>1586</v>
      </c>
      <c r="J198" s="48" t="s">
        <v>31</v>
      </c>
      <c r="K198" s="48" t="s">
        <v>32</v>
      </c>
      <c r="L198" s="2"/>
      <c r="M198" s="126">
        <v>60</v>
      </c>
    </row>
    <row r="199" spans="1:21" ht="15.75" customHeight="1">
      <c r="A199" s="50">
        <v>10</v>
      </c>
      <c r="B199" s="151" t="s">
        <v>2320</v>
      </c>
      <c r="C199" s="48" t="s">
        <v>39</v>
      </c>
      <c r="D199" s="48" t="s">
        <v>1993</v>
      </c>
      <c r="E199" s="48" t="s">
        <v>223</v>
      </c>
      <c r="F199" s="48"/>
      <c r="G199" s="48" t="s">
        <v>30</v>
      </c>
      <c r="H199" s="51">
        <v>300</v>
      </c>
      <c r="I199" s="49" t="s">
        <v>1586</v>
      </c>
      <c r="J199" s="48" t="s">
        <v>31</v>
      </c>
      <c r="K199" s="48" t="s">
        <v>32</v>
      </c>
      <c r="L199" s="2"/>
      <c r="M199" s="126">
        <v>60</v>
      </c>
    </row>
    <row r="200" spans="1:21" ht="15.75" customHeight="1">
      <c r="A200" s="50">
        <v>10</v>
      </c>
      <c r="B200" s="151" t="s">
        <v>698</v>
      </c>
      <c r="C200" s="48" t="s">
        <v>27</v>
      </c>
      <c r="D200" s="48" t="s">
        <v>297</v>
      </c>
      <c r="E200" s="48" t="s">
        <v>44</v>
      </c>
      <c r="F200" s="48"/>
      <c r="G200" s="48" t="s">
        <v>608</v>
      </c>
      <c r="H200" s="51">
        <v>30</v>
      </c>
      <c r="I200" s="49">
        <v>150</v>
      </c>
      <c r="J200" s="48" t="s">
        <v>31</v>
      </c>
      <c r="K200" s="48" t="s">
        <v>32</v>
      </c>
      <c r="L200" s="2"/>
    </row>
    <row r="201" spans="1:21" ht="15.75" customHeight="1">
      <c r="A201" s="50">
        <v>10</v>
      </c>
      <c r="B201" s="151" t="s">
        <v>692</v>
      </c>
      <c r="C201" s="48" t="s">
        <v>27</v>
      </c>
      <c r="D201" s="48" t="s">
        <v>631</v>
      </c>
      <c r="E201" s="48" t="s">
        <v>84</v>
      </c>
      <c r="F201" s="48"/>
      <c r="G201" s="48" t="s">
        <v>30</v>
      </c>
      <c r="H201" s="51">
        <v>4200</v>
      </c>
      <c r="I201" s="49">
        <v>840</v>
      </c>
      <c r="J201" s="48" t="s">
        <v>31</v>
      </c>
      <c r="K201" s="48" t="s">
        <v>32</v>
      </c>
      <c r="L201" s="2"/>
      <c r="M201" s="126">
        <v>1000</v>
      </c>
    </row>
    <row r="202" spans="1:21" ht="15.75" customHeight="1">
      <c r="A202" s="384">
        <v>10</v>
      </c>
      <c r="B202" s="385" t="s">
        <v>1880</v>
      </c>
      <c r="C202" s="386" t="s">
        <v>27</v>
      </c>
      <c r="D202" s="385" t="s">
        <v>934</v>
      </c>
      <c r="E202" s="386" t="s">
        <v>44</v>
      </c>
      <c r="F202" s="386"/>
      <c r="G202" s="48" t="s">
        <v>30</v>
      </c>
      <c r="H202" s="51">
        <v>100</v>
      </c>
      <c r="I202" s="49">
        <v>20</v>
      </c>
      <c r="J202" s="386" t="s">
        <v>31</v>
      </c>
      <c r="K202" s="386" t="s">
        <v>32</v>
      </c>
      <c r="L202" s="2"/>
      <c r="M202" s="126">
        <v>50</v>
      </c>
    </row>
    <row r="203" spans="1:21" ht="15.75" customHeight="1">
      <c r="A203" s="50">
        <v>10</v>
      </c>
      <c r="B203" s="151" t="s">
        <v>705</v>
      </c>
      <c r="C203" s="48" t="s">
        <v>27</v>
      </c>
      <c r="D203" s="48" t="s">
        <v>645</v>
      </c>
      <c r="E203" s="48" t="s">
        <v>29</v>
      </c>
      <c r="F203" s="48"/>
      <c r="G203" s="48" t="s">
        <v>30</v>
      </c>
      <c r="H203" s="51">
        <v>30000</v>
      </c>
      <c r="I203" s="49">
        <v>6000</v>
      </c>
      <c r="J203" s="48" t="s">
        <v>31</v>
      </c>
      <c r="K203" s="48" t="s">
        <v>32</v>
      </c>
      <c r="L203" s="2"/>
      <c r="M203" s="126">
        <v>10000</v>
      </c>
      <c r="P203" s="792">
        <v>40391</v>
      </c>
      <c r="Q203" s="719"/>
    </row>
    <row r="204" spans="1:21" ht="15.75" customHeight="1">
      <c r="A204" s="50">
        <v>10</v>
      </c>
      <c r="B204" s="151" t="s">
        <v>705</v>
      </c>
      <c r="C204" s="48" t="s">
        <v>27</v>
      </c>
      <c r="D204" s="48" t="s">
        <v>645</v>
      </c>
      <c r="E204" s="48" t="s">
        <v>29</v>
      </c>
      <c r="F204" s="48"/>
      <c r="G204" s="379" t="s">
        <v>579</v>
      </c>
      <c r="H204" s="380">
        <v>4000</v>
      </c>
      <c r="I204" s="387">
        <v>4000</v>
      </c>
      <c r="J204" s="48" t="s">
        <v>31</v>
      </c>
      <c r="K204" s="48" t="s">
        <v>32</v>
      </c>
      <c r="L204" s="2"/>
      <c r="P204" s="723" t="s">
        <v>25</v>
      </c>
      <c r="Q204" s="719"/>
    </row>
    <row r="205" spans="1:21" ht="15.75" customHeight="1">
      <c r="A205" s="50">
        <v>10</v>
      </c>
      <c r="B205" s="218" t="s">
        <v>1402</v>
      </c>
      <c r="C205" s="48" t="s">
        <v>27</v>
      </c>
      <c r="D205" s="48" t="s">
        <v>96</v>
      </c>
      <c r="E205" s="48" t="s">
        <v>44</v>
      </c>
      <c r="F205" s="48"/>
      <c r="G205" s="48" t="s">
        <v>30</v>
      </c>
      <c r="H205" s="51">
        <v>500</v>
      </c>
      <c r="I205" s="49">
        <v>100</v>
      </c>
      <c r="J205" s="48" t="s">
        <v>31</v>
      </c>
      <c r="K205" s="48" t="s">
        <v>32</v>
      </c>
      <c r="L205" s="2"/>
      <c r="M205" s="126">
        <v>150</v>
      </c>
      <c r="P205" s="48" t="s">
        <v>33</v>
      </c>
      <c r="Q205" s="51">
        <v>103750</v>
      </c>
      <c r="R205" s="55"/>
      <c r="U205" s="55"/>
    </row>
    <row r="206" spans="1:21" ht="15.75" customHeight="1">
      <c r="A206" s="50">
        <v>10</v>
      </c>
      <c r="B206" s="218" t="s">
        <v>2321</v>
      </c>
      <c r="C206" s="48" t="s">
        <v>27</v>
      </c>
      <c r="D206" s="48" t="s">
        <v>108</v>
      </c>
      <c r="E206" s="48" t="s">
        <v>36</v>
      </c>
      <c r="F206" s="48"/>
      <c r="G206" s="48" t="s">
        <v>30</v>
      </c>
      <c r="H206" s="51">
        <v>1000</v>
      </c>
      <c r="I206" s="49">
        <v>200</v>
      </c>
      <c r="J206" s="48" t="s">
        <v>31</v>
      </c>
      <c r="K206" s="48" t="s">
        <v>32</v>
      </c>
      <c r="L206" s="2"/>
      <c r="M206" s="126">
        <v>144</v>
      </c>
      <c r="P206" s="48" t="s">
        <v>37</v>
      </c>
      <c r="Q206" s="51">
        <v>23100</v>
      </c>
      <c r="R206" s="55"/>
      <c r="T206" s="55"/>
    </row>
    <row r="207" spans="1:21" ht="15.75" customHeight="1">
      <c r="A207" s="50">
        <v>10</v>
      </c>
      <c r="B207" s="218" t="s">
        <v>2322</v>
      </c>
      <c r="C207" s="48" t="s">
        <v>39</v>
      </c>
      <c r="D207" s="48" t="s">
        <v>1196</v>
      </c>
      <c r="E207" s="48" t="s">
        <v>73</v>
      </c>
      <c r="F207" s="48"/>
      <c r="G207" s="48" t="s">
        <v>30</v>
      </c>
      <c r="H207" s="51">
        <v>2500</v>
      </c>
      <c r="I207" s="49">
        <v>500</v>
      </c>
      <c r="J207" s="48" t="s">
        <v>31</v>
      </c>
      <c r="K207" s="48" t="s">
        <v>32</v>
      </c>
      <c r="L207" s="2"/>
      <c r="M207" s="126">
        <v>500</v>
      </c>
      <c r="P207" s="391" t="s">
        <v>282</v>
      </c>
      <c r="Q207" s="392">
        <v>126850</v>
      </c>
    </row>
    <row r="208" spans="1:21" ht="15.75" customHeight="1">
      <c r="A208" s="50">
        <v>10</v>
      </c>
      <c r="B208" s="218" t="s">
        <v>2322</v>
      </c>
      <c r="C208" s="48" t="s">
        <v>39</v>
      </c>
      <c r="D208" s="48" t="s">
        <v>1196</v>
      </c>
      <c r="E208" s="48" t="s">
        <v>73</v>
      </c>
      <c r="F208" s="48"/>
      <c r="G208" s="379" t="s">
        <v>579</v>
      </c>
      <c r="H208" s="380">
        <v>100</v>
      </c>
      <c r="I208" s="387">
        <v>100</v>
      </c>
      <c r="J208" s="48" t="s">
        <v>31</v>
      </c>
      <c r="K208" s="48" t="s">
        <v>32</v>
      </c>
      <c r="L208" s="2"/>
      <c r="P208" s="723" t="s">
        <v>586</v>
      </c>
      <c r="Q208" s="719"/>
    </row>
    <row r="209" spans="1:17" ht="15.75" customHeight="1">
      <c r="A209" s="50">
        <v>10</v>
      </c>
      <c r="B209" s="218" t="s">
        <v>2323</v>
      </c>
      <c r="C209" s="48" t="s">
        <v>27</v>
      </c>
      <c r="D209" s="48" t="s">
        <v>211</v>
      </c>
      <c r="E209" s="48" t="s">
        <v>245</v>
      </c>
      <c r="F209" s="48"/>
      <c r="G209" s="48" t="s">
        <v>30</v>
      </c>
      <c r="H209" s="51">
        <v>3000</v>
      </c>
      <c r="I209" s="49">
        <v>600</v>
      </c>
      <c r="J209" s="48" t="s">
        <v>31</v>
      </c>
      <c r="K209" s="48" t="s">
        <v>32</v>
      </c>
      <c r="L209" s="2"/>
      <c r="M209" s="126">
        <v>200</v>
      </c>
      <c r="P209" s="48" t="s">
        <v>33</v>
      </c>
      <c r="Q209" s="51">
        <v>4200</v>
      </c>
    </row>
    <row r="210" spans="1:17" ht="15.75" customHeight="1">
      <c r="A210" s="50">
        <v>10</v>
      </c>
      <c r="B210" s="218" t="s">
        <v>2324</v>
      </c>
      <c r="C210" s="48" t="s">
        <v>27</v>
      </c>
      <c r="D210" s="48" t="s">
        <v>211</v>
      </c>
      <c r="E210" s="48" t="s">
        <v>245</v>
      </c>
      <c r="F210" s="48"/>
      <c r="G210" s="48" t="s">
        <v>30</v>
      </c>
      <c r="H210" s="51">
        <v>2000</v>
      </c>
      <c r="I210" s="49">
        <v>400</v>
      </c>
      <c r="J210" s="48" t="s">
        <v>31</v>
      </c>
      <c r="K210" s="48" t="s">
        <v>32</v>
      </c>
      <c r="L210" s="2"/>
      <c r="M210" s="126">
        <v>90</v>
      </c>
      <c r="P210" s="48" t="s">
        <v>37</v>
      </c>
      <c r="Q210" s="48">
        <v>0</v>
      </c>
    </row>
    <row r="211" spans="1:17" ht="15.75" customHeight="1">
      <c r="A211" s="50">
        <v>10</v>
      </c>
      <c r="B211" s="218" t="s">
        <v>1078</v>
      </c>
      <c r="C211" s="48" t="s">
        <v>27</v>
      </c>
      <c r="D211" s="48" t="s">
        <v>98</v>
      </c>
      <c r="E211" s="48" t="s">
        <v>36</v>
      </c>
      <c r="F211" s="48"/>
      <c r="G211" s="48" t="s">
        <v>30</v>
      </c>
      <c r="H211" s="51">
        <v>500</v>
      </c>
      <c r="I211" s="49" t="s">
        <v>1586</v>
      </c>
      <c r="J211" s="48" t="s">
        <v>31</v>
      </c>
      <c r="K211" s="48" t="s">
        <v>32</v>
      </c>
      <c r="L211" s="2"/>
      <c r="M211" s="126">
        <v>600</v>
      </c>
      <c r="P211" s="391" t="s">
        <v>282</v>
      </c>
      <c r="Q211" s="392">
        <v>4200</v>
      </c>
    </row>
    <row r="212" spans="1:17" ht="15.75" customHeight="1">
      <c r="A212" s="50">
        <v>10</v>
      </c>
      <c r="B212" s="218" t="s">
        <v>1078</v>
      </c>
      <c r="C212" s="48" t="s">
        <v>27</v>
      </c>
      <c r="D212" s="48" t="s">
        <v>98</v>
      </c>
      <c r="E212" s="48" t="s">
        <v>36</v>
      </c>
      <c r="F212" s="48"/>
      <c r="G212" s="48" t="s">
        <v>30</v>
      </c>
      <c r="H212" s="51">
        <v>1000</v>
      </c>
      <c r="I212" s="49">
        <v>200</v>
      </c>
      <c r="J212" s="48" t="s">
        <v>31</v>
      </c>
      <c r="K212" s="48" t="s">
        <v>32</v>
      </c>
      <c r="L212" s="2"/>
      <c r="P212" s="723" t="s">
        <v>286</v>
      </c>
      <c r="Q212" s="719"/>
    </row>
    <row r="213" spans="1:17" ht="15.75" customHeight="1">
      <c r="A213" s="50">
        <v>10</v>
      </c>
      <c r="B213" s="218" t="s">
        <v>1801</v>
      </c>
      <c r="C213" s="48" t="s">
        <v>39</v>
      </c>
      <c r="D213" s="48" t="s">
        <v>211</v>
      </c>
      <c r="E213" s="48" t="s">
        <v>245</v>
      </c>
      <c r="F213" s="48"/>
      <c r="G213" s="48" t="s">
        <v>30</v>
      </c>
      <c r="H213" s="51">
        <v>1000</v>
      </c>
      <c r="I213" s="49">
        <v>200</v>
      </c>
      <c r="J213" s="48" t="s">
        <v>31</v>
      </c>
      <c r="K213" s="48" t="s">
        <v>32</v>
      </c>
      <c r="L213" s="2"/>
      <c r="M213" s="126">
        <v>150</v>
      </c>
      <c r="P213" s="48" t="s">
        <v>1346</v>
      </c>
      <c r="Q213" s="48">
        <v>85</v>
      </c>
    </row>
    <row r="214" spans="1:17" ht="15.75" customHeight="1">
      <c r="A214" s="50">
        <v>10</v>
      </c>
      <c r="B214" s="218" t="s">
        <v>1801</v>
      </c>
      <c r="C214" s="48" t="s">
        <v>39</v>
      </c>
      <c r="D214" s="48" t="s">
        <v>211</v>
      </c>
      <c r="E214" s="48" t="s">
        <v>245</v>
      </c>
      <c r="F214" s="48"/>
      <c r="G214" s="379" t="s">
        <v>579</v>
      </c>
      <c r="H214" s="380">
        <v>100</v>
      </c>
      <c r="I214" s="387">
        <v>100</v>
      </c>
      <c r="J214" s="48" t="s">
        <v>31</v>
      </c>
      <c r="K214" s="48" t="s">
        <v>32</v>
      </c>
      <c r="L214" s="2"/>
      <c r="P214" s="48" t="s">
        <v>2325</v>
      </c>
      <c r="Q214" s="48">
        <v>20</v>
      </c>
    </row>
    <row r="215" spans="1:17" ht="15.75" customHeight="1">
      <c r="A215" s="65">
        <v>10</v>
      </c>
      <c r="B215" s="288" t="s">
        <v>2326</v>
      </c>
      <c r="C215" s="58" t="s">
        <v>39</v>
      </c>
      <c r="D215" s="58" t="s">
        <v>295</v>
      </c>
      <c r="E215" s="58" t="s">
        <v>86</v>
      </c>
      <c r="F215" s="58"/>
      <c r="G215" s="58" t="s">
        <v>30</v>
      </c>
      <c r="H215" s="59">
        <v>300</v>
      </c>
      <c r="I215" s="60">
        <v>60</v>
      </c>
      <c r="J215" s="58" t="s">
        <v>31</v>
      </c>
      <c r="K215" s="58" t="s">
        <v>32</v>
      </c>
      <c r="L215" s="2"/>
      <c r="M215" s="126">
        <v>60</v>
      </c>
      <c r="P215" s="391" t="s">
        <v>282</v>
      </c>
      <c r="Q215" s="391">
        <v>105</v>
      </c>
    </row>
    <row r="216" spans="1:17" ht="15.75" customHeight="1">
      <c r="A216" s="61">
        <v>11</v>
      </c>
      <c r="B216" s="292" t="s">
        <v>2327</v>
      </c>
      <c r="C216" s="62" t="s">
        <v>27</v>
      </c>
      <c r="D216" s="62" t="s">
        <v>1076</v>
      </c>
      <c r="E216" s="62" t="s">
        <v>89</v>
      </c>
      <c r="F216" s="62"/>
      <c r="G216" s="62" t="s">
        <v>30</v>
      </c>
      <c r="H216" s="63">
        <v>600</v>
      </c>
      <c r="I216" s="64">
        <v>120</v>
      </c>
      <c r="J216" s="62" t="s">
        <v>31</v>
      </c>
      <c r="K216" s="62" t="s">
        <v>32</v>
      </c>
      <c r="L216" s="2"/>
      <c r="M216" s="126">
        <v>130</v>
      </c>
    </row>
    <row r="217" spans="1:17" ht="15.75" customHeight="1">
      <c r="A217" s="50">
        <v>11</v>
      </c>
      <c r="B217" s="151" t="s">
        <v>1876</v>
      </c>
      <c r="C217" s="48" t="s">
        <v>39</v>
      </c>
      <c r="D217" s="48" t="s">
        <v>104</v>
      </c>
      <c r="E217" s="48" t="s">
        <v>36</v>
      </c>
      <c r="F217" s="48"/>
      <c r="G217" s="48" t="s">
        <v>30</v>
      </c>
      <c r="H217" s="51">
        <v>2000</v>
      </c>
      <c r="I217" s="49">
        <v>400</v>
      </c>
      <c r="J217" s="48" t="s">
        <v>31</v>
      </c>
      <c r="K217" s="48" t="s">
        <v>32</v>
      </c>
      <c r="L217" s="2"/>
      <c r="M217" s="126">
        <v>600</v>
      </c>
    </row>
    <row r="218" spans="1:17" ht="15.75" customHeight="1">
      <c r="A218" s="50">
        <v>11</v>
      </c>
      <c r="B218" s="151" t="s">
        <v>2328</v>
      </c>
      <c r="C218" s="48" t="s">
        <v>27</v>
      </c>
      <c r="D218" s="48" t="s">
        <v>205</v>
      </c>
      <c r="E218" s="48" t="s">
        <v>191</v>
      </c>
      <c r="F218" s="48"/>
      <c r="G218" s="48" t="s">
        <v>30</v>
      </c>
      <c r="H218" s="51">
        <v>1000</v>
      </c>
      <c r="I218" s="49">
        <v>200</v>
      </c>
      <c r="J218" s="48" t="s">
        <v>31</v>
      </c>
      <c r="K218" s="48" t="s">
        <v>32</v>
      </c>
      <c r="L218" s="2"/>
      <c r="M218" s="126">
        <v>300</v>
      </c>
    </row>
    <row r="219" spans="1:17" ht="15.75" customHeight="1">
      <c r="A219" s="50">
        <v>11</v>
      </c>
      <c r="B219" s="48" t="s">
        <v>2329</v>
      </c>
      <c r="C219" s="48" t="s">
        <v>27</v>
      </c>
      <c r="D219" s="48" t="s">
        <v>1359</v>
      </c>
      <c r="E219" s="48" t="s">
        <v>51</v>
      </c>
      <c r="F219" s="48"/>
      <c r="G219" s="48" t="s">
        <v>30</v>
      </c>
      <c r="H219" s="51">
        <v>500</v>
      </c>
      <c r="I219" s="49">
        <v>100</v>
      </c>
      <c r="J219" s="48" t="s">
        <v>31</v>
      </c>
      <c r="K219" s="48" t="s">
        <v>32</v>
      </c>
      <c r="L219" s="2"/>
      <c r="M219" s="126">
        <v>50</v>
      </c>
    </row>
    <row r="220" spans="1:17" ht="15.75" customHeight="1">
      <c r="A220" s="50">
        <v>11</v>
      </c>
      <c r="B220" s="218" t="s">
        <v>2330</v>
      </c>
      <c r="C220" s="48" t="s">
        <v>27</v>
      </c>
      <c r="D220" s="48" t="s">
        <v>2090</v>
      </c>
      <c r="E220" s="48" t="s">
        <v>84</v>
      </c>
      <c r="F220" s="48"/>
      <c r="G220" s="48" t="s">
        <v>30</v>
      </c>
      <c r="H220" s="51">
        <v>500</v>
      </c>
      <c r="I220" s="49">
        <v>100</v>
      </c>
      <c r="J220" s="48" t="s">
        <v>31</v>
      </c>
      <c r="K220" s="48" t="s">
        <v>32</v>
      </c>
      <c r="L220" s="2"/>
      <c r="M220" s="126">
        <v>150</v>
      </c>
    </row>
    <row r="221" spans="1:17" ht="15.75" customHeight="1">
      <c r="A221" s="50">
        <v>11</v>
      </c>
      <c r="B221" s="48" t="s">
        <v>2331</v>
      </c>
      <c r="C221" s="48" t="s">
        <v>27</v>
      </c>
      <c r="D221" s="48" t="s">
        <v>65</v>
      </c>
      <c r="E221" s="48" t="s">
        <v>36</v>
      </c>
      <c r="F221" s="48"/>
      <c r="G221" s="48" t="s">
        <v>30</v>
      </c>
      <c r="H221" s="51">
        <v>5000</v>
      </c>
      <c r="I221" s="49">
        <v>1000</v>
      </c>
      <c r="J221" s="48" t="s">
        <v>31</v>
      </c>
      <c r="K221" s="48" t="s">
        <v>32</v>
      </c>
      <c r="L221" s="2"/>
      <c r="M221" s="126">
        <v>1600</v>
      </c>
    </row>
    <row r="222" spans="1:17" ht="15.75" customHeight="1">
      <c r="A222" s="50">
        <v>11</v>
      </c>
      <c r="B222" s="48" t="s">
        <v>754</v>
      </c>
      <c r="C222" s="48" t="s">
        <v>27</v>
      </c>
      <c r="D222" s="48" t="s">
        <v>43</v>
      </c>
      <c r="E222" s="48" t="s">
        <v>44</v>
      </c>
      <c r="F222" s="48"/>
      <c r="G222" s="48" t="s">
        <v>30</v>
      </c>
      <c r="H222" s="51">
        <v>1000</v>
      </c>
      <c r="I222" s="49">
        <v>200</v>
      </c>
      <c r="J222" s="48" t="s">
        <v>31</v>
      </c>
      <c r="K222" s="48" t="s">
        <v>32</v>
      </c>
      <c r="L222" s="2"/>
      <c r="M222" s="126">
        <v>300</v>
      </c>
    </row>
    <row r="223" spans="1:17" ht="15.75" customHeight="1">
      <c r="A223" s="50">
        <v>11</v>
      </c>
      <c r="B223" s="218" t="s">
        <v>2332</v>
      </c>
      <c r="C223" s="48" t="s">
        <v>27</v>
      </c>
      <c r="D223" s="48" t="s">
        <v>2333</v>
      </c>
      <c r="E223" s="48" t="s">
        <v>68</v>
      </c>
      <c r="F223" s="48"/>
      <c r="G223" s="48" t="s">
        <v>30</v>
      </c>
      <c r="H223" s="51">
        <v>1000</v>
      </c>
      <c r="I223" s="49">
        <v>200</v>
      </c>
      <c r="J223" s="48" t="s">
        <v>31</v>
      </c>
      <c r="K223" s="48" t="s">
        <v>32</v>
      </c>
      <c r="L223" s="2"/>
      <c r="M223" s="126">
        <v>200</v>
      </c>
    </row>
    <row r="224" spans="1:17" ht="15.75" customHeight="1">
      <c r="A224" s="50">
        <v>11</v>
      </c>
      <c r="B224" s="218" t="s">
        <v>2334</v>
      </c>
      <c r="C224" s="48" t="s">
        <v>27</v>
      </c>
      <c r="D224" s="48" t="s">
        <v>2333</v>
      </c>
      <c r="E224" s="48" t="s">
        <v>68</v>
      </c>
      <c r="F224" s="48"/>
      <c r="G224" s="48" t="s">
        <v>30</v>
      </c>
      <c r="H224" s="51">
        <v>1000</v>
      </c>
      <c r="I224" s="49">
        <v>200</v>
      </c>
      <c r="J224" s="48" t="s">
        <v>31</v>
      </c>
      <c r="K224" s="48" t="s">
        <v>32</v>
      </c>
      <c r="L224" s="2"/>
      <c r="M224" s="126">
        <v>300</v>
      </c>
    </row>
    <row r="225" spans="1:26" ht="15.75" customHeight="1">
      <c r="A225" s="50">
        <v>11</v>
      </c>
      <c r="B225" s="151" t="s">
        <v>1874</v>
      </c>
      <c r="C225" s="48" t="s">
        <v>27</v>
      </c>
      <c r="D225" s="48" t="s">
        <v>1861</v>
      </c>
      <c r="E225" s="48" t="s">
        <v>191</v>
      </c>
      <c r="F225" s="48"/>
      <c r="G225" s="48" t="s">
        <v>30</v>
      </c>
      <c r="H225" s="51">
        <v>600</v>
      </c>
      <c r="I225" s="49" t="s">
        <v>1586</v>
      </c>
      <c r="J225" s="48" t="s">
        <v>31</v>
      </c>
      <c r="K225" s="48" t="s">
        <v>32</v>
      </c>
      <c r="L225" s="2"/>
      <c r="M225" s="126">
        <v>100</v>
      </c>
    </row>
    <row r="226" spans="1:26" ht="15.75" customHeight="1">
      <c r="A226" s="50">
        <v>11</v>
      </c>
      <c r="B226" s="151" t="s">
        <v>1874</v>
      </c>
      <c r="C226" s="48" t="s">
        <v>27</v>
      </c>
      <c r="D226" s="48" t="s">
        <v>1861</v>
      </c>
      <c r="E226" s="48" t="s">
        <v>191</v>
      </c>
      <c r="F226" s="48"/>
      <c r="G226" s="48" t="s">
        <v>608</v>
      </c>
      <c r="H226" s="51">
        <v>5</v>
      </c>
      <c r="I226" s="49" t="s">
        <v>1586</v>
      </c>
      <c r="J226" s="48" t="s">
        <v>31</v>
      </c>
      <c r="K226" s="48" t="s">
        <v>32</v>
      </c>
      <c r="L226" s="2"/>
    </row>
    <row r="227" spans="1:26" ht="15.75" customHeight="1">
      <c r="A227" s="50">
        <v>11</v>
      </c>
      <c r="B227" s="151" t="s">
        <v>1874</v>
      </c>
      <c r="C227" s="48" t="s">
        <v>27</v>
      </c>
      <c r="D227" s="48" t="s">
        <v>1861</v>
      </c>
      <c r="E227" s="48" t="s">
        <v>191</v>
      </c>
      <c r="F227" s="48"/>
      <c r="G227" s="48" t="s">
        <v>115</v>
      </c>
      <c r="H227" s="51">
        <v>500</v>
      </c>
      <c r="I227" s="49" t="s">
        <v>1586</v>
      </c>
      <c r="J227" s="48" t="s">
        <v>31</v>
      </c>
      <c r="K227" s="48" t="s">
        <v>32</v>
      </c>
      <c r="L227" s="2"/>
    </row>
    <row r="228" spans="1:26" ht="15.75" customHeight="1">
      <c r="A228" s="50">
        <v>11</v>
      </c>
      <c r="B228" s="151" t="s">
        <v>2335</v>
      </c>
      <c r="C228" s="48" t="s">
        <v>27</v>
      </c>
      <c r="D228" s="48" t="s">
        <v>1861</v>
      </c>
      <c r="E228" s="48" t="s">
        <v>191</v>
      </c>
      <c r="F228" s="48"/>
      <c r="G228" s="48" t="s">
        <v>30</v>
      </c>
      <c r="H228" s="51">
        <v>500</v>
      </c>
      <c r="I228" s="49" t="s">
        <v>1586</v>
      </c>
      <c r="J228" s="48" t="s">
        <v>31</v>
      </c>
      <c r="K228" s="48" t="s">
        <v>32</v>
      </c>
      <c r="L228" s="2"/>
      <c r="M228" s="126">
        <v>100</v>
      </c>
    </row>
    <row r="229" spans="1:26" ht="15.75" customHeight="1">
      <c r="A229" s="50">
        <v>11</v>
      </c>
      <c r="B229" s="151" t="s">
        <v>2336</v>
      </c>
      <c r="C229" s="48" t="s">
        <v>39</v>
      </c>
      <c r="D229" s="48" t="s">
        <v>86</v>
      </c>
      <c r="E229" s="48" t="s">
        <v>191</v>
      </c>
      <c r="F229" s="48"/>
      <c r="G229" s="48" t="s">
        <v>30</v>
      </c>
      <c r="H229" s="51">
        <v>6000</v>
      </c>
      <c r="I229" s="49" t="s">
        <v>1586</v>
      </c>
      <c r="J229" s="48" t="s">
        <v>31</v>
      </c>
      <c r="K229" s="48" t="s">
        <v>32</v>
      </c>
      <c r="L229" s="2"/>
      <c r="M229" s="126">
        <v>2000</v>
      </c>
    </row>
    <row r="230" spans="1:26" ht="15.75" customHeight="1">
      <c r="A230" s="50">
        <v>11</v>
      </c>
      <c r="B230" s="151" t="s">
        <v>2337</v>
      </c>
      <c r="C230" s="48" t="s">
        <v>27</v>
      </c>
      <c r="D230" s="48" t="s">
        <v>2338</v>
      </c>
      <c r="E230" s="48" t="s">
        <v>191</v>
      </c>
      <c r="F230" s="48"/>
      <c r="G230" s="48" t="s">
        <v>30</v>
      </c>
      <c r="H230" s="51">
        <v>1200</v>
      </c>
      <c r="I230" s="49" t="s">
        <v>1586</v>
      </c>
      <c r="J230" s="48" t="s">
        <v>31</v>
      </c>
      <c r="K230" s="48" t="s">
        <v>32</v>
      </c>
      <c r="L230" s="2"/>
      <c r="M230" s="126">
        <v>400</v>
      </c>
    </row>
    <row r="231" spans="1:26" ht="15.75" customHeight="1">
      <c r="A231" s="50">
        <v>11</v>
      </c>
      <c r="B231" s="151" t="s">
        <v>2339</v>
      </c>
      <c r="C231" s="48" t="s">
        <v>27</v>
      </c>
      <c r="D231" s="48" t="s">
        <v>2215</v>
      </c>
      <c r="E231" s="48" t="s">
        <v>245</v>
      </c>
      <c r="F231" s="48"/>
      <c r="G231" s="48" t="s">
        <v>589</v>
      </c>
      <c r="H231" s="51">
        <v>60</v>
      </c>
      <c r="I231" s="49">
        <v>180</v>
      </c>
      <c r="J231" s="48" t="s">
        <v>31</v>
      </c>
      <c r="K231" s="48" t="s">
        <v>32</v>
      </c>
      <c r="L231" s="2"/>
    </row>
    <row r="232" spans="1:26" ht="15.75" customHeight="1">
      <c r="A232" s="384">
        <v>11</v>
      </c>
      <c r="B232" s="385" t="s">
        <v>1794</v>
      </c>
      <c r="C232" s="386" t="s">
        <v>27</v>
      </c>
      <c r="D232" s="386" t="s">
        <v>1024</v>
      </c>
      <c r="E232" s="386" t="s">
        <v>552</v>
      </c>
      <c r="F232" s="386"/>
      <c r="G232" s="48" t="s">
        <v>30</v>
      </c>
      <c r="H232" s="51">
        <v>3000</v>
      </c>
      <c r="I232" s="49">
        <v>600</v>
      </c>
      <c r="J232" s="386" t="s">
        <v>31</v>
      </c>
      <c r="K232" s="386" t="s">
        <v>32</v>
      </c>
      <c r="L232" s="370"/>
      <c r="M232" s="370">
        <v>600</v>
      </c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5.75" customHeight="1">
      <c r="A233" s="50">
        <v>11</v>
      </c>
      <c r="B233" s="48" t="s">
        <v>2340</v>
      </c>
      <c r="C233" s="48" t="s">
        <v>27</v>
      </c>
      <c r="D233" s="48" t="s">
        <v>232</v>
      </c>
      <c r="E233" s="48" t="s">
        <v>79</v>
      </c>
      <c r="F233" s="48"/>
      <c r="G233" s="48" t="s">
        <v>30</v>
      </c>
      <c r="H233" s="51">
        <v>500</v>
      </c>
      <c r="I233" s="49" t="s">
        <v>1586</v>
      </c>
      <c r="J233" s="48" t="s">
        <v>31</v>
      </c>
      <c r="K233" s="48" t="s">
        <v>32</v>
      </c>
      <c r="L233" s="2"/>
      <c r="M233" s="126">
        <v>204</v>
      </c>
    </row>
    <row r="234" spans="1:26" ht="15.75" customHeight="1">
      <c r="A234" s="50">
        <v>11</v>
      </c>
      <c r="B234" s="48" t="s">
        <v>2340</v>
      </c>
      <c r="C234" s="48" t="s">
        <v>27</v>
      </c>
      <c r="D234" s="48" t="s">
        <v>232</v>
      </c>
      <c r="E234" s="48" t="s">
        <v>79</v>
      </c>
      <c r="F234" s="48"/>
      <c r="G234" s="48" t="s">
        <v>30</v>
      </c>
      <c r="H234" s="51">
        <v>1000</v>
      </c>
      <c r="I234" s="49">
        <v>200</v>
      </c>
      <c r="J234" s="48" t="s">
        <v>31</v>
      </c>
      <c r="K234" s="48" t="s">
        <v>32</v>
      </c>
      <c r="L234" s="2"/>
    </row>
    <row r="235" spans="1:26" ht="15.75" customHeight="1">
      <c r="A235" s="50">
        <v>11</v>
      </c>
      <c r="B235" s="151" t="s">
        <v>2341</v>
      </c>
      <c r="C235" s="48" t="s">
        <v>39</v>
      </c>
      <c r="D235" s="48" t="s">
        <v>104</v>
      </c>
      <c r="E235" s="48" t="s">
        <v>36</v>
      </c>
      <c r="F235" s="48"/>
      <c r="G235" s="48" t="s">
        <v>30</v>
      </c>
      <c r="H235" s="51">
        <v>500</v>
      </c>
      <c r="I235" s="49" t="s">
        <v>1586</v>
      </c>
      <c r="J235" s="48" t="s">
        <v>31</v>
      </c>
      <c r="K235" s="48" t="s">
        <v>32</v>
      </c>
      <c r="L235" s="2"/>
      <c r="M235" s="126">
        <v>200</v>
      </c>
    </row>
    <row r="236" spans="1:26" ht="15.75" customHeight="1">
      <c r="A236" s="50">
        <v>11</v>
      </c>
      <c r="B236" s="151" t="s">
        <v>2341</v>
      </c>
      <c r="C236" s="48" t="s">
        <v>39</v>
      </c>
      <c r="D236" s="48" t="s">
        <v>104</v>
      </c>
      <c r="E236" s="48" t="s">
        <v>36</v>
      </c>
      <c r="F236" s="48"/>
      <c r="G236" s="48" t="s">
        <v>30</v>
      </c>
      <c r="H236" s="51">
        <v>500</v>
      </c>
      <c r="I236" s="49">
        <v>100</v>
      </c>
      <c r="J236" s="48" t="s">
        <v>31</v>
      </c>
      <c r="K236" s="48" t="s">
        <v>32</v>
      </c>
      <c r="L236" s="2"/>
    </row>
    <row r="237" spans="1:26" ht="15.75" customHeight="1">
      <c r="A237" s="50">
        <v>11</v>
      </c>
      <c r="B237" s="151" t="s">
        <v>394</v>
      </c>
      <c r="C237" s="48" t="s">
        <v>27</v>
      </c>
      <c r="D237" s="48" t="s">
        <v>395</v>
      </c>
      <c r="E237" s="48" t="s">
        <v>54</v>
      </c>
      <c r="F237" s="48"/>
      <c r="G237" s="48" t="s">
        <v>30</v>
      </c>
      <c r="H237" s="51">
        <v>5000</v>
      </c>
      <c r="I237" s="49">
        <v>1000</v>
      </c>
      <c r="J237" s="48" t="s">
        <v>31</v>
      </c>
      <c r="K237" s="48" t="s">
        <v>32</v>
      </c>
      <c r="L237" s="2"/>
      <c r="M237" s="126">
        <v>1800</v>
      </c>
    </row>
    <row r="238" spans="1:26" ht="15.75" customHeight="1">
      <c r="A238" s="50">
        <v>11</v>
      </c>
      <c r="B238" s="151" t="s">
        <v>2342</v>
      </c>
      <c r="C238" s="48" t="s">
        <v>27</v>
      </c>
      <c r="D238" s="48" t="s">
        <v>845</v>
      </c>
      <c r="E238" s="48" t="s">
        <v>68</v>
      </c>
      <c r="F238" s="48"/>
      <c r="G238" s="48" t="s">
        <v>30</v>
      </c>
      <c r="H238" s="51">
        <v>10000</v>
      </c>
      <c r="I238" s="49">
        <v>2000</v>
      </c>
      <c r="J238" s="48" t="s">
        <v>31</v>
      </c>
      <c r="K238" s="48" t="s">
        <v>32</v>
      </c>
      <c r="L238" s="2"/>
      <c r="M238" s="126">
        <v>4000</v>
      </c>
    </row>
    <row r="239" spans="1:26" ht="15.75" customHeight="1">
      <c r="A239" s="50">
        <v>11</v>
      </c>
      <c r="B239" s="151" t="s">
        <v>492</v>
      </c>
      <c r="C239" s="48" t="s">
        <v>27</v>
      </c>
      <c r="D239" s="48" t="s">
        <v>43</v>
      </c>
      <c r="E239" s="48" t="s">
        <v>44</v>
      </c>
      <c r="F239" s="48"/>
      <c r="G239" s="48" t="s">
        <v>30</v>
      </c>
      <c r="H239" s="51">
        <v>4000</v>
      </c>
      <c r="I239" s="49">
        <v>800</v>
      </c>
      <c r="J239" s="48" t="s">
        <v>31</v>
      </c>
      <c r="K239" s="48" t="s">
        <v>32</v>
      </c>
      <c r="L239" s="2"/>
      <c r="M239" s="126">
        <v>2400</v>
      </c>
    </row>
    <row r="240" spans="1:26" ht="15.75" customHeight="1">
      <c r="A240" s="50">
        <v>11</v>
      </c>
      <c r="B240" s="151" t="s">
        <v>2343</v>
      </c>
      <c r="C240" s="48" t="s">
        <v>27</v>
      </c>
      <c r="D240" s="48" t="s">
        <v>499</v>
      </c>
      <c r="E240" s="48" t="s">
        <v>145</v>
      </c>
      <c r="F240" s="48"/>
      <c r="G240" s="48" t="s">
        <v>30</v>
      </c>
      <c r="H240" s="51">
        <v>500</v>
      </c>
      <c r="I240" s="49" t="s">
        <v>1586</v>
      </c>
      <c r="J240" s="48" t="s">
        <v>31</v>
      </c>
      <c r="K240" s="48" t="s">
        <v>32</v>
      </c>
      <c r="L240" s="2"/>
      <c r="M240" s="126">
        <v>680</v>
      </c>
    </row>
    <row r="241" spans="1:20" ht="15.75" customHeight="1">
      <c r="A241" s="50">
        <v>11</v>
      </c>
      <c r="B241" s="151" t="s">
        <v>2343</v>
      </c>
      <c r="C241" s="48" t="s">
        <v>27</v>
      </c>
      <c r="D241" s="48" t="s">
        <v>499</v>
      </c>
      <c r="E241" s="48" t="s">
        <v>145</v>
      </c>
      <c r="F241" s="48"/>
      <c r="G241" s="48" t="s">
        <v>30</v>
      </c>
      <c r="H241" s="51">
        <v>2500</v>
      </c>
      <c r="I241" s="49">
        <v>500</v>
      </c>
      <c r="J241" s="48" t="s">
        <v>31</v>
      </c>
      <c r="K241" s="48" t="s">
        <v>32</v>
      </c>
      <c r="L241" s="2"/>
    </row>
    <row r="242" spans="1:20" ht="15.75" customHeight="1">
      <c r="A242" s="50">
        <v>11</v>
      </c>
      <c r="B242" s="151" t="s">
        <v>2344</v>
      </c>
      <c r="C242" s="48" t="s">
        <v>39</v>
      </c>
      <c r="D242" s="48" t="s">
        <v>1431</v>
      </c>
      <c r="E242" s="48" t="s">
        <v>44</v>
      </c>
      <c r="F242" s="48"/>
      <c r="G242" s="48" t="s">
        <v>30</v>
      </c>
      <c r="H242" s="51">
        <v>1000</v>
      </c>
      <c r="I242" s="49">
        <v>200</v>
      </c>
      <c r="J242" s="48" t="s">
        <v>31</v>
      </c>
      <c r="K242" s="48" t="s">
        <v>32</v>
      </c>
      <c r="L242" s="2"/>
      <c r="M242" s="126">
        <v>200</v>
      </c>
    </row>
    <row r="243" spans="1:20" ht="15.75" customHeight="1">
      <c r="A243" s="50">
        <v>11</v>
      </c>
      <c r="B243" s="151" t="s">
        <v>2345</v>
      </c>
      <c r="C243" s="48" t="s">
        <v>27</v>
      </c>
      <c r="D243" s="48" t="s">
        <v>733</v>
      </c>
      <c r="E243" s="48" t="s">
        <v>54</v>
      </c>
      <c r="F243" s="48"/>
      <c r="G243" s="48" t="s">
        <v>30</v>
      </c>
      <c r="H243" s="51">
        <v>500</v>
      </c>
      <c r="I243" s="49">
        <v>100</v>
      </c>
      <c r="J243" s="48" t="s">
        <v>31</v>
      </c>
      <c r="K243" s="48" t="s">
        <v>32</v>
      </c>
      <c r="L243" s="2"/>
      <c r="M243" s="126">
        <v>100</v>
      </c>
    </row>
    <row r="244" spans="1:20" ht="15.75" customHeight="1">
      <c r="A244" s="50">
        <v>11</v>
      </c>
      <c r="B244" s="151" t="s">
        <v>2346</v>
      </c>
      <c r="C244" s="48" t="s">
        <v>27</v>
      </c>
      <c r="D244" s="48" t="s">
        <v>232</v>
      </c>
      <c r="E244" s="48" t="s">
        <v>79</v>
      </c>
      <c r="F244" s="48"/>
      <c r="G244" s="48" t="s">
        <v>30</v>
      </c>
      <c r="H244" s="51">
        <v>500</v>
      </c>
      <c r="I244" s="49" t="s">
        <v>1586</v>
      </c>
      <c r="J244" s="48" t="s">
        <v>31</v>
      </c>
      <c r="K244" s="48" t="s">
        <v>32</v>
      </c>
      <c r="L244" s="2"/>
      <c r="M244" s="126">
        <v>300</v>
      </c>
    </row>
    <row r="245" spans="1:20" ht="15.75" customHeight="1">
      <c r="A245" s="65">
        <v>11</v>
      </c>
      <c r="B245" s="151" t="s">
        <v>2346</v>
      </c>
      <c r="C245" s="48" t="s">
        <v>27</v>
      </c>
      <c r="D245" s="48" t="s">
        <v>232</v>
      </c>
      <c r="E245" s="48" t="s">
        <v>79</v>
      </c>
      <c r="F245" s="58"/>
      <c r="G245" s="58" t="s">
        <v>30</v>
      </c>
      <c r="H245" s="59">
        <v>500</v>
      </c>
      <c r="I245" s="60">
        <v>100</v>
      </c>
      <c r="J245" s="48" t="s">
        <v>31</v>
      </c>
      <c r="K245" s="48" t="s">
        <v>32</v>
      </c>
      <c r="L245" s="2"/>
    </row>
    <row r="246" spans="1:20" ht="15.75" customHeight="1">
      <c r="A246" s="61">
        <v>12</v>
      </c>
      <c r="B246" s="292" t="s">
        <v>2347</v>
      </c>
      <c r="C246" s="62" t="s">
        <v>27</v>
      </c>
      <c r="D246" s="62" t="s">
        <v>110</v>
      </c>
      <c r="E246" s="62" t="s">
        <v>36</v>
      </c>
      <c r="F246" s="62"/>
      <c r="G246" s="62" t="s">
        <v>30</v>
      </c>
      <c r="H246" s="63">
        <v>500</v>
      </c>
      <c r="I246" s="64">
        <v>100</v>
      </c>
      <c r="J246" s="62" t="s">
        <v>31</v>
      </c>
      <c r="K246" s="62" t="s">
        <v>32</v>
      </c>
      <c r="L246" s="2"/>
      <c r="M246" s="126">
        <v>100</v>
      </c>
    </row>
    <row r="247" spans="1:20" ht="15.75" customHeight="1">
      <c r="A247" s="50">
        <v>12</v>
      </c>
      <c r="B247" s="151" t="s">
        <v>2348</v>
      </c>
      <c r="C247" s="48" t="s">
        <v>27</v>
      </c>
      <c r="D247" s="48" t="s">
        <v>100</v>
      </c>
      <c r="E247" s="48" t="s">
        <v>79</v>
      </c>
      <c r="F247" s="48"/>
      <c r="G247" s="48" t="s">
        <v>30</v>
      </c>
      <c r="H247" s="51">
        <v>500</v>
      </c>
      <c r="I247" s="49" t="s">
        <v>1586</v>
      </c>
      <c r="J247" s="62" t="s">
        <v>31</v>
      </c>
      <c r="K247" s="62" t="s">
        <v>32</v>
      </c>
      <c r="L247" s="2"/>
      <c r="M247" s="126">
        <v>150</v>
      </c>
    </row>
    <row r="248" spans="1:20" ht="15.75" customHeight="1">
      <c r="A248" s="50">
        <v>12</v>
      </c>
      <c r="B248" s="151" t="s">
        <v>2348</v>
      </c>
      <c r="C248" s="48" t="s">
        <v>27</v>
      </c>
      <c r="D248" s="48" t="s">
        <v>100</v>
      </c>
      <c r="E248" s="48" t="s">
        <v>79</v>
      </c>
      <c r="F248" s="48"/>
      <c r="G248" s="48" t="s">
        <v>30</v>
      </c>
      <c r="H248" s="51">
        <v>500</v>
      </c>
      <c r="I248" s="49">
        <v>100</v>
      </c>
      <c r="J248" s="62" t="s">
        <v>31</v>
      </c>
      <c r="K248" s="62" t="s">
        <v>32</v>
      </c>
      <c r="L248" s="2"/>
    </row>
    <row r="249" spans="1:20" ht="15.75" customHeight="1">
      <c r="A249" s="50">
        <v>12</v>
      </c>
      <c r="B249" s="151" t="s">
        <v>2349</v>
      </c>
      <c r="C249" s="48" t="s">
        <v>27</v>
      </c>
      <c r="D249" s="48" t="s">
        <v>88</v>
      </c>
      <c r="E249" s="48" t="s">
        <v>54</v>
      </c>
      <c r="F249" s="48"/>
      <c r="G249" s="48" t="s">
        <v>608</v>
      </c>
      <c r="H249" s="51">
        <v>100</v>
      </c>
      <c r="I249" s="49">
        <v>1000</v>
      </c>
      <c r="J249" s="62" t="s">
        <v>31</v>
      </c>
      <c r="K249" s="62" t="s">
        <v>32</v>
      </c>
      <c r="L249" s="2"/>
      <c r="P249" s="792" t="s">
        <v>2350</v>
      </c>
      <c r="Q249" s="719"/>
    </row>
    <row r="250" spans="1:20" ht="15.75" customHeight="1">
      <c r="A250" s="50">
        <v>12</v>
      </c>
      <c r="B250" s="151" t="s">
        <v>2351</v>
      </c>
      <c r="C250" s="48" t="s">
        <v>27</v>
      </c>
      <c r="D250" s="48" t="s">
        <v>623</v>
      </c>
      <c r="E250" s="48" t="s">
        <v>44</v>
      </c>
      <c r="F250" s="48"/>
      <c r="G250" s="48" t="s">
        <v>608</v>
      </c>
      <c r="H250" s="51">
        <v>10</v>
      </c>
      <c r="I250" s="49">
        <v>100</v>
      </c>
      <c r="J250" s="62" t="s">
        <v>31</v>
      </c>
      <c r="K250" s="62" t="s">
        <v>32</v>
      </c>
      <c r="L250" s="2"/>
      <c r="P250" s="723" t="s">
        <v>25</v>
      </c>
      <c r="Q250" s="719"/>
    </row>
    <row r="251" spans="1:20" ht="15.75" customHeight="1">
      <c r="A251" s="50">
        <v>12</v>
      </c>
      <c r="B251" s="151" t="s">
        <v>2352</v>
      </c>
      <c r="C251" s="48" t="s">
        <v>27</v>
      </c>
      <c r="D251" s="48" t="s">
        <v>371</v>
      </c>
      <c r="E251" s="48" t="s">
        <v>245</v>
      </c>
      <c r="F251" s="48"/>
      <c r="G251" s="48" t="s">
        <v>30</v>
      </c>
      <c r="H251" s="51">
        <v>500</v>
      </c>
      <c r="I251" s="49">
        <v>100</v>
      </c>
      <c r="J251" s="62" t="s">
        <v>31</v>
      </c>
      <c r="K251" s="62" t="s">
        <v>32</v>
      </c>
      <c r="L251" s="2"/>
      <c r="M251" s="126">
        <v>100</v>
      </c>
      <c r="P251" s="48" t="s">
        <v>33</v>
      </c>
      <c r="Q251" s="51">
        <v>51400</v>
      </c>
      <c r="T251" s="55">
        <f>SUM(H216:H224,H232,H234,H236:H239,H241:H243,H245:H246,H248,H251:H258,H260:H261,H263)</f>
        <v>51400</v>
      </c>
    </row>
    <row r="252" spans="1:20" ht="15.75" customHeight="1">
      <c r="A252" s="50">
        <v>12</v>
      </c>
      <c r="B252" s="151" t="s">
        <v>2353</v>
      </c>
      <c r="C252" s="48" t="s">
        <v>27</v>
      </c>
      <c r="D252" s="48" t="s">
        <v>371</v>
      </c>
      <c r="E252" s="48" t="s">
        <v>245</v>
      </c>
      <c r="F252" s="48"/>
      <c r="G252" s="48" t="s">
        <v>30</v>
      </c>
      <c r="H252" s="51">
        <v>200</v>
      </c>
      <c r="I252" s="49">
        <v>40</v>
      </c>
      <c r="J252" s="62" t="s">
        <v>31</v>
      </c>
      <c r="K252" s="62" t="s">
        <v>32</v>
      </c>
      <c r="L252" s="2"/>
      <c r="M252" s="126">
        <v>50</v>
      </c>
      <c r="P252" s="48" t="s">
        <v>37</v>
      </c>
      <c r="Q252" s="51">
        <v>19650</v>
      </c>
      <c r="R252" s="55">
        <f>SUM(H225,H228:H230,H233,H235,H240,H244,H247,H259)</f>
        <v>11300</v>
      </c>
      <c r="S252" s="126">
        <v>8800</v>
      </c>
      <c r="T252" s="55">
        <f>SUM(R252:S252)</f>
        <v>20100</v>
      </c>
    </row>
    <row r="253" spans="1:20" ht="15.75" customHeight="1">
      <c r="A253" s="50">
        <v>12</v>
      </c>
      <c r="B253" s="151" t="s">
        <v>2354</v>
      </c>
      <c r="C253" s="48" t="s">
        <v>27</v>
      </c>
      <c r="D253" s="48" t="s">
        <v>371</v>
      </c>
      <c r="E253" s="48" t="s">
        <v>245</v>
      </c>
      <c r="F253" s="48"/>
      <c r="G253" s="48" t="s">
        <v>30</v>
      </c>
      <c r="H253" s="51">
        <v>200</v>
      </c>
      <c r="I253" s="49">
        <v>40</v>
      </c>
      <c r="J253" s="62" t="s">
        <v>31</v>
      </c>
      <c r="K253" s="62" t="s">
        <v>32</v>
      </c>
      <c r="L253" s="2"/>
      <c r="M253" s="126">
        <v>50</v>
      </c>
      <c r="P253" s="391" t="s">
        <v>282</v>
      </c>
      <c r="Q253" s="392">
        <v>71050</v>
      </c>
      <c r="T253" s="55">
        <f>SUM(T251:T252)</f>
        <v>71500</v>
      </c>
    </row>
    <row r="254" spans="1:20" ht="15.75" customHeight="1">
      <c r="A254" s="50">
        <v>12</v>
      </c>
      <c r="B254" s="151" t="s">
        <v>2355</v>
      </c>
      <c r="C254" s="48" t="s">
        <v>27</v>
      </c>
      <c r="D254" s="48" t="s">
        <v>2356</v>
      </c>
      <c r="E254" s="48" t="s">
        <v>245</v>
      </c>
      <c r="F254" s="48"/>
      <c r="G254" s="48" t="s">
        <v>30</v>
      </c>
      <c r="H254" s="51">
        <v>500</v>
      </c>
      <c r="I254" s="49">
        <v>100</v>
      </c>
      <c r="J254" s="62" t="s">
        <v>31</v>
      </c>
      <c r="K254" s="62" t="s">
        <v>32</v>
      </c>
      <c r="L254" s="2"/>
      <c r="M254" s="126">
        <v>120</v>
      </c>
      <c r="P254" s="723" t="s">
        <v>586</v>
      </c>
      <c r="Q254" s="719"/>
    </row>
    <row r="255" spans="1:20" ht="15.75" customHeight="1">
      <c r="A255" s="50">
        <v>12</v>
      </c>
      <c r="B255" s="151" t="s">
        <v>2357</v>
      </c>
      <c r="C255" s="48" t="s">
        <v>27</v>
      </c>
      <c r="D255" s="48" t="s">
        <v>651</v>
      </c>
      <c r="E255" s="48" t="s">
        <v>86</v>
      </c>
      <c r="F255" s="48"/>
      <c r="G255" s="48" t="s">
        <v>30</v>
      </c>
      <c r="H255" s="51">
        <v>500</v>
      </c>
      <c r="I255" s="49">
        <v>100</v>
      </c>
      <c r="J255" s="62" t="s">
        <v>31</v>
      </c>
      <c r="K255" s="62" t="s">
        <v>32</v>
      </c>
      <c r="L255" s="2"/>
      <c r="M255" s="126">
        <v>100</v>
      </c>
      <c r="P255" s="48" t="s">
        <v>33</v>
      </c>
      <c r="Q255" s="51">
        <v>0</v>
      </c>
    </row>
    <row r="256" spans="1:20" ht="15.75" customHeight="1">
      <c r="A256" s="50">
        <v>12</v>
      </c>
      <c r="B256" s="151" t="s">
        <v>2358</v>
      </c>
      <c r="C256" s="48" t="s">
        <v>27</v>
      </c>
      <c r="D256" s="48" t="s">
        <v>2359</v>
      </c>
      <c r="E256" s="48" t="s">
        <v>44</v>
      </c>
      <c r="F256" s="48"/>
      <c r="G256" s="48" t="s">
        <v>30</v>
      </c>
      <c r="H256" s="51">
        <v>500</v>
      </c>
      <c r="I256" s="49">
        <v>100</v>
      </c>
      <c r="J256" s="62" t="s">
        <v>31</v>
      </c>
      <c r="K256" s="62" t="s">
        <v>32</v>
      </c>
      <c r="L256" s="2"/>
      <c r="M256" s="126">
        <v>120</v>
      </c>
      <c r="P256" s="48" t="s">
        <v>37</v>
      </c>
      <c r="Q256" s="48">
        <v>600</v>
      </c>
    </row>
    <row r="257" spans="1:17" ht="15.75" customHeight="1">
      <c r="A257" s="50">
        <v>12</v>
      </c>
      <c r="B257" s="151" t="s">
        <v>2246</v>
      </c>
      <c r="C257" s="48" t="s">
        <v>27</v>
      </c>
      <c r="D257" s="48" t="s">
        <v>2360</v>
      </c>
      <c r="E257" s="48" t="s">
        <v>191</v>
      </c>
      <c r="F257" s="48"/>
      <c r="G257" s="48" t="s">
        <v>30</v>
      </c>
      <c r="H257" s="51">
        <v>200</v>
      </c>
      <c r="I257" s="49">
        <v>40</v>
      </c>
      <c r="J257" s="62" t="s">
        <v>31</v>
      </c>
      <c r="K257" s="62" t="s">
        <v>32</v>
      </c>
      <c r="L257" s="2"/>
      <c r="M257" s="126">
        <v>50</v>
      </c>
      <c r="P257" s="391" t="s">
        <v>282</v>
      </c>
      <c r="Q257" s="392">
        <v>600</v>
      </c>
    </row>
    <row r="258" spans="1:17" ht="15.75" customHeight="1">
      <c r="A258" s="50">
        <v>12</v>
      </c>
      <c r="B258" s="151" t="s">
        <v>1598</v>
      </c>
      <c r="C258" s="48" t="s">
        <v>27</v>
      </c>
      <c r="D258" s="48" t="s">
        <v>418</v>
      </c>
      <c r="E258" s="48" t="s">
        <v>51</v>
      </c>
      <c r="F258" s="48"/>
      <c r="G258" s="48" t="s">
        <v>30</v>
      </c>
      <c r="H258" s="51">
        <v>200</v>
      </c>
      <c r="I258" s="49">
        <v>40</v>
      </c>
      <c r="J258" s="62" t="s">
        <v>31</v>
      </c>
      <c r="K258" s="62" t="s">
        <v>32</v>
      </c>
      <c r="L258" s="2"/>
      <c r="M258" s="126">
        <v>40</v>
      </c>
      <c r="P258" s="723" t="s">
        <v>286</v>
      </c>
      <c r="Q258" s="719"/>
    </row>
    <row r="259" spans="1:17" ht="15.75" customHeight="1">
      <c r="A259" s="50">
        <v>12</v>
      </c>
      <c r="B259" s="151" t="s">
        <v>2361</v>
      </c>
      <c r="C259" s="48" t="s">
        <v>39</v>
      </c>
      <c r="D259" s="48" t="s">
        <v>108</v>
      </c>
      <c r="E259" s="48" t="s">
        <v>36</v>
      </c>
      <c r="F259" s="48"/>
      <c r="G259" s="48" t="s">
        <v>30</v>
      </c>
      <c r="H259" s="51">
        <v>500</v>
      </c>
      <c r="I259" s="49" t="s">
        <v>1586</v>
      </c>
      <c r="J259" s="62" t="s">
        <v>31</v>
      </c>
      <c r="K259" s="62" t="s">
        <v>32</v>
      </c>
      <c r="L259" s="2"/>
      <c r="M259" s="126">
        <v>300</v>
      </c>
      <c r="P259" s="48" t="s">
        <v>1346</v>
      </c>
      <c r="Q259" s="48">
        <v>145</v>
      </c>
    </row>
    <row r="260" spans="1:17" ht="15.75" customHeight="1">
      <c r="A260" s="50">
        <v>12</v>
      </c>
      <c r="B260" s="151" t="s">
        <v>2361</v>
      </c>
      <c r="C260" s="48" t="s">
        <v>39</v>
      </c>
      <c r="D260" s="48" t="s">
        <v>108</v>
      </c>
      <c r="E260" s="48" t="s">
        <v>36</v>
      </c>
      <c r="F260" s="48"/>
      <c r="G260" s="48" t="s">
        <v>30</v>
      </c>
      <c r="H260" s="51">
        <v>500</v>
      </c>
      <c r="I260" s="49">
        <v>100</v>
      </c>
      <c r="J260" s="62" t="s">
        <v>31</v>
      </c>
      <c r="K260" s="62" t="s">
        <v>32</v>
      </c>
      <c r="L260" s="2"/>
      <c r="P260" s="48" t="s">
        <v>2325</v>
      </c>
      <c r="Q260" s="48">
        <v>60</v>
      </c>
    </row>
    <row r="261" spans="1:17" ht="15.75" customHeight="1">
      <c r="A261" s="50">
        <v>12</v>
      </c>
      <c r="B261" s="151" t="s">
        <v>2362</v>
      </c>
      <c r="C261" s="48" t="s">
        <v>27</v>
      </c>
      <c r="D261" s="48" t="s">
        <v>81</v>
      </c>
      <c r="E261" s="48" t="s">
        <v>169</v>
      </c>
      <c r="F261" s="48"/>
      <c r="G261" s="48" t="s">
        <v>30</v>
      </c>
      <c r="H261" s="51">
        <v>6000</v>
      </c>
      <c r="I261" s="49">
        <v>1200</v>
      </c>
      <c r="J261" s="62" t="s">
        <v>31</v>
      </c>
      <c r="K261" s="62" t="s">
        <v>32</v>
      </c>
      <c r="L261" s="2"/>
      <c r="M261" s="126">
        <v>800</v>
      </c>
      <c r="P261" s="391" t="s">
        <v>282</v>
      </c>
      <c r="Q261" s="391">
        <v>205</v>
      </c>
    </row>
    <row r="262" spans="1:17" ht="15.75" customHeight="1">
      <c r="A262" s="50">
        <v>12</v>
      </c>
      <c r="B262" s="48" t="s">
        <v>2363</v>
      </c>
      <c r="C262" s="48" t="s">
        <v>27</v>
      </c>
      <c r="D262" s="48" t="s">
        <v>1612</v>
      </c>
      <c r="E262" s="48" t="s">
        <v>839</v>
      </c>
      <c r="F262" s="48"/>
      <c r="G262" s="48" t="s">
        <v>608</v>
      </c>
      <c r="H262" s="51">
        <v>30</v>
      </c>
      <c r="I262" s="49">
        <v>150</v>
      </c>
      <c r="J262" s="62" t="s">
        <v>31</v>
      </c>
      <c r="K262" s="62" t="s">
        <v>32</v>
      </c>
      <c r="L262" s="2"/>
      <c r="P262" s="723" t="s">
        <v>57</v>
      </c>
      <c r="Q262" s="719"/>
    </row>
    <row r="263" spans="1:17" ht="15.75" customHeight="1">
      <c r="A263" s="382">
        <v>12</v>
      </c>
      <c r="B263" s="151" t="s">
        <v>2364</v>
      </c>
      <c r="C263" s="48" t="s">
        <v>27</v>
      </c>
      <c r="D263" s="48" t="s">
        <v>2365</v>
      </c>
      <c r="E263" s="48" t="s">
        <v>84</v>
      </c>
      <c r="F263" s="48"/>
      <c r="G263" s="48" t="s">
        <v>30</v>
      </c>
      <c r="H263" s="51">
        <v>500</v>
      </c>
      <c r="I263" s="49">
        <v>100</v>
      </c>
      <c r="J263" s="62" t="s">
        <v>31</v>
      </c>
      <c r="K263" s="62" t="s">
        <v>32</v>
      </c>
      <c r="L263" s="2"/>
      <c r="M263" s="126">
        <v>100</v>
      </c>
      <c r="P263" s="48" t="s">
        <v>37</v>
      </c>
      <c r="Q263" s="54">
        <v>500</v>
      </c>
    </row>
    <row r="264" spans="1:17" ht="15.75" customHeight="1">
      <c r="A264" s="50">
        <v>12</v>
      </c>
      <c r="B264" s="151" t="s">
        <v>2366</v>
      </c>
      <c r="C264" s="48" t="s">
        <v>39</v>
      </c>
      <c r="D264" s="48" t="s">
        <v>499</v>
      </c>
      <c r="E264" s="48" t="s">
        <v>145</v>
      </c>
      <c r="F264" s="48"/>
      <c r="G264" s="48" t="s">
        <v>30</v>
      </c>
      <c r="H264" s="51">
        <v>500</v>
      </c>
      <c r="I264" s="49" t="s">
        <v>1586</v>
      </c>
      <c r="J264" s="62" t="s">
        <v>31</v>
      </c>
      <c r="K264" s="62" t="s">
        <v>32</v>
      </c>
      <c r="L264" s="2"/>
      <c r="M264" s="126">
        <v>300</v>
      </c>
    </row>
    <row r="265" spans="1:17" ht="15.75" customHeight="1">
      <c r="A265" s="50">
        <v>12</v>
      </c>
      <c r="B265" s="151" t="s">
        <v>2366</v>
      </c>
      <c r="C265" s="48" t="s">
        <v>39</v>
      </c>
      <c r="D265" s="48" t="s">
        <v>499</v>
      </c>
      <c r="E265" s="48" t="s">
        <v>145</v>
      </c>
      <c r="F265" s="48"/>
      <c r="G265" s="48" t="s">
        <v>30</v>
      </c>
      <c r="H265" s="51">
        <v>1000</v>
      </c>
      <c r="I265" s="49"/>
      <c r="J265" s="62" t="s">
        <v>31</v>
      </c>
      <c r="K265" s="62" t="s">
        <v>32</v>
      </c>
      <c r="L265" s="2"/>
    </row>
    <row r="266" spans="1:17" ht="15.75" customHeight="1">
      <c r="A266" s="65">
        <v>12</v>
      </c>
      <c r="B266" s="175" t="s">
        <v>2367</v>
      </c>
      <c r="C266" s="58" t="s">
        <v>39</v>
      </c>
      <c r="D266" s="58" t="s">
        <v>100</v>
      </c>
      <c r="E266" s="58" t="s">
        <v>145</v>
      </c>
      <c r="F266" s="58"/>
      <c r="G266" s="58" t="s">
        <v>30</v>
      </c>
      <c r="H266" s="59">
        <v>500</v>
      </c>
      <c r="I266" s="60" t="s">
        <v>1586</v>
      </c>
      <c r="J266" s="58" t="s">
        <v>31</v>
      </c>
      <c r="K266" s="58" t="s">
        <v>32</v>
      </c>
      <c r="L266" s="2"/>
      <c r="M266" s="126">
        <v>100</v>
      </c>
    </row>
    <row r="267" spans="1:17" ht="15.75" customHeight="1">
      <c r="A267" s="61">
        <v>14</v>
      </c>
      <c r="B267" s="292" t="s">
        <v>2368</v>
      </c>
      <c r="C267" s="62" t="s">
        <v>27</v>
      </c>
      <c r="D267" s="62" t="s">
        <v>2369</v>
      </c>
      <c r="E267" s="62" t="s">
        <v>1381</v>
      </c>
      <c r="F267" s="62"/>
      <c r="G267" s="62" t="s">
        <v>30</v>
      </c>
      <c r="H267" s="63">
        <v>300</v>
      </c>
      <c r="I267" s="64">
        <v>60</v>
      </c>
      <c r="J267" s="62" t="s">
        <v>31</v>
      </c>
      <c r="K267" s="62" t="s">
        <v>32</v>
      </c>
      <c r="L267" s="2"/>
      <c r="M267" s="126">
        <v>70</v>
      </c>
    </row>
    <row r="268" spans="1:17" ht="15.75" customHeight="1">
      <c r="A268" s="50">
        <v>14</v>
      </c>
      <c r="B268" s="151" t="s">
        <v>2370</v>
      </c>
      <c r="C268" s="48" t="s">
        <v>27</v>
      </c>
      <c r="D268" s="48" t="s">
        <v>1419</v>
      </c>
      <c r="E268" s="48" t="s">
        <v>73</v>
      </c>
      <c r="F268" s="48"/>
      <c r="G268" s="48" t="s">
        <v>30</v>
      </c>
      <c r="H268" s="51">
        <v>500</v>
      </c>
      <c r="I268" s="49">
        <v>100</v>
      </c>
      <c r="J268" s="48" t="s">
        <v>31</v>
      </c>
      <c r="K268" s="48" t="s">
        <v>32</v>
      </c>
      <c r="L268" s="2"/>
      <c r="M268" s="126">
        <v>300</v>
      </c>
    </row>
    <row r="269" spans="1:17" ht="15.75" customHeight="1">
      <c r="A269" s="50">
        <v>14</v>
      </c>
      <c r="B269" s="151" t="s">
        <v>2370</v>
      </c>
      <c r="C269" s="48" t="s">
        <v>27</v>
      </c>
      <c r="D269" s="48" t="s">
        <v>1419</v>
      </c>
      <c r="E269" s="48" t="s">
        <v>73</v>
      </c>
      <c r="F269" s="48"/>
      <c r="G269" s="379" t="s">
        <v>579</v>
      </c>
      <c r="H269" s="380">
        <v>300</v>
      </c>
      <c r="I269" s="387">
        <v>300</v>
      </c>
      <c r="J269" s="48" t="s">
        <v>31</v>
      </c>
      <c r="K269" s="48" t="s">
        <v>32</v>
      </c>
      <c r="L269" s="2"/>
    </row>
    <row r="270" spans="1:17" ht="15.75" customHeight="1">
      <c r="A270" s="50">
        <v>14</v>
      </c>
      <c r="B270" s="151" t="s">
        <v>1889</v>
      </c>
      <c r="C270" s="48" t="s">
        <v>27</v>
      </c>
      <c r="D270" s="48" t="s">
        <v>100</v>
      </c>
      <c r="E270" s="48" t="s">
        <v>145</v>
      </c>
      <c r="F270" s="48"/>
      <c r="G270" s="48" t="s">
        <v>30</v>
      </c>
      <c r="H270" s="51">
        <v>3000</v>
      </c>
      <c r="I270" s="49">
        <v>600</v>
      </c>
      <c r="J270" s="48" t="s">
        <v>31</v>
      </c>
      <c r="K270" s="48" t="s">
        <v>32</v>
      </c>
      <c r="L270" s="2"/>
      <c r="M270" s="126">
        <v>600</v>
      </c>
    </row>
    <row r="271" spans="1:17" ht="15.75" customHeight="1">
      <c r="A271" s="50">
        <v>14</v>
      </c>
      <c r="B271" s="151" t="s">
        <v>1889</v>
      </c>
      <c r="C271" s="48" t="s">
        <v>27</v>
      </c>
      <c r="D271" s="48" t="s">
        <v>100</v>
      </c>
      <c r="E271" s="48" t="s">
        <v>145</v>
      </c>
      <c r="F271" s="48"/>
      <c r="G271" s="379" t="s">
        <v>579</v>
      </c>
      <c r="H271" s="380">
        <v>1000</v>
      </c>
      <c r="I271" s="387">
        <v>1000</v>
      </c>
      <c r="J271" s="48" t="s">
        <v>31</v>
      </c>
      <c r="K271" s="48" t="s">
        <v>32</v>
      </c>
      <c r="L271" s="2"/>
    </row>
    <row r="272" spans="1:17" ht="15.75" customHeight="1">
      <c r="A272" s="50">
        <v>14</v>
      </c>
      <c r="B272" s="151" t="s">
        <v>2371</v>
      </c>
      <c r="C272" s="48" t="s">
        <v>27</v>
      </c>
      <c r="D272" s="48" t="s">
        <v>67</v>
      </c>
      <c r="E272" s="48" t="s">
        <v>68</v>
      </c>
      <c r="F272" s="48"/>
      <c r="G272" s="48" t="s">
        <v>30</v>
      </c>
      <c r="H272" s="51">
        <v>6000</v>
      </c>
      <c r="I272" s="49">
        <v>1200</v>
      </c>
      <c r="J272" s="48" t="s">
        <v>31</v>
      </c>
      <c r="K272" s="48" t="s">
        <v>32</v>
      </c>
      <c r="L272" s="2"/>
      <c r="M272" s="126">
        <v>1000</v>
      </c>
    </row>
    <row r="273" spans="1:13" ht="15.75" customHeight="1">
      <c r="A273" s="50">
        <v>14</v>
      </c>
      <c r="B273" s="151" t="s">
        <v>2371</v>
      </c>
      <c r="C273" s="48" t="s">
        <v>27</v>
      </c>
      <c r="D273" s="48" t="s">
        <v>67</v>
      </c>
      <c r="E273" s="48" t="s">
        <v>68</v>
      </c>
      <c r="F273" s="48"/>
      <c r="G273" s="379" t="s">
        <v>579</v>
      </c>
      <c r="H273" s="380">
        <v>50</v>
      </c>
      <c r="I273" s="387">
        <v>50</v>
      </c>
      <c r="J273" s="48" t="s">
        <v>31</v>
      </c>
      <c r="K273" s="48" t="s">
        <v>32</v>
      </c>
      <c r="L273" s="2"/>
    </row>
    <row r="274" spans="1:13" ht="15.75" customHeight="1">
      <c r="A274" s="50">
        <v>14</v>
      </c>
      <c r="B274" s="151" t="s">
        <v>2372</v>
      </c>
      <c r="C274" s="48" t="s">
        <v>27</v>
      </c>
      <c r="D274" s="48" t="s">
        <v>100</v>
      </c>
      <c r="E274" s="48" t="s">
        <v>145</v>
      </c>
      <c r="F274" s="48"/>
      <c r="G274" s="48" t="s">
        <v>30</v>
      </c>
      <c r="H274" s="51">
        <v>3000</v>
      </c>
      <c r="I274" s="49">
        <v>600</v>
      </c>
      <c r="J274" s="48" t="s">
        <v>31</v>
      </c>
      <c r="K274" s="48" t="s">
        <v>32</v>
      </c>
      <c r="L274" s="2"/>
      <c r="M274" s="126">
        <v>750</v>
      </c>
    </row>
    <row r="275" spans="1:13" ht="15.75" customHeight="1">
      <c r="A275" s="50">
        <v>14</v>
      </c>
      <c r="B275" s="151" t="s">
        <v>2372</v>
      </c>
      <c r="C275" s="48" t="s">
        <v>27</v>
      </c>
      <c r="D275" s="48" t="s">
        <v>100</v>
      </c>
      <c r="E275" s="48" t="s">
        <v>145</v>
      </c>
      <c r="F275" s="48"/>
      <c r="G275" s="379" t="s">
        <v>579</v>
      </c>
      <c r="H275" s="380">
        <v>500</v>
      </c>
      <c r="I275" s="387">
        <v>500</v>
      </c>
      <c r="J275" s="48" t="s">
        <v>31</v>
      </c>
      <c r="K275" s="48" t="s">
        <v>32</v>
      </c>
      <c r="L275" s="2"/>
    </row>
    <row r="276" spans="1:13" ht="15.75" customHeight="1">
      <c r="A276" s="50">
        <v>14</v>
      </c>
      <c r="B276" s="151" t="s">
        <v>2373</v>
      </c>
      <c r="C276" s="48" t="s">
        <v>27</v>
      </c>
      <c r="D276" s="48" t="s">
        <v>2374</v>
      </c>
      <c r="E276" s="48" t="s">
        <v>245</v>
      </c>
      <c r="F276" s="48"/>
      <c r="G276" s="48" t="s">
        <v>30</v>
      </c>
      <c r="H276" s="51">
        <v>500</v>
      </c>
      <c r="I276" s="49">
        <v>100</v>
      </c>
      <c r="J276" s="48" t="s">
        <v>31</v>
      </c>
      <c r="K276" s="48" t="s">
        <v>32</v>
      </c>
      <c r="L276" s="2"/>
      <c r="M276" s="126">
        <v>150</v>
      </c>
    </row>
    <row r="277" spans="1:13" ht="15.75" customHeight="1">
      <c r="A277" s="50">
        <v>14</v>
      </c>
      <c r="B277" s="151" t="s">
        <v>2375</v>
      </c>
      <c r="C277" s="48" t="s">
        <v>27</v>
      </c>
      <c r="D277" s="48" t="s">
        <v>2376</v>
      </c>
      <c r="E277" s="48" t="s">
        <v>73</v>
      </c>
      <c r="F277" s="48"/>
      <c r="G277" s="386" t="s">
        <v>30</v>
      </c>
      <c r="H277" s="393">
        <v>1500</v>
      </c>
      <c r="I277" s="49">
        <v>300</v>
      </c>
      <c r="J277" s="48" t="s">
        <v>31</v>
      </c>
      <c r="K277" s="48" t="s">
        <v>32</v>
      </c>
      <c r="L277" s="2"/>
      <c r="M277" s="126">
        <v>300</v>
      </c>
    </row>
    <row r="278" spans="1:13" ht="15.75" customHeight="1">
      <c r="A278" s="50">
        <v>14</v>
      </c>
      <c r="B278" s="151" t="s">
        <v>2375</v>
      </c>
      <c r="C278" s="48" t="s">
        <v>27</v>
      </c>
      <c r="D278" s="48" t="s">
        <v>2376</v>
      </c>
      <c r="E278" s="48" t="s">
        <v>73</v>
      </c>
      <c r="F278" s="48"/>
      <c r="G278" s="386" t="s">
        <v>589</v>
      </c>
      <c r="H278" s="393">
        <v>5</v>
      </c>
      <c r="I278" s="49">
        <v>15</v>
      </c>
      <c r="J278" s="48" t="s">
        <v>31</v>
      </c>
      <c r="K278" s="48" t="s">
        <v>32</v>
      </c>
      <c r="L278" s="2"/>
    </row>
    <row r="279" spans="1:13" ht="15.75" customHeight="1">
      <c r="A279" s="50">
        <v>14</v>
      </c>
      <c r="B279" s="151" t="s">
        <v>867</v>
      </c>
      <c r="C279" s="48" t="s">
        <v>27</v>
      </c>
      <c r="D279" s="48" t="s">
        <v>2377</v>
      </c>
      <c r="E279" s="48" t="s">
        <v>68</v>
      </c>
      <c r="F279" s="48"/>
      <c r="G279" s="48" t="s">
        <v>30</v>
      </c>
      <c r="H279" s="51">
        <v>1000</v>
      </c>
      <c r="I279" s="49">
        <v>200</v>
      </c>
      <c r="J279" s="48" t="s">
        <v>31</v>
      </c>
      <c r="K279" s="48" t="s">
        <v>32</v>
      </c>
      <c r="L279" s="2"/>
      <c r="M279" s="126">
        <v>450</v>
      </c>
    </row>
    <row r="280" spans="1:13" ht="15.75" customHeight="1">
      <c r="A280" s="50">
        <v>14</v>
      </c>
      <c r="B280" s="151" t="s">
        <v>2378</v>
      </c>
      <c r="C280" s="48" t="s">
        <v>27</v>
      </c>
      <c r="D280" s="48" t="s">
        <v>110</v>
      </c>
      <c r="E280" s="48" t="s">
        <v>36</v>
      </c>
      <c r="F280" s="48"/>
      <c r="G280" s="48" t="s">
        <v>30</v>
      </c>
      <c r="H280" s="51">
        <v>1000</v>
      </c>
      <c r="I280" s="49">
        <v>200</v>
      </c>
      <c r="J280" s="48" t="s">
        <v>31</v>
      </c>
      <c r="K280" s="48" t="s">
        <v>32</v>
      </c>
      <c r="L280" s="2"/>
      <c r="M280" s="126">
        <v>200</v>
      </c>
    </row>
    <row r="281" spans="1:13" ht="15.75" customHeight="1">
      <c r="A281" s="50">
        <v>14</v>
      </c>
      <c r="B281" s="151" t="s">
        <v>2379</v>
      </c>
      <c r="C281" s="48" t="s">
        <v>27</v>
      </c>
      <c r="D281" s="48" t="s">
        <v>171</v>
      </c>
      <c r="E281" s="48" t="s">
        <v>145</v>
      </c>
      <c r="F281" s="48"/>
      <c r="G281" s="48" t="s">
        <v>30</v>
      </c>
      <c r="H281" s="51">
        <v>500</v>
      </c>
      <c r="I281" s="49" t="s">
        <v>1586</v>
      </c>
      <c r="J281" s="48" t="s">
        <v>31</v>
      </c>
      <c r="K281" s="48" t="s">
        <v>32</v>
      </c>
      <c r="L281" s="2"/>
      <c r="M281" s="126">
        <v>400</v>
      </c>
    </row>
    <row r="282" spans="1:13" ht="15.75" customHeight="1">
      <c r="A282" s="50">
        <v>14</v>
      </c>
      <c r="B282" s="151" t="s">
        <v>2379</v>
      </c>
      <c r="C282" s="48" t="s">
        <v>27</v>
      </c>
      <c r="D282" s="48" t="s">
        <v>171</v>
      </c>
      <c r="E282" s="48" t="s">
        <v>145</v>
      </c>
      <c r="F282" s="48"/>
      <c r="G282" s="48" t="s">
        <v>30</v>
      </c>
      <c r="H282" s="51">
        <v>1000</v>
      </c>
      <c r="I282" s="49">
        <v>200</v>
      </c>
      <c r="J282" s="48" t="s">
        <v>31</v>
      </c>
      <c r="K282" s="48" t="s">
        <v>32</v>
      </c>
      <c r="L282" s="2"/>
    </row>
    <row r="283" spans="1:13" ht="15.75" customHeight="1">
      <c r="A283" s="50">
        <v>14</v>
      </c>
      <c r="B283" s="151" t="s">
        <v>2380</v>
      </c>
      <c r="C283" s="48" t="s">
        <v>27</v>
      </c>
      <c r="D283" s="48" t="s">
        <v>2381</v>
      </c>
      <c r="E283" s="48" t="s">
        <v>73</v>
      </c>
      <c r="F283" s="48"/>
      <c r="G283" s="48" t="s">
        <v>30</v>
      </c>
      <c r="H283" s="51">
        <v>500</v>
      </c>
      <c r="I283" s="49" t="s">
        <v>1586</v>
      </c>
      <c r="J283" s="48" t="s">
        <v>31</v>
      </c>
      <c r="K283" s="48" t="s">
        <v>32</v>
      </c>
      <c r="L283" s="2"/>
      <c r="M283" s="126">
        <v>100</v>
      </c>
    </row>
    <row r="284" spans="1:13" ht="15.75" customHeight="1">
      <c r="A284" s="50">
        <v>14</v>
      </c>
      <c r="B284" s="151" t="s">
        <v>2380</v>
      </c>
      <c r="C284" s="48" t="s">
        <v>27</v>
      </c>
      <c r="D284" s="48" t="s">
        <v>2381</v>
      </c>
      <c r="E284" s="48" t="s">
        <v>73</v>
      </c>
      <c r="F284" s="48"/>
      <c r="G284" s="379" t="s">
        <v>579</v>
      </c>
      <c r="H284" s="380">
        <v>200</v>
      </c>
      <c r="I284" s="387">
        <v>200</v>
      </c>
      <c r="J284" s="48" t="s">
        <v>31</v>
      </c>
      <c r="K284" s="48" t="s">
        <v>32</v>
      </c>
      <c r="L284" s="2"/>
    </row>
    <row r="285" spans="1:13" ht="15.75" customHeight="1">
      <c r="A285" s="50">
        <v>14</v>
      </c>
      <c r="B285" s="151" t="s">
        <v>2382</v>
      </c>
      <c r="C285" s="48" t="s">
        <v>27</v>
      </c>
      <c r="D285" s="48" t="s">
        <v>118</v>
      </c>
      <c r="E285" s="48" t="s">
        <v>29</v>
      </c>
      <c r="F285" s="48"/>
      <c r="G285" s="48" t="s">
        <v>30</v>
      </c>
      <c r="H285" s="51">
        <v>1000</v>
      </c>
      <c r="I285" s="49">
        <v>200</v>
      </c>
      <c r="J285" s="48" t="s">
        <v>31</v>
      </c>
      <c r="K285" s="48" t="s">
        <v>32</v>
      </c>
      <c r="L285" s="2"/>
      <c r="M285" s="126">
        <v>200</v>
      </c>
    </row>
    <row r="286" spans="1:13" ht="15.75" customHeight="1">
      <c r="A286" s="50">
        <v>14</v>
      </c>
      <c r="B286" s="151" t="s">
        <v>1128</v>
      </c>
      <c r="C286" s="48" t="s">
        <v>27</v>
      </c>
      <c r="D286" s="48" t="s">
        <v>804</v>
      </c>
      <c r="E286" s="48" t="s">
        <v>68</v>
      </c>
      <c r="F286" s="48"/>
      <c r="G286" s="48" t="s">
        <v>30</v>
      </c>
      <c r="H286" s="51">
        <v>2000</v>
      </c>
      <c r="I286" s="49">
        <v>400</v>
      </c>
      <c r="J286" s="48" t="s">
        <v>31</v>
      </c>
      <c r="K286" s="48" t="s">
        <v>32</v>
      </c>
      <c r="L286" s="2"/>
      <c r="M286" s="126">
        <v>400</v>
      </c>
    </row>
    <row r="287" spans="1:13" ht="15.75" customHeight="1">
      <c r="A287" s="50">
        <v>14</v>
      </c>
      <c r="B287" s="151" t="s">
        <v>2383</v>
      </c>
      <c r="C287" s="48" t="s">
        <v>27</v>
      </c>
      <c r="D287" s="48" t="s">
        <v>100</v>
      </c>
      <c r="E287" s="48" t="s">
        <v>89</v>
      </c>
      <c r="F287" s="48"/>
      <c r="G287" s="48" t="s">
        <v>30</v>
      </c>
      <c r="H287" s="51">
        <v>5000</v>
      </c>
      <c r="I287" s="49">
        <v>1000</v>
      </c>
      <c r="J287" s="48" t="s">
        <v>31</v>
      </c>
      <c r="K287" s="48" t="s">
        <v>32</v>
      </c>
      <c r="L287" s="2"/>
      <c r="M287" s="126">
        <v>1000</v>
      </c>
    </row>
    <row r="288" spans="1:13" ht="15.75" customHeight="1">
      <c r="A288" s="50">
        <v>14</v>
      </c>
      <c r="B288" s="151" t="s">
        <v>2384</v>
      </c>
      <c r="C288" s="48" t="s">
        <v>27</v>
      </c>
      <c r="D288" s="48" t="s">
        <v>100</v>
      </c>
      <c r="E288" s="48" t="s">
        <v>102</v>
      </c>
      <c r="F288" s="48"/>
      <c r="G288" s="48" t="s">
        <v>30</v>
      </c>
      <c r="H288" s="51">
        <v>1500</v>
      </c>
      <c r="I288" s="49">
        <v>300</v>
      </c>
      <c r="J288" s="48" t="s">
        <v>31</v>
      </c>
      <c r="K288" s="48" t="s">
        <v>32</v>
      </c>
      <c r="L288" s="2"/>
      <c r="M288" s="126">
        <v>1100</v>
      </c>
    </row>
    <row r="289" spans="1:13" ht="15.75" customHeight="1">
      <c r="A289" s="50">
        <v>14</v>
      </c>
      <c r="B289" s="151" t="s">
        <v>2385</v>
      </c>
      <c r="C289" s="48" t="s">
        <v>39</v>
      </c>
      <c r="D289" s="48" t="s">
        <v>2248</v>
      </c>
      <c r="E289" s="48" t="s">
        <v>44</v>
      </c>
      <c r="F289" s="48"/>
      <c r="G289" s="48" t="s">
        <v>30</v>
      </c>
      <c r="H289" s="51">
        <v>800</v>
      </c>
      <c r="I289" s="49">
        <v>160</v>
      </c>
      <c r="J289" s="48" t="s">
        <v>31</v>
      </c>
      <c r="K289" s="48" t="s">
        <v>32</v>
      </c>
      <c r="L289" s="2"/>
      <c r="M289" s="126">
        <v>300</v>
      </c>
    </row>
    <row r="290" spans="1:13" ht="15.75" customHeight="1">
      <c r="A290" s="50">
        <v>14</v>
      </c>
      <c r="B290" s="151" t="s">
        <v>2386</v>
      </c>
      <c r="C290" s="48" t="s">
        <v>27</v>
      </c>
      <c r="D290" s="48" t="s">
        <v>100</v>
      </c>
      <c r="E290" s="48" t="s">
        <v>273</v>
      </c>
      <c r="F290" s="48"/>
      <c r="G290" s="48" t="s">
        <v>30</v>
      </c>
      <c r="H290" s="51">
        <v>1000</v>
      </c>
      <c r="I290" s="49">
        <v>200</v>
      </c>
      <c r="J290" s="48" t="s">
        <v>31</v>
      </c>
      <c r="K290" s="48" t="s">
        <v>32</v>
      </c>
      <c r="L290" s="2"/>
      <c r="M290" s="126">
        <v>50</v>
      </c>
    </row>
    <row r="291" spans="1:13" ht="15.75" customHeight="1">
      <c r="A291" s="50">
        <v>14</v>
      </c>
      <c r="B291" s="151" t="s">
        <v>2387</v>
      </c>
      <c r="C291" s="48" t="s">
        <v>27</v>
      </c>
      <c r="D291" s="48" t="s">
        <v>108</v>
      </c>
      <c r="E291" s="48" t="s">
        <v>36</v>
      </c>
      <c r="F291" s="48"/>
      <c r="G291" s="48" t="s">
        <v>30</v>
      </c>
      <c r="H291" s="51">
        <v>300</v>
      </c>
      <c r="I291" s="49">
        <v>60</v>
      </c>
      <c r="J291" s="48" t="s">
        <v>31</v>
      </c>
      <c r="K291" s="48" t="s">
        <v>32</v>
      </c>
      <c r="L291" s="2"/>
      <c r="M291" s="126">
        <v>30</v>
      </c>
    </row>
    <row r="292" spans="1:13" ht="15.75" customHeight="1">
      <c r="A292" s="50">
        <v>14</v>
      </c>
      <c r="B292" s="385" t="s">
        <v>2388</v>
      </c>
      <c r="C292" s="48" t="s">
        <v>27</v>
      </c>
      <c r="D292" s="48" t="s">
        <v>1394</v>
      </c>
      <c r="E292" s="48" t="s">
        <v>223</v>
      </c>
      <c r="F292" s="48"/>
      <c r="G292" s="386" t="s">
        <v>30</v>
      </c>
      <c r="H292" s="393">
        <v>100</v>
      </c>
      <c r="I292" s="49">
        <v>20</v>
      </c>
      <c r="J292" s="48" t="s">
        <v>31</v>
      </c>
      <c r="K292" s="48" t="s">
        <v>32</v>
      </c>
      <c r="L292" s="2"/>
      <c r="M292" s="126">
        <v>30</v>
      </c>
    </row>
    <row r="293" spans="1:13" ht="15.75" customHeight="1">
      <c r="A293" s="50">
        <v>14</v>
      </c>
      <c r="B293" s="385" t="s">
        <v>2388</v>
      </c>
      <c r="C293" s="48" t="s">
        <v>27</v>
      </c>
      <c r="D293" s="48" t="s">
        <v>1394</v>
      </c>
      <c r="E293" s="48" t="s">
        <v>223</v>
      </c>
      <c r="F293" s="48"/>
      <c r="G293" s="394" t="s">
        <v>579</v>
      </c>
      <c r="H293" s="395">
        <v>50</v>
      </c>
      <c r="I293" s="387">
        <v>50</v>
      </c>
      <c r="J293" s="48" t="s">
        <v>31</v>
      </c>
      <c r="K293" s="48" t="s">
        <v>32</v>
      </c>
      <c r="L293" s="2"/>
    </row>
    <row r="294" spans="1:13" ht="15.75" customHeight="1">
      <c r="A294" s="50">
        <v>14</v>
      </c>
      <c r="B294" s="151" t="s">
        <v>2389</v>
      </c>
      <c r="C294" s="48" t="s">
        <v>27</v>
      </c>
      <c r="D294" s="48" t="s">
        <v>645</v>
      </c>
      <c r="E294" s="48" t="s">
        <v>29</v>
      </c>
      <c r="F294" s="48"/>
      <c r="G294" s="48" t="s">
        <v>30</v>
      </c>
      <c r="H294" s="51">
        <v>15000</v>
      </c>
      <c r="I294" s="49">
        <v>3000</v>
      </c>
      <c r="J294" s="48" t="s">
        <v>31</v>
      </c>
      <c r="K294" s="48" t="s">
        <v>32</v>
      </c>
      <c r="L294" s="2"/>
      <c r="M294" s="126">
        <v>3750</v>
      </c>
    </row>
    <row r="295" spans="1:13" ht="15.75" customHeight="1">
      <c r="A295" s="50">
        <v>14</v>
      </c>
      <c r="B295" s="151" t="s">
        <v>2390</v>
      </c>
      <c r="C295" s="48" t="s">
        <v>27</v>
      </c>
      <c r="D295" s="48" t="s">
        <v>2391</v>
      </c>
      <c r="E295" s="48" t="s">
        <v>89</v>
      </c>
      <c r="F295" s="48"/>
      <c r="G295" s="48" t="s">
        <v>30</v>
      </c>
      <c r="H295" s="51">
        <v>500</v>
      </c>
      <c r="I295" s="49">
        <v>100</v>
      </c>
      <c r="J295" s="48" t="s">
        <v>31</v>
      </c>
      <c r="K295" s="48" t="s">
        <v>32</v>
      </c>
      <c r="L295" s="2"/>
      <c r="M295" s="126">
        <v>300</v>
      </c>
    </row>
    <row r="296" spans="1:13" ht="15.75" customHeight="1">
      <c r="A296" s="50">
        <v>14</v>
      </c>
      <c r="B296" s="151" t="s">
        <v>2392</v>
      </c>
      <c r="C296" s="48" t="s">
        <v>39</v>
      </c>
      <c r="D296" s="48" t="s">
        <v>2393</v>
      </c>
      <c r="E296" s="48" t="s">
        <v>44</v>
      </c>
      <c r="F296" s="48"/>
      <c r="G296" s="48" t="s">
        <v>30</v>
      </c>
      <c r="H296" s="51">
        <v>200</v>
      </c>
      <c r="I296" s="49">
        <v>40</v>
      </c>
      <c r="J296" s="48" t="s">
        <v>31</v>
      </c>
      <c r="K296" s="48" t="s">
        <v>32</v>
      </c>
      <c r="L296" s="2"/>
      <c r="M296" s="126">
        <v>50</v>
      </c>
    </row>
    <row r="297" spans="1:13" ht="15.75" customHeight="1">
      <c r="A297" s="50">
        <v>14</v>
      </c>
      <c r="B297" s="151" t="s">
        <v>2268</v>
      </c>
      <c r="C297" s="48" t="s">
        <v>27</v>
      </c>
      <c r="D297" s="48" t="s">
        <v>1612</v>
      </c>
      <c r="E297" s="48" t="s">
        <v>839</v>
      </c>
      <c r="F297" s="48"/>
      <c r="G297" s="48" t="s">
        <v>608</v>
      </c>
      <c r="H297" s="51">
        <v>300</v>
      </c>
      <c r="I297" s="49">
        <v>1500</v>
      </c>
      <c r="J297" s="48" t="s">
        <v>31</v>
      </c>
      <c r="K297" s="48" t="s">
        <v>32</v>
      </c>
      <c r="L297" s="2"/>
    </row>
    <row r="298" spans="1:13" ht="15.75" customHeight="1">
      <c r="A298" s="50">
        <v>14</v>
      </c>
      <c r="B298" s="151" t="s">
        <v>2268</v>
      </c>
      <c r="C298" s="48" t="s">
        <v>27</v>
      </c>
      <c r="D298" s="48" t="s">
        <v>1612</v>
      </c>
      <c r="E298" s="48" t="s">
        <v>839</v>
      </c>
      <c r="F298" s="48"/>
      <c r="G298" s="379" t="s">
        <v>579</v>
      </c>
      <c r="H298" s="380">
        <v>300</v>
      </c>
      <c r="I298" s="387">
        <v>300</v>
      </c>
      <c r="J298" s="48" t="s">
        <v>31</v>
      </c>
      <c r="K298" s="48" t="s">
        <v>32</v>
      </c>
      <c r="L298" s="2"/>
    </row>
    <row r="299" spans="1:13" ht="15.75" customHeight="1">
      <c r="A299" s="50">
        <v>14</v>
      </c>
      <c r="B299" s="151" t="s">
        <v>2394</v>
      </c>
      <c r="C299" s="48" t="s">
        <v>27</v>
      </c>
      <c r="D299" s="48" t="s">
        <v>110</v>
      </c>
      <c r="E299" s="48" t="s">
        <v>36</v>
      </c>
      <c r="F299" s="48"/>
      <c r="G299" s="48" t="s">
        <v>30</v>
      </c>
      <c r="H299" s="51">
        <v>2000</v>
      </c>
      <c r="I299" s="49">
        <v>400</v>
      </c>
      <c r="J299" s="48" t="s">
        <v>31</v>
      </c>
      <c r="K299" s="48" t="s">
        <v>32</v>
      </c>
      <c r="L299" s="2"/>
      <c r="M299" s="126">
        <v>300</v>
      </c>
    </row>
    <row r="300" spans="1:13" ht="15.75" customHeight="1">
      <c r="A300" s="50">
        <v>14</v>
      </c>
      <c r="B300" s="151" t="s">
        <v>2395</v>
      </c>
      <c r="C300" s="48" t="s">
        <v>27</v>
      </c>
      <c r="D300" s="48" t="s">
        <v>108</v>
      </c>
      <c r="E300" s="48" t="s">
        <v>36</v>
      </c>
      <c r="F300" s="48"/>
      <c r="G300" s="48" t="s">
        <v>30</v>
      </c>
      <c r="H300" s="51">
        <v>1000</v>
      </c>
      <c r="I300" s="49" t="s">
        <v>1586</v>
      </c>
      <c r="J300" s="48" t="s">
        <v>31</v>
      </c>
      <c r="K300" s="48" t="s">
        <v>32</v>
      </c>
      <c r="L300" s="2"/>
      <c r="M300" s="126">
        <v>200</v>
      </c>
    </row>
    <row r="301" spans="1:13" ht="15.75" customHeight="1">
      <c r="A301" s="50">
        <v>14</v>
      </c>
      <c r="B301" s="151" t="s">
        <v>2396</v>
      </c>
      <c r="C301" s="48" t="s">
        <v>27</v>
      </c>
      <c r="D301" s="48" t="s">
        <v>108</v>
      </c>
      <c r="E301" s="48" t="s">
        <v>36</v>
      </c>
      <c r="F301" s="48"/>
      <c r="G301" s="48" t="s">
        <v>30</v>
      </c>
      <c r="H301" s="51">
        <v>1500</v>
      </c>
      <c r="I301" s="49" t="s">
        <v>1586</v>
      </c>
      <c r="J301" s="48" t="s">
        <v>31</v>
      </c>
      <c r="K301" s="48" t="s">
        <v>32</v>
      </c>
      <c r="L301" s="2"/>
      <c r="M301" s="126">
        <v>150</v>
      </c>
    </row>
    <row r="302" spans="1:13" ht="15.75" customHeight="1">
      <c r="A302" s="50">
        <v>14</v>
      </c>
      <c r="B302" s="151" t="s">
        <v>2397</v>
      </c>
      <c r="C302" s="48" t="s">
        <v>27</v>
      </c>
      <c r="D302" s="48" t="s">
        <v>108</v>
      </c>
      <c r="E302" s="48" t="s">
        <v>36</v>
      </c>
      <c r="F302" s="48"/>
      <c r="G302" s="48" t="s">
        <v>30</v>
      </c>
      <c r="H302" s="51">
        <v>4000</v>
      </c>
      <c r="I302" s="49" t="s">
        <v>1586</v>
      </c>
      <c r="J302" s="48" t="s">
        <v>31</v>
      </c>
      <c r="K302" s="48" t="s">
        <v>32</v>
      </c>
      <c r="L302" s="2"/>
      <c r="M302" s="126">
        <v>4000</v>
      </c>
    </row>
    <row r="303" spans="1:13" ht="15.75" customHeight="1">
      <c r="A303" s="50">
        <v>14</v>
      </c>
      <c r="B303" s="151" t="s">
        <v>2398</v>
      </c>
      <c r="C303" s="48" t="s">
        <v>27</v>
      </c>
      <c r="D303" s="48" t="s">
        <v>990</v>
      </c>
      <c r="E303" s="48" t="s">
        <v>73</v>
      </c>
      <c r="F303" s="48"/>
      <c r="G303" s="48" t="s">
        <v>30</v>
      </c>
      <c r="H303" s="51">
        <v>500</v>
      </c>
      <c r="I303" s="49" t="s">
        <v>1586</v>
      </c>
      <c r="J303" s="48" t="s">
        <v>31</v>
      </c>
      <c r="K303" s="48" t="s">
        <v>32</v>
      </c>
      <c r="L303" s="2"/>
      <c r="M303" s="126">
        <v>100</v>
      </c>
    </row>
    <row r="304" spans="1:13" ht="15.75" customHeight="1">
      <c r="A304" s="396">
        <v>14</v>
      </c>
      <c r="B304" s="166" t="s">
        <v>2399</v>
      </c>
      <c r="C304" s="166" t="s">
        <v>27</v>
      </c>
      <c r="D304" s="166" t="s">
        <v>2400</v>
      </c>
      <c r="E304" s="166" t="s">
        <v>68</v>
      </c>
      <c r="F304" s="166"/>
      <c r="G304" s="166" t="s">
        <v>30</v>
      </c>
      <c r="H304" s="167">
        <v>1500</v>
      </c>
      <c r="I304" s="397" t="s">
        <v>1586</v>
      </c>
      <c r="J304" s="166" t="s">
        <v>31</v>
      </c>
      <c r="K304" s="166" t="s">
        <v>32</v>
      </c>
      <c r="L304" s="2"/>
      <c r="M304" s="126">
        <v>300</v>
      </c>
    </row>
    <row r="305" spans="1:13" ht="15.75" customHeight="1">
      <c r="A305" s="396">
        <v>14</v>
      </c>
      <c r="B305" s="166" t="s">
        <v>2401</v>
      </c>
      <c r="C305" s="166" t="s">
        <v>27</v>
      </c>
      <c r="D305" s="166" t="s">
        <v>100</v>
      </c>
      <c r="E305" s="166" t="s">
        <v>68</v>
      </c>
      <c r="F305" s="166"/>
      <c r="G305" s="166" t="s">
        <v>30</v>
      </c>
      <c r="H305" s="167">
        <v>1500</v>
      </c>
      <c r="I305" s="397" t="s">
        <v>1586</v>
      </c>
      <c r="J305" s="166" t="s">
        <v>31</v>
      </c>
      <c r="K305" s="166" t="s">
        <v>32</v>
      </c>
      <c r="L305" s="2"/>
      <c r="M305" s="126">
        <v>396</v>
      </c>
    </row>
    <row r="306" spans="1:13" ht="15.75" customHeight="1">
      <c r="A306" s="50">
        <v>14</v>
      </c>
      <c r="B306" s="151" t="s">
        <v>2402</v>
      </c>
      <c r="C306" s="48" t="s">
        <v>27</v>
      </c>
      <c r="D306" s="48" t="s">
        <v>96</v>
      </c>
      <c r="E306" s="48" t="s">
        <v>44</v>
      </c>
      <c r="F306" s="48"/>
      <c r="G306" s="48" t="s">
        <v>30</v>
      </c>
      <c r="H306" s="51">
        <v>300</v>
      </c>
      <c r="I306" s="49" t="s">
        <v>1586</v>
      </c>
      <c r="J306" s="48" t="s">
        <v>31</v>
      </c>
      <c r="K306" s="48" t="s">
        <v>32</v>
      </c>
      <c r="L306" s="2"/>
      <c r="M306" s="126">
        <v>12</v>
      </c>
    </row>
    <row r="307" spans="1:13" ht="15.75" customHeight="1">
      <c r="A307" s="50">
        <v>14</v>
      </c>
      <c r="B307" s="151" t="s">
        <v>2403</v>
      </c>
      <c r="C307" s="48" t="s">
        <v>39</v>
      </c>
      <c r="D307" s="48" t="s">
        <v>393</v>
      </c>
      <c r="E307" s="48" t="s">
        <v>245</v>
      </c>
      <c r="F307" s="48"/>
      <c r="G307" s="48" t="s">
        <v>30</v>
      </c>
      <c r="H307" s="51">
        <v>20000</v>
      </c>
      <c r="I307" s="49">
        <v>4000</v>
      </c>
      <c r="J307" s="48" t="s">
        <v>31</v>
      </c>
      <c r="K307" s="48" t="s">
        <v>32</v>
      </c>
      <c r="L307" s="2"/>
      <c r="M307" s="126">
        <v>2000</v>
      </c>
    </row>
    <row r="308" spans="1:13" ht="15.75" customHeight="1">
      <c r="A308" s="50">
        <v>14</v>
      </c>
      <c r="B308" s="151" t="s">
        <v>2404</v>
      </c>
      <c r="C308" s="48" t="s">
        <v>27</v>
      </c>
      <c r="D308" s="48" t="s">
        <v>104</v>
      </c>
      <c r="E308" s="48" t="s">
        <v>36</v>
      </c>
      <c r="F308" s="48"/>
      <c r="G308" s="48" t="s">
        <v>30</v>
      </c>
      <c r="H308" s="51">
        <v>500</v>
      </c>
      <c r="I308" s="49">
        <v>100</v>
      </c>
      <c r="J308" s="48" t="s">
        <v>31</v>
      </c>
      <c r="K308" s="48" t="s">
        <v>32</v>
      </c>
      <c r="L308" s="2"/>
      <c r="M308" s="126">
        <v>100</v>
      </c>
    </row>
    <row r="309" spans="1:13" ht="15.75" customHeight="1">
      <c r="A309" s="50">
        <v>14</v>
      </c>
      <c r="B309" s="151" t="s">
        <v>743</v>
      </c>
      <c r="C309" s="48" t="s">
        <v>39</v>
      </c>
      <c r="D309" s="48" t="s">
        <v>262</v>
      </c>
      <c r="E309" s="48" t="s">
        <v>68</v>
      </c>
      <c r="F309" s="48"/>
      <c r="G309" s="48" t="s">
        <v>30</v>
      </c>
      <c r="H309" s="51">
        <v>3000</v>
      </c>
      <c r="I309" s="49">
        <v>600</v>
      </c>
      <c r="J309" s="48" t="s">
        <v>31</v>
      </c>
      <c r="K309" s="48" t="s">
        <v>32</v>
      </c>
      <c r="L309" s="2"/>
      <c r="M309" s="126">
        <v>600</v>
      </c>
    </row>
    <row r="310" spans="1:13" ht="15.75" customHeight="1">
      <c r="A310" s="50">
        <v>14</v>
      </c>
      <c r="B310" s="151" t="s">
        <v>2405</v>
      </c>
      <c r="C310" s="48" t="s">
        <v>27</v>
      </c>
      <c r="D310" s="48" t="s">
        <v>100</v>
      </c>
      <c r="E310" s="48" t="s">
        <v>86</v>
      </c>
      <c r="F310" s="48"/>
      <c r="G310" s="48" t="s">
        <v>30</v>
      </c>
      <c r="H310" s="51">
        <v>2000</v>
      </c>
      <c r="I310" s="49">
        <v>400</v>
      </c>
      <c r="J310" s="48" t="s">
        <v>31</v>
      </c>
      <c r="K310" s="48" t="s">
        <v>32</v>
      </c>
      <c r="L310" s="2"/>
      <c r="M310" s="126">
        <v>300</v>
      </c>
    </row>
    <row r="311" spans="1:13" ht="15.75" customHeight="1">
      <c r="A311" s="50">
        <v>14</v>
      </c>
      <c r="B311" s="151" t="s">
        <v>2405</v>
      </c>
      <c r="C311" s="48" t="s">
        <v>27</v>
      </c>
      <c r="D311" s="48" t="s">
        <v>100</v>
      </c>
      <c r="E311" s="48" t="s">
        <v>86</v>
      </c>
      <c r="F311" s="48"/>
      <c r="G311" s="48" t="s">
        <v>608</v>
      </c>
      <c r="H311" s="51">
        <v>30</v>
      </c>
      <c r="I311" s="49">
        <v>150</v>
      </c>
      <c r="J311" s="48" t="s">
        <v>31</v>
      </c>
      <c r="K311" s="48" t="s">
        <v>32</v>
      </c>
      <c r="L311" s="2"/>
    </row>
    <row r="312" spans="1:13" ht="15.75" customHeight="1">
      <c r="A312" s="50">
        <v>14</v>
      </c>
      <c r="B312" s="151" t="s">
        <v>2406</v>
      </c>
      <c r="C312" s="48" t="s">
        <v>27</v>
      </c>
      <c r="D312" s="48" t="s">
        <v>317</v>
      </c>
      <c r="E312" s="48" t="s">
        <v>86</v>
      </c>
      <c r="F312" s="48"/>
      <c r="G312" s="48" t="s">
        <v>30</v>
      </c>
      <c r="H312" s="51">
        <v>1500</v>
      </c>
      <c r="I312" s="49">
        <v>300</v>
      </c>
      <c r="J312" s="48" t="s">
        <v>31</v>
      </c>
      <c r="K312" s="48" t="s">
        <v>32</v>
      </c>
      <c r="L312" s="2"/>
      <c r="M312" s="126">
        <v>300</v>
      </c>
    </row>
    <row r="313" spans="1:13" ht="15.75" customHeight="1">
      <c r="A313" s="50">
        <v>14</v>
      </c>
      <c r="B313" s="151" t="s">
        <v>2406</v>
      </c>
      <c r="C313" s="48" t="s">
        <v>27</v>
      </c>
      <c r="D313" s="48" t="s">
        <v>317</v>
      </c>
      <c r="E313" s="48" t="s">
        <v>86</v>
      </c>
      <c r="F313" s="48"/>
      <c r="G313" s="48" t="s">
        <v>608</v>
      </c>
      <c r="H313" s="51">
        <v>40</v>
      </c>
      <c r="I313" s="49">
        <v>200</v>
      </c>
      <c r="J313" s="48" t="s">
        <v>31</v>
      </c>
      <c r="K313" s="48" t="s">
        <v>32</v>
      </c>
      <c r="L313" s="2"/>
    </row>
    <row r="314" spans="1:13" ht="15.75" customHeight="1">
      <c r="A314" s="50">
        <v>14</v>
      </c>
      <c r="B314" s="151" t="s">
        <v>2407</v>
      </c>
      <c r="C314" s="48" t="s">
        <v>27</v>
      </c>
      <c r="D314" s="48" t="s">
        <v>2306</v>
      </c>
      <c r="E314" s="48" t="s">
        <v>79</v>
      </c>
      <c r="F314" s="48"/>
      <c r="G314" s="48" t="s">
        <v>30</v>
      </c>
      <c r="H314" s="51">
        <v>500</v>
      </c>
      <c r="I314" s="49" t="s">
        <v>1586</v>
      </c>
      <c r="J314" s="48" t="s">
        <v>31</v>
      </c>
      <c r="K314" s="48" t="s">
        <v>32</v>
      </c>
      <c r="L314" s="2"/>
      <c r="M314" s="126">
        <v>350</v>
      </c>
    </row>
    <row r="315" spans="1:13" ht="15.75" customHeight="1">
      <c r="A315" s="50">
        <v>14</v>
      </c>
      <c r="B315" s="151" t="s">
        <v>2407</v>
      </c>
      <c r="C315" s="48" t="s">
        <v>27</v>
      </c>
      <c r="D315" s="48" t="s">
        <v>2306</v>
      </c>
      <c r="E315" s="48" t="s">
        <v>79</v>
      </c>
      <c r="F315" s="48"/>
      <c r="G315" s="48" t="s">
        <v>30</v>
      </c>
      <c r="H315" s="51">
        <v>1000</v>
      </c>
      <c r="I315" s="49">
        <v>200</v>
      </c>
      <c r="J315" s="48" t="s">
        <v>31</v>
      </c>
      <c r="K315" s="48" t="s">
        <v>32</v>
      </c>
      <c r="L315" s="2"/>
    </row>
    <row r="316" spans="1:13" ht="15.75" customHeight="1">
      <c r="A316" s="50">
        <v>14</v>
      </c>
      <c r="B316" s="151" t="s">
        <v>2408</v>
      </c>
      <c r="C316" s="48" t="s">
        <v>27</v>
      </c>
      <c r="D316" s="48" t="s">
        <v>2306</v>
      </c>
      <c r="E316" s="48" t="s">
        <v>79</v>
      </c>
      <c r="F316" s="48"/>
      <c r="G316" s="48" t="s">
        <v>30</v>
      </c>
      <c r="H316" s="51">
        <v>1500</v>
      </c>
      <c r="I316" s="49">
        <v>300</v>
      </c>
      <c r="J316" s="48" t="s">
        <v>31</v>
      </c>
      <c r="K316" s="48" t="s">
        <v>32</v>
      </c>
      <c r="L316" s="2"/>
      <c r="M316" s="126">
        <v>300</v>
      </c>
    </row>
    <row r="317" spans="1:13" ht="15.75" customHeight="1">
      <c r="A317" s="50">
        <v>14</v>
      </c>
      <c r="B317" s="151" t="s">
        <v>2409</v>
      </c>
      <c r="C317" s="48" t="s">
        <v>27</v>
      </c>
      <c r="D317" s="48" t="s">
        <v>657</v>
      </c>
      <c r="E317" s="48" t="s">
        <v>84</v>
      </c>
      <c r="F317" s="48"/>
      <c r="G317" s="48" t="s">
        <v>30</v>
      </c>
      <c r="H317" s="51">
        <v>250</v>
      </c>
      <c r="I317" s="49">
        <v>50</v>
      </c>
      <c r="J317" s="48" t="s">
        <v>31</v>
      </c>
      <c r="K317" s="48" t="s">
        <v>32</v>
      </c>
      <c r="L317" s="2"/>
      <c r="M317" s="126">
        <v>50</v>
      </c>
    </row>
    <row r="318" spans="1:13" ht="15.75" customHeight="1">
      <c r="A318" s="50">
        <v>14</v>
      </c>
      <c r="B318" s="151" t="s">
        <v>2410</v>
      </c>
      <c r="C318" s="48" t="s">
        <v>27</v>
      </c>
      <c r="D318" s="48" t="s">
        <v>205</v>
      </c>
      <c r="E318" s="48" t="s">
        <v>191</v>
      </c>
      <c r="F318" s="48"/>
      <c r="G318" s="48" t="s">
        <v>30</v>
      </c>
      <c r="H318" s="51">
        <v>1500</v>
      </c>
      <c r="I318" s="49">
        <v>300</v>
      </c>
      <c r="J318" s="48" t="s">
        <v>31</v>
      </c>
      <c r="K318" s="48" t="s">
        <v>32</v>
      </c>
      <c r="L318" s="2"/>
      <c r="M318" s="126">
        <v>1200</v>
      </c>
    </row>
    <row r="319" spans="1:13" ht="15.75" customHeight="1">
      <c r="A319" s="50">
        <v>14</v>
      </c>
      <c r="B319" s="151" t="s">
        <v>2411</v>
      </c>
      <c r="C319" s="48" t="s">
        <v>27</v>
      </c>
      <c r="D319" s="48" t="s">
        <v>326</v>
      </c>
      <c r="E319" s="48" t="s">
        <v>41</v>
      </c>
      <c r="F319" s="48"/>
      <c r="G319" s="48" t="s">
        <v>30</v>
      </c>
      <c r="H319" s="51">
        <v>2000</v>
      </c>
      <c r="I319" s="49">
        <v>400</v>
      </c>
      <c r="J319" s="48" t="s">
        <v>31</v>
      </c>
      <c r="K319" s="48" t="s">
        <v>32</v>
      </c>
      <c r="L319" s="2"/>
      <c r="M319" s="126">
        <v>700</v>
      </c>
    </row>
    <row r="320" spans="1:13" ht="15.75" customHeight="1">
      <c r="A320" s="65">
        <v>14</v>
      </c>
      <c r="B320" s="175" t="s">
        <v>2412</v>
      </c>
      <c r="C320" s="58" t="s">
        <v>27</v>
      </c>
      <c r="D320" s="58" t="s">
        <v>110</v>
      </c>
      <c r="E320" s="58" t="s">
        <v>36</v>
      </c>
      <c r="F320" s="58"/>
      <c r="G320" s="58" t="s">
        <v>30</v>
      </c>
      <c r="H320" s="59">
        <v>500</v>
      </c>
      <c r="I320" s="60">
        <v>100</v>
      </c>
      <c r="J320" s="48" t="s">
        <v>31</v>
      </c>
      <c r="K320" s="48" t="s">
        <v>32</v>
      </c>
      <c r="L320" s="2"/>
      <c r="M320" s="126">
        <v>100</v>
      </c>
    </row>
    <row r="321" spans="1:18" ht="15.75" customHeight="1">
      <c r="A321" s="61">
        <v>15</v>
      </c>
      <c r="B321" s="292" t="s">
        <v>2413</v>
      </c>
      <c r="C321" s="62" t="s">
        <v>27</v>
      </c>
      <c r="D321" s="62" t="s">
        <v>998</v>
      </c>
      <c r="E321" s="62" t="s">
        <v>148</v>
      </c>
      <c r="F321" s="62"/>
      <c r="G321" s="62" t="s">
        <v>30</v>
      </c>
      <c r="H321" s="63">
        <v>2000</v>
      </c>
      <c r="I321" s="64">
        <v>400</v>
      </c>
      <c r="J321" s="48" t="s">
        <v>31</v>
      </c>
      <c r="K321" s="48" t="s">
        <v>32</v>
      </c>
      <c r="L321" s="2"/>
      <c r="M321" s="126">
        <v>5000</v>
      </c>
    </row>
    <row r="322" spans="1:18" ht="15.75" customHeight="1">
      <c r="A322" s="50">
        <v>15</v>
      </c>
      <c r="B322" s="151" t="s">
        <v>2414</v>
      </c>
      <c r="C322" s="48" t="s">
        <v>27</v>
      </c>
      <c r="D322" s="48" t="s">
        <v>88</v>
      </c>
      <c r="E322" s="48" t="s">
        <v>84</v>
      </c>
      <c r="F322" s="48"/>
      <c r="G322" s="48" t="s">
        <v>30</v>
      </c>
      <c r="H322" s="51">
        <v>500</v>
      </c>
      <c r="I322" s="49">
        <v>100</v>
      </c>
      <c r="J322" s="48" t="s">
        <v>31</v>
      </c>
      <c r="K322" s="48" t="s">
        <v>32</v>
      </c>
      <c r="L322" s="2"/>
      <c r="M322" s="126">
        <v>100</v>
      </c>
      <c r="P322" s="792" t="s">
        <v>2415</v>
      </c>
      <c r="Q322" s="719"/>
    </row>
    <row r="323" spans="1:18" ht="15.75" customHeight="1">
      <c r="A323" s="50">
        <v>15</v>
      </c>
      <c r="B323" s="151" t="s">
        <v>2414</v>
      </c>
      <c r="C323" s="48" t="s">
        <v>27</v>
      </c>
      <c r="D323" s="48" t="s">
        <v>88</v>
      </c>
      <c r="E323" s="48" t="s">
        <v>84</v>
      </c>
      <c r="F323" s="48"/>
      <c r="G323" s="48" t="s">
        <v>608</v>
      </c>
      <c r="H323" s="51">
        <v>10</v>
      </c>
      <c r="I323" s="49">
        <v>50</v>
      </c>
      <c r="J323" s="48" t="s">
        <v>31</v>
      </c>
      <c r="K323" s="48" t="s">
        <v>32</v>
      </c>
      <c r="L323" s="2"/>
      <c r="P323" s="723" t="s">
        <v>25</v>
      </c>
      <c r="Q323" s="719"/>
    </row>
    <row r="324" spans="1:18" ht="15.75" customHeight="1">
      <c r="A324" s="50">
        <v>15</v>
      </c>
      <c r="B324" s="151" t="s">
        <v>2414</v>
      </c>
      <c r="C324" s="48" t="s">
        <v>27</v>
      </c>
      <c r="D324" s="48" t="s">
        <v>88</v>
      </c>
      <c r="E324" s="48" t="s">
        <v>84</v>
      </c>
      <c r="F324" s="48"/>
      <c r="G324" s="48" t="s">
        <v>2416</v>
      </c>
      <c r="H324" s="51">
        <v>10</v>
      </c>
      <c r="I324" s="49">
        <v>30</v>
      </c>
      <c r="J324" s="48" t="s">
        <v>31</v>
      </c>
      <c r="K324" s="48" t="s">
        <v>32</v>
      </c>
      <c r="L324" s="2"/>
      <c r="P324" s="48" t="s">
        <v>33</v>
      </c>
      <c r="Q324" s="51">
        <v>97150</v>
      </c>
      <c r="R324" s="55"/>
    </row>
    <row r="325" spans="1:18" ht="15.75" customHeight="1">
      <c r="A325" s="50">
        <v>15</v>
      </c>
      <c r="B325" s="151" t="s">
        <v>2417</v>
      </c>
      <c r="C325" s="48" t="s">
        <v>27</v>
      </c>
      <c r="D325" s="48" t="s">
        <v>407</v>
      </c>
      <c r="E325" s="48" t="s">
        <v>44</v>
      </c>
      <c r="F325" s="48"/>
      <c r="G325" s="48" t="s">
        <v>30</v>
      </c>
      <c r="H325" s="51">
        <v>700</v>
      </c>
      <c r="I325" s="49">
        <v>140</v>
      </c>
      <c r="J325" s="48" t="s">
        <v>31</v>
      </c>
      <c r="K325" s="48" t="s">
        <v>32</v>
      </c>
      <c r="L325" s="2"/>
      <c r="M325" s="126">
        <v>100</v>
      </c>
      <c r="P325" s="48" t="s">
        <v>37</v>
      </c>
      <c r="Q325" s="51">
        <v>13300</v>
      </c>
      <c r="R325" s="55"/>
    </row>
    <row r="326" spans="1:18" ht="15.75" customHeight="1">
      <c r="A326" s="50">
        <v>15</v>
      </c>
      <c r="B326" s="151" t="s">
        <v>426</v>
      </c>
      <c r="C326" s="48" t="s">
        <v>27</v>
      </c>
      <c r="D326" s="48" t="s">
        <v>56</v>
      </c>
      <c r="E326" s="48" t="s">
        <v>84</v>
      </c>
      <c r="F326" s="48"/>
      <c r="G326" s="48" t="s">
        <v>30</v>
      </c>
      <c r="H326" s="51">
        <v>2000</v>
      </c>
      <c r="I326" s="49">
        <v>400</v>
      </c>
      <c r="J326" s="48" t="s">
        <v>31</v>
      </c>
      <c r="K326" s="48" t="s">
        <v>32</v>
      </c>
      <c r="L326" s="2"/>
      <c r="M326" s="126">
        <v>300</v>
      </c>
      <c r="P326" s="391" t="s">
        <v>282</v>
      </c>
      <c r="Q326" s="392">
        <v>110450</v>
      </c>
      <c r="R326" s="55"/>
    </row>
    <row r="327" spans="1:18" ht="15.75" customHeight="1">
      <c r="A327" s="50">
        <v>15</v>
      </c>
      <c r="B327" s="151" t="s">
        <v>2418</v>
      </c>
      <c r="C327" s="48" t="s">
        <v>27</v>
      </c>
      <c r="D327" s="48" t="s">
        <v>2419</v>
      </c>
      <c r="E327" s="48" t="s">
        <v>73</v>
      </c>
      <c r="F327" s="48"/>
      <c r="G327" s="48" t="s">
        <v>30</v>
      </c>
      <c r="H327" s="51">
        <v>1000</v>
      </c>
      <c r="I327" s="49">
        <v>200</v>
      </c>
      <c r="J327" s="48" t="s">
        <v>31</v>
      </c>
      <c r="K327" s="48" t="s">
        <v>32</v>
      </c>
      <c r="L327" s="2"/>
      <c r="M327" s="126">
        <v>300</v>
      </c>
      <c r="P327" s="723" t="s">
        <v>586</v>
      </c>
      <c r="Q327" s="719"/>
    </row>
    <row r="328" spans="1:18" ht="15.75" customHeight="1">
      <c r="A328" s="50">
        <v>15</v>
      </c>
      <c r="B328" s="151" t="s">
        <v>2420</v>
      </c>
      <c r="C328" s="48" t="s">
        <v>27</v>
      </c>
      <c r="D328" s="48" t="s">
        <v>140</v>
      </c>
      <c r="E328" s="48" t="s">
        <v>140</v>
      </c>
      <c r="F328" s="48"/>
      <c r="G328" s="48" t="s">
        <v>30</v>
      </c>
      <c r="H328" s="51">
        <v>500</v>
      </c>
      <c r="I328" s="49">
        <v>100</v>
      </c>
      <c r="J328" s="48" t="s">
        <v>31</v>
      </c>
      <c r="K328" s="48" t="s">
        <v>32</v>
      </c>
      <c r="L328" s="2"/>
      <c r="P328" s="48" t="s">
        <v>33</v>
      </c>
      <c r="Q328" s="51">
        <v>2400</v>
      </c>
      <c r="R328" s="55"/>
    </row>
    <row r="329" spans="1:18" ht="15.75" customHeight="1">
      <c r="A329" s="50">
        <v>15</v>
      </c>
      <c r="B329" s="151" t="s">
        <v>2421</v>
      </c>
      <c r="C329" s="48" t="s">
        <v>27</v>
      </c>
      <c r="D329" s="48"/>
      <c r="E329" s="48" t="s">
        <v>73</v>
      </c>
      <c r="F329" s="48"/>
      <c r="G329" s="48" t="s">
        <v>30</v>
      </c>
      <c r="H329" s="51">
        <v>3000</v>
      </c>
      <c r="I329" s="49">
        <v>600</v>
      </c>
      <c r="J329" s="48" t="s">
        <v>31</v>
      </c>
      <c r="K329" s="48" t="s">
        <v>32</v>
      </c>
      <c r="L329" s="2"/>
      <c r="M329" s="126">
        <v>600</v>
      </c>
      <c r="P329" s="48" t="s">
        <v>37</v>
      </c>
      <c r="Q329" s="48">
        <v>0</v>
      </c>
    </row>
    <row r="330" spans="1:18" ht="15.75" customHeight="1">
      <c r="A330" s="50">
        <v>15</v>
      </c>
      <c r="B330" s="151" t="s">
        <v>2422</v>
      </c>
      <c r="C330" s="48" t="s">
        <v>27</v>
      </c>
      <c r="D330" s="48" t="s">
        <v>2423</v>
      </c>
      <c r="E330" s="48" t="s">
        <v>148</v>
      </c>
      <c r="F330" s="48"/>
      <c r="G330" s="48" t="s">
        <v>608</v>
      </c>
      <c r="H330" s="51">
        <v>500</v>
      </c>
      <c r="I330" s="49">
        <v>2500</v>
      </c>
      <c r="J330" s="48" t="s">
        <v>31</v>
      </c>
      <c r="K330" s="48" t="s">
        <v>32</v>
      </c>
      <c r="L330" s="2"/>
      <c r="P330" s="391" t="s">
        <v>282</v>
      </c>
      <c r="Q330" s="392">
        <v>2400</v>
      </c>
    </row>
    <row r="331" spans="1:18" ht="15.75" customHeight="1">
      <c r="A331" s="50">
        <v>15</v>
      </c>
      <c r="B331" s="151" t="s">
        <v>2424</v>
      </c>
      <c r="C331" s="48" t="s">
        <v>39</v>
      </c>
      <c r="D331" s="48" t="s">
        <v>1616</v>
      </c>
      <c r="E331" s="48" t="s">
        <v>47</v>
      </c>
      <c r="F331" s="48"/>
      <c r="G331" s="48" t="s">
        <v>30</v>
      </c>
      <c r="H331" s="51">
        <v>4000</v>
      </c>
      <c r="I331" s="49">
        <v>800</v>
      </c>
      <c r="J331" s="48" t="s">
        <v>31</v>
      </c>
      <c r="K331" s="48" t="s">
        <v>32</v>
      </c>
      <c r="L331" s="2"/>
      <c r="M331" s="126">
        <v>600</v>
      </c>
      <c r="P331" s="723" t="s">
        <v>286</v>
      </c>
      <c r="Q331" s="719"/>
    </row>
    <row r="332" spans="1:18" ht="15.75" customHeight="1">
      <c r="A332" s="50">
        <v>15</v>
      </c>
      <c r="B332" s="151" t="s">
        <v>2425</v>
      </c>
      <c r="C332" s="48" t="s">
        <v>27</v>
      </c>
      <c r="D332" s="48" t="s">
        <v>2426</v>
      </c>
      <c r="E332" s="48" t="s">
        <v>145</v>
      </c>
      <c r="F332" s="48"/>
      <c r="G332" s="48" t="s">
        <v>30</v>
      </c>
      <c r="H332" s="51">
        <v>500</v>
      </c>
      <c r="I332" s="49">
        <v>100</v>
      </c>
      <c r="J332" s="48" t="s">
        <v>31</v>
      </c>
      <c r="K332" s="48" t="s">
        <v>32</v>
      </c>
      <c r="L332" s="2"/>
      <c r="M332" s="126">
        <v>100</v>
      </c>
      <c r="P332" s="48" t="s">
        <v>1346</v>
      </c>
      <c r="Q332" s="48">
        <v>880</v>
      </c>
      <c r="R332" s="55"/>
    </row>
    <row r="333" spans="1:18" ht="15.75" customHeight="1">
      <c r="A333" s="50">
        <v>15</v>
      </c>
      <c r="B333" s="151" t="s">
        <v>2427</v>
      </c>
      <c r="C333" s="48" t="s">
        <v>27</v>
      </c>
      <c r="D333" s="48" t="s">
        <v>110</v>
      </c>
      <c r="E333" s="48" t="s">
        <v>36</v>
      </c>
      <c r="F333" s="48"/>
      <c r="G333" s="48" t="s">
        <v>30</v>
      </c>
      <c r="H333" s="51">
        <v>1000</v>
      </c>
      <c r="I333" s="49">
        <v>200</v>
      </c>
      <c r="J333" s="48" t="s">
        <v>31</v>
      </c>
      <c r="K333" s="48" t="s">
        <v>32</v>
      </c>
      <c r="L333" s="2"/>
      <c r="M333" s="126">
        <v>200</v>
      </c>
      <c r="P333" s="48" t="s">
        <v>2325</v>
      </c>
      <c r="Q333" s="48">
        <v>15</v>
      </c>
      <c r="R333" s="55"/>
    </row>
    <row r="334" spans="1:18" ht="15.75" customHeight="1">
      <c r="A334" s="65">
        <v>15</v>
      </c>
      <c r="B334" s="175" t="s">
        <v>872</v>
      </c>
      <c r="C334" s="58" t="s">
        <v>27</v>
      </c>
      <c r="D334" s="58" t="s">
        <v>100</v>
      </c>
      <c r="E334" s="58" t="s">
        <v>51</v>
      </c>
      <c r="F334" s="58"/>
      <c r="G334" s="58" t="s">
        <v>30</v>
      </c>
      <c r="H334" s="59">
        <v>500</v>
      </c>
      <c r="I334" s="60" t="s">
        <v>1586</v>
      </c>
      <c r="J334" s="58" t="s">
        <v>31</v>
      </c>
      <c r="K334" s="58" t="s">
        <v>32</v>
      </c>
      <c r="L334" s="2"/>
      <c r="M334" s="126">
        <v>150</v>
      </c>
      <c r="P334" s="391" t="s">
        <v>282</v>
      </c>
      <c r="Q334" s="391">
        <v>895</v>
      </c>
      <c r="R334" s="55"/>
    </row>
    <row r="335" spans="1:18" ht="15.75" customHeight="1">
      <c r="A335" s="398">
        <v>16</v>
      </c>
      <c r="B335" s="399" t="s">
        <v>2428</v>
      </c>
      <c r="C335" s="62" t="s">
        <v>39</v>
      </c>
      <c r="D335" s="62" t="s">
        <v>56</v>
      </c>
      <c r="E335" s="62" t="s">
        <v>73</v>
      </c>
      <c r="F335" s="62"/>
      <c r="G335" s="78" t="s">
        <v>589</v>
      </c>
      <c r="H335" s="400">
        <v>66</v>
      </c>
      <c r="I335" s="64">
        <v>198</v>
      </c>
      <c r="J335" s="62" t="s">
        <v>31</v>
      </c>
      <c r="K335" s="62" t="s">
        <v>32</v>
      </c>
      <c r="L335" s="2"/>
    </row>
    <row r="336" spans="1:18" ht="15.75" customHeight="1">
      <c r="A336" s="50">
        <v>16</v>
      </c>
      <c r="B336" s="151" t="s">
        <v>2429</v>
      </c>
      <c r="C336" s="48" t="s">
        <v>39</v>
      </c>
      <c r="D336" s="48" t="s">
        <v>424</v>
      </c>
      <c r="E336" s="48" t="s">
        <v>245</v>
      </c>
      <c r="F336" s="48"/>
      <c r="G336" s="48" t="s">
        <v>30</v>
      </c>
      <c r="H336" s="393">
        <v>200</v>
      </c>
      <c r="I336" s="49">
        <v>40</v>
      </c>
      <c r="J336" s="48" t="s">
        <v>31</v>
      </c>
      <c r="K336" s="48" t="s">
        <v>32</v>
      </c>
      <c r="L336" s="2"/>
      <c r="M336" s="126">
        <v>500</v>
      </c>
    </row>
    <row r="337" spans="1:17" ht="15.75" customHeight="1">
      <c r="A337" s="50">
        <v>16</v>
      </c>
      <c r="B337" s="151" t="s">
        <v>2430</v>
      </c>
      <c r="C337" s="48" t="s">
        <v>27</v>
      </c>
      <c r="D337" s="48" t="s">
        <v>657</v>
      </c>
      <c r="E337" s="48" t="s">
        <v>84</v>
      </c>
      <c r="F337" s="48"/>
      <c r="G337" s="48" t="s">
        <v>30</v>
      </c>
      <c r="H337" s="51">
        <v>150</v>
      </c>
      <c r="I337" s="49">
        <v>30</v>
      </c>
      <c r="J337" s="48" t="s">
        <v>31</v>
      </c>
      <c r="K337" s="48" t="s">
        <v>32</v>
      </c>
      <c r="L337" s="2"/>
      <c r="M337" s="126">
        <v>20</v>
      </c>
      <c r="Q337" s="55"/>
    </row>
    <row r="338" spans="1:17" ht="15.75" customHeight="1">
      <c r="A338" s="50">
        <v>16</v>
      </c>
      <c r="B338" s="151" t="s">
        <v>468</v>
      </c>
      <c r="C338" s="48" t="s">
        <v>27</v>
      </c>
      <c r="D338" s="48" t="s">
        <v>100</v>
      </c>
      <c r="E338" s="48" t="s">
        <v>84</v>
      </c>
      <c r="F338" s="48"/>
      <c r="G338" s="48" t="s">
        <v>30</v>
      </c>
      <c r="H338" s="51">
        <v>3000</v>
      </c>
      <c r="I338" s="49">
        <v>600</v>
      </c>
      <c r="J338" s="48" t="s">
        <v>31</v>
      </c>
      <c r="K338" s="48" t="s">
        <v>32</v>
      </c>
      <c r="L338" s="2"/>
      <c r="M338" s="126">
        <v>450</v>
      </c>
    </row>
    <row r="339" spans="1:17" ht="15.75" customHeight="1">
      <c r="A339" s="50">
        <v>16</v>
      </c>
      <c r="B339" s="151" t="s">
        <v>2431</v>
      </c>
      <c r="C339" s="48" t="s">
        <v>27</v>
      </c>
      <c r="D339" s="48" t="s">
        <v>200</v>
      </c>
      <c r="E339" s="48" t="s">
        <v>273</v>
      </c>
      <c r="F339" s="48"/>
      <c r="G339" s="48" t="s">
        <v>30</v>
      </c>
      <c r="H339" s="51">
        <v>10100</v>
      </c>
      <c r="I339" s="49">
        <v>2020</v>
      </c>
      <c r="J339" s="48" t="s">
        <v>31</v>
      </c>
      <c r="K339" s="48" t="s">
        <v>32</v>
      </c>
      <c r="L339" s="2"/>
      <c r="M339" s="126">
        <v>3000</v>
      </c>
    </row>
    <row r="340" spans="1:17" ht="15.75" customHeight="1">
      <c r="A340" s="50">
        <v>16</v>
      </c>
      <c r="B340" s="151" t="s">
        <v>2432</v>
      </c>
      <c r="C340" s="48" t="s">
        <v>27</v>
      </c>
      <c r="D340" s="48" t="s">
        <v>361</v>
      </c>
      <c r="E340" s="48" t="s">
        <v>79</v>
      </c>
      <c r="F340" s="48"/>
      <c r="G340" s="48" t="s">
        <v>30</v>
      </c>
      <c r="H340" s="51">
        <v>13000</v>
      </c>
      <c r="I340" s="49">
        <v>2600</v>
      </c>
      <c r="J340" s="48" t="s">
        <v>31</v>
      </c>
      <c r="K340" s="48" t="s">
        <v>32</v>
      </c>
      <c r="L340" s="2"/>
      <c r="M340" s="126">
        <v>1200</v>
      </c>
    </row>
    <row r="341" spans="1:17" ht="15.75" customHeight="1">
      <c r="A341" s="50">
        <v>16</v>
      </c>
      <c r="B341" s="151" t="s">
        <v>2433</v>
      </c>
      <c r="C341" s="48" t="s">
        <v>27</v>
      </c>
      <c r="D341" s="48" t="s">
        <v>666</v>
      </c>
      <c r="E341" s="48" t="s">
        <v>86</v>
      </c>
      <c r="F341" s="48"/>
      <c r="G341" s="48" t="s">
        <v>30</v>
      </c>
      <c r="H341" s="51">
        <v>500</v>
      </c>
      <c r="I341" s="49">
        <v>100</v>
      </c>
      <c r="J341" s="48" t="s">
        <v>31</v>
      </c>
      <c r="K341" s="48" t="s">
        <v>32</v>
      </c>
      <c r="L341" s="2"/>
      <c r="M341" s="126">
        <v>100</v>
      </c>
    </row>
    <row r="342" spans="1:17" ht="15.75" customHeight="1">
      <c r="A342" s="50">
        <v>16</v>
      </c>
      <c r="B342" s="151" t="s">
        <v>2434</v>
      </c>
      <c r="C342" s="48" t="s">
        <v>27</v>
      </c>
      <c r="D342" s="48" t="s">
        <v>153</v>
      </c>
      <c r="E342" s="48" t="s">
        <v>36</v>
      </c>
      <c r="F342" s="48"/>
      <c r="G342" s="48" t="s">
        <v>30</v>
      </c>
      <c r="H342" s="51">
        <v>1000</v>
      </c>
      <c r="I342" s="49">
        <v>200</v>
      </c>
      <c r="J342" s="48" t="s">
        <v>31</v>
      </c>
      <c r="K342" s="48" t="s">
        <v>32</v>
      </c>
      <c r="L342" s="2"/>
      <c r="M342" s="126">
        <v>300</v>
      </c>
    </row>
    <row r="343" spans="1:17" ht="15.75" customHeight="1">
      <c r="A343" s="50">
        <v>16</v>
      </c>
      <c r="B343" s="151" t="s">
        <v>2435</v>
      </c>
      <c r="C343" s="48" t="s">
        <v>27</v>
      </c>
      <c r="D343" s="48" t="s">
        <v>88</v>
      </c>
      <c r="E343" s="48" t="s">
        <v>84</v>
      </c>
      <c r="F343" s="48"/>
      <c r="G343" s="48" t="s">
        <v>30</v>
      </c>
      <c r="H343" s="51">
        <v>200</v>
      </c>
      <c r="I343" s="49">
        <v>40</v>
      </c>
      <c r="J343" s="48" t="s">
        <v>31</v>
      </c>
      <c r="K343" s="48" t="s">
        <v>32</v>
      </c>
      <c r="L343" s="2"/>
      <c r="M343" s="126">
        <v>50</v>
      </c>
    </row>
    <row r="344" spans="1:17" ht="15.75" customHeight="1">
      <c r="A344" s="50">
        <v>16</v>
      </c>
      <c r="B344" s="151" t="s">
        <v>2436</v>
      </c>
      <c r="C344" s="48" t="s">
        <v>27</v>
      </c>
      <c r="D344" s="48" t="s">
        <v>188</v>
      </c>
      <c r="E344" s="48" t="s">
        <v>36</v>
      </c>
      <c r="F344" s="48"/>
      <c r="G344" s="48" t="s">
        <v>30</v>
      </c>
      <c r="H344" s="51">
        <v>500</v>
      </c>
      <c r="I344" s="49" t="s">
        <v>1586</v>
      </c>
      <c r="J344" s="48" t="s">
        <v>31</v>
      </c>
      <c r="K344" s="48" t="s">
        <v>32</v>
      </c>
      <c r="L344" s="2"/>
      <c r="M344" s="126">
        <v>100</v>
      </c>
    </row>
    <row r="345" spans="1:17" ht="15.75" customHeight="1">
      <c r="A345" s="50">
        <v>16</v>
      </c>
      <c r="B345" s="151" t="s">
        <v>2437</v>
      </c>
      <c r="C345" s="48" t="s">
        <v>27</v>
      </c>
      <c r="D345" s="48" t="s">
        <v>108</v>
      </c>
      <c r="E345" s="48" t="s">
        <v>36</v>
      </c>
      <c r="F345" s="48"/>
      <c r="G345" s="48" t="s">
        <v>30</v>
      </c>
      <c r="H345" s="51">
        <v>500</v>
      </c>
      <c r="I345" s="49">
        <v>100</v>
      </c>
      <c r="J345" s="48" t="s">
        <v>31</v>
      </c>
      <c r="K345" s="48" t="s">
        <v>32</v>
      </c>
      <c r="L345" s="2"/>
      <c r="M345" s="126">
        <v>150</v>
      </c>
      <c r="Q345" s="81"/>
    </row>
    <row r="346" spans="1:17" ht="15.75" customHeight="1">
      <c r="A346" s="50">
        <v>16</v>
      </c>
      <c r="B346" s="151" t="s">
        <v>2438</v>
      </c>
      <c r="C346" s="48" t="s">
        <v>27</v>
      </c>
      <c r="D346" s="48" t="s">
        <v>472</v>
      </c>
      <c r="E346" s="48" t="s">
        <v>41</v>
      </c>
      <c r="F346" s="48"/>
      <c r="G346" s="48" t="s">
        <v>30</v>
      </c>
      <c r="H346" s="51">
        <v>6000</v>
      </c>
      <c r="I346" s="49">
        <v>1200</v>
      </c>
      <c r="J346" s="48" t="s">
        <v>31</v>
      </c>
      <c r="K346" s="48" t="s">
        <v>32</v>
      </c>
      <c r="L346" s="2"/>
      <c r="M346" s="126">
        <v>1200</v>
      </c>
    </row>
    <row r="347" spans="1:17" ht="15.75" customHeight="1">
      <c r="A347" s="65">
        <v>16</v>
      </c>
      <c r="B347" s="175" t="s">
        <v>2439</v>
      </c>
      <c r="C347" s="58" t="s">
        <v>27</v>
      </c>
      <c r="D347" s="58" t="s">
        <v>100</v>
      </c>
      <c r="E347" s="58" t="s">
        <v>44</v>
      </c>
      <c r="F347" s="58"/>
      <c r="G347" s="58" t="s">
        <v>30</v>
      </c>
      <c r="H347" s="59">
        <v>1500</v>
      </c>
      <c r="I347" s="60">
        <v>300</v>
      </c>
      <c r="J347" s="58" t="s">
        <v>31</v>
      </c>
      <c r="K347" s="58" t="s">
        <v>32</v>
      </c>
      <c r="L347" s="2"/>
      <c r="M347" s="126">
        <v>600</v>
      </c>
    </row>
    <row r="348" spans="1:17" ht="15.75" customHeight="1">
      <c r="A348" s="61">
        <v>17</v>
      </c>
      <c r="B348" s="292" t="s">
        <v>2440</v>
      </c>
      <c r="C348" s="62" t="s">
        <v>27</v>
      </c>
      <c r="D348" s="62" t="s">
        <v>2293</v>
      </c>
      <c r="E348" s="62" t="s">
        <v>484</v>
      </c>
      <c r="F348" s="62"/>
      <c r="G348" s="62" t="s">
        <v>608</v>
      </c>
      <c r="H348" s="63">
        <v>100</v>
      </c>
      <c r="I348" s="64">
        <v>500</v>
      </c>
      <c r="J348" s="62" t="s">
        <v>31</v>
      </c>
      <c r="K348" s="62" t="s">
        <v>32</v>
      </c>
      <c r="L348" s="2"/>
    </row>
    <row r="349" spans="1:17" ht="15.75" customHeight="1">
      <c r="A349" s="50">
        <v>17</v>
      </c>
      <c r="B349" s="151" t="s">
        <v>2441</v>
      </c>
      <c r="C349" s="48" t="s">
        <v>27</v>
      </c>
      <c r="D349" s="48" t="s">
        <v>110</v>
      </c>
      <c r="E349" s="48" t="s">
        <v>36</v>
      </c>
      <c r="F349" s="48"/>
      <c r="G349" s="48" t="s">
        <v>30</v>
      </c>
      <c r="H349" s="51">
        <v>500</v>
      </c>
      <c r="I349" s="49" t="s">
        <v>1586</v>
      </c>
      <c r="J349" s="48" t="s">
        <v>31</v>
      </c>
      <c r="K349" s="48" t="s">
        <v>32</v>
      </c>
      <c r="L349" s="2"/>
      <c r="M349" s="126">
        <v>600</v>
      </c>
    </row>
    <row r="350" spans="1:17" ht="15.75" customHeight="1">
      <c r="A350" s="50">
        <v>17</v>
      </c>
      <c r="B350" s="151" t="s">
        <v>2441</v>
      </c>
      <c r="C350" s="48" t="s">
        <v>27</v>
      </c>
      <c r="D350" s="48" t="s">
        <v>110</v>
      </c>
      <c r="E350" s="48" t="s">
        <v>36</v>
      </c>
      <c r="F350" s="48"/>
      <c r="G350" s="48" t="s">
        <v>30</v>
      </c>
      <c r="H350" s="51">
        <v>1000</v>
      </c>
      <c r="I350" s="49">
        <v>200</v>
      </c>
      <c r="J350" s="48" t="s">
        <v>31</v>
      </c>
      <c r="K350" s="48" t="s">
        <v>32</v>
      </c>
      <c r="L350" s="2"/>
    </row>
    <row r="351" spans="1:17" ht="15.75" customHeight="1">
      <c r="A351" s="50">
        <v>17</v>
      </c>
      <c r="B351" s="379" t="s">
        <v>581</v>
      </c>
      <c r="C351" s="379" t="s">
        <v>27</v>
      </c>
      <c r="D351" s="379" t="s">
        <v>100</v>
      </c>
      <c r="E351" s="379" t="s">
        <v>145</v>
      </c>
      <c r="F351" s="379"/>
      <c r="G351" s="379" t="s">
        <v>579</v>
      </c>
      <c r="H351" s="380">
        <v>1000</v>
      </c>
      <c r="I351" s="387">
        <v>1000</v>
      </c>
      <c r="J351" s="48" t="s">
        <v>31</v>
      </c>
      <c r="K351" s="48" t="s">
        <v>32</v>
      </c>
      <c r="L351" s="2"/>
      <c r="M351" s="126">
        <v>330</v>
      </c>
    </row>
    <row r="352" spans="1:17" ht="15.75" customHeight="1">
      <c r="A352" s="50">
        <v>17</v>
      </c>
      <c r="B352" s="379" t="s">
        <v>2442</v>
      </c>
      <c r="C352" s="379" t="s">
        <v>27</v>
      </c>
      <c r="D352" s="379" t="s">
        <v>59</v>
      </c>
      <c r="E352" s="379" t="s">
        <v>84</v>
      </c>
      <c r="F352" s="379"/>
      <c r="G352" s="379" t="s">
        <v>579</v>
      </c>
      <c r="H352" s="380">
        <v>1000</v>
      </c>
      <c r="I352" s="387">
        <v>1000</v>
      </c>
      <c r="J352" s="48" t="s">
        <v>31</v>
      </c>
      <c r="K352" s="48" t="s">
        <v>32</v>
      </c>
      <c r="L352" s="2"/>
    </row>
    <row r="353" spans="1:19" ht="15.75" customHeight="1">
      <c r="A353" s="50">
        <v>17</v>
      </c>
      <c r="B353" s="379" t="s">
        <v>491</v>
      </c>
      <c r="C353" s="379" t="s">
        <v>27</v>
      </c>
      <c r="D353" s="379" t="s">
        <v>43</v>
      </c>
      <c r="E353" s="379" t="s">
        <v>44</v>
      </c>
      <c r="F353" s="379"/>
      <c r="G353" s="379" t="s">
        <v>579</v>
      </c>
      <c r="H353" s="380">
        <v>1000</v>
      </c>
      <c r="I353" s="387">
        <v>1000</v>
      </c>
      <c r="J353" s="48" t="s">
        <v>31</v>
      </c>
      <c r="K353" s="48" t="s">
        <v>32</v>
      </c>
      <c r="L353" s="2"/>
    </row>
    <row r="354" spans="1:19" ht="15.75" customHeight="1">
      <c r="A354" s="50">
        <v>17</v>
      </c>
      <c r="B354" s="151" t="s">
        <v>2443</v>
      </c>
      <c r="C354" s="48" t="s">
        <v>39</v>
      </c>
      <c r="D354" s="48" t="s">
        <v>108</v>
      </c>
      <c r="E354" s="48" t="s">
        <v>44</v>
      </c>
      <c r="F354" s="48"/>
      <c r="G354" s="48" t="s">
        <v>608</v>
      </c>
      <c r="H354" s="51">
        <v>40</v>
      </c>
      <c r="I354" s="49">
        <v>200</v>
      </c>
      <c r="J354" s="48" t="s">
        <v>31</v>
      </c>
      <c r="K354" s="48" t="s">
        <v>32</v>
      </c>
      <c r="L354" s="2"/>
    </row>
    <row r="355" spans="1:19" ht="15.75" customHeight="1">
      <c r="A355" s="50">
        <v>17</v>
      </c>
      <c r="B355" s="151" t="s">
        <v>2444</v>
      </c>
      <c r="C355" s="48" t="s">
        <v>39</v>
      </c>
      <c r="D355" s="48" t="s">
        <v>100</v>
      </c>
      <c r="E355" s="48" t="s">
        <v>36</v>
      </c>
      <c r="F355" s="48"/>
      <c r="G355" s="48" t="s">
        <v>30</v>
      </c>
      <c r="H355" s="51">
        <v>2000</v>
      </c>
      <c r="I355" s="49">
        <v>400</v>
      </c>
      <c r="J355" s="48" t="s">
        <v>31</v>
      </c>
      <c r="K355" s="48" t="s">
        <v>32</v>
      </c>
      <c r="L355" s="2"/>
      <c r="M355" s="126">
        <v>400</v>
      </c>
    </row>
    <row r="356" spans="1:19" ht="15.75" customHeight="1">
      <c r="A356" s="50">
        <v>17</v>
      </c>
      <c r="B356" s="151" t="s">
        <v>2444</v>
      </c>
      <c r="C356" s="48" t="s">
        <v>39</v>
      </c>
      <c r="D356" s="48" t="s">
        <v>100</v>
      </c>
      <c r="E356" s="48" t="s">
        <v>36</v>
      </c>
      <c r="F356" s="48"/>
      <c r="G356" s="48" t="s">
        <v>608</v>
      </c>
      <c r="H356" s="51">
        <v>30</v>
      </c>
      <c r="I356" s="49">
        <v>150</v>
      </c>
      <c r="J356" s="48" t="s">
        <v>31</v>
      </c>
      <c r="K356" s="48" t="s">
        <v>32</v>
      </c>
      <c r="L356" s="2"/>
    </row>
    <row r="357" spans="1:19" ht="15.75" customHeight="1">
      <c r="A357" s="50">
        <v>17</v>
      </c>
      <c r="B357" s="151" t="s">
        <v>2445</v>
      </c>
      <c r="C357" s="48" t="s">
        <v>27</v>
      </c>
      <c r="D357" s="48" t="s">
        <v>239</v>
      </c>
      <c r="E357" s="48" t="s">
        <v>44</v>
      </c>
      <c r="F357" s="48"/>
      <c r="G357" s="48" t="s">
        <v>30</v>
      </c>
      <c r="H357" s="51">
        <v>1000</v>
      </c>
      <c r="I357" s="49">
        <v>200</v>
      </c>
      <c r="J357" s="48" t="s">
        <v>31</v>
      </c>
      <c r="K357" s="48" t="s">
        <v>32</v>
      </c>
      <c r="L357" s="2"/>
      <c r="M357" s="126">
        <v>250</v>
      </c>
    </row>
    <row r="358" spans="1:19" ht="15.75" customHeight="1">
      <c r="A358" s="50">
        <v>17</v>
      </c>
      <c r="B358" s="151" t="s">
        <v>2446</v>
      </c>
      <c r="C358" s="48" t="s">
        <v>27</v>
      </c>
      <c r="D358" s="48" t="s">
        <v>110</v>
      </c>
      <c r="E358" s="48" t="s">
        <v>36</v>
      </c>
      <c r="F358" s="48"/>
      <c r="G358" s="48" t="s">
        <v>30</v>
      </c>
      <c r="H358" s="51">
        <v>500</v>
      </c>
      <c r="I358" s="49" t="s">
        <v>1586</v>
      </c>
      <c r="J358" s="48" t="s">
        <v>31</v>
      </c>
      <c r="K358" s="48" t="s">
        <v>32</v>
      </c>
      <c r="L358" s="2"/>
      <c r="M358" s="126">
        <v>600</v>
      </c>
    </row>
    <row r="359" spans="1:19" ht="15.75" customHeight="1">
      <c r="A359" s="50">
        <v>17</v>
      </c>
      <c r="B359" s="151" t="s">
        <v>2447</v>
      </c>
      <c r="C359" s="48" t="s">
        <v>27</v>
      </c>
      <c r="D359" s="48" t="s">
        <v>2448</v>
      </c>
      <c r="E359" s="48" t="s">
        <v>44</v>
      </c>
      <c r="F359" s="48"/>
      <c r="G359" s="48" t="s">
        <v>30</v>
      </c>
      <c r="H359" s="51">
        <v>500</v>
      </c>
      <c r="I359" s="49">
        <v>100</v>
      </c>
      <c r="J359" s="48" t="s">
        <v>31</v>
      </c>
      <c r="K359" s="48" t="s">
        <v>32</v>
      </c>
      <c r="L359" s="2"/>
      <c r="M359" s="126">
        <v>100</v>
      </c>
    </row>
    <row r="360" spans="1:19" ht="15.75" customHeight="1">
      <c r="A360" s="50">
        <v>17</v>
      </c>
      <c r="B360" s="151" t="s">
        <v>2449</v>
      </c>
      <c r="C360" s="48" t="s">
        <v>27</v>
      </c>
      <c r="D360" s="48" t="s">
        <v>2450</v>
      </c>
      <c r="E360" s="48" t="s">
        <v>86</v>
      </c>
      <c r="F360" s="48"/>
      <c r="G360" s="48" t="s">
        <v>30</v>
      </c>
      <c r="H360" s="51">
        <v>300</v>
      </c>
      <c r="I360" s="49">
        <v>60</v>
      </c>
      <c r="J360" s="48" t="s">
        <v>31</v>
      </c>
      <c r="K360" s="48" t="s">
        <v>32</v>
      </c>
      <c r="L360" s="2"/>
      <c r="M360" s="126">
        <v>100</v>
      </c>
    </row>
    <row r="361" spans="1:19" ht="15.75" customHeight="1">
      <c r="A361" s="50">
        <v>17</v>
      </c>
      <c r="B361" s="151" t="s">
        <v>2451</v>
      </c>
      <c r="C361" s="48" t="s">
        <v>27</v>
      </c>
      <c r="D361" s="48" t="s">
        <v>2450</v>
      </c>
      <c r="E361" s="48" t="s">
        <v>86</v>
      </c>
      <c r="F361" s="48"/>
      <c r="G361" s="48" t="s">
        <v>30</v>
      </c>
      <c r="H361" s="51">
        <v>200</v>
      </c>
      <c r="I361" s="49">
        <v>40</v>
      </c>
      <c r="J361" s="48" t="s">
        <v>31</v>
      </c>
      <c r="K361" s="48" t="s">
        <v>32</v>
      </c>
      <c r="L361" s="2"/>
      <c r="M361" s="126">
        <v>50</v>
      </c>
      <c r="P361" s="792" t="s">
        <v>2452</v>
      </c>
      <c r="Q361" s="719"/>
    </row>
    <row r="362" spans="1:19" ht="15.75" customHeight="1">
      <c r="A362" s="50">
        <v>17</v>
      </c>
      <c r="B362" s="151" t="s">
        <v>2453</v>
      </c>
      <c r="C362" s="48" t="s">
        <v>27</v>
      </c>
      <c r="D362" s="48" t="s">
        <v>2454</v>
      </c>
      <c r="E362" s="48" t="s">
        <v>73</v>
      </c>
      <c r="F362" s="48"/>
      <c r="G362" s="48" t="s">
        <v>30</v>
      </c>
      <c r="H362" s="51">
        <v>400</v>
      </c>
      <c r="I362" s="49">
        <v>80</v>
      </c>
      <c r="J362" s="48" t="s">
        <v>31</v>
      </c>
      <c r="K362" s="48" t="s">
        <v>32</v>
      </c>
      <c r="L362" s="2"/>
      <c r="M362" s="126">
        <v>200</v>
      </c>
      <c r="P362" s="723" t="s">
        <v>25</v>
      </c>
      <c r="Q362" s="719"/>
    </row>
    <row r="363" spans="1:19" ht="15.75" customHeight="1">
      <c r="A363" s="50">
        <v>17</v>
      </c>
      <c r="B363" s="151" t="s">
        <v>2455</v>
      </c>
      <c r="C363" s="48" t="s">
        <v>27</v>
      </c>
      <c r="D363" s="48" t="s">
        <v>2277</v>
      </c>
      <c r="E363" s="48" t="s">
        <v>86</v>
      </c>
      <c r="F363" s="48"/>
      <c r="G363" s="48" t="s">
        <v>30</v>
      </c>
      <c r="H363" s="51">
        <v>100</v>
      </c>
      <c r="I363" s="49">
        <v>20</v>
      </c>
      <c r="J363" s="48" t="s">
        <v>31</v>
      </c>
      <c r="K363" s="48" t="s">
        <v>32</v>
      </c>
      <c r="L363" s="2"/>
      <c r="M363" s="126">
        <v>150</v>
      </c>
      <c r="P363" s="48" t="s">
        <v>33</v>
      </c>
      <c r="Q363" s="51">
        <v>72250</v>
      </c>
      <c r="S363" s="55">
        <v>72250</v>
      </c>
    </row>
    <row r="364" spans="1:19" ht="15.75" customHeight="1">
      <c r="A364" s="50">
        <v>17</v>
      </c>
      <c r="B364" s="151" t="s">
        <v>2456</v>
      </c>
      <c r="C364" s="48" t="s">
        <v>27</v>
      </c>
      <c r="D364" s="48" t="s">
        <v>1373</v>
      </c>
      <c r="E364" s="48" t="s">
        <v>56</v>
      </c>
      <c r="F364" s="48"/>
      <c r="G364" s="48" t="s">
        <v>30</v>
      </c>
      <c r="H364" s="51">
        <v>500</v>
      </c>
      <c r="I364" s="49">
        <v>100</v>
      </c>
      <c r="J364" s="48" t="s">
        <v>31</v>
      </c>
      <c r="K364" s="48" t="s">
        <v>32</v>
      </c>
      <c r="L364" s="2"/>
      <c r="M364" s="126">
        <v>50</v>
      </c>
      <c r="P364" s="48" t="s">
        <v>37</v>
      </c>
      <c r="Q364" s="51">
        <v>1500</v>
      </c>
      <c r="S364" s="55">
        <v>1500</v>
      </c>
    </row>
    <row r="365" spans="1:19" ht="15.75" customHeight="1">
      <c r="A365" s="50">
        <v>17</v>
      </c>
      <c r="B365" s="151" t="s">
        <v>2457</v>
      </c>
      <c r="C365" s="48" t="s">
        <v>27</v>
      </c>
      <c r="D365" s="48" t="s">
        <v>297</v>
      </c>
      <c r="E365" s="48" t="s">
        <v>44</v>
      </c>
      <c r="F365" s="48"/>
      <c r="G365" s="48" t="s">
        <v>30</v>
      </c>
      <c r="H365" s="51">
        <v>500</v>
      </c>
      <c r="I365" s="49">
        <v>100</v>
      </c>
      <c r="J365" s="48" t="s">
        <v>31</v>
      </c>
      <c r="K365" s="48" t="s">
        <v>32</v>
      </c>
      <c r="L365" s="2"/>
      <c r="M365" s="126">
        <v>140</v>
      </c>
      <c r="P365" s="391" t="s">
        <v>282</v>
      </c>
      <c r="Q365" s="392">
        <v>73750</v>
      </c>
      <c r="S365" s="55">
        <f>SUM(S363:S364)</f>
        <v>73750</v>
      </c>
    </row>
    <row r="366" spans="1:19" ht="15.75" customHeight="1">
      <c r="A366" s="50">
        <v>17</v>
      </c>
      <c r="B366" s="151" t="s">
        <v>2458</v>
      </c>
      <c r="C366" s="48" t="s">
        <v>27</v>
      </c>
      <c r="D366" s="48" t="s">
        <v>2459</v>
      </c>
      <c r="E366" s="48" t="s">
        <v>358</v>
      </c>
      <c r="F366" s="48"/>
      <c r="G366" s="48" t="s">
        <v>30</v>
      </c>
      <c r="H366" s="51">
        <v>500</v>
      </c>
      <c r="I366" s="49">
        <v>100</v>
      </c>
      <c r="J366" s="48" t="s">
        <v>31</v>
      </c>
      <c r="K366" s="48" t="s">
        <v>32</v>
      </c>
      <c r="L366" s="2"/>
      <c r="M366" s="126">
        <v>100</v>
      </c>
      <c r="P366" s="723" t="s">
        <v>586</v>
      </c>
      <c r="Q366" s="719"/>
    </row>
    <row r="367" spans="1:19" ht="15.75" customHeight="1">
      <c r="A367" s="50">
        <v>17</v>
      </c>
      <c r="B367" s="151" t="s">
        <v>2460</v>
      </c>
      <c r="C367" s="48" t="s">
        <v>27</v>
      </c>
      <c r="D367" s="48" t="s">
        <v>1616</v>
      </c>
      <c r="E367" s="48" t="s">
        <v>47</v>
      </c>
      <c r="F367" s="48"/>
      <c r="G367" s="48" t="s">
        <v>30</v>
      </c>
      <c r="H367" s="51">
        <v>8000</v>
      </c>
      <c r="I367" s="49">
        <v>1600</v>
      </c>
      <c r="J367" s="48" t="s">
        <v>31</v>
      </c>
      <c r="K367" s="48" t="s">
        <v>32</v>
      </c>
      <c r="L367" s="2"/>
      <c r="M367" s="126">
        <v>1500</v>
      </c>
      <c r="P367" s="48" t="s">
        <v>33</v>
      </c>
      <c r="Q367" s="51">
        <v>3000</v>
      </c>
      <c r="S367" s="55"/>
    </row>
    <row r="368" spans="1:19" ht="15.75" customHeight="1">
      <c r="A368" s="384">
        <v>17</v>
      </c>
      <c r="B368" s="385" t="s">
        <v>2281</v>
      </c>
      <c r="C368" s="48" t="s">
        <v>27</v>
      </c>
      <c r="D368" s="48" t="s">
        <v>297</v>
      </c>
      <c r="E368" s="48" t="s">
        <v>44</v>
      </c>
      <c r="F368" s="48"/>
      <c r="G368" s="386" t="s">
        <v>608</v>
      </c>
      <c r="H368" s="393">
        <v>70</v>
      </c>
      <c r="I368" s="49">
        <v>350</v>
      </c>
      <c r="J368" s="48" t="s">
        <v>31</v>
      </c>
      <c r="K368" s="48" t="s">
        <v>32</v>
      </c>
      <c r="L368" s="2"/>
      <c r="P368" s="48" t="s">
        <v>37</v>
      </c>
      <c r="Q368" s="48">
        <v>0</v>
      </c>
    </row>
    <row r="369" spans="1:19" ht="15.75" customHeight="1">
      <c r="A369" s="50">
        <v>17</v>
      </c>
      <c r="B369" s="151" t="s">
        <v>2461</v>
      </c>
      <c r="C369" s="48" t="s">
        <v>27</v>
      </c>
      <c r="D369" s="48" t="s">
        <v>100</v>
      </c>
      <c r="E369" s="48" t="s">
        <v>84</v>
      </c>
      <c r="F369" s="48"/>
      <c r="G369" s="48" t="s">
        <v>30</v>
      </c>
      <c r="H369" s="51">
        <v>500</v>
      </c>
      <c r="I369" s="49">
        <v>100</v>
      </c>
      <c r="J369" s="48" t="s">
        <v>31</v>
      </c>
      <c r="K369" s="48" t="s">
        <v>32</v>
      </c>
      <c r="L369" s="2"/>
      <c r="M369" s="126">
        <v>100</v>
      </c>
      <c r="P369" s="391" t="s">
        <v>282</v>
      </c>
      <c r="Q369" s="392">
        <v>3000</v>
      </c>
    </row>
    <row r="370" spans="1:19" ht="15.75" customHeight="1">
      <c r="A370" s="50">
        <v>17</v>
      </c>
      <c r="B370" s="151" t="s">
        <v>2462</v>
      </c>
      <c r="C370" s="48" t="s">
        <v>27</v>
      </c>
      <c r="D370" s="48" t="s">
        <v>607</v>
      </c>
      <c r="E370" s="48" t="s">
        <v>36</v>
      </c>
      <c r="F370" s="48"/>
      <c r="G370" s="48" t="s">
        <v>30</v>
      </c>
      <c r="H370" s="51">
        <v>500</v>
      </c>
      <c r="I370" s="49">
        <v>100</v>
      </c>
      <c r="J370" s="48" t="s">
        <v>31</v>
      </c>
      <c r="K370" s="48" t="s">
        <v>32</v>
      </c>
      <c r="L370" s="2"/>
      <c r="M370" s="126">
        <v>200</v>
      </c>
      <c r="P370" s="723" t="s">
        <v>286</v>
      </c>
      <c r="Q370" s="719"/>
    </row>
    <row r="371" spans="1:19" ht="15.75" customHeight="1">
      <c r="A371" s="50">
        <v>17</v>
      </c>
      <c r="B371" s="151" t="s">
        <v>2463</v>
      </c>
      <c r="C371" s="48" t="s">
        <v>27</v>
      </c>
      <c r="D371" s="48" t="s">
        <v>2464</v>
      </c>
      <c r="E371" s="48" t="s">
        <v>102</v>
      </c>
      <c r="F371" s="48"/>
      <c r="G371" s="48" t="s">
        <v>30</v>
      </c>
      <c r="H371" s="51">
        <v>300</v>
      </c>
      <c r="I371" s="49">
        <v>60</v>
      </c>
      <c r="J371" s="48" t="s">
        <v>31</v>
      </c>
      <c r="K371" s="48" t="s">
        <v>32</v>
      </c>
      <c r="L371" s="2"/>
      <c r="M371" s="126">
        <v>400</v>
      </c>
      <c r="P371" s="48" t="s">
        <v>1346</v>
      </c>
      <c r="Q371" s="48">
        <v>270</v>
      </c>
      <c r="S371" s="55"/>
    </row>
    <row r="372" spans="1:19" ht="15.75" customHeight="1">
      <c r="A372" s="50">
        <v>17</v>
      </c>
      <c r="B372" s="151" t="s">
        <v>2465</v>
      </c>
      <c r="C372" s="48" t="s">
        <v>27</v>
      </c>
      <c r="D372" s="48" t="s">
        <v>2466</v>
      </c>
      <c r="E372" s="48" t="s">
        <v>73</v>
      </c>
      <c r="F372" s="48"/>
      <c r="G372" s="48" t="s">
        <v>30</v>
      </c>
      <c r="H372" s="51">
        <v>600</v>
      </c>
      <c r="I372" s="49">
        <v>120</v>
      </c>
      <c r="J372" s="48" t="s">
        <v>31</v>
      </c>
      <c r="K372" s="48" t="s">
        <v>32</v>
      </c>
      <c r="L372" s="2"/>
      <c r="M372" s="126">
        <v>120</v>
      </c>
      <c r="P372" s="48" t="s">
        <v>2325</v>
      </c>
      <c r="Q372" s="48">
        <v>66</v>
      </c>
    </row>
    <row r="373" spans="1:19" ht="15.75" customHeight="1">
      <c r="A373" s="50">
        <v>17</v>
      </c>
      <c r="B373" s="151" t="s">
        <v>2467</v>
      </c>
      <c r="C373" s="48" t="s">
        <v>27</v>
      </c>
      <c r="D373" s="151" t="s">
        <v>934</v>
      </c>
      <c r="E373" s="48" t="s">
        <v>44</v>
      </c>
      <c r="F373" s="48"/>
      <c r="G373" s="48" t="s">
        <v>30</v>
      </c>
      <c r="H373" s="51">
        <v>19500</v>
      </c>
      <c r="I373" s="49">
        <v>3900</v>
      </c>
      <c r="J373" s="48" t="s">
        <v>31</v>
      </c>
      <c r="K373" s="48" t="s">
        <v>32</v>
      </c>
      <c r="L373" s="2"/>
      <c r="M373" s="126">
        <v>4000</v>
      </c>
      <c r="P373" s="391" t="s">
        <v>282</v>
      </c>
      <c r="Q373" s="391">
        <v>336</v>
      </c>
      <c r="S373" s="55"/>
    </row>
    <row r="374" spans="1:19" ht="15.75" customHeight="1">
      <c r="A374" s="65">
        <v>17</v>
      </c>
      <c r="B374" s="175" t="s">
        <v>2468</v>
      </c>
      <c r="C374" s="58" t="s">
        <v>27</v>
      </c>
      <c r="D374" s="58" t="s">
        <v>418</v>
      </c>
      <c r="E374" s="58" t="s">
        <v>51</v>
      </c>
      <c r="F374" s="58"/>
      <c r="G374" s="58" t="s">
        <v>608</v>
      </c>
      <c r="H374" s="59">
        <v>30</v>
      </c>
      <c r="I374" s="60">
        <v>150</v>
      </c>
      <c r="J374" s="58" t="s">
        <v>31</v>
      </c>
      <c r="K374" s="58" t="s">
        <v>32</v>
      </c>
      <c r="L374" s="2"/>
    </row>
    <row r="375" spans="1:19" ht="15.75" customHeight="1">
      <c r="A375" s="61">
        <v>18</v>
      </c>
      <c r="B375" s="292" t="s">
        <v>2469</v>
      </c>
      <c r="C375" s="62" t="s">
        <v>27</v>
      </c>
      <c r="D375" s="62" t="s">
        <v>400</v>
      </c>
      <c r="E375" s="62" t="s">
        <v>36</v>
      </c>
      <c r="F375" s="62"/>
      <c r="G375" s="62" t="s">
        <v>30</v>
      </c>
      <c r="H375" s="63">
        <v>1000</v>
      </c>
      <c r="I375" s="64">
        <v>200</v>
      </c>
      <c r="J375" s="62" t="s">
        <v>31</v>
      </c>
      <c r="K375" s="62" t="s">
        <v>32</v>
      </c>
      <c r="L375" s="2"/>
      <c r="M375" s="126">
        <v>200</v>
      </c>
    </row>
    <row r="376" spans="1:19" ht="15.75" customHeight="1">
      <c r="A376" s="61">
        <v>18</v>
      </c>
      <c r="B376" s="292" t="s">
        <v>2470</v>
      </c>
      <c r="C376" s="62" t="s">
        <v>27</v>
      </c>
      <c r="D376" s="62" t="s">
        <v>211</v>
      </c>
      <c r="E376" s="62" t="s">
        <v>36</v>
      </c>
      <c r="F376" s="62"/>
      <c r="G376" s="62" t="s">
        <v>30</v>
      </c>
      <c r="H376" s="63">
        <v>1500</v>
      </c>
      <c r="I376" s="64">
        <v>300</v>
      </c>
      <c r="J376" s="62" t="s">
        <v>31</v>
      </c>
      <c r="K376" s="62" t="s">
        <v>32</v>
      </c>
      <c r="L376" s="2"/>
      <c r="M376" s="126">
        <v>800</v>
      </c>
    </row>
    <row r="377" spans="1:19" ht="15.75" customHeight="1">
      <c r="A377" s="61">
        <v>18</v>
      </c>
      <c r="B377" s="292" t="s">
        <v>1198</v>
      </c>
      <c r="C377" s="62" t="s">
        <v>27</v>
      </c>
      <c r="D377" s="62" t="s">
        <v>108</v>
      </c>
      <c r="E377" s="62" t="s">
        <v>36</v>
      </c>
      <c r="F377" s="62"/>
      <c r="G377" s="62" t="s">
        <v>30</v>
      </c>
      <c r="H377" s="63">
        <v>500</v>
      </c>
      <c r="I377" s="64" t="s">
        <v>1586</v>
      </c>
      <c r="J377" s="62" t="s">
        <v>31</v>
      </c>
      <c r="K377" s="62" t="s">
        <v>32</v>
      </c>
      <c r="L377" s="2"/>
      <c r="M377" s="126">
        <v>1200</v>
      </c>
    </row>
    <row r="378" spans="1:19" ht="15.75" customHeight="1">
      <c r="A378" s="61">
        <v>18</v>
      </c>
      <c r="B378" s="292" t="s">
        <v>1198</v>
      </c>
      <c r="C378" s="62" t="s">
        <v>27</v>
      </c>
      <c r="D378" s="62" t="s">
        <v>108</v>
      </c>
      <c r="E378" s="62" t="s">
        <v>36</v>
      </c>
      <c r="F378" s="62"/>
      <c r="G378" s="62" t="s">
        <v>30</v>
      </c>
      <c r="H378" s="63">
        <v>9500</v>
      </c>
      <c r="I378" s="64">
        <v>1900</v>
      </c>
      <c r="J378" s="62"/>
      <c r="K378" s="62"/>
      <c r="L378" s="2"/>
    </row>
    <row r="379" spans="1:19" ht="15.75" customHeight="1">
      <c r="A379" s="61">
        <v>18</v>
      </c>
      <c r="B379" s="292" t="s">
        <v>2471</v>
      </c>
      <c r="C379" s="292" t="s">
        <v>39</v>
      </c>
      <c r="D379" s="292" t="s">
        <v>108</v>
      </c>
      <c r="E379" s="292" t="s">
        <v>36</v>
      </c>
      <c r="F379" s="292"/>
      <c r="G379" s="62" t="s">
        <v>30</v>
      </c>
      <c r="H379" s="63">
        <v>500</v>
      </c>
      <c r="I379" s="64" t="s">
        <v>1586</v>
      </c>
      <c r="J379" s="62" t="s">
        <v>31</v>
      </c>
      <c r="K379" s="62" t="s">
        <v>32</v>
      </c>
      <c r="L379" s="2"/>
      <c r="M379" s="126">
        <v>250</v>
      </c>
    </row>
    <row r="380" spans="1:19" ht="15.75" customHeight="1">
      <c r="A380" s="61">
        <v>18</v>
      </c>
      <c r="B380" s="292" t="s">
        <v>2471</v>
      </c>
      <c r="C380" s="292" t="s">
        <v>39</v>
      </c>
      <c r="D380" s="292" t="s">
        <v>108</v>
      </c>
      <c r="E380" s="292" t="s">
        <v>36</v>
      </c>
      <c r="F380" s="292"/>
      <c r="G380" s="62" t="s">
        <v>30</v>
      </c>
      <c r="H380" s="63">
        <v>1000</v>
      </c>
      <c r="I380" s="64">
        <v>200</v>
      </c>
      <c r="J380" s="62"/>
      <c r="K380" s="62"/>
      <c r="L380" s="2"/>
    </row>
    <row r="381" spans="1:19" ht="15.75" customHeight="1">
      <c r="A381" s="61">
        <v>18</v>
      </c>
      <c r="B381" s="292" t="s">
        <v>1609</v>
      </c>
      <c r="C381" s="62" t="s">
        <v>27</v>
      </c>
      <c r="D381" s="62" t="s">
        <v>407</v>
      </c>
      <c r="E381" s="62" t="s">
        <v>44</v>
      </c>
      <c r="F381" s="62"/>
      <c r="G381" s="62" t="s">
        <v>30</v>
      </c>
      <c r="H381" s="63">
        <v>200</v>
      </c>
      <c r="I381" s="64">
        <v>40</v>
      </c>
      <c r="J381" s="62" t="s">
        <v>31</v>
      </c>
      <c r="K381" s="62" t="s">
        <v>32</v>
      </c>
      <c r="L381" s="2"/>
      <c r="M381" s="126">
        <v>50</v>
      </c>
    </row>
    <row r="382" spans="1:19" ht="15.75" customHeight="1">
      <c r="A382" s="61">
        <v>18</v>
      </c>
      <c r="B382" s="292" t="s">
        <v>758</v>
      </c>
      <c r="C382" s="62" t="s">
        <v>27</v>
      </c>
      <c r="D382" s="62" t="s">
        <v>239</v>
      </c>
      <c r="E382" s="62" t="s">
        <v>44</v>
      </c>
      <c r="F382" s="62"/>
      <c r="G382" s="62" t="s">
        <v>30</v>
      </c>
      <c r="H382" s="63">
        <v>5000</v>
      </c>
      <c r="I382" s="64">
        <v>1000</v>
      </c>
      <c r="J382" s="62" t="s">
        <v>31</v>
      </c>
      <c r="K382" s="62" t="s">
        <v>32</v>
      </c>
      <c r="L382" s="2"/>
      <c r="M382" s="126">
        <v>1000</v>
      </c>
    </row>
    <row r="383" spans="1:19" ht="15.75" customHeight="1">
      <c r="A383" s="61">
        <v>18</v>
      </c>
      <c r="B383" s="292" t="s">
        <v>2472</v>
      </c>
      <c r="C383" s="62" t="s">
        <v>27</v>
      </c>
      <c r="D383" s="62" t="s">
        <v>100</v>
      </c>
      <c r="E383" s="62" t="s">
        <v>56</v>
      </c>
      <c r="F383" s="62"/>
      <c r="G383" s="62" t="s">
        <v>30</v>
      </c>
      <c r="H383" s="63">
        <v>1000</v>
      </c>
      <c r="I383" s="64">
        <v>200</v>
      </c>
      <c r="J383" s="62" t="s">
        <v>31</v>
      </c>
      <c r="K383" s="62" t="s">
        <v>32</v>
      </c>
      <c r="L383" s="2"/>
      <c r="M383" s="126">
        <v>200</v>
      </c>
    </row>
    <row r="384" spans="1:19" ht="15.75" customHeight="1">
      <c r="A384" s="61">
        <v>18</v>
      </c>
      <c r="B384" s="292" t="s">
        <v>2473</v>
      </c>
      <c r="C384" s="62" t="s">
        <v>27</v>
      </c>
      <c r="D384" s="62" t="s">
        <v>70</v>
      </c>
      <c r="E384" s="62" t="s">
        <v>36</v>
      </c>
      <c r="F384" s="62"/>
      <c r="G384" s="62" t="s">
        <v>30</v>
      </c>
      <c r="H384" s="63">
        <v>700</v>
      </c>
      <c r="I384" s="64">
        <v>140</v>
      </c>
      <c r="J384" s="62" t="s">
        <v>31</v>
      </c>
      <c r="K384" s="62" t="s">
        <v>32</v>
      </c>
      <c r="L384" s="2"/>
      <c r="M384" s="126">
        <v>150</v>
      </c>
    </row>
    <row r="385" spans="1:13" ht="15.75" customHeight="1">
      <c r="A385" s="61">
        <v>18</v>
      </c>
      <c r="B385" s="292" t="s">
        <v>2474</v>
      </c>
      <c r="C385" s="62" t="s">
        <v>27</v>
      </c>
      <c r="D385" s="62" t="s">
        <v>1774</v>
      </c>
      <c r="E385" s="62" t="s">
        <v>102</v>
      </c>
      <c r="F385" s="62"/>
      <c r="G385" s="62" t="s">
        <v>30</v>
      </c>
      <c r="H385" s="63">
        <v>1000</v>
      </c>
      <c r="I385" s="64">
        <v>200</v>
      </c>
      <c r="J385" s="62" t="s">
        <v>31</v>
      </c>
      <c r="K385" s="62" t="s">
        <v>32</v>
      </c>
      <c r="L385" s="2"/>
      <c r="M385" s="126">
        <v>900</v>
      </c>
    </row>
    <row r="386" spans="1:13" ht="15.75" customHeight="1">
      <c r="A386" s="61">
        <v>18</v>
      </c>
      <c r="B386" s="292" t="s">
        <v>2475</v>
      </c>
      <c r="C386" s="62" t="s">
        <v>39</v>
      </c>
      <c r="D386" s="292" t="s">
        <v>934</v>
      </c>
      <c r="E386" s="62" t="s">
        <v>44</v>
      </c>
      <c r="F386" s="62"/>
      <c r="G386" s="62" t="s">
        <v>30</v>
      </c>
      <c r="H386" s="63">
        <v>13200</v>
      </c>
      <c r="I386" s="64">
        <v>2640</v>
      </c>
      <c r="J386" s="62" t="s">
        <v>31</v>
      </c>
      <c r="K386" s="62" t="s">
        <v>32</v>
      </c>
      <c r="L386" s="2"/>
      <c r="M386" s="126">
        <v>3000</v>
      </c>
    </row>
    <row r="387" spans="1:13" ht="15.75" customHeight="1">
      <c r="A387" s="61">
        <v>18</v>
      </c>
      <c r="B387" s="292" t="s">
        <v>2476</v>
      </c>
      <c r="C387" s="62" t="s">
        <v>39</v>
      </c>
      <c r="D387" s="62" t="s">
        <v>1423</v>
      </c>
      <c r="E387" s="62" t="s">
        <v>310</v>
      </c>
      <c r="F387" s="62"/>
      <c r="G387" s="62" t="s">
        <v>30</v>
      </c>
      <c r="H387" s="63">
        <v>500</v>
      </c>
      <c r="I387" s="64">
        <v>100</v>
      </c>
      <c r="J387" s="62" t="s">
        <v>31</v>
      </c>
      <c r="K387" s="62" t="s">
        <v>32</v>
      </c>
      <c r="L387" s="2"/>
      <c r="M387" s="126">
        <v>100</v>
      </c>
    </row>
    <row r="388" spans="1:13" ht="15.75" customHeight="1">
      <c r="A388" s="61">
        <v>18</v>
      </c>
      <c r="B388" s="292" t="s">
        <v>2476</v>
      </c>
      <c r="C388" s="62" t="s">
        <v>39</v>
      </c>
      <c r="D388" s="62" t="s">
        <v>1423</v>
      </c>
      <c r="E388" s="62" t="s">
        <v>310</v>
      </c>
      <c r="F388" s="62"/>
      <c r="G388" s="62" t="s">
        <v>608</v>
      </c>
      <c r="H388" s="63">
        <v>30</v>
      </c>
      <c r="I388" s="64">
        <v>150</v>
      </c>
      <c r="J388" s="62" t="s">
        <v>31</v>
      </c>
      <c r="K388" s="62" t="s">
        <v>32</v>
      </c>
      <c r="L388" s="2"/>
    </row>
    <row r="389" spans="1:13" ht="15.75" customHeight="1">
      <c r="A389" s="61">
        <v>18</v>
      </c>
      <c r="B389" s="292" t="s">
        <v>2477</v>
      </c>
      <c r="C389" s="62" t="s">
        <v>39</v>
      </c>
      <c r="D389" s="62" t="s">
        <v>393</v>
      </c>
      <c r="E389" s="62" t="s">
        <v>245</v>
      </c>
      <c r="F389" s="62"/>
      <c r="G389" s="62" t="s">
        <v>30</v>
      </c>
      <c r="H389" s="63">
        <v>5000</v>
      </c>
      <c r="I389" s="64">
        <v>1000</v>
      </c>
      <c r="J389" s="62" t="s">
        <v>31</v>
      </c>
      <c r="K389" s="62" t="s">
        <v>32</v>
      </c>
      <c r="L389" s="2"/>
      <c r="M389" s="126">
        <v>600</v>
      </c>
    </row>
    <row r="390" spans="1:13" ht="15.75" customHeight="1">
      <c r="A390" s="61">
        <v>18</v>
      </c>
      <c r="B390" s="292" t="s">
        <v>430</v>
      </c>
      <c r="C390" s="62" t="s">
        <v>27</v>
      </c>
      <c r="D390" s="62" t="s">
        <v>100</v>
      </c>
      <c r="E390" s="62" t="s">
        <v>29</v>
      </c>
      <c r="F390" s="62"/>
      <c r="G390" s="62" t="s">
        <v>30</v>
      </c>
      <c r="H390" s="63">
        <v>11000</v>
      </c>
      <c r="I390" s="64">
        <v>2200</v>
      </c>
      <c r="J390" s="62" t="s">
        <v>31</v>
      </c>
      <c r="K390" s="62" t="s">
        <v>32</v>
      </c>
      <c r="L390" s="2"/>
      <c r="M390" s="126">
        <v>3000</v>
      </c>
    </row>
    <row r="391" spans="1:13" ht="15.75" customHeight="1">
      <c r="A391" s="61">
        <v>18</v>
      </c>
      <c r="B391" s="292" t="s">
        <v>2478</v>
      </c>
      <c r="C391" s="62" t="s">
        <v>27</v>
      </c>
      <c r="D391" s="62" t="s">
        <v>193</v>
      </c>
      <c r="E391" s="62" t="s">
        <v>36</v>
      </c>
      <c r="F391" s="62"/>
      <c r="G391" s="62" t="s">
        <v>30</v>
      </c>
      <c r="H391" s="63">
        <v>500</v>
      </c>
      <c r="I391" s="64" t="s">
        <v>1586</v>
      </c>
      <c r="J391" s="62" t="s">
        <v>31</v>
      </c>
      <c r="K391" s="62" t="s">
        <v>32</v>
      </c>
      <c r="L391" s="2"/>
      <c r="M391" s="126">
        <v>250</v>
      </c>
    </row>
    <row r="392" spans="1:13" ht="15.75" customHeight="1">
      <c r="A392" s="61">
        <v>18</v>
      </c>
      <c r="B392" s="292" t="s">
        <v>2478</v>
      </c>
      <c r="C392" s="62" t="s">
        <v>27</v>
      </c>
      <c r="D392" s="62" t="s">
        <v>193</v>
      </c>
      <c r="E392" s="62" t="s">
        <v>36</v>
      </c>
      <c r="F392" s="62"/>
      <c r="G392" s="62" t="s">
        <v>30</v>
      </c>
      <c r="H392" s="63">
        <v>1000</v>
      </c>
      <c r="I392" s="64">
        <v>200</v>
      </c>
      <c r="J392" s="62" t="s">
        <v>31</v>
      </c>
      <c r="K392" s="62" t="s">
        <v>32</v>
      </c>
      <c r="L392" s="2"/>
    </row>
    <row r="393" spans="1:13" ht="15.75" customHeight="1">
      <c r="A393" s="61">
        <v>18</v>
      </c>
      <c r="B393" s="292" t="s">
        <v>2479</v>
      </c>
      <c r="C393" s="62" t="s">
        <v>27</v>
      </c>
      <c r="D393" s="62" t="s">
        <v>153</v>
      </c>
      <c r="E393" s="62" t="s">
        <v>36</v>
      </c>
      <c r="F393" s="62"/>
      <c r="G393" s="62" t="s">
        <v>30</v>
      </c>
      <c r="H393" s="63">
        <v>800</v>
      </c>
      <c r="I393" s="64">
        <v>160</v>
      </c>
      <c r="J393" s="62" t="s">
        <v>31</v>
      </c>
      <c r="K393" s="62" t="s">
        <v>32</v>
      </c>
      <c r="L393" s="2"/>
    </row>
    <row r="394" spans="1:13" ht="15.75" customHeight="1">
      <c r="A394" s="61">
        <v>18</v>
      </c>
      <c r="B394" s="292" t="s">
        <v>2480</v>
      </c>
      <c r="C394" s="62" t="s">
        <v>27</v>
      </c>
      <c r="D394" s="62" t="s">
        <v>1373</v>
      </c>
      <c r="E394" s="62" t="s">
        <v>56</v>
      </c>
      <c r="F394" s="62"/>
      <c r="G394" s="62" t="s">
        <v>30</v>
      </c>
      <c r="H394" s="63">
        <v>1000</v>
      </c>
      <c r="I394" s="64">
        <v>200</v>
      </c>
      <c r="J394" s="62" t="s">
        <v>31</v>
      </c>
      <c r="K394" s="62" t="s">
        <v>32</v>
      </c>
      <c r="L394" s="2"/>
      <c r="M394" s="126">
        <v>200</v>
      </c>
    </row>
    <row r="395" spans="1:13" ht="15.75" customHeight="1">
      <c r="A395" s="61">
        <v>18</v>
      </c>
      <c r="B395" s="401" t="s">
        <v>2481</v>
      </c>
      <c r="C395" s="401" t="s">
        <v>27</v>
      </c>
      <c r="D395" s="401" t="s">
        <v>98</v>
      </c>
      <c r="E395" s="401" t="s">
        <v>36</v>
      </c>
      <c r="F395" s="401"/>
      <c r="G395" s="78" t="s">
        <v>30</v>
      </c>
      <c r="H395" s="400">
        <v>500</v>
      </c>
      <c r="I395" s="402">
        <v>100</v>
      </c>
      <c r="J395" s="62" t="s">
        <v>31</v>
      </c>
      <c r="K395" s="62" t="s">
        <v>32</v>
      </c>
      <c r="L395" s="2"/>
      <c r="M395" s="126">
        <v>100</v>
      </c>
    </row>
    <row r="396" spans="1:13" ht="15.75" customHeight="1">
      <c r="A396" s="61">
        <v>18</v>
      </c>
      <c r="B396" s="401" t="s">
        <v>2481</v>
      </c>
      <c r="C396" s="401" t="s">
        <v>27</v>
      </c>
      <c r="D396" s="401" t="s">
        <v>98</v>
      </c>
      <c r="E396" s="401" t="s">
        <v>36</v>
      </c>
      <c r="F396" s="401"/>
      <c r="G396" s="78" t="s">
        <v>115</v>
      </c>
      <c r="H396" s="400">
        <v>50</v>
      </c>
      <c r="I396" s="402">
        <v>50</v>
      </c>
      <c r="J396" s="62" t="s">
        <v>31</v>
      </c>
      <c r="K396" s="62" t="s">
        <v>32</v>
      </c>
      <c r="L396" s="2"/>
    </row>
    <row r="397" spans="1:13" ht="15.75" customHeight="1">
      <c r="A397" s="61">
        <v>18</v>
      </c>
      <c r="B397" s="292" t="s">
        <v>2482</v>
      </c>
      <c r="C397" s="62" t="s">
        <v>27</v>
      </c>
      <c r="D397" s="62" t="s">
        <v>2483</v>
      </c>
      <c r="E397" s="62" t="s">
        <v>73</v>
      </c>
      <c r="F397" s="62"/>
      <c r="G397" s="62" t="s">
        <v>30</v>
      </c>
      <c r="H397" s="63">
        <v>100</v>
      </c>
      <c r="I397" s="64">
        <v>20</v>
      </c>
      <c r="J397" s="62" t="s">
        <v>31</v>
      </c>
      <c r="K397" s="62" t="s">
        <v>32</v>
      </c>
      <c r="L397" s="2"/>
      <c r="M397" s="126">
        <v>50</v>
      </c>
    </row>
    <row r="398" spans="1:13" ht="15.75" customHeight="1">
      <c r="A398" s="61">
        <v>18</v>
      </c>
      <c r="B398" s="292" t="s">
        <v>2484</v>
      </c>
      <c r="C398" s="62" t="s">
        <v>27</v>
      </c>
      <c r="D398" s="62" t="s">
        <v>1363</v>
      </c>
      <c r="E398" s="62" t="s">
        <v>54</v>
      </c>
      <c r="F398" s="62"/>
      <c r="G398" s="62" t="s">
        <v>30</v>
      </c>
      <c r="H398" s="63">
        <v>200</v>
      </c>
      <c r="I398" s="64">
        <v>40</v>
      </c>
      <c r="J398" s="62" t="s">
        <v>31</v>
      </c>
      <c r="K398" s="62" t="s">
        <v>32</v>
      </c>
      <c r="L398" s="2"/>
      <c r="M398" s="126">
        <v>50</v>
      </c>
    </row>
    <row r="399" spans="1:13" ht="15.75" customHeight="1">
      <c r="A399" s="61">
        <v>18</v>
      </c>
      <c r="B399" s="292" t="s">
        <v>2485</v>
      </c>
      <c r="C399" s="62" t="s">
        <v>27</v>
      </c>
      <c r="D399" s="62" t="s">
        <v>886</v>
      </c>
      <c r="E399" s="62" t="s">
        <v>86</v>
      </c>
      <c r="F399" s="62"/>
      <c r="G399" s="62" t="s">
        <v>30</v>
      </c>
      <c r="H399" s="63">
        <v>500</v>
      </c>
      <c r="I399" s="64">
        <v>100</v>
      </c>
      <c r="J399" s="62" t="s">
        <v>31</v>
      </c>
      <c r="K399" s="62" t="s">
        <v>32</v>
      </c>
      <c r="L399" s="2"/>
      <c r="M399" s="126">
        <v>100</v>
      </c>
    </row>
    <row r="400" spans="1:13" ht="15.75" customHeight="1">
      <c r="A400" s="61">
        <v>18</v>
      </c>
      <c r="B400" s="292" t="s">
        <v>2486</v>
      </c>
      <c r="C400" s="62" t="s">
        <v>27</v>
      </c>
      <c r="D400" s="62" t="s">
        <v>191</v>
      </c>
      <c r="E400" s="62" t="s">
        <v>47</v>
      </c>
      <c r="F400" s="62"/>
      <c r="G400" s="62" t="s">
        <v>30</v>
      </c>
      <c r="H400" s="63">
        <v>13000</v>
      </c>
      <c r="I400" s="64">
        <v>3600</v>
      </c>
      <c r="J400" s="62" t="s">
        <v>31</v>
      </c>
      <c r="K400" s="62" t="s">
        <v>32</v>
      </c>
      <c r="L400" s="2"/>
      <c r="M400" s="126">
        <v>3500</v>
      </c>
    </row>
    <row r="401" spans="1:13" ht="15.75" customHeight="1">
      <c r="A401" s="61">
        <v>18</v>
      </c>
      <c r="B401" s="292" t="s">
        <v>2487</v>
      </c>
      <c r="C401" s="62" t="s">
        <v>27</v>
      </c>
      <c r="D401" s="62" t="s">
        <v>266</v>
      </c>
      <c r="E401" s="62" t="s">
        <v>79</v>
      </c>
      <c r="F401" s="62"/>
      <c r="G401" s="62" t="s">
        <v>30</v>
      </c>
      <c r="H401" s="63">
        <v>300</v>
      </c>
      <c r="I401" s="64">
        <v>60</v>
      </c>
      <c r="J401" s="62" t="s">
        <v>31</v>
      </c>
      <c r="K401" s="62" t="s">
        <v>32</v>
      </c>
      <c r="L401" s="2"/>
      <c r="M401" s="126">
        <v>60</v>
      </c>
    </row>
    <row r="402" spans="1:13" ht="15.75" customHeight="1">
      <c r="A402" s="61">
        <v>18</v>
      </c>
      <c r="B402" s="292" t="s">
        <v>2488</v>
      </c>
      <c r="C402" s="62" t="s">
        <v>27</v>
      </c>
      <c r="D402" s="62" t="s">
        <v>1396</v>
      </c>
      <c r="E402" s="62" t="s">
        <v>245</v>
      </c>
      <c r="F402" s="62"/>
      <c r="G402" s="62" t="s">
        <v>30</v>
      </c>
      <c r="H402" s="63">
        <v>200</v>
      </c>
      <c r="I402" s="64">
        <v>40</v>
      </c>
      <c r="J402" s="62" t="s">
        <v>31</v>
      </c>
      <c r="K402" s="62" t="s">
        <v>32</v>
      </c>
      <c r="L402" s="2"/>
      <c r="M402" s="126">
        <v>40</v>
      </c>
    </row>
    <row r="403" spans="1:13" ht="15.75" customHeight="1">
      <c r="A403" s="65">
        <v>18</v>
      </c>
      <c r="B403" s="175" t="s">
        <v>2489</v>
      </c>
      <c r="C403" s="58" t="s">
        <v>27</v>
      </c>
      <c r="D403" s="58" t="s">
        <v>193</v>
      </c>
      <c r="E403" s="58" t="s">
        <v>36</v>
      </c>
      <c r="F403" s="58"/>
      <c r="G403" s="58" t="s">
        <v>30</v>
      </c>
      <c r="H403" s="59">
        <v>500</v>
      </c>
      <c r="I403" s="60" t="s">
        <v>1586</v>
      </c>
      <c r="J403" s="58" t="s">
        <v>31</v>
      </c>
      <c r="K403" s="58" t="s">
        <v>32</v>
      </c>
      <c r="L403" s="2"/>
      <c r="M403" s="126">
        <v>200</v>
      </c>
    </row>
    <row r="404" spans="1:13" ht="15.75" customHeight="1">
      <c r="A404" s="61">
        <v>19</v>
      </c>
      <c r="B404" s="292" t="s">
        <v>2490</v>
      </c>
      <c r="C404" s="62" t="s">
        <v>27</v>
      </c>
      <c r="D404" s="62" t="s">
        <v>1901</v>
      </c>
      <c r="E404" s="62" t="s">
        <v>79</v>
      </c>
      <c r="F404" s="62"/>
      <c r="G404" s="62" t="s">
        <v>30</v>
      </c>
      <c r="H404" s="63">
        <v>1000</v>
      </c>
      <c r="I404" s="64">
        <v>200</v>
      </c>
      <c r="J404" s="62" t="s">
        <v>31</v>
      </c>
      <c r="K404" s="62" t="s">
        <v>32</v>
      </c>
      <c r="L404" s="2"/>
      <c r="M404" s="126">
        <v>300</v>
      </c>
    </row>
    <row r="405" spans="1:13" ht="15.75" customHeight="1">
      <c r="A405" s="61">
        <v>19</v>
      </c>
      <c r="B405" s="292" t="s">
        <v>2491</v>
      </c>
      <c r="C405" s="62" t="s">
        <v>39</v>
      </c>
      <c r="D405" s="62" t="s">
        <v>657</v>
      </c>
      <c r="E405" s="62" t="s">
        <v>245</v>
      </c>
      <c r="F405" s="62"/>
      <c r="G405" s="62" t="s">
        <v>30</v>
      </c>
      <c r="H405" s="63">
        <v>100</v>
      </c>
      <c r="I405" s="64">
        <v>20</v>
      </c>
      <c r="J405" s="62" t="s">
        <v>31</v>
      </c>
      <c r="K405" s="62" t="s">
        <v>32</v>
      </c>
      <c r="L405" s="2"/>
      <c r="M405" s="126">
        <v>20</v>
      </c>
    </row>
    <row r="406" spans="1:13" ht="15.75" customHeight="1">
      <c r="A406" s="50">
        <v>19</v>
      </c>
      <c r="B406" s="151" t="s">
        <v>2492</v>
      </c>
      <c r="C406" s="48" t="s">
        <v>27</v>
      </c>
      <c r="D406" s="48" t="s">
        <v>357</v>
      </c>
      <c r="E406" s="48" t="s">
        <v>73</v>
      </c>
      <c r="F406" s="48"/>
      <c r="G406" s="48" t="s">
        <v>30</v>
      </c>
      <c r="H406" s="51">
        <v>100</v>
      </c>
      <c r="I406" s="49">
        <v>20</v>
      </c>
      <c r="J406" s="48" t="s">
        <v>31</v>
      </c>
      <c r="K406" s="48" t="s">
        <v>32</v>
      </c>
      <c r="L406" s="2"/>
      <c r="M406" s="126">
        <v>20</v>
      </c>
    </row>
    <row r="407" spans="1:13" ht="15.75" customHeight="1">
      <c r="A407" s="50">
        <v>19</v>
      </c>
      <c r="B407" s="151" t="s">
        <v>2330</v>
      </c>
      <c r="C407" s="48" t="s">
        <v>27</v>
      </c>
      <c r="D407" s="48" t="s">
        <v>2493</v>
      </c>
      <c r="E407" s="48" t="s">
        <v>84</v>
      </c>
      <c r="F407" s="48"/>
      <c r="G407" s="48" t="s">
        <v>30</v>
      </c>
      <c r="H407" s="51">
        <v>1000</v>
      </c>
      <c r="I407" s="49">
        <v>200</v>
      </c>
      <c r="J407" s="48" t="s">
        <v>31</v>
      </c>
      <c r="K407" s="48" t="s">
        <v>32</v>
      </c>
      <c r="L407" s="2"/>
      <c r="M407" s="126">
        <v>300</v>
      </c>
    </row>
    <row r="408" spans="1:13" ht="15.75" customHeight="1">
      <c r="A408" s="50">
        <v>19</v>
      </c>
      <c r="B408" s="151" t="s">
        <v>2494</v>
      </c>
      <c r="C408" s="48" t="s">
        <v>27</v>
      </c>
      <c r="D408" s="48" t="s">
        <v>100</v>
      </c>
      <c r="E408" s="48" t="s">
        <v>86</v>
      </c>
      <c r="F408" s="48"/>
      <c r="G408" s="48" t="s">
        <v>30</v>
      </c>
      <c r="H408" s="51">
        <v>1000</v>
      </c>
      <c r="I408" s="49">
        <v>200</v>
      </c>
      <c r="J408" s="48" t="s">
        <v>31</v>
      </c>
      <c r="K408" s="48" t="s">
        <v>32</v>
      </c>
      <c r="L408" s="2"/>
      <c r="M408" s="126">
        <v>200</v>
      </c>
    </row>
    <row r="409" spans="1:13" ht="15.75" customHeight="1">
      <c r="A409" s="50">
        <v>19</v>
      </c>
      <c r="B409" s="151" t="s">
        <v>1721</v>
      </c>
      <c r="C409" s="48" t="s">
        <v>27</v>
      </c>
      <c r="D409" s="48" t="s">
        <v>2495</v>
      </c>
      <c r="E409" s="48" t="s">
        <v>36</v>
      </c>
      <c r="F409" s="48"/>
      <c r="G409" s="48" t="s">
        <v>30</v>
      </c>
      <c r="H409" s="51">
        <v>1000</v>
      </c>
      <c r="I409" s="49">
        <v>200</v>
      </c>
      <c r="J409" s="48" t="s">
        <v>31</v>
      </c>
      <c r="K409" s="48" t="s">
        <v>32</v>
      </c>
      <c r="L409" s="2"/>
      <c r="M409" s="126">
        <v>200</v>
      </c>
    </row>
    <row r="410" spans="1:13" ht="15.75" customHeight="1">
      <c r="A410" s="50">
        <v>19</v>
      </c>
      <c r="B410" s="151" t="s">
        <v>2496</v>
      </c>
      <c r="C410" s="48" t="s">
        <v>27</v>
      </c>
      <c r="D410" s="48" t="s">
        <v>96</v>
      </c>
      <c r="E410" s="48" t="s">
        <v>44</v>
      </c>
      <c r="F410" s="48"/>
      <c r="G410" s="48" t="s">
        <v>30</v>
      </c>
      <c r="H410" s="51">
        <v>600</v>
      </c>
      <c r="I410" s="49">
        <v>120</v>
      </c>
      <c r="J410" s="48" t="s">
        <v>31</v>
      </c>
      <c r="K410" s="48" t="s">
        <v>32</v>
      </c>
      <c r="L410" s="2"/>
      <c r="M410" s="126">
        <v>150</v>
      </c>
    </row>
    <row r="411" spans="1:13" ht="15.75" customHeight="1">
      <c r="A411" s="50">
        <v>19</v>
      </c>
      <c r="B411" s="151" t="s">
        <v>1880</v>
      </c>
      <c r="C411" s="48" t="s">
        <v>27</v>
      </c>
      <c r="D411" s="151" t="s">
        <v>934</v>
      </c>
      <c r="E411" s="48" t="s">
        <v>44</v>
      </c>
      <c r="F411" s="48"/>
      <c r="G411" s="48" t="s">
        <v>579</v>
      </c>
      <c r="H411" s="51">
        <v>20</v>
      </c>
      <c r="I411" s="49">
        <v>20</v>
      </c>
      <c r="J411" s="48" t="s">
        <v>31</v>
      </c>
      <c r="K411" s="48" t="s">
        <v>32</v>
      </c>
      <c r="L411" s="2"/>
      <c r="M411" s="126">
        <v>15</v>
      </c>
    </row>
    <row r="412" spans="1:13" ht="15.75" customHeight="1">
      <c r="A412" s="50">
        <v>19</v>
      </c>
      <c r="B412" s="48" t="s">
        <v>2497</v>
      </c>
      <c r="C412" s="48" t="s">
        <v>27</v>
      </c>
      <c r="D412" s="48" t="s">
        <v>1813</v>
      </c>
      <c r="E412" s="48" t="s">
        <v>145</v>
      </c>
      <c r="F412" s="48"/>
      <c r="G412" s="48" t="s">
        <v>30</v>
      </c>
      <c r="H412" s="51">
        <v>400</v>
      </c>
      <c r="I412" s="49">
        <v>80</v>
      </c>
      <c r="J412" s="48" t="s">
        <v>31</v>
      </c>
      <c r="K412" s="48" t="s">
        <v>32</v>
      </c>
      <c r="L412" s="2"/>
      <c r="M412" s="126">
        <v>200</v>
      </c>
    </row>
    <row r="413" spans="1:13" ht="15.75" customHeight="1">
      <c r="A413" s="50">
        <v>19</v>
      </c>
      <c r="B413" s="48" t="s">
        <v>2498</v>
      </c>
      <c r="C413" s="48" t="s">
        <v>27</v>
      </c>
      <c r="D413" s="48" t="s">
        <v>43</v>
      </c>
      <c r="E413" s="48" t="s">
        <v>44</v>
      </c>
      <c r="F413" s="48"/>
      <c r="G413" s="48" t="s">
        <v>30</v>
      </c>
      <c r="H413" s="51">
        <v>1000</v>
      </c>
      <c r="I413" s="49">
        <v>200</v>
      </c>
      <c r="J413" s="48" t="s">
        <v>31</v>
      </c>
      <c r="K413" s="48" t="s">
        <v>32</v>
      </c>
      <c r="L413" s="2"/>
      <c r="M413" s="126">
        <v>300</v>
      </c>
    </row>
    <row r="414" spans="1:13" ht="15.75" customHeight="1">
      <c r="A414" s="50">
        <v>19</v>
      </c>
      <c r="B414" s="48" t="s">
        <v>2499</v>
      </c>
      <c r="C414" s="48" t="s">
        <v>27</v>
      </c>
      <c r="D414" s="48" t="s">
        <v>1095</v>
      </c>
      <c r="E414" s="48" t="s">
        <v>89</v>
      </c>
      <c r="F414" s="48"/>
      <c r="G414" s="48" t="s">
        <v>30</v>
      </c>
      <c r="H414" s="51">
        <v>1000</v>
      </c>
      <c r="I414" s="49">
        <v>200</v>
      </c>
      <c r="J414" s="48" t="s">
        <v>31</v>
      </c>
      <c r="K414" s="48" t="s">
        <v>32</v>
      </c>
      <c r="L414" s="2"/>
      <c r="M414" s="126">
        <v>200</v>
      </c>
    </row>
    <row r="415" spans="1:13" ht="16.5" customHeight="1">
      <c r="A415" s="50">
        <v>19</v>
      </c>
      <c r="B415" s="379" t="s">
        <v>2500</v>
      </c>
      <c r="C415" s="379" t="s">
        <v>39</v>
      </c>
      <c r="D415" s="379" t="s">
        <v>326</v>
      </c>
      <c r="E415" s="379" t="s">
        <v>41</v>
      </c>
      <c r="F415" s="379"/>
      <c r="G415" s="379" t="s">
        <v>579</v>
      </c>
      <c r="H415" s="380">
        <v>1100</v>
      </c>
      <c r="I415" s="387">
        <v>1100</v>
      </c>
      <c r="J415" s="48" t="s">
        <v>31</v>
      </c>
      <c r="K415" s="48" t="s">
        <v>32</v>
      </c>
      <c r="L415" s="2"/>
    </row>
    <row r="416" spans="1:13" ht="16.5" customHeight="1">
      <c r="A416" s="50">
        <v>19</v>
      </c>
      <c r="B416" s="48" t="s">
        <v>2501</v>
      </c>
      <c r="C416" s="48" t="s">
        <v>27</v>
      </c>
      <c r="D416" s="48" t="s">
        <v>2502</v>
      </c>
      <c r="E416" s="48" t="s">
        <v>86</v>
      </c>
      <c r="F416" s="48"/>
      <c r="G416" s="48" t="s">
        <v>30</v>
      </c>
      <c r="H416" s="51">
        <v>500</v>
      </c>
      <c r="I416" s="49">
        <v>100</v>
      </c>
      <c r="J416" s="48" t="s">
        <v>31</v>
      </c>
      <c r="K416" s="48" t="s">
        <v>32</v>
      </c>
      <c r="L416" s="2"/>
      <c r="M416" s="126">
        <v>150</v>
      </c>
    </row>
    <row r="417" spans="1:20" ht="16.5" customHeight="1">
      <c r="A417" s="50">
        <v>19</v>
      </c>
      <c r="B417" s="151" t="s">
        <v>2503</v>
      </c>
      <c r="C417" s="48" t="s">
        <v>27</v>
      </c>
      <c r="D417" s="48" t="s">
        <v>2504</v>
      </c>
      <c r="E417" s="48" t="s">
        <v>47</v>
      </c>
      <c r="F417" s="48"/>
      <c r="G417" s="48" t="s">
        <v>30</v>
      </c>
      <c r="H417" s="51">
        <v>5000</v>
      </c>
      <c r="I417" s="49">
        <v>1000</v>
      </c>
      <c r="J417" s="48" t="s">
        <v>31</v>
      </c>
      <c r="K417" s="48" t="s">
        <v>32</v>
      </c>
      <c r="L417" s="2"/>
      <c r="M417" s="126">
        <v>400</v>
      </c>
    </row>
    <row r="418" spans="1:20" ht="16.5" customHeight="1">
      <c r="A418" s="50">
        <v>19</v>
      </c>
      <c r="B418" s="151" t="s">
        <v>846</v>
      </c>
      <c r="C418" s="48" t="s">
        <v>27</v>
      </c>
      <c r="D418" s="48" t="s">
        <v>847</v>
      </c>
      <c r="E418" s="48" t="s">
        <v>102</v>
      </c>
      <c r="F418" s="48"/>
      <c r="G418" s="48" t="s">
        <v>1249</v>
      </c>
      <c r="H418" s="51">
        <v>100</v>
      </c>
      <c r="I418" s="49">
        <v>60</v>
      </c>
      <c r="J418" s="48" t="s">
        <v>31</v>
      </c>
      <c r="K418" s="48" t="s">
        <v>32</v>
      </c>
      <c r="L418" s="2"/>
    </row>
    <row r="419" spans="1:20" ht="16.5" customHeight="1">
      <c r="A419" s="50">
        <v>19</v>
      </c>
      <c r="B419" s="151" t="s">
        <v>846</v>
      </c>
      <c r="C419" s="48" t="s">
        <v>27</v>
      </c>
      <c r="D419" s="48" t="s">
        <v>847</v>
      </c>
      <c r="E419" s="48" t="s">
        <v>102</v>
      </c>
      <c r="F419" s="48"/>
      <c r="G419" s="48" t="s">
        <v>608</v>
      </c>
      <c r="H419" s="51">
        <v>8</v>
      </c>
      <c r="I419" s="49">
        <v>40</v>
      </c>
      <c r="J419" s="48" t="s">
        <v>31</v>
      </c>
      <c r="K419" s="48" t="s">
        <v>32</v>
      </c>
      <c r="L419" s="2"/>
      <c r="P419" s="792" t="s">
        <v>2505</v>
      </c>
      <c r="Q419" s="719"/>
    </row>
    <row r="420" spans="1:20" ht="16.5" customHeight="1">
      <c r="A420" s="50">
        <v>19</v>
      </c>
      <c r="B420" s="151" t="s">
        <v>2506</v>
      </c>
      <c r="C420" s="48" t="s">
        <v>27</v>
      </c>
      <c r="D420" s="48" t="s">
        <v>623</v>
      </c>
      <c r="E420" s="48" t="s">
        <v>44</v>
      </c>
      <c r="F420" s="48"/>
      <c r="G420" s="48" t="s">
        <v>30</v>
      </c>
      <c r="H420" s="51">
        <v>1200</v>
      </c>
      <c r="I420" s="49">
        <v>240</v>
      </c>
      <c r="J420" s="48" t="s">
        <v>31</v>
      </c>
      <c r="K420" s="48" t="s">
        <v>32</v>
      </c>
      <c r="L420" s="2"/>
      <c r="M420" s="126">
        <v>250</v>
      </c>
      <c r="P420" s="723" t="s">
        <v>25</v>
      </c>
      <c r="Q420" s="719"/>
      <c r="S420" s="403"/>
      <c r="T420" s="2"/>
    </row>
    <row r="421" spans="1:20" ht="16.5" customHeight="1">
      <c r="A421" s="50">
        <v>19</v>
      </c>
      <c r="B421" s="151" t="s">
        <v>487</v>
      </c>
      <c r="C421" s="48" t="s">
        <v>27</v>
      </c>
      <c r="D421" s="48" t="s">
        <v>104</v>
      </c>
      <c r="E421" s="48" t="s">
        <v>36</v>
      </c>
      <c r="F421" s="48"/>
      <c r="G421" s="48" t="s">
        <v>30</v>
      </c>
      <c r="H421" s="51">
        <v>500</v>
      </c>
      <c r="I421" s="49" t="s">
        <v>1586</v>
      </c>
      <c r="J421" s="48" t="s">
        <v>31</v>
      </c>
      <c r="K421" s="48" t="s">
        <v>32</v>
      </c>
      <c r="L421" s="2"/>
      <c r="M421" s="126">
        <v>400</v>
      </c>
      <c r="P421" s="48" t="s">
        <v>33</v>
      </c>
      <c r="Q421" s="51">
        <v>107800</v>
      </c>
      <c r="S421" s="404"/>
      <c r="T421" s="405"/>
    </row>
    <row r="422" spans="1:20" ht="16.5" customHeight="1">
      <c r="A422" s="50">
        <v>19</v>
      </c>
      <c r="B422" s="151" t="s">
        <v>487</v>
      </c>
      <c r="C422" s="48" t="s">
        <v>27</v>
      </c>
      <c r="D422" s="48" t="s">
        <v>104</v>
      </c>
      <c r="E422" s="48" t="s">
        <v>36</v>
      </c>
      <c r="F422" s="48"/>
      <c r="G422" s="48" t="s">
        <v>30</v>
      </c>
      <c r="H422" s="51">
        <v>500</v>
      </c>
      <c r="I422" s="49">
        <v>100</v>
      </c>
      <c r="J422" s="48" t="s">
        <v>31</v>
      </c>
      <c r="K422" s="48" t="s">
        <v>32</v>
      </c>
      <c r="L422" s="2"/>
      <c r="P422" s="48" t="s">
        <v>37</v>
      </c>
      <c r="Q422" s="51">
        <v>2500</v>
      </c>
      <c r="S422" s="55"/>
      <c r="T422" s="2"/>
    </row>
    <row r="423" spans="1:20" ht="16.5" customHeight="1">
      <c r="A423" s="50">
        <v>19</v>
      </c>
      <c r="B423" s="151" t="s">
        <v>2507</v>
      </c>
      <c r="C423" s="48" t="s">
        <v>27</v>
      </c>
      <c r="D423" s="48" t="s">
        <v>68</v>
      </c>
      <c r="E423" s="48" t="s">
        <v>79</v>
      </c>
      <c r="F423" s="48"/>
      <c r="G423" s="48" t="s">
        <v>1249</v>
      </c>
      <c r="H423" s="51">
        <v>2000</v>
      </c>
      <c r="I423" s="49" t="s">
        <v>1586</v>
      </c>
      <c r="J423" s="48" t="s">
        <v>31</v>
      </c>
      <c r="K423" s="48" t="s">
        <v>32</v>
      </c>
      <c r="L423" s="2"/>
      <c r="P423" s="391" t="s">
        <v>282</v>
      </c>
      <c r="Q423" s="392">
        <v>110300</v>
      </c>
      <c r="T423" s="3"/>
    </row>
    <row r="424" spans="1:20" ht="16.5" customHeight="1">
      <c r="A424" s="50">
        <v>19</v>
      </c>
      <c r="B424" s="151" t="s">
        <v>2507</v>
      </c>
      <c r="C424" s="48" t="s">
        <v>27</v>
      </c>
      <c r="D424" s="48" t="s">
        <v>68</v>
      </c>
      <c r="E424" s="48" t="s">
        <v>79</v>
      </c>
      <c r="F424" s="48"/>
      <c r="G424" s="48" t="s">
        <v>1249</v>
      </c>
      <c r="H424" s="51">
        <v>2000</v>
      </c>
      <c r="I424" s="49">
        <v>1200</v>
      </c>
      <c r="J424" s="48" t="s">
        <v>31</v>
      </c>
      <c r="K424" s="48" t="s">
        <v>32</v>
      </c>
      <c r="L424" s="2"/>
      <c r="P424" s="723" t="s">
        <v>586</v>
      </c>
      <c r="Q424" s="719"/>
    </row>
    <row r="425" spans="1:20" ht="16.5" customHeight="1">
      <c r="A425" s="50">
        <v>19</v>
      </c>
      <c r="B425" s="151" t="s">
        <v>2508</v>
      </c>
      <c r="C425" s="151" t="s">
        <v>27</v>
      </c>
      <c r="D425" s="151" t="s">
        <v>2509</v>
      </c>
      <c r="E425" s="151" t="s">
        <v>2510</v>
      </c>
      <c r="F425" s="151"/>
      <c r="G425" s="48" t="s">
        <v>30</v>
      </c>
      <c r="H425" s="51">
        <v>5000</v>
      </c>
      <c r="I425" s="49">
        <v>1000</v>
      </c>
      <c r="J425" s="151" t="s">
        <v>31</v>
      </c>
      <c r="K425" s="151" t="s">
        <v>32</v>
      </c>
      <c r="L425" s="2"/>
      <c r="M425" s="126">
        <v>1000</v>
      </c>
      <c r="P425" s="48" t="s">
        <v>33</v>
      </c>
      <c r="Q425" s="51">
        <v>3620</v>
      </c>
      <c r="S425" s="55"/>
    </row>
    <row r="426" spans="1:20" ht="16.5" customHeight="1">
      <c r="A426" s="50">
        <v>19</v>
      </c>
      <c r="B426" s="48" t="s">
        <v>2511</v>
      </c>
      <c r="C426" s="48" t="s">
        <v>27</v>
      </c>
      <c r="D426" s="48" t="s">
        <v>688</v>
      </c>
      <c r="E426" s="48" t="s">
        <v>223</v>
      </c>
      <c r="F426" s="48"/>
      <c r="G426" s="48" t="s">
        <v>30</v>
      </c>
      <c r="H426" s="51">
        <v>3000</v>
      </c>
      <c r="I426" s="49">
        <v>600</v>
      </c>
      <c r="J426" s="48" t="s">
        <v>31</v>
      </c>
      <c r="K426" s="48" t="s">
        <v>32</v>
      </c>
      <c r="L426" s="2"/>
      <c r="M426" s="126">
        <v>600</v>
      </c>
      <c r="P426" s="48" t="s">
        <v>37</v>
      </c>
      <c r="Q426" s="51">
        <v>3000</v>
      </c>
      <c r="S426" s="55"/>
    </row>
    <row r="427" spans="1:20" ht="16.5" customHeight="1">
      <c r="A427" s="50">
        <v>19</v>
      </c>
      <c r="B427" s="48" t="s">
        <v>2511</v>
      </c>
      <c r="C427" s="48" t="s">
        <v>27</v>
      </c>
      <c r="D427" s="48" t="s">
        <v>688</v>
      </c>
      <c r="E427" s="48" t="s">
        <v>223</v>
      </c>
      <c r="F427" s="48"/>
      <c r="G427" s="379" t="s">
        <v>579</v>
      </c>
      <c r="H427" s="380">
        <v>500</v>
      </c>
      <c r="I427" s="387">
        <v>500</v>
      </c>
      <c r="J427" s="48" t="s">
        <v>31</v>
      </c>
      <c r="K427" s="48" t="s">
        <v>32</v>
      </c>
      <c r="L427" s="2"/>
      <c r="P427" s="391" t="s">
        <v>282</v>
      </c>
      <c r="Q427" s="392">
        <v>6620</v>
      </c>
      <c r="S427" s="55"/>
    </row>
    <row r="428" spans="1:20" ht="16.5" customHeight="1">
      <c r="A428" s="50">
        <v>19</v>
      </c>
      <c r="B428" s="48" t="s">
        <v>2512</v>
      </c>
      <c r="C428" s="48" t="s">
        <v>27</v>
      </c>
      <c r="D428" s="48" t="s">
        <v>100</v>
      </c>
      <c r="E428" s="48" t="s">
        <v>51</v>
      </c>
      <c r="F428" s="48"/>
      <c r="G428" s="48" t="s">
        <v>30</v>
      </c>
      <c r="H428" s="51">
        <v>1500</v>
      </c>
      <c r="I428" s="49">
        <v>300</v>
      </c>
      <c r="J428" s="48" t="s">
        <v>31</v>
      </c>
      <c r="K428" s="48" t="s">
        <v>32</v>
      </c>
      <c r="L428" s="2"/>
      <c r="M428" s="126">
        <v>400</v>
      </c>
      <c r="P428" s="723" t="s">
        <v>286</v>
      </c>
      <c r="Q428" s="719"/>
    </row>
    <row r="429" spans="1:20" ht="16.5" customHeight="1">
      <c r="A429" s="50">
        <v>19</v>
      </c>
      <c r="B429" s="48" t="s">
        <v>2512</v>
      </c>
      <c r="C429" s="48" t="s">
        <v>27</v>
      </c>
      <c r="D429" s="48" t="s">
        <v>100</v>
      </c>
      <c r="E429" s="48" t="s">
        <v>51</v>
      </c>
      <c r="F429" s="48"/>
      <c r="G429" s="379" t="s">
        <v>579</v>
      </c>
      <c r="H429" s="380">
        <v>2000</v>
      </c>
      <c r="I429" s="387">
        <v>2000</v>
      </c>
      <c r="J429" s="48" t="s">
        <v>31</v>
      </c>
      <c r="K429" s="48" t="s">
        <v>32</v>
      </c>
      <c r="L429" s="2"/>
      <c r="P429" s="48" t="s">
        <v>1346</v>
      </c>
      <c r="Q429" s="48">
        <v>68</v>
      </c>
      <c r="S429" s="55"/>
    </row>
    <row r="430" spans="1:20" ht="16.5" customHeight="1">
      <c r="A430" s="50">
        <v>19</v>
      </c>
      <c r="B430" s="151" t="s">
        <v>1430</v>
      </c>
      <c r="C430" s="48" t="s">
        <v>27</v>
      </c>
      <c r="D430" s="48" t="s">
        <v>1431</v>
      </c>
      <c r="E430" s="48" t="s">
        <v>44</v>
      </c>
      <c r="F430" s="48"/>
      <c r="G430" s="48" t="s">
        <v>30</v>
      </c>
      <c r="H430" s="51">
        <v>1000</v>
      </c>
      <c r="I430" s="49">
        <v>200</v>
      </c>
      <c r="J430" s="48" t="s">
        <v>31</v>
      </c>
      <c r="K430" s="48" t="s">
        <v>32</v>
      </c>
      <c r="L430" s="2"/>
      <c r="M430" s="126">
        <v>400</v>
      </c>
      <c r="P430" s="48" t="s">
        <v>2325</v>
      </c>
      <c r="Q430" s="48">
        <v>0</v>
      </c>
    </row>
    <row r="431" spans="1:20" ht="16.5" customHeight="1">
      <c r="A431" s="50">
        <v>19</v>
      </c>
      <c r="B431" s="151" t="s">
        <v>1430</v>
      </c>
      <c r="C431" s="48" t="s">
        <v>27</v>
      </c>
      <c r="D431" s="48" t="s">
        <v>1431</v>
      </c>
      <c r="E431" s="48" t="s">
        <v>44</v>
      </c>
      <c r="F431" s="48"/>
      <c r="G431" s="48" t="s">
        <v>1249</v>
      </c>
      <c r="H431" s="51">
        <v>300</v>
      </c>
      <c r="I431" s="49">
        <v>180</v>
      </c>
      <c r="J431" s="48" t="s">
        <v>31</v>
      </c>
      <c r="K431" s="48" t="s">
        <v>32</v>
      </c>
      <c r="L431" s="2"/>
      <c r="P431" s="391" t="s">
        <v>282</v>
      </c>
      <c r="Q431" s="391">
        <v>68</v>
      </c>
    </row>
    <row r="432" spans="1:20" ht="16.5" customHeight="1">
      <c r="A432" s="50">
        <v>19</v>
      </c>
      <c r="B432" s="151" t="s">
        <v>2513</v>
      </c>
      <c r="C432" s="48" t="s">
        <v>27</v>
      </c>
      <c r="D432" s="48" t="s">
        <v>98</v>
      </c>
      <c r="E432" s="48" t="s">
        <v>36</v>
      </c>
      <c r="F432" s="48"/>
      <c r="G432" s="48" t="s">
        <v>30</v>
      </c>
      <c r="H432" s="51">
        <v>1000</v>
      </c>
      <c r="I432" s="49">
        <v>200</v>
      </c>
      <c r="J432" s="48" t="s">
        <v>31</v>
      </c>
      <c r="K432" s="48" t="s">
        <v>32</v>
      </c>
      <c r="L432" s="2"/>
      <c r="M432" s="126">
        <v>200</v>
      </c>
      <c r="P432" s="723" t="s">
        <v>1751</v>
      </c>
      <c r="Q432" s="719"/>
      <c r="S432" s="723" t="s">
        <v>57</v>
      </c>
      <c r="T432" s="719"/>
    </row>
    <row r="433" spans="1:20" ht="16.5" customHeight="1">
      <c r="A433" s="50">
        <v>19</v>
      </c>
      <c r="B433" s="151" t="s">
        <v>2513</v>
      </c>
      <c r="C433" s="48" t="s">
        <v>27</v>
      </c>
      <c r="D433" s="48" t="s">
        <v>98</v>
      </c>
      <c r="E433" s="48" t="s">
        <v>36</v>
      </c>
      <c r="F433" s="48"/>
      <c r="G433" s="48" t="s">
        <v>115</v>
      </c>
      <c r="H433" s="51">
        <v>500</v>
      </c>
      <c r="I433" s="49">
        <v>500</v>
      </c>
      <c r="J433" s="48" t="s">
        <v>31</v>
      </c>
      <c r="K433" s="48" t="s">
        <v>32</v>
      </c>
      <c r="L433" s="2"/>
      <c r="P433" s="48" t="s">
        <v>33</v>
      </c>
      <c r="Q433" s="51">
        <v>2400</v>
      </c>
      <c r="S433" s="48" t="s">
        <v>33</v>
      </c>
      <c r="T433" s="51">
        <v>550</v>
      </c>
    </row>
    <row r="434" spans="1:20" ht="16.5" customHeight="1">
      <c r="A434" s="50">
        <v>19</v>
      </c>
      <c r="B434" s="379" t="s">
        <v>2514</v>
      </c>
      <c r="C434" s="379" t="s">
        <v>27</v>
      </c>
      <c r="D434" s="379" t="s">
        <v>50</v>
      </c>
      <c r="E434" s="379" t="s">
        <v>41</v>
      </c>
      <c r="F434" s="379"/>
      <c r="G434" s="379" t="s">
        <v>579</v>
      </c>
      <c r="H434" s="380">
        <v>3000</v>
      </c>
      <c r="I434" s="387" t="s">
        <v>1586</v>
      </c>
      <c r="J434" s="48" t="s">
        <v>31</v>
      </c>
      <c r="K434" s="48" t="s">
        <v>32</v>
      </c>
      <c r="L434" s="2"/>
      <c r="P434" s="48" t="s">
        <v>37</v>
      </c>
      <c r="Q434" s="51">
        <v>22000</v>
      </c>
      <c r="S434" s="48" t="s">
        <v>37</v>
      </c>
      <c r="T434" s="51">
        <v>0</v>
      </c>
    </row>
    <row r="435" spans="1:20" ht="16.5" customHeight="1">
      <c r="A435" s="50">
        <v>19</v>
      </c>
      <c r="B435" s="379" t="s">
        <v>2514</v>
      </c>
      <c r="C435" s="379" t="s">
        <v>27</v>
      </c>
      <c r="D435" s="379" t="s">
        <v>50</v>
      </c>
      <c r="E435" s="379" t="s">
        <v>41</v>
      </c>
      <c r="F435" s="58"/>
      <c r="G435" s="58" t="s">
        <v>608</v>
      </c>
      <c r="H435" s="59">
        <v>30</v>
      </c>
      <c r="I435" s="60" t="s">
        <v>1586</v>
      </c>
      <c r="J435" s="48" t="s">
        <v>31</v>
      </c>
      <c r="K435" s="48" t="s">
        <v>32</v>
      </c>
      <c r="L435" s="2"/>
      <c r="P435" s="391" t="s">
        <v>282</v>
      </c>
      <c r="Q435" s="392">
        <v>24400</v>
      </c>
      <c r="S435" s="391" t="s">
        <v>282</v>
      </c>
      <c r="T435" s="392">
        <v>550</v>
      </c>
    </row>
    <row r="436" spans="1:20" ht="16.5" customHeight="1">
      <c r="A436" s="61">
        <v>21</v>
      </c>
      <c r="B436" s="292" t="s">
        <v>2515</v>
      </c>
      <c r="C436" s="62" t="s">
        <v>27</v>
      </c>
      <c r="D436" s="62" t="s">
        <v>1431</v>
      </c>
      <c r="E436" s="62" t="s">
        <v>44</v>
      </c>
      <c r="F436" s="62"/>
      <c r="G436" s="62" t="s">
        <v>30</v>
      </c>
      <c r="H436" s="63">
        <v>1000</v>
      </c>
      <c r="I436" s="64">
        <v>200</v>
      </c>
      <c r="J436" s="62" t="s">
        <v>31</v>
      </c>
      <c r="K436" s="62" t="s">
        <v>32</v>
      </c>
      <c r="L436" s="2"/>
      <c r="M436" s="126">
        <v>150</v>
      </c>
    </row>
    <row r="437" spans="1:20" ht="16.5" customHeight="1">
      <c r="A437" s="50">
        <v>21</v>
      </c>
      <c r="B437" s="151" t="s">
        <v>2516</v>
      </c>
      <c r="C437" s="48" t="s">
        <v>39</v>
      </c>
      <c r="D437" s="48" t="s">
        <v>1115</v>
      </c>
      <c r="E437" s="48" t="s">
        <v>358</v>
      </c>
      <c r="F437" s="48"/>
      <c r="G437" s="48" t="s">
        <v>30</v>
      </c>
      <c r="H437" s="51">
        <v>4000</v>
      </c>
      <c r="I437" s="49">
        <v>800</v>
      </c>
      <c r="J437" s="48" t="s">
        <v>31</v>
      </c>
      <c r="K437" s="48" t="s">
        <v>32</v>
      </c>
      <c r="L437" s="2"/>
      <c r="M437" s="126">
        <v>200</v>
      </c>
    </row>
    <row r="438" spans="1:20" ht="16.5" customHeight="1">
      <c r="A438" s="50">
        <v>21</v>
      </c>
      <c r="B438" s="151" t="s">
        <v>2517</v>
      </c>
      <c r="C438" s="48" t="s">
        <v>27</v>
      </c>
      <c r="D438" s="48" t="s">
        <v>657</v>
      </c>
      <c r="E438" s="48" t="s">
        <v>73</v>
      </c>
      <c r="F438" s="48"/>
      <c r="G438" s="48" t="s">
        <v>30</v>
      </c>
      <c r="H438" s="51">
        <v>500</v>
      </c>
      <c r="I438" s="49">
        <v>100</v>
      </c>
      <c r="J438" s="48" t="s">
        <v>31</v>
      </c>
      <c r="K438" s="48" t="s">
        <v>32</v>
      </c>
      <c r="L438" s="2"/>
      <c r="M438" s="126">
        <v>100</v>
      </c>
    </row>
    <row r="439" spans="1:20" ht="15.75" customHeight="1">
      <c r="A439" s="50">
        <v>21</v>
      </c>
      <c r="B439" s="151" t="s">
        <v>2518</v>
      </c>
      <c r="C439" s="48" t="s">
        <v>27</v>
      </c>
      <c r="D439" s="48" t="s">
        <v>65</v>
      </c>
      <c r="E439" s="48" t="s">
        <v>36</v>
      </c>
      <c r="F439" s="48"/>
      <c r="G439" s="48" t="s">
        <v>30</v>
      </c>
      <c r="H439" s="51">
        <v>5000</v>
      </c>
      <c r="I439" s="49">
        <v>1000</v>
      </c>
      <c r="J439" s="48" t="s">
        <v>31</v>
      </c>
      <c r="K439" s="48" t="s">
        <v>32</v>
      </c>
      <c r="L439" s="2"/>
      <c r="M439" s="126">
        <v>2500</v>
      </c>
    </row>
    <row r="440" spans="1:20" ht="15.75" customHeight="1">
      <c r="A440" s="50">
        <v>21</v>
      </c>
      <c r="B440" s="151" t="s">
        <v>2519</v>
      </c>
      <c r="C440" s="48" t="s">
        <v>27</v>
      </c>
      <c r="D440" s="48" t="s">
        <v>2520</v>
      </c>
      <c r="E440" s="48" t="s">
        <v>2521</v>
      </c>
      <c r="F440" s="48"/>
      <c r="G440" s="48" t="s">
        <v>30</v>
      </c>
      <c r="H440" s="51">
        <v>2000</v>
      </c>
      <c r="I440" s="49">
        <v>400</v>
      </c>
      <c r="J440" s="48" t="s">
        <v>31</v>
      </c>
      <c r="K440" s="48" t="s">
        <v>32</v>
      </c>
      <c r="L440" s="2"/>
      <c r="M440" s="126">
        <v>550</v>
      </c>
    </row>
    <row r="441" spans="1:20" ht="15.75" customHeight="1">
      <c r="A441" s="50">
        <v>21</v>
      </c>
      <c r="B441" s="151" t="s">
        <v>2522</v>
      </c>
      <c r="C441" s="48" t="s">
        <v>27</v>
      </c>
      <c r="D441" s="48" t="s">
        <v>2523</v>
      </c>
      <c r="E441" s="48" t="s">
        <v>73</v>
      </c>
      <c r="F441" s="48"/>
      <c r="G441" s="48" t="s">
        <v>30</v>
      </c>
      <c r="H441" s="51">
        <v>500</v>
      </c>
      <c r="I441" s="49">
        <v>100</v>
      </c>
      <c r="J441" s="48" t="s">
        <v>31</v>
      </c>
      <c r="K441" s="48" t="s">
        <v>32</v>
      </c>
      <c r="L441" s="2"/>
      <c r="M441" s="126">
        <v>100</v>
      </c>
    </row>
    <row r="442" spans="1:20" ht="15.75" customHeight="1">
      <c r="A442" s="50">
        <v>21</v>
      </c>
      <c r="B442" s="151" t="s">
        <v>2524</v>
      </c>
      <c r="C442" s="48" t="s">
        <v>27</v>
      </c>
      <c r="D442" s="48" t="s">
        <v>79</v>
      </c>
      <c r="E442" s="48" t="s">
        <v>73</v>
      </c>
      <c r="F442" s="48"/>
      <c r="G442" s="48" t="s">
        <v>30</v>
      </c>
      <c r="H442" s="51">
        <v>500</v>
      </c>
      <c r="I442" s="49">
        <v>100</v>
      </c>
      <c r="J442" s="48" t="s">
        <v>31</v>
      </c>
      <c r="K442" s="48" t="s">
        <v>32</v>
      </c>
      <c r="L442" s="2"/>
      <c r="M442" s="126">
        <v>300</v>
      </c>
    </row>
    <row r="443" spans="1:20" ht="15.75" customHeight="1">
      <c r="A443" s="50">
        <v>21</v>
      </c>
      <c r="B443" s="151" t="s">
        <v>2525</v>
      </c>
      <c r="C443" s="48" t="s">
        <v>27</v>
      </c>
      <c r="D443" s="48" t="s">
        <v>659</v>
      </c>
      <c r="E443" s="48" t="s">
        <v>86</v>
      </c>
      <c r="F443" s="48"/>
      <c r="G443" s="48" t="s">
        <v>589</v>
      </c>
      <c r="H443" s="51">
        <v>66</v>
      </c>
      <c r="I443" s="49">
        <v>198</v>
      </c>
      <c r="J443" s="48" t="s">
        <v>31</v>
      </c>
      <c r="K443" s="48" t="s">
        <v>32</v>
      </c>
      <c r="L443" s="2"/>
    </row>
    <row r="444" spans="1:20" ht="15.75" customHeight="1">
      <c r="A444" s="50">
        <v>21</v>
      </c>
      <c r="B444" s="151" t="s">
        <v>802</v>
      </c>
      <c r="C444" s="48" t="s">
        <v>27</v>
      </c>
      <c r="D444" s="48" t="s">
        <v>211</v>
      </c>
      <c r="E444" s="48" t="s">
        <v>245</v>
      </c>
      <c r="F444" s="48"/>
      <c r="G444" s="48" t="s">
        <v>30</v>
      </c>
      <c r="H444" s="51">
        <v>500</v>
      </c>
      <c r="I444" s="49">
        <v>100</v>
      </c>
      <c r="J444" s="48" t="s">
        <v>31</v>
      </c>
      <c r="K444" s="48" t="s">
        <v>32</v>
      </c>
      <c r="L444" s="2"/>
      <c r="M444" s="126">
        <v>100</v>
      </c>
    </row>
    <row r="445" spans="1:20" ht="15.75" customHeight="1">
      <c r="A445" s="50">
        <v>21</v>
      </c>
      <c r="B445" s="151" t="s">
        <v>2526</v>
      </c>
      <c r="C445" s="48" t="s">
        <v>27</v>
      </c>
      <c r="D445" s="48" t="s">
        <v>1431</v>
      </c>
      <c r="E445" s="48" t="s">
        <v>44</v>
      </c>
      <c r="F445" s="48"/>
      <c r="G445" s="48" t="s">
        <v>30</v>
      </c>
      <c r="H445" s="51">
        <v>500</v>
      </c>
      <c r="I445" s="49">
        <v>100</v>
      </c>
      <c r="J445" s="48" t="s">
        <v>31</v>
      </c>
      <c r="K445" s="48" t="s">
        <v>32</v>
      </c>
      <c r="L445" s="2"/>
      <c r="M445" s="126">
        <v>50</v>
      </c>
    </row>
    <row r="446" spans="1:20" ht="15.75" customHeight="1">
      <c r="A446" s="50">
        <v>21</v>
      </c>
      <c r="B446" s="151" t="s">
        <v>2527</v>
      </c>
      <c r="C446" s="48" t="s">
        <v>27</v>
      </c>
      <c r="D446" s="48" t="s">
        <v>387</v>
      </c>
      <c r="E446" s="48" t="s">
        <v>41</v>
      </c>
      <c r="F446" s="48"/>
      <c r="G446" s="48" t="s">
        <v>589</v>
      </c>
      <c r="H446" s="51">
        <v>20</v>
      </c>
      <c r="I446" s="49">
        <v>60</v>
      </c>
      <c r="J446" s="48" t="s">
        <v>31</v>
      </c>
      <c r="K446" s="48" t="s">
        <v>32</v>
      </c>
      <c r="L446" s="2"/>
    </row>
    <row r="447" spans="1:20" ht="15.75" customHeight="1">
      <c r="A447" s="65">
        <v>21</v>
      </c>
      <c r="B447" s="175" t="s">
        <v>2528</v>
      </c>
      <c r="C447" s="58" t="s">
        <v>39</v>
      </c>
      <c r="D447" s="58" t="s">
        <v>2419</v>
      </c>
      <c r="E447" s="58" t="s">
        <v>73</v>
      </c>
      <c r="F447" s="58"/>
      <c r="G447" s="58" t="s">
        <v>30</v>
      </c>
      <c r="H447" s="59">
        <v>500</v>
      </c>
      <c r="I447" s="60" t="s">
        <v>1586</v>
      </c>
      <c r="J447" s="58" t="s">
        <v>31</v>
      </c>
      <c r="K447" s="58" t="s">
        <v>32</v>
      </c>
      <c r="L447" s="2"/>
      <c r="M447" s="126">
        <v>100</v>
      </c>
    </row>
    <row r="448" spans="1:20" ht="15.75" customHeight="1">
      <c r="A448" s="61">
        <v>22</v>
      </c>
      <c r="B448" s="292" t="s">
        <v>2529</v>
      </c>
      <c r="C448" s="62" t="s">
        <v>27</v>
      </c>
      <c r="D448" s="62" t="s">
        <v>35</v>
      </c>
      <c r="E448" s="62" t="s">
        <v>54</v>
      </c>
      <c r="F448" s="62"/>
      <c r="G448" s="62" t="s">
        <v>30</v>
      </c>
      <c r="H448" s="63">
        <v>200</v>
      </c>
      <c r="I448" s="64">
        <v>40</v>
      </c>
      <c r="J448" s="62" t="s">
        <v>31</v>
      </c>
      <c r="K448" s="62" t="s">
        <v>32</v>
      </c>
      <c r="L448" s="2"/>
      <c r="M448" s="126">
        <v>40</v>
      </c>
    </row>
    <row r="449" spans="1:19" ht="15.75" customHeight="1">
      <c r="A449" s="50">
        <v>22</v>
      </c>
      <c r="B449" s="151" t="s">
        <v>2530</v>
      </c>
      <c r="C449" s="48" t="s">
        <v>27</v>
      </c>
      <c r="D449" s="48" t="s">
        <v>137</v>
      </c>
      <c r="E449" s="48" t="s">
        <v>84</v>
      </c>
      <c r="F449" s="48"/>
      <c r="G449" s="48" t="s">
        <v>30</v>
      </c>
      <c r="H449" s="51">
        <v>150</v>
      </c>
      <c r="I449" s="49">
        <v>30</v>
      </c>
      <c r="J449" s="48" t="s">
        <v>31</v>
      </c>
      <c r="K449" s="48" t="s">
        <v>32</v>
      </c>
      <c r="L449" s="2"/>
      <c r="M449" s="126">
        <v>20</v>
      </c>
    </row>
    <row r="450" spans="1:19" ht="15.75" customHeight="1">
      <c r="A450" s="50">
        <v>22</v>
      </c>
      <c r="B450" s="151" t="s">
        <v>2531</v>
      </c>
      <c r="C450" s="48" t="s">
        <v>39</v>
      </c>
      <c r="D450" s="48" t="s">
        <v>305</v>
      </c>
      <c r="E450" s="48" t="s">
        <v>86</v>
      </c>
      <c r="F450" s="48"/>
      <c r="G450" s="48" t="s">
        <v>30</v>
      </c>
      <c r="H450" s="51">
        <v>750</v>
      </c>
      <c r="I450" s="49">
        <v>150</v>
      </c>
      <c r="J450" s="48" t="s">
        <v>31</v>
      </c>
      <c r="K450" s="48" t="s">
        <v>32</v>
      </c>
      <c r="L450" s="2"/>
      <c r="M450" s="126">
        <v>300</v>
      </c>
    </row>
    <row r="451" spans="1:19" ht="15.75" customHeight="1">
      <c r="A451" s="50">
        <v>22</v>
      </c>
      <c r="B451" s="151" t="s">
        <v>2430</v>
      </c>
      <c r="C451" s="48" t="s">
        <v>27</v>
      </c>
      <c r="D451" s="48" t="s">
        <v>657</v>
      </c>
      <c r="E451" s="48" t="s">
        <v>84</v>
      </c>
      <c r="F451" s="48"/>
      <c r="G451" s="48" t="s">
        <v>30</v>
      </c>
      <c r="H451" s="51">
        <v>250</v>
      </c>
      <c r="I451" s="49">
        <v>50</v>
      </c>
      <c r="J451" s="48" t="s">
        <v>31</v>
      </c>
      <c r="K451" s="48" t="s">
        <v>32</v>
      </c>
      <c r="L451" s="2"/>
      <c r="M451" s="126">
        <v>100</v>
      </c>
    </row>
    <row r="452" spans="1:19" ht="15.75" customHeight="1">
      <c r="A452" s="50">
        <v>22</v>
      </c>
      <c r="B452" s="151" t="s">
        <v>2532</v>
      </c>
      <c r="C452" s="48" t="s">
        <v>39</v>
      </c>
      <c r="D452" s="48" t="s">
        <v>171</v>
      </c>
      <c r="E452" s="48" t="s">
        <v>145</v>
      </c>
      <c r="F452" s="48"/>
      <c r="G452" s="48" t="s">
        <v>30</v>
      </c>
      <c r="H452" s="51">
        <v>1000</v>
      </c>
      <c r="I452" s="49">
        <v>200</v>
      </c>
      <c r="J452" s="48" t="s">
        <v>31</v>
      </c>
      <c r="K452" s="48" t="s">
        <v>32</v>
      </c>
      <c r="L452" s="2"/>
      <c r="M452" s="126">
        <v>1500</v>
      </c>
    </row>
    <row r="453" spans="1:19" ht="15.75" customHeight="1">
      <c r="A453" s="50">
        <v>22</v>
      </c>
      <c r="B453" s="151" t="s">
        <v>2532</v>
      </c>
      <c r="C453" s="48" t="s">
        <v>39</v>
      </c>
      <c r="D453" s="48" t="s">
        <v>171</v>
      </c>
      <c r="E453" s="48" t="s">
        <v>145</v>
      </c>
      <c r="F453" s="48"/>
      <c r="G453" s="48" t="s">
        <v>1249</v>
      </c>
      <c r="H453" s="51">
        <v>2000</v>
      </c>
      <c r="I453" s="49">
        <v>1200</v>
      </c>
      <c r="J453" s="48" t="s">
        <v>31</v>
      </c>
      <c r="K453" s="48" t="s">
        <v>32</v>
      </c>
      <c r="L453" s="2"/>
    </row>
    <row r="454" spans="1:19" ht="15.75" customHeight="1">
      <c r="A454" s="50">
        <v>22</v>
      </c>
      <c r="B454" s="151" t="s">
        <v>2533</v>
      </c>
      <c r="C454" s="48" t="s">
        <v>27</v>
      </c>
      <c r="D454" s="48" t="s">
        <v>100</v>
      </c>
      <c r="E454" s="48" t="s">
        <v>145</v>
      </c>
      <c r="F454" s="48"/>
      <c r="G454" s="48" t="s">
        <v>30</v>
      </c>
      <c r="H454" s="51">
        <v>500</v>
      </c>
      <c r="I454" s="49">
        <v>100</v>
      </c>
      <c r="J454" s="48" t="s">
        <v>31</v>
      </c>
      <c r="K454" s="48" t="s">
        <v>32</v>
      </c>
      <c r="L454" s="2"/>
      <c r="M454" s="126">
        <v>200</v>
      </c>
    </row>
    <row r="455" spans="1:19" ht="15.75" customHeight="1">
      <c r="A455" s="50">
        <v>22</v>
      </c>
      <c r="B455" s="151" t="s">
        <v>2534</v>
      </c>
      <c r="C455" s="48" t="s">
        <v>27</v>
      </c>
      <c r="D455" s="48" t="s">
        <v>108</v>
      </c>
      <c r="E455" s="48" t="s">
        <v>169</v>
      </c>
      <c r="F455" s="48"/>
      <c r="G455" s="48" t="s">
        <v>30</v>
      </c>
      <c r="H455" s="51">
        <v>300</v>
      </c>
      <c r="I455" s="49">
        <v>60</v>
      </c>
      <c r="J455" s="48" t="s">
        <v>31</v>
      </c>
      <c r="K455" s="48" t="s">
        <v>32</v>
      </c>
      <c r="L455" s="2"/>
      <c r="M455" s="126">
        <v>60</v>
      </c>
    </row>
    <row r="456" spans="1:19" ht="15.75" customHeight="1">
      <c r="A456" s="50">
        <v>22</v>
      </c>
      <c r="B456" s="151" t="s">
        <v>2535</v>
      </c>
      <c r="C456" s="48" t="s">
        <v>27</v>
      </c>
      <c r="D456" s="48" t="s">
        <v>68</v>
      </c>
      <c r="E456" s="48" t="s">
        <v>79</v>
      </c>
      <c r="F456" s="48"/>
      <c r="G456" s="48" t="s">
        <v>30</v>
      </c>
      <c r="H456" s="51">
        <v>500</v>
      </c>
      <c r="I456" s="49">
        <v>100</v>
      </c>
      <c r="J456" s="48" t="s">
        <v>31</v>
      </c>
      <c r="K456" s="48" t="s">
        <v>32</v>
      </c>
      <c r="L456" s="2"/>
      <c r="M456" s="126">
        <v>420</v>
      </c>
    </row>
    <row r="457" spans="1:19" ht="15.75" customHeight="1">
      <c r="A457" s="50">
        <v>22</v>
      </c>
      <c r="B457" s="151" t="s">
        <v>2536</v>
      </c>
      <c r="C457" s="48" t="s">
        <v>27</v>
      </c>
      <c r="D457" s="48" t="s">
        <v>53</v>
      </c>
      <c r="E457" s="48" t="s">
        <v>54</v>
      </c>
      <c r="F457" s="48"/>
      <c r="G457" s="48" t="s">
        <v>30</v>
      </c>
      <c r="H457" s="51">
        <v>2000</v>
      </c>
      <c r="I457" s="49">
        <v>400</v>
      </c>
      <c r="J457" s="48" t="s">
        <v>31</v>
      </c>
      <c r="K457" s="48" t="s">
        <v>32</v>
      </c>
      <c r="L457" s="2"/>
      <c r="M457" s="126">
        <v>600</v>
      </c>
    </row>
    <row r="458" spans="1:19" ht="15.75" customHeight="1">
      <c r="A458" s="50">
        <v>22</v>
      </c>
      <c r="B458" s="151" t="s">
        <v>2537</v>
      </c>
      <c r="C458" s="48" t="s">
        <v>39</v>
      </c>
      <c r="D458" s="48" t="s">
        <v>363</v>
      </c>
      <c r="E458" s="48" t="s">
        <v>84</v>
      </c>
      <c r="F458" s="48"/>
      <c r="G458" s="48" t="s">
        <v>30</v>
      </c>
      <c r="H458" s="51">
        <v>250</v>
      </c>
      <c r="I458" s="49">
        <v>75</v>
      </c>
      <c r="J458" s="48" t="s">
        <v>31</v>
      </c>
      <c r="K458" s="48" t="s">
        <v>32</v>
      </c>
      <c r="L458" s="2"/>
      <c r="M458" s="126">
        <v>75</v>
      </c>
    </row>
    <row r="459" spans="1:19" ht="15.75" customHeight="1">
      <c r="A459" s="50">
        <v>22</v>
      </c>
      <c r="B459" s="151" t="s">
        <v>2538</v>
      </c>
      <c r="C459" s="48" t="s">
        <v>27</v>
      </c>
      <c r="D459" s="48" t="s">
        <v>1123</v>
      </c>
      <c r="E459" s="48" t="s">
        <v>73</v>
      </c>
      <c r="F459" s="48"/>
      <c r="G459" s="48" t="s">
        <v>30</v>
      </c>
      <c r="H459" s="51">
        <v>500</v>
      </c>
      <c r="I459" s="49">
        <v>100</v>
      </c>
      <c r="J459" s="48" t="s">
        <v>31</v>
      </c>
      <c r="K459" s="48" t="s">
        <v>32</v>
      </c>
      <c r="L459" s="2"/>
      <c r="M459" s="126">
        <v>150</v>
      </c>
      <c r="P459" s="792" t="s">
        <v>2539</v>
      </c>
      <c r="Q459" s="719"/>
    </row>
    <row r="460" spans="1:19" ht="15.75" customHeight="1">
      <c r="A460" s="65">
        <v>22</v>
      </c>
      <c r="B460" s="388" t="s">
        <v>1844</v>
      </c>
      <c r="C460" s="388" t="s">
        <v>27</v>
      </c>
      <c r="D460" s="388" t="s">
        <v>100</v>
      </c>
      <c r="E460" s="388" t="s">
        <v>29</v>
      </c>
      <c r="F460" s="388"/>
      <c r="G460" s="388" t="s">
        <v>579</v>
      </c>
      <c r="H460" s="389">
        <v>300</v>
      </c>
      <c r="I460" s="390" t="s">
        <v>1586</v>
      </c>
      <c r="J460" s="58" t="s">
        <v>31</v>
      </c>
      <c r="K460" s="58" t="s">
        <v>32</v>
      </c>
      <c r="L460" s="2"/>
      <c r="P460" s="723" t="s">
        <v>25</v>
      </c>
      <c r="Q460" s="719"/>
    </row>
    <row r="461" spans="1:19" ht="15.75" customHeight="1">
      <c r="A461" s="61">
        <v>23</v>
      </c>
      <c r="B461" s="62" t="s">
        <v>2540</v>
      </c>
      <c r="C461" s="62" t="s">
        <v>27</v>
      </c>
      <c r="D461" s="62" t="s">
        <v>1901</v>
      </c>
      <c r="E461" s="62" t="s">
        <v>79</v>
      </c>
      <c r="F461" s="62"/>
      <c r="G461" s="62" t="s">
        <v>30</v>
      </c>
      <c r="H461" s="63">
        <v>1000</v>
      </c>
      <c r="I461" s="64">
        <v>200</v>
      </c>
      <c r="J461" s="62" t="s">
        <v>31</v>
      </c>
      <c r="K461" s="62" t="s">
        <v>32</v>
      </c>
      <c r="L461" s="2"/>
      <c r="M461" s="126">
        <v>50</v>
      </c>
      <c r="P461" s="48" t="s">
        <v>33</v>
      </c>
      <c r="Q461" s="51">
        <v>32400</v>
      </c>
      <c r="S461" s="55">
        <f>SUM(H436:H442,H444:H445,H448:H452,H454:H459,H461:H468,H470:H472,H474)</f>
        <v>32400</v>
      </c>
    </row>
    <row r="462" spans="1:19" ht="15.75" customHeight="1">
      <c r="A462" s="50">
        <v>23</v>
      </c>
      <c r="B462" s="151" t="s">
        <v>2541</v>
      </c>
      <c r="C462" s="48" t="s">
        <v>27</v>
      </c>
      <c r="D462" s="48" t="s">
        <v>2542</v>
      </c>
      <c r="E462" s="48" t="s">
        <v>56</v>
      </c>
      <c r="F462" s="48"/>
      <c r="G462" s="48" t="s">
        <v>30</v>
      </c>
      <c r="H462" s="51">
        <v>500</v>
      </c>
      <c r="I462" s="49">
        <v>100</v>
      </c>
      <c r="J462" s="48" t="s">
        <v>31</v>
      </c>
      <c r="K462" s="48" t="s">
        <v>32</v>
      </c>
      <c r="L462" s="2"/>
      <c r="M462" s="126">
        <v>120</v>
      </c>
      <c r="P462" s="48" t="s">
        <v>37</v>
      </c>
      <c r="Q462" s="51">
        <v>1000</v>
      </c>
      <c r="S462" s="55">
        <f>H469+H447</f>
        <v>1000</v>
      </c>
    </row>
    <row r="463" spans="1:19" ht="15.75" customHeight="1">
      <c r="A463" s="50">
        <v>23</v>
      </c>
      <c r="B463" s="151" t="s">
        <v>1371</v>
      </c>
      <c r="C463" s="48" t="s">
        <v>27</v>
      </c>
      <c r="D463" s="48" t="s">
        <v>205</v>
      </c>
      <c r="E463" s="48" t="s">
        <v>191</v>
      </c>
      <c r="F463" s="48"/>
      <c r="G463" s="48" t="s">
        <v>30</v>
      </c>
      <c r="H463" s="51">
        <v>2000</v>
      </c>
      <c r="I463" s="49">
        <v>400</v>
      </c>
      <c r="J463" s="48" t="s">
        <v>31</v>
      </c>
      <c r="K463" s="48" t="s">
        <v>32</v>
      </c>
      <c r="L463" s="2"/>
      <c r="M463" s="126">
        <v>400</v>
      </c>
      <c r="P463" s="391" t="s">
        <v>282</v>
      </c>
      <c r="Q463" s="392">
        <v>33400</v>
      </c>
      <c r="S463" s="55">
        <f>SUM(S461:S462)</f>
        <v>33400</v>
      </c>
    </row>
    <row r="464" spans="1:19" ht="15.75" customHeight="1">
      <c r="A464" s="50">
        <v>23</v>
      </c>
      <c r="B464" s="151" t="s">
        <v>2543</v>
      </c>
      <c r="C464" s="48" t="s">
        <v>39</v>
      </c>
      <c r="D464" s="48" t="s">
        <v>289</v>
      </c>
      <c r="E464" s="48" t="s">
        <v>36</v>
      </c>
      <c r="F464" s="48"/>
      <c r="G464" s="48" t="s">
        <v>30</v>
      </c>
      <c r="H464" s="51">
        <v>200</v>
      </c>
      <c r="I464" s="49">
        <v>40</v>
      </c>
      <c r="J464" s="48" t="s">
        <v>31</v>
      </c>
      <c r="K464" s="48" t="s">
        <v>32</v>
      </c>
      <c r="L464" s="2"/>
      <c r="M464" s="126">
        <v>50</v>
      </c>
      <c r="P464" s="723" t="s">
        <v>586</v>
      </c>
      <c r="Q464" s="719"/>
    </row>
    <row r="465" spans="1:17" ht="15.75" customHeight="1">
      <c r="A465" s="50">
        <v>23</v>
      </c>
      <c r="B465" s="151" t="s">
        <v>2544</v>
      </c>
      <c r="C465" s="48" t="s">
        <v>27</v>
      </c>
      <c r="D465" s="48" t="s">
        <v>108</v>
      </c>
      <c r="E465" s="48" t="s">
        <v>36</v>
      </c>
      <c r="F465" s="48"/>
      <c r="G465" s="48" t="s">
        <v>30</v>
      </c>
      <c r="H465" s="51">
        <v>1500</v>
      </c>
      <c r="I465" s="49">
        <v>300</v>
      </c>
      <c r="J465" s="48" t="s">
        <v>31</v>
      </c>
      <c r="K465" s="48" t="s">
        <v>32</v>
      </c>
      <c r="L465" s="2"/>
      <c r="M465" s="126">
        <v>300</v>
      </c>
      <c r="P465" s="48" t="s">
        <v>33</v>
      </c>
      <c r="Q465" s="51">
        <v>0</v>
      </c>
    </row>
    <row r="466" spans="1:17" ht="15.75" customHeight="1">
      <c r="A466" s="50">
        <v>23</v>
      </c>
      <c r="B466" s="151" t="s">
        <v>2545</v>
      </c>
      <c r="C466" s="48" t="s">
        <v>27</v>
      </c>
      <c r="D466" s="48" t="s">
        <v>1406</v>
      </c>
      <c r="E466" s="48" t="s">
        <v>84</v>
      </c>
      <c r="F466" s="48"/>
      <c r="G466" s="48" t="s">
        <v>30</v>
      </c>
      <c r="H466" s="51">
        <v>200</v>
      </c>
      <c r="I466" s="49">
        <v>40</v>
      </c>
      <c r="J466" s="48" t="s">
        <v>31</v>
      </c>
      <c r="K466" s="48" t="s">
        <v>32</v>
      </c>
      <c r="L466" s="2"/>
      <c r="M466" s="126">
        <v>40</v>
      </c>
      <c r="P466" s="48" t="s">
        <v>37</v>
      </c>
      <c r="Q466" s="51">
        <v>300</v>
      </c>
    </row>
    <row r="467" spans="1:17" ht="15.75" customHeight="1">
      <c r="A467" s="50">
        <v>23</v>
      </c>
      <c r="B467" s="151" t="s">
        <v>2546</v>
      </c>
      <c r="C467" s="48" t="s">
        <v>27</v>
      </c>
      <c r="D467" s="48" t="s">
        <v>171</v>
      </c>
      <c r="E467" s="48" t="s">
        <v>145</v>
      </c>
      <c r="F467" s="48"/>
      <c r="G467" s="48" t="s">
        <v>30</v>
      </c>
      <c r="H467" s="51">
        <v>400</v>
      </c>
      <c r="I467" s="49">
        <v>80</v>
      </c>
      <c r="J467" s="48" t="s">
        <v>31</v>
      </c>
      <c r="K467" s="48" t="s">
        <v>32</v>
      </c>
      <c r="L467" s="2"/>
      <c r="M467" s="126">
        <v>60</v>
      </c>
      <c r="P467" s="391" t="s">
        <v>282</v>
      </c>
      <c r="Q467" s="392">
        <v>300</v>
      </c>
    </row>
    <row r="468" spans="1:17" ht="15.75" customHeight="1">
      <c r="A468" s="50">
        <v>23</v>
      </c>
      <c r="B468" s="151" t="s">
        <v>2547</v>
      </c>
      <c r="C468" s="48" t="s">
        <v>27</v>
      </c>
      <c r="D468" s="48" t="s">
        <v>88</v>
      </c>
      <c r="E468" s="48" t="s">
        <v>2548</v>
      </c>
      <c r="F468" s="48"/>
      <c r="G468" s="48" t="s">
        <v>30</v>
      </c>
      <c r="H468" s="51">
        <v>200</v>
      </c>
      <c r="I468" s="49">
        <v>60</v>
      </c>
      <c r="J468" s="48" t="s">
        <v>31</v>
      </c>
      <c r="K468" s="48" t="s">
        <v>32</v>
      </c>
      <c r="L468" s="2"/>
      <c r="M468" s="126">
        <v>80</v>
      </c>
      <c r="P468" s="723" t="s">
        <v>286</v>
      </c>
      <c r="Q468" s="719"/>
    </row>
    <row r="469" spans="1:17" ht="15.75" customHeight="1">
      <c r="A469" s="50">
        <v>23</v>
      </c>
      <c r="B469" s="151" t="s">
        <v>2549</v>
      </c>
      <c r="C469" s="48" t="s">
        <v>27</v>
      </c>
      <c r="D469" s="48" t="s">
        <v>173</v>
      </c>
      <c r="E469" s="48" t="s">
        <v>84</v>
      </c>
      <c r="F469" s="48"/>
      <c r="G469" s="48" t="s">
        <v>30</v>
      </c>
      <c r="H469" s="51">
        <v>500</v>
      </c>
      <c r="I469" s="49" t="s">
        <v>1586</v>
      </c>
      <c r="J469" s="48" t="s">
        <v>31</v>
      </c>
      <c r="K469" s="48" t="s">
        <v>32</v>
      </c>
      <c r="L469" s="2"/>
      <c r="P469" s="48" t="s">
        <v>1346</v>
      </c>
      <c r="Q469" s="48">
        <v>50</v>
      </c>
    </row>
    <row r="470" spans="1:17" ht="15.75" customHeight="1">
      <c r="A470" s="50">
        <v>23</v>
      </c>
      <c r="B470" s="151" t="s">
        <v>2549</v>
      </c>
      <c r="C470" s="48" t="s">
        <v>27</v>
      </c>
      <c r="D470" s="48" t="s">
        <v>173</v>
      </c>
      <c r="E470" s="48" t="s">
        <v>84</v>
      </c>
      <c r="F470" s="48"/>
      <c r="G470" s="48" t="s">
        <v>30</v>
      </c>
      <c r="H470" s="51">
        <v>2500</v>
      </c>
      <c r="I470" s="49">
        <v>500</v>
      </c>
      <c r="J470" s="48" t="s">
        <v>31</v>
      </c>
      <c r="K470" s="48" t="s">
        <v>32</v>
      </c>
      <c r="L470" s="2"/>
      <c r="P470" s="48" t="s">
        <v>2325</v>
      </c>
      <c r="Q470" s="48">
        <v>86</v>
      </c>
    </row>
    <row r="471" spans="1:17" ht="15.75" customHeight="1">
      <c r="A471" s="50">
        <v>23</v>
      </c>
      <c r="B471" s="151" t="s">
        <v>2550</v>
      </c>
      <c r="C471" s="48" t="s">
        <v>27</v>
      </c>
      <c r="D471" s="48" t="s">
        <v>100</v>
      </c>
      <c r="E471" s="48" t="s">
        <v>44</v>
      </c>
      <c r="F471" s="48"/>
      <c r="G471" s="48" t="s">
        <v>30</v>
      </c>
      <c r="H471" s="51">
        <v>500</v>
      </c>
      <c r="I471" s="49">
        <v>100</v>
      </c>
      <c r="J471" s="48" t="s">
        <v>31</v>
      </c>
      <c r="K471" s="48" t="s">
        <v>32</v>
      </c>
      <c r="L471" s="2"/>
      <c r="M471" s="126">
        <v>80</v>
      </c>
      <c r="P471" s="391" t="s">
        <v>282</v>
      </c>
      <c r="Q471" s="391">
        <v>136</v>
      </c>
    </row>
    <row r="472" spans="1:17" ht="15.75" customHeight="1">
      <c r="A472" s="50">
        <v>23</v>
      </c>
      <c r="B472" s="151" t="s">
        <v>2551</v>
      </c>
      <c r="C472" s="48" t="s">
        <v>27</v>
      </c>
      <c r="D472" s="48" t="s">
        <v>2090</v>
      </c>
      <c r="E472" s="48" t="s">
        <v>84</v>
      </c>
      <c r="F472" s="48"/>
      <c r="G472" s="48" t="s">
        <v>30</v>
      </c>
      <c r="H472" s="51">
        <v>1000</v>
      </c>
      <c r="I472" s="49">
        <v>200</v>
      </c>
      <c r="J472" s="48" t="s">
        <v>31</v>
      </c>
      <c r="K472" s="48" t="s">
        <v>32</v>
      </c>
      <c r="L472" s="2"/>
      <c r="M472" s="126">
        <v>200</v>
      </c>
      <c r="P472" s="723" t="s">
        <v>1751</v>
      </c>
      <c r="Q472" s="719"/>
    </row>
    <row r="473" spans="1:17" ht="15.75" customHeight="1">
      <c r="A473" s="50">
        <v>23</v>
      </c>
      <c r="B473" s="151" t="s">
        <v>2552</v>
      </c>
      <c r="C473" s="48" t="s">
        <v>39</v>
      </c>
      <c r="D473" s="48" t="s">
        <v>108</v>
      </c>
      <c r="E473" s="48" t="s">
        <v>36</v>
      </c>
      <c r="F473" s="48"/>
      <c r="G473" s="48" t="s">
        <v>608</v>
      </c>
      <c r="H473" s="51">
        <v>50</v>
      </c>
      <c r="I473" s="49">
        <v>150</v>
      </c>
      <c r="J473" s="48" t="s">
        <v>31</v>
      </c>
      <c r="K473" s="48" t="s">
        <v>32</v>
      </c>
      <c r="L473" s="2"/>
      <c r="P473" s="48" t="s">
        <v>33</v>
      </c>
      <c r="Q473" s="51">
        <v>2000</v>
      </c>
    </row>
    <row r="474" spans="1:17" ht="15.75" customHeight="1">
      <c r="A474" s="65">
        <v>23</v>
      </c>
      <c r="B474" s="175" t="s">
        <v>2553</v>
      </c>
      <c r="C474" s="58" t="s">
        <v>27</v>
      </c>
      <c r="D474" s="58" t="s">
        <v>804</v>
      </c>
      <c r="E474" s="58" t="s">
        <v>41</v>
      </c>
      <c r="F474" s="58"/>
      <c r="G474" s="58" t="s">
        <v>30</v>
      </c>
      <c r="H474" s="59">
        <v>1500</v>
      </c>
      <c r="I474" s="60">
        <v>300</v>
      </c>
      <c r="J474" s="58" t="s">
        <v>31</v>
      </c>
      <c r="K474" s="58" t="s">
        <v>32</v>
      </c>
      <c r="L474" s="2"/>
      <c r="M474" s="126">
        <v>1000</v>
      </c>
      <c r="P474" s="48" t="s">
        <v>37</v>
      </c>
      <c r="Q474" s="51">
        <v>0</v>
      </c>
    </row>
    <row r="475" spans="1:17" ht="15.75" customHeight="1">
      <c r="A475" s="61">
        <v>24</v>
      </c>
      <c r="B475" s="292" t="s">
        <v>2554</v>
      </c>
      <c r="C475" s="62" t="s">
        <v>27</v>
      </c>
      <c r="D475" s="62" t="s">
        <v>100</v>
      </c>
      <c r="E475" s="62" t="s">
        <v>140</v>
      </c>
      <c r="F475" s="62"/>
      <c r="G475" s="62" t="s">
        <v>30</v>
      </c>
      <c r="H475" s="63">
        <v>200</v>
      </c>
      <c r="I475" s="64">
        <v>40</v>
      </c>
      <c r="J475" s="62" t="s">
        <v>31</v>
      </c>
      <c r="K475" s="62" t="s">
        <v>32</v>
      </c>
      <c r="L475" s="2"/>
      <c r="M475" s="126">
        <v>40</v>
      </c>
      <c r="P475" s="391" t="s">
        <v>282</v>
      </c>
      <c r="Q475" s="392">
        <v>2000</v>
      </c>
    </row>
    <row r="476" spans="1:17" ht="15.75" customHeight="1">
      <c r="A476" s="61">
        <v>24</v>
      </c>
      <c r="B476" s="151" t="s">
        <v>1348</v>
      </c>
      <c r="C476" s="48" t="s">
        <v>27</v>
      </c>
      <c r="D476" s="48" t="s">
        <v>108</v>
      </c>
      <c r="E476" s="48" t="s">
        <v>36</v>
      </c>
      <c r="F476" s="48"/>
      <c r="G476" s="48" t="s">
        <v>30</v>
      </c>
      <c r="H476" s="51">
        <v>2000</v>
      </c>
      <c r="I476" s="49">
        <v>400</v>
      </c>
      <c r="J476" s="48" t="s">
        <v>31</v>
      </c>
      <c r="K476" s="48" t="s">
        <v>32</v>
      </c>
      <c r="L476" s="2"/>
      <c r="M476" s="126">
        <v>600</v>
      </c>
      <c r="P476" s="406"/>
      <c r="Q476" s="407"/>
    </row>
    <row r="477" spans="1:17" ht="15.75" customHeight="1">
      <c r="A477" s="61">
        <v>24</v>
      </c>
      <c r="B477" s="151" t="s">
        <v>2555</v>
      </c>
      <c r="C477" s="48" t="s">
        <v>27</v>
      </c>
      <c r="D477" s="408" t="s">
        <v>934</v>
      </c>
      <c r="E477" s="48" t="s">
        <v>79</v>
      </c>
      <c r="F477" s="48"/>
      <c r="G477" s="48" t="s">
        <v>30</v>
      </c>
      <c r="H477" s="51">
        <v>500</v>
      </c>
      <c r="I477" s="49">
        <v>100</v>
      </c>
      <c r="J477" s="48" t="s">
        <v>31</v>
      </c>
      <c r="K477" s="48" t="s">
        <v>32</v>
      </c>
      <c r="L477" s="2"/>
      <c r="M477" s="126">
        <v>200</v>
      </c>
      <c r="P477" s="793"/>
      <c r="Q477" s="711"/>
    </row>
    <row r="478" spans="1:17" ht="15.75" customHeight="1">
      <c r="A478" s="61">
        <v>24</v>
      </c>
      <c r="B478" s="151" t="s">
        <v>2556</v>
      </c>
      <c r="C478" s="48" t="s">
        <v>27</v>
      </c>
      <c r="D478" s="48" t="s">
        <v>369</v>
      </c>
      <c r="E478" s="48" t="s">
        <v>47</v>
      </c>
      <c r="F478" s="48"/>
      <c r="G478" s="48" t="s">
        <v>30</v>
      </c>
      <c r="H478" s="51">
        <v>500</v>
      </c>
      <c r="I478" s="49">
        <v>100</v>
      </c>
      <c r="J478" s="48" t="s">
        <v>31</v>
      </c>
      <c r="K478" s="48" t="s">
        <v>32</v>
      </c>
      <c r="L478" s="2"/>
      <c r="M478" s="126">
        <v>400</v>
      </c>
      <c r="P478" s="2"/>
      <c r="Q478" s="55"/>
    </row>
    <row r="479" spans="1:17" ht="15.75" customHeight="1">
      <c r="A479" s="61">
        <v>24</v>
      </c>
      <c r="B479" s="151" t="s">
        <v>2557</v>
      </c>
      <c r="C479" s="48" t="s">
        <v>39</v>
      </c>
      <c r="D479" s="48" t="s">
        <v>100</v>
      </c>
      <c r="E479" s="48" t="s">
        <v>51</v>
      </c>
      <c r="F479" s="48"/>
      <c r="G479" s="48" t="s">
        <v>30</v>
      </c>
      <c r="H479" s="51">
        <v>500</v>
      </c>
      <c r="I479" s="49" t="s">
        <v>1586</v>
      </c>
      <c r="J479" s="48" t="s">
        <v>31</v>
      </c>
      <c r="K479" s="48" t="s">
        <v>32</v>
      </c>
      <c r="L479" s="2"/>
      <c r="M479" s="126">
        <v>1200</v>
      </c>
      <c r="P479" s="2"/>
      <c r="Q479" s="55"/>
    </row>
    <row r="480" spans="1:17" ht="15.75" customHeight="1">
      <c r="A480" s="61">
        <v>24</v>
      </c>
      <c r="B480" s="151" t="s">
        <v>2557</v>
      </c>
      <c r="C480" s="48" t="s">
        <v>39</v>
      </c>
      <c r="D480" s="48" t="s">
        <v>100</v>
      </c>
      <c r="E480" s="48" t="s">
        <v>51</v>
      </c>
      <c r="F480" s="48"/>
      <c r="G480" s="48" t="s">
        <v>30</v>
      </c>
      <c r="H480" s="51">
        <v>1000</v>
      </c>
      <c r="I480" s="49">
        <v>200</v>
      </c>
      <c r="J480" s="48" t="s">
        <v>31</v>
      </c>
      <c r="K480" s="48" t="s">
        <v>32</v>
      </c>
      <c r="L480" s="2"/>
      <c r="P480" s="406"/>
      <c r="Q480" s="407"/>
    </row>
    <row r="481" spans="1:17" ht="15.75" customHeight="1">
      <c r="A481" s="61">
        <v>24</v>
      </c>
      <c r="B481" s="151" t="s">
        <v>2557</v>
      </c>
      <c r="C481" s="48" t="s">
        <v>39</v>
      </c>
      <c r="D481" s="48" t="s">
        <v>100</v>
      </c>
      <c r="E481" s="48" t="s">
        <v>51</v>
      </c>
      <c r="F481" s="48"/>
      <c r="G481" s="48" t="s">
        <v>1249</v>
      </c>
      <c r="H481" s="51">
        <v>200</v>
      </c>
      <c r="I481" s="49">
        <v>120</v>
      </c>
      <c r="J481" s="48" t="s">
        <v>31</v>
      </c>
      <c r="K481" s="48" t="s">
        <v>32</v>
      </c>
      <c r="L481" s="2"/>
      <c r="P481" s="723" t="s">
        <v>25</v>
      </c>
      <c r="Q481" s="719"/>
    </row>
    <row r="482" spans="1:17" ht="15.75" customHeight="1">
      <c r="A482" s="50">
        <v>24</v>
      </c>
      <c r="B482" s="151" t="s">
        <v>2558</v>
      </c>
      <c r="C482" s="48" t="s">
        <v>27</v>
      </c>
      <c r="D482" s="48" t="s">
        <v>916</v>
      </c>
      <c r="E482" s="48" t="s">
        <v>310</v>
      </c>
      <c r="F482" s="48"/>
      <c r="G482" s="48" t="s">
        <v>30</v>
      </c>
      <c r="H482" s="51">
        <v>500</v>
      </c>
      <c r="I482" s="49">
        <v>100</v>
      </c>
      <c r="J482" s="48" t="s">
        <v>31</v>
      </c>
      <c r="K482" s="48" t="s">
        <v>32</v>
      </c>
      <c r="L482" s="2"/>
      <c r="M482" s="126">
        <v>100</v>
      </c>
      <c r="P482" s="48" t="s">
        <v>33</v>
      </c>
      <c r="Q482" s="51">
        <v>28250</v>
      </c>
    </row>
    <row r="483" spans="1:17" ht="15.75" customHeight="1">
      <c r="A483" s="50">
        <v>24</v>
      </c>
      <c r="B483" s="151" t="s">
        <v>2559</v>
      </c>
      <c r="C483" s="48" t="s">
        <v>27</v>
      </c>
      <c r="D483" s="48" t="s">
        <v>916</v>
      </c>
      <c r="E483" s="48" t="s">
        <v>310</v>
      </c>
      <c r="F483" s="48"/>
      <c r="G483" s="48" t="s">
        <v>30</v>
      </c>
      <c r="H483" s="51">
        <v>500</v>
      </c>
      <c r="I483" s="49">
        <v>100</v>
      </c>
      <c r="J483" s="48" t="s">
        <v>31</v>
      </c>
      <c r="K483" s="48" t="s">
        <v>32</v>
      </c>
      <c r="L483" s="2"/>
      <c r="M483" s="126">
        <v>100</v>
      </c>
      <c r="P483" s="48" t="s">
        <v>37</v>
      </c>
      <c r="Q483" s="48">
        <v>500</v>
      </c>
    </row>
    <row r="484" spans="1:17" ht="15.75" customHeight="1">
      <c r="A484" s="384">
        <v>24</v>
      </c>
      <c r="B484" s="385" t="s">
        <v>2560</v>
      </c>
      <c r="C484" s="386" t="s">
        <v>27</v>
      </c>
      <c r="D484" s="386" t="s">
        <v>177</v>
      </c>
      <c r="E484" s="386" t="s">
        <v>223</v>
      </c>
      <c r="F484" s="386"/>
      <c r="G484" s="386" t="s">
        <v>608</v>
      </c>
      <c r="H484" s="393">
        <v>20</v>
      </c>
      <c r="I484" s="409" t="s">
        <v>1586</v>
      </c>
      <c r="J484" s="386" t="s">
        <v>31</v>
      </c>
      <c r="K484" s="386" t="s">
        <v>32</v>
      </c>
      <c r="L484" s="2"/>
      <c r="P484" s="391" t="s">
        <v>576</v>
      </c>
      <c r="Q484" s="392">
        <v>28750</v>
      </c>
    </row>
    <row r="485" spans="1:17" ht="15.75" customHeight="1">
      <c r="A485" s="50">
        <v>24</v>
      </c>
      <c r="B485" s="151" t="s">
        <v>2561</v>
      </c>
      <c r="C485" s="48" t="s">
        <v>27</v>
      </c>
      <c r="D485" s="48" t="s">
        <v>100</v>
      </c>
      <c r="E485" s="48" t="s">
        <v>44</v>
      </c>
      <c r="F485" s="48"/>
      <c r="G485" s="48" t="s">
        <v>608</v>
      </c>
      <c r="H485" s="51">
        <v>60</v>
      </c>
      <c r="I485" s="49">
        <v>180</v>
      </c>
      <c r="J485" s="48" t="s">
        <v>31</v>
      </c>
      <c r="K485" s="48" t="s">
        <v>32</v>
      </c>
      <c r="L485" s="2"/>
      <c r="P485" s="723" t="s">
        <v>286</v>
      </c>
      <c r="Q485" s="719"/>
    </row>
    <row r="486" spans="1:17" ht="15.75" customHeight="1">
      <c r="A486" s="50">
        <v>24</v>
      </c>
      <c r="B486" s="151" t="s">
        <v>2562</v>
      </c>
      <c r="C486" s="48" t="s">
        <v>27</v>
      </c>
      <c r="D486" s="48" t="s">
        <v>1307</v>
      </c>
      <c r="E486" s="48" t="s">
        <v>148</v>
      </c>
      <c r="F486" s="48"/>
      <c r="G486" s="48" t="s">
        <v>30</v>
      </c>
      <c r="H486" s="51">
        <v>50</v>
      </c>
      <c r="I486" s="49">
        <v>10</v>
      </c>
      <c r="J486" s="48" t="s">
        <v>31</v>
      </c>
      <c r="K486" s="48" t="s">
        <v>32</v>
      </c>
      <c r="L486" s="2"/>
      <c r="M486" s="126">
        <v>20</v>
      </c>
      <c r="P486" s="48" t="s">
        <v>580</v>
      </c>
      <c r="Q486" s="51">
        <v>110</v>
      </c>
    </row>
    <row r="487" spans="1:17" ht="15.75" customHeight="1">
      <c r="A487" s="50">
        <v>24</v>
      </c>
      <c r="B487" s="151" t="s">
        <v>1011</v>
      </c>
      <c r="C487" s="48" t="s">
        <v>27</v>
      </c>
      <c r="D487" s="151" t="s">
        <v>934</v>
      </c>
      <c r="E487" s="48" t="s">
        <v>44</v>
      </c>
      <c r="F487" s="48"/>
      <c r="G487" s="48" t="s">
        <v>30</v>
      </c>
      <c r="H487" s="51">
        <v>13000</v>
      </c>
      <c r="I487" s="49">
        <v>2600</v>
      </c>
      <c r="J487" s="48" t="s">
        <v>31</v>
      </c>
      <c r="K487" s="48" t="s">
        <v>32</v>
      </c>
      <c r="L487" s="2"/>
      <c r="M487" s="126">
        <v>2500</v>
      </c>
      <c r="P487" s="723" t="s">
        <v>1751</v>
      </c>
      <c r="Q487" s="719"/>
    </row>
    <row r="488" spans="1:17" ht="15.75" customHeight="1">
      <c r="A488" s="50">
        <v>24</v>
      </c>
      <c r="B488" s="151" t="s">
        <v>2563</v>
      </c>
      <c r="C488" s="48" t="s">
        <v>27</v>
      </c>
      <c r="D488" s="48" t="s">
        <v>910</v>
      </c>
      <c r="E488" s="48" t="s">
        <v>36</v>
      </c>
      <c r="F488" s="48"/>
      <c r="G488" s="48" t="s">
        <v>30</v>
      </c>
      <c r="H488" s="51">
        <v>10000</v>
      </c>
      <c r="I488" s="49">
        <v>2000</v>
      </c>
      <c r="J488" s="48" t="s">
        <v>31</v>
      </c>
      <c r="K488" s="48" t="s">
        <v>32</v>
      </c>
      <c r="L488" s="2"/>
      <c r="M488" s="126">
        <v>2500</v>
      </c>
      <c r="P488" s="48" t="s">
        <v>33</v>
      </c>
      <c r="Q488" s="51">
        <v>200</v>
      </c>
    </row>
    <row r="489" spans="1:17" ht="15.75" customHeight="1">
      <c r="A489" s="50">
        <v>24</v>
      </c>
      <c r="B489" s="151" t="s">
        <v>2563</v>
      </c>
      <c r="C489" s="48" t="s">
        <v>27</v>
      </c>
      <c r="D489" s="48" t="s">
        <v>910</v>
      </c>
      <c r="E489" s="48" t="s">
        <v>36</v>
      </c>
      <c r="F489" s="58"/>
      <c r="G489" s="58" t="s">
        <v>608</v>
      </c>
      <c r="H489" s="59">
        <v>30</v>
      </c>
      <c r="I489" s="60">
        <v>90</v>
      </c>
      <c r="J489" s="48" t="s">
        <v>31</v>
      </c>
      <c r="K489" s="48" t="s">
        <v>32</v>
      </c>
      <c r="L489" s="2"/>
      <c r="P489" s="48" t="s">
        <v>37</v>
      </c>
      <c r="Q489" s="48">
        <v>0</v>
      </c>
    </row>
    <row r="490" spans="1:17" ht="15.75" customHeight="1">
      <c r="A490" s="61">
        <v>25</v>
      </c>
      <c r="B490" s="292" t="s">
        <v>2564</v>
      </c>
      <c r="C490" s="62" t="s">
        <v>27</v>
      </c>
      <c r="D490" s="62" t="s">
        <v>387</v>
      </c>
      <c r="E490" s="62" t="s">
        <v>602</v>
      </c>
      <c r="F490" s="62"/>
      <c r="G490" s="62" t="s">
        <v>30</v>
      </c>
      <c r="H490" s="63">
        <v>100</v>
      </c>
      <c r="I490" s="64">
        <v>20</v>
      </c>
      <c r="J490" s="62" t="s">
        <v>31</v>
      </c>
      <c r="K490" s="62" t="s">
        <v>32</v>
      </c>
      <c r="L490" s="2"/>
      <c r="M490" s="126">
        <v>20</v>
      </c>
      <c r="P490" s="391" t="s">
        <v>576</v>
      </c>
      <c r="Q490" s="391">
        <v>200</v>
      </c>
    </row>
    <row r="491" spans="1:17" ht="15.75" customHeight="1">
      <c r="A491" s="50">
        <v>25</v>
      </c>
      <c r="B491" s="151" t="s">
        <v>2565</v>
      </c>
      <c r="C491" s="48" t="s">
        <v>27</v>
      </c>
      <c r="D491" s="48" t="s">
        <v>239</v>
      </c>
      <c r="E491" s="48" t="s">
        <v>44</v>
      </c>
      <c r="F491" s="48"/>
      <c r="G491" s="48" t="s">
        <v>30</v>
      </c>
      <c r="H491" s="51">
        <v>500</v>
      </c>
      <c r="I491" s="49">
        <v>150</v>
      </c>
      <c r="J491" s="48" t="s">
        <v>31</v>
      </c>
      <c r="K491" s="48" t="s">
        <v>32</v>
      </c>
      <c r="L491" s="2"/>
      <c r="M491" s="126">
        <v>150</v>
      </c>
    </row>
    <row r="492" spans="1:17" ht="15.75" customHeight="1">
      <c r="A492" s="50">
        <v>25</v>
      </c>
      <c r="B492" s="410" t="s">
        <v>2566</v>
      </c>
      <c r="C492" s="48" t="s">
        <v>27</v>
      </c>
      <c r="D492" s="48" t="s">
        <v>910</v>
      </c>
      <c r="E492" s="48" t="s">
        <v>36</v>
      </c>
      <c r="F492" s="48"/>
      <c r="G492" s="48" t="s">
        <v>30</v>
      </c>
      <c r="H492" s="51">
        <v>500</v>
      </c>
      <c r="I492" s="49">
        <v>150</v>
      </c>
      <c r="J492" s="48" t="s">
        <v>31</v>
      </c>
      <c r="K492" s="48" t="s">
        <v>32</v>
      </c>
      <c r="L492" s="2"/>
      <c r="M492" s="126">
        <v>150</v>
      </c>
    </row>
    <row r="493" spans="1:17" ht="15.75" customHeight="1">
      <c r="A493" s="50">
        <v>25</v>
      </c>
      <c r="B493" s="48" t="s">
        <v>2567</v>
      </c>
      <c r="C493" s="48" t="s">
        <v>27</v>
      </c>
      <c r="D493" s="48" t="s">
        <v>2568</v>
      </c>
      <c r="E493" s="48" t="s">
        <v>191</v>
      </c>
      <c r="F493" s="48"/>
      <c r="G493" s="48" t="s">
        <v>30</v>
      </c>
      <c r="H493" s="51">
        <v>400</v>
      </c>
      <c r="I493" s="49">
        <v>80</v>
      </c>
      <c r="J493" s="48" t="s">
        <v>31</v>
      </c>
      <c r="K493" s="48" t="s">
        <v>32</v>
      </c>
      <c r="L493" s="2"/>
      <c r="M493" s="126">
        <v>100</v>
      </c>
    </row>
    <row r="494" spans="1:17" ht="15.75" customHeight="1">
      <c r="A494" s="50">
        <v>25</v>
      </c>
      <c r="B494" s="151" t="s">
        <v>2569</v>
      </c>
      <c r="C494" s="48" t="s">
        <v>27</v>
      </c>
      <c r="D494" s="48" t="s">
        <v>123</v>
      </c>
      <c r="E494" s="48" t="s">
        <v>84</v>
      </c>
      <c r="F494" s="48"/>
      <c r="G494" s="48" t="s">
        <v>30</v>
      </c>
      <c r="H494" s="51">
        <v>200</v>
      </c>
      <c r="I494" s="49">
        <v>40</v>
      </c>
      <c r="J494" s="48" t="s">
        <v>31</v>
      </c>
      <c r="K494" s="48" t="s">
        <v>32</v>
      </c>
      <c r="L494" s="2"/>
      <c r="M494" s="126">
        <v>50</v>
      </c>
    </row>
    <row r="495" spans="1:17" ht="15.75" customHeight="1">
      <c r="A495" s="50">
        <v>25</v>
      </c>
      <c r="B495" s="151" t="s">
        <v>2570</v>
      </c>
      <c r="C495" s="48" t="s">
        <v>27</v>
      </c>
      <c r="D495" s="48" t="s">
        <v>100</v>
      </c>
      <c r="E495" s="48" t="s">
        <v>84</v>
      </c>
      <c r="F495" s="48"/>
      <c r="G495" s="48" t="s">
        <v>30</v>
      </c>
      <c r="H495" s="51">
        <v>200</v>
      </c>
      <c r="I495" s="49">
        <v>40</v>
      </c>
      <c r="J495" s="48" t="s">
        <v>31</v>
      </c>
      <c r="K495" s="48" t="s">
        <v>32</v>
      </c>
      <c r="L495" s="2"/>
      <c r="M495" s="126">
        <v>25</v>
      </c>
    </row>
    <row r="496" spans="1:17" ht="15.75" customHeight="1">
      <c r="A496" s="50">
        <v>25</v>
      </c>
      <c r="B496" s="48" t="s">
        <v>2571</v>
      </c>
      <c r="C496" s="48" t="s">
        <v>27</v>
      </c>
      <c r="D496" s="48" t="s">
        <v>100</v>
      </c>
      <c r="E496" s="48" t="s">
        <v>86</v>
      </c>
      <c r="F496" s="48"/>
      <c r="G496" s="48" t="s">
        <v>30</v>
      </c>
      <c r="H496" s="51">
        <v>1700</v>
      </c>
      <c r="I496" s="49">
        <v>340</v>
      </c>
      <c r="J496" s="48" t="s">
        <v>31</v>
      </c>
      <c r="K496" s="48" t="s">
        <v>32</v>
      </c>
      <c r="L496" s="2"/>
      <c r="M496" s="126">
        <v>400</v>
      </c>
    </row>
    <row r="497" spans="1:13" ht="15.75" customHeight="1">
      <c r="A497" s="50">
        <v>25</v>
      </c>
      <c r="B497" s="48" t="s">
        <v>2572</v>
      </c>
      <c r="C497" s="48" t="s">
        <v>27</v>
      </c>
      <c r="D497" s="48" t="s">
        <v>1320</v>
      </c>
      <c r="E497" s="48" t="s">
        <v>44</v>
      </c>
      <c r="F497" s="48"/>
      <c r="G497" s="48" t="s">
        <v>30</v>
      </c>
      <c r="H497" s="51">
        <v>1000</v>
      </c>
      <c r="I497" s="49">
        <v>200</v>
      </c>
      <c r="J497" s="48" t="s">
        <v>31</v>
      </c>
      <c r="K497" s="48" t="s">
        <v>32</v>
      </c>
      <c r="L497" s="2"/>
      <c r="M497" s="126">
        <v>200</v>
      </c>
    </row>
    <row r="498" spans="1:13" ht="15.75" customHeight="1">
      <c r="A498" s="50">
        <v>25</v>
      </c>
      <c r="B498" s="48" t="s">
        <v>1728</v>
      </c>
      <c r="C498" s="48" t="s">
        <v>27</v>
      </c>
      <c r="D498" s="48" t="s">
        <v>108</v>
      </c>
      <c r="E498" s="48" t="s">
        <v>36</v>
      </c>
      <c r="F498" s="48"/>
      <c r="G498" s="48" t="s">
        <v>30</v>
      </c>
      <c r="H498" s="51">
        <v>1500</v>
      </c>
      <c r="I498" s="49">
        <v>300</v>
      </c>
      <c r="J498" s="48" t="s">
        <v>31</v>
      </c>
      <c r="K498" s="48" t="s">
        <v>32</v>
      </c>
      <c r="L498" s="2"/>
      <c r="M498" s="126">
        <v>300</v>
      </c>
    </row>
    <row r="499" spans="1:13" ht="15.75" customHeight="1">
      <c r="A499" s="50">
        <v>25</v>
      </c>
      <c r="B499" s="48" t="s">
        <v>2573</v>
      </c>
      <c r="C499" s="48" t="s">
        <v>27</v>
      </c>
      <c r="D499" s="48" t="s">
        <v>104</v>
      </c>
      <c r="E499" s="48" t="s">
        <v>36</v>
      </c>
      <c r="F499" s="48"/>
      <c r="G499" s="48" t="s">
        <v>30</v>
      </c>
      <c r="H499" s="51">
        <v>500</v>
      </c>
      <c r="I499" s="49" t="s">
        <v>1586</v>
      </c>
      <c r="J499" s="48" t="s">
        <v>31</v>
      </c>
      <c r="K499" s="48" t="s">
        <v>32</v>
      </c>
      <c r="L499" s="2"/>
      <c r="M499" s="126">
        <v>300</v>
      </c>
    </row>
    <row r="500" spans="1:13" ht="15.75" customHeight="1">
      <c r="A500" s="50">
        <v>25</v>
      </c>
      <c r="B500" s="48" t="s">
        <v>2573</v>
      </c>
      <c r="C500" s="48" t="s">
        <v>27</v>
      </c>
      <c r="D500" s="48" t="s">
        <v>104</v>
      </c>
      <c r="E500" s="48" t="s">
        <v>36</v>
      </c>
      <c r="F500" s="48"/>
      <c r="G500" s="48" t="s">
        <v>30</v>
      </c>
      <c r="H500" s="51">
        <v>1500</v>
      </c>
      <c r="I500" s="49">
        <v>300</v>
      </c>
      <c r="J500" s="48" t="s">
        <v>31</v>
      </c>
      <c r="K500" s="48" t="s">
        <v>32</v>
      </c>
      <c r="L500" s="2"/>
    </row>
    <row r="501" spans="1:13" ht="15.75" customHeight="1">
      <c r="A501" s="50">
        <v>25</v>
      </c>
      <c r="B501" s="48" t="s">
        <v>2574</v>
      </c>
      <c r="C501" s="48" t="s">
        <v>27</v>
      </c>
      <c r="D501" s="48" t="s">
        <v>347</v>
      </c>
      <c r="E501" s="48" t="s">
        <v>245</v>
      </c>
      <c r="F501" s="48"/>
      <c r="G501" s="48" t="s">
        <v>30</v>
      </c>
      <c r="H501" s="51">
        <v>1000</v>
      </c>
      <c r="I501" s="49">
        <v>200</v>
      </c>
      <c r="J501" s="48" t="s">
        <v>31</v>
      </c>
      <c r="K501" s="48" t="s">
        <v>32</v>
      </c>
      <c r="L501" s="2"/>
      <c r="M501" s="126">
        <v>150</v>
      </c>
    </row>
    <row r="502" spans="1:13" ht="15.75" customHeight="1">
      <c r="A502" s="50">
        <v>25</v>
      </c>
      <c r="B502" s="151" t="s">
        <v>2575</v>
      </c>
      <c r="C502" s="48" t="s">
        <v>27</v>
      </c>
      <c r="D502" s="48" t="s">
        <v>637</v>
      </c>
      <c r="E502" s="48" t="s">
        <v>54</v>
      </c>
      <c r="F502" s="48"/>
      <c r="G502" s="48" t="s">
        <v>30</v>
      </c>
      <c r="H502" s="51">
        <v>1500</v>
      </c>
      <c r="I502" s="49">
        <v>300</v>
      </c>
      <c r="J502" s="48" t="s">
        <v>31</v>
      </c>
      <c r="K502" s="48" t="s">
        <v>32</v>
      </c>
      <c r="L502" s="2"/>
      <c r="M502" s="126">
        <v>400</v>
      </c>
    </row>
    <row r="503" spans="1:13" ht="15.75" customHeight="1">
      <c r="A503" s="65">
        <v>25</v>
      </c>
      <c r="B503" s="58" t="s">
        <v>2576</v>
      </c>
      <c r="C503" s="58" t="s">
        <v>27</v>
      </c>
      <c r="D503" s="58" t="s">
        <v>108</v>
      </c>
      <c r="E503" s="58" t="s">
        <v>36</v>
      </c>
      <c r="F503" s="58"/>
      <c r="G503" s="58" t="s">
        <v>30</v>
      </c>
      <c r="H503" s="59">
        <v>2500</v>
      </c>
      <c r="I503" s="60">
        <v>500</v>
      </c>
      <c r="J503" s="58" t="s">
        <v>31</v>
      </c>
      <c r="K503" s="58" t="s">
        <v>32</v>
      </c>
      <c r="L503" s="2"/>
      <c r="M503" s="126">
        <v>500</v>
      </c>
    </row>
    <row r="504" spans="1:13" ht="15.75" customHeight="1">
      <c r="A504" s="61">
        <v>26</v>
      </c>
      <c r="B504" s="62" t="s">
        <v>2577</v>
      </c>
      <c r="C504" s="62" t="s">
        <v>27</v>
      </c>
      <c r="D504" s="62" t="s">
        <v>108</v>
      </c>
      <c r="E504" s="62" t="s">
        <v>36</v>
      </c>
      <c r="F504" s="62"/>
      <c r="G504" s="62" t="s">
        <v>30</v>
      </c>
      <c r="H504" s="63">
        <v>500</v>
      </c>
      <c r="I504" s="64">
        <v>100</v>
      </c>
      <c r="J504" s="62" t="s">
        <v>31</v>
      </c>
      <c r="K504" s="62" t="s">
        <v>32</v>
      </c>
      <c r="L504" s="2"/>
      <c r="M504" s="126">
        <v>150</v>
      </c>
    </row>
    <row r="505" spans="1:13" ht="15.75" customHeight="1">
      <c r="A505" s="61">
        <v>26</v>
      </c>
      <c r="B505" s="292" t="s">
        <v>2578</v>
      </c>
      <c r="C505" s="62" t="s">
        <v>27</v>
      </c>
      <c r="D505" s="62" t="s">
        <v>2053</v>
      </c>
      <c r="E505" s="62" t="s">
        <v>86</v>
      </c>
      <c r="F505" s="62"/>
      <c r="G505" s="62" t="s">
        <v>30</v>
      </c>
      <c r="H505" s="63">
        <v>200</v>
      </c>
      <c r="I505" s="64">
        <v>60</v>
      </c>
      <c r="J505" s="62" t="s">
        <v>31</v>
      </c>
      <c r="K505" s="62" t="s">
        <v>32</v>
      </c>
      <c r="L505" s="2"/>
      <c r="M505" s="126">
        <v>100</v>
      </c>
    </row>
    <row r="506" spans="1:13" ht="15.75" customHeight="1">
      <c r="A506" s="61">
        <v>26</v>
      </c>
      <c r="B506" s="411" t="s">
        <v>2566</v>
      </c>
      <c r="C506" s="62" t="s">
        <v>27</v>
      </c>
      <c r="D506" s="62" t="s">
        <v>910</v>
      </c>
      <c r="E506" s="62" t="s">
        <v>36</v>
      </c>
      <c r="F506" s="62"/>
      <c r="G506" s="62" t="s">
        <v>30</v>
      </c>
      <c r="H506" s="63">
        <v>500</v>
      </c>
      <c r="I506" s="64">
        <v>100</v>
      </c>
      <c r="J506" s="62" t="s">
        <v>31</v>
      </c>
      <c r="K506" s="62" t="s">
        <v>32</v>
      </c>
      <c r="L506" s="2"/>
      <c r="M506" s="126">
        <v>100</v>
      </c>
    </row>
    <row r="507" spans="1:13" ht="15.75" customHeight="1">
      <c r="A507" s="61">
        <v>26</v>
      </c>
      <c r="B507" s="292" t="s">
        <v>2579</v>
      </c>
      <c r="C507" s="62" t="s">
        <v>27</v>
      </c>
      <c r="D507" s="62" t="s">
        <v>371</v>
      </c>
      <c r="E507" s="62" t="s">
        <v>245</v>
      </c>
      <c r="F507" s="62"/>
      <c r="G507" s="62" t="s">
        <v>30</v>
      </c>
      <c r="H507" s="63">
        <v>500</v>
      </c>
      <c r="I507" s="64">
        <v>100</v>
      </c>
      <c r="J507" s="62" t="s">
        <v>31</v>
      </c>
      <c r="K507" s="62" t="s">
        <v>32</v>
      </c>
      <c r="L507" s="2"/>
      <c r="M507" s="126">
        <v>100</v>
      </c>
    </row>
    <row r="508" spans="1:13" ht="15.75" customHeight="1">
      <c r="A508" s="61">
        <v>26</v>
      </c>
      <c r="B508" s="292" t="s">
        <v>2580</v>
      </c>
      <c r="C508" s="62" t="s">
        <v>39</v>
      </c>
      <c r="D508" s="62" t="s">
        <v>1087</v>
      </c>
      <c r="E508" s="62" t="s">
        <v>84</v>
      </c>
      <c r="F508" s="62"/>
      <c r="G508" s="62" t="s">
        <v>30</v>
      </c>
      <c r="H508" s="63">
        <v>150</v>
      </c>
      <c r="I508" s="64">
        <v>45</v>
      </c>
      <c r="J508" s="62" t="s">
        <v>31</v>
      </c>
      <c r="K508" s="62" t="s">
        <v>32</v>
      </c>
      <c r="L508" s="2"/>
      <c r="M508" s="126">
        <v>50</v>
      </c>
    </row>
    <row r="509" spans="1:13" ht="15.75" customHeight="1">
      <c r="A509" s="61">
        <v>26</v>
      </c>
      <c r="B509" s="292" t="s">
        <v>1611</v>
      </c>
      <c r="C509" s="62" t="s">
        <v>27</v>
      </c>
      <c r="D509" s="62" t="s">
        <v>100</v>
      </c>
      <c r="E509" s="62" t="s">
        <v>839</v>
      </c>
      <c r="F509" s="62"/>
      <c r="G509" s="62" t="s">
        <v>30</v>
      </c>
      <c r="H509" s="63">
        <v>1000</v>
      </c>
      <c r="I509" s="64">
        <v>200</v>
      </c>
      <c r="J509" s="62" t="s">
        <v>31</v>
      </c>
      <c r="K509" s="62" t="s">
        <v>32</v>
      </c>
      <c r="L509" s="2"/>
      <c r="M509" s="126">
        <v>216</v>
      </c>
    </row>
    <row r="510" spans="1:13" ht="15.75" customHeight="1">
      <c r="A510" s="61">
        <v>26</v>
      </c>
      <c r="B510" s="292" t="s">
        <v>2581</v>
      </c>
      <c r="C510" s="62" t="s">
        <v>39</v>
      </c>
      <c r="D510" s="62" t="s">
        <v>371</v>
      </c>
      <c r="E510" s="62" t="s">
        <v>245</v>
      </c>
      <c r="F510" s="62"/>
      <c r="G510" s="62" t="s">
        <v>30</v>
      </c>
      <c r="H510" s="63">
        <v>500</v>
      </c>
      <c r="I510" s="64">
        <v>100</v>
      </c>
      <c r="J510" s="62" t="s">
        <v>31</v>
      </c>
      <c r="K510" s="62" t="s">
        <v>32</v>
      </c>
      <c r="L510" s="2"/>
      <c r="M510" s="126">
        <v>100</v>
      </c>
    </row>
    <row r="511" spans="1:13" ht="15.75" customHeight="1">
      <c r="A511" s="61">
        <v>26</v>
      </c>
      <c r="B511" s="292" t="s">
        <v>1885</v>
      </c>
      <c r="C511" s="62" t="s">
        <v>27</v>
      </c>
      <c r="D511" s="62" t="s">
        <v>2582</v>
      </c>
      <c r="E511" s="62" t="s">
        <v>223</v>
      </c>
      <c r="F511" s="62"/>
      <c r="G511" s="62" t="s">
        <v>30</v>
      </c>
      <c r="H511" s="63">
        <v>500</v>
      </c>
      <c r="I511" s="64">
        <v>100</v>
      </c>
      <c r="J511" s="62" t="s">
        <v>31</v>
      </c>
      <c r="K511" s="62" t="s">
        <v>32</v>
      </c>
      <c r="L511" s="2"/>
      <c r="M511" s="126">
        <v>100</v>
      </c>
    </row>
    <row r="512" spans="1:13" ht="15.75" customHeight="1">
      <c r="A512" s="61">
        <v>26</v>
      </c>
      <c r="B512" s="292" t="s">
        <v>2583</v>
      </c>
      <c r="C512" s="62" t="s">
        <v>27</v>
      </c>
      <c r="D512" s="62" t="s">
        <v>2584</v>
      </c>
      <c r="E512" s="62" t="s">
        <v>44</v>
      </c>
      <c r="F512" s="62"/>
      <c r="G512" s="62" t="s">
        <v>30</v>
      </c>
      <c r="H512" s="63">
        <v>150</v>
      </c>
      <c r="I512" s="64">
        <v>45</v>
      </c>
      <c r="J512" s="62" t="s">
        <v>31</v>
      </c>
      <c r="K512" s="62" t="s">
        <v>32</v>
      </c>
      <c r="L512" s="2"/>
      <c r="M512" s="126">
        <v>50</v>
      </c>
    </row>
    <row r="513" spans="1:19" ht="15.75" customHeight="1">
      <c r="A513" s="61">
        <v>26</v>
      </c>
      <c r="B513" s="292" t="s">
        <v>2585</v>
      </c>
      <c r="C513" s="62" t="s">
        <v>27</v>
      </c>
      <c r="D513" s="62" t="s">
        <v>371</v>
      </c>
      <c r="E513" s="62" t="s">
        <v>245</v>
      </c>
      <c r="F513" s="62"/>
      <c r="G513" s="62" t="s">
        <v>30</v>
      </c>
      <c r="H513" s="63">
        <v>500</v>
      </c>
      <c r="I513" s="64">
        <v>100</v>
      </c>
      <c r="J513" s="62" t="s">
        <v>31</v>
      </c>
      <c r="K513" s="62" t="s">
        <v>32</v>
      </c>
      <c r="L513" s="2"/>
      <c r="M513" s="126">
        <v>40</v>
      </c>
    </row>
    <row r="514" spans="1:19" ht="15.75" customHeight="1">
      <c r="A514" s="61">
        <v>26</v>
      </c>
      <c r="B514" s="292" t="s">
        <v>2586</v>
      </c>
      <c r="C514" s="62" t="s">
        <v>27</v>
      </c>
      <c r="D514" s="62" t="s">
        <v>1774</v>
      </c>
      <c r="E514" s="62" t="s">
        <v>102</v>
      </c>
      <c r="F514" s="62"/>
      <c r="G514" s="62" t="s">
        <v>30</v>
      </c>
      <c r="H514" s="63">
        <v>100</v>
      </c>
      <c r="I514" s="64">
        <v>20</v>
      </c>
      <c r="J514" s="62" t="s">
        <v>31</v>
      </c>
      <c r="K514" s="62" t="s">
        <v>32</v>
      </c>
      <c r="L514" s="2"/>
      <c r="M514" s="126">
        <v>25</v>
      </c>
    </row>
    <row r="515" spans="1:19" ht="15.75" customHeight="1">
      <c r="A515" s="65">
        <v>26</v>
      </c>
      <c r="B515" s="175" t="s">
        <v>2587</v>
      </c>
      <c r="C515" s="58" t="s">
        <v>27</v>
      </c>
      <c r="D515" s="58" t="s">
        <v>79</v>
      </c>
      <c r="E515" s="58" t="s">
        <v>145</v>
      </c>
      <c r="F515" s="58"/>
      <c r="G515" s="58" t="s">
        <v>30</v>
      </c>
      <c r="H515" s="59">
        <v>500</v>
      </c>
      <c r="I515" s="60">
        <v>150</v>
      </c>
      <c r="J515" s="58" t="s">
        <v>31</v>
      </c>
      <c r="K515" s="58" t="s">
        <v>32</v>
      </c>
      <c r="L515" s="2"/>
      <c r="M515" s="126">
        <v>500</v>
      </c>
    </row>
    <row r="516" spans="1:19" ht="15.75" customHeight="1">
      <c r="A516" s="61">
        <v>27</v>
      </c>
      <c r="B516" s="292" t="s">
        <v>2588</v>
      </c>
      <c r="C516" s="62" t="s">
        <v>27</v>
      </c>
      <c r="D516" s="62" t="s">
        <v>2154</v>
      </c>
      <c r="E516" s="62" t="s">
        <v>223</v>
      </c>
      <c r="F516" s="62"/>
      <c r="G516" s="62" t="s">
        <v>30</v>
      </c>
      <c r="H516" s="63">
        <v>2000</v>
      </c>
      <c r="I516" s="64">
        <v>600</v>
      </c>
      <c r="J516" s="62" t="s">
        <v>31</v>
      </c>
      <c r="K516" s="62" t="s">
        <v>32</v>
      </c>
      <c r="L516" s="2"/>
      <c r="M516" s="126">
        <v>600</v>
      </c>
    </row>
    <row r="517" spans="1:19" ht="15.75" customHeight="1">
      <c r="A517" s="61">
        <v>27</v>
      </c>
      <c r="B517" s="376" t="s">
        <v>625</v>
      </c>
      <c r="C517" s="376" t="s">
        <v>27</v>
      </c>
      <c r="D517" s="376" t="s">
        <v>841</v>
      </c>
      <c r="E517" s="376" t="s">
        <v>41</v>
      </c>
      <c r="F517" s="376"/>
      <c r="G517" s="376" t="s">
        <v>579</v>
      </c>
      <c r="H517" s="377">
        <v>6000</v>
      </c>
      <c r="I517" s="412">
        <v>6000</v>
      </c>
      <c r="J517" s="62" t="s">
        <v>31</v>
      </c>
      <c r="K517" s="62" t="s">
        <v>32</v>
      </c>
      <c r="L517" s="2"/>
    </row>
    <row r="518" spans="1:19" ht="15.75" customHeight="1">
      <c r="A518" s="61">
        <v>27</v>
      </c>
      <c r="B518" s="292" t="s">
        <v>2589</v>
      </c>
      <c r="C518" s="62" t="s">
        <v>27</v>
      </c>
      <c r="D518" s="62" t="s">
        <v>110</v>
      </c>
      <c r="E518" s="62" t="s">
        <v>36</v>
      </c>
      <c r="F518" s="62"/>
      <c r="G518" s="62" t="s">
        <v>1249</v>
      </c>
      <c r="H518" s="63">
        <v>600</v>
      </c>
      <c r="I518" s="64">
        <v>360</v>
      </c>
      <c r="J518" s="62" t="s">
        <v>31</v>
      </c>
      <c r="K518" s="62" t="s">
        <v>32</v>
      </c>
      <c r="L518" s="2"/>
      <c r="M518" s="126">
        <v>1000</v>
      </c>
    </row>
    <row r="519" spans="1:19" ht="15.75" customHeight="1">
      <c r="A519" s="61">
        <v>27</v>
      </c>
      <c r="B519" s="292" t="s">
        <v>2589</v>
      </c>
      <c r="C519" s="62" t="s">
        <v>27</v>
      </c>
      <c r="D519" s="62" t="s">
        <v>110</v>
      </c>
      <c r="E519" s="62" t="s">
        <v>36</v>
      </c>
      <c r="F519" s="62"/>
      <c r="G519" s="62" t="s">
        <v>115</v>
      </c>
      <c r="H519" s="63">
        <v>1000</v>
      </c>
      <c r="I519" s="64">
        <v>1000</v>
      </c>
      <c r="J519" s="62"/>
      <c r="K519" s="62"/>
      <c r="L519" s="2"/>
    </row>
    <row r="520" spans="1:19" ht="15.75" customHeight="1">
      <c r="A520" s="61">
        <v>27</v>
      </c>
      <c r="B520" s="292" t="s">
        <v>2590</v>
      </c>
      <c r="C520" s="62" t="s">
        <v>27</v>
      </c>
      <c r="D520" s="62" t="s">
        <v>657</v>
      </c>
      <c r="E520" s="62" t="s">
        <v>73</v>
      </c>
      <c r="F520" s="62"/>
      <c r="G520" s="62" t="s">
        <v>30</v>
      </c>
      <c r="H520" s="63">
        <v>500</v>
      </c>
      <c r="I520" s="64">
        <v>100</v>
      </c>
      <c r="J520" s="62" t="s">
        <v>31</v>
      </c>
      <c r="K520" s="62" t="s">
        <v>32</v>
      </c>
      <c r="L520" s="2"/>
      <c r="M520" s="126">
        <v>100</v>
      </c>
    </row>
    <row r="521" spans="1:19" ht="15.75" customHeight="1">
      <c r="A521" s="50">
        <v>27</v>
      </c>
      <c r="B521" s="151" t="s">
        <v>2591</v>
      </c>
      <c r="C521" s="48" t="s">
        <v>27</v>
      </c>
      <c r="D521" s="48" t="s">
        <v>733</v>
      </c>
      <c r="E521" s="48" t="s">
        <v>36</v>
      </c>
      <c r="F521" s="48"/>
      <c r="G521" s="48" t="s">
        <v>30</v>
      </c>
      <c r="H521" s="51">
        <v>500</v>
      </c>
      <c r="I521" s="49">
        <v>100</v>
      </c>
      <c r="J521" s="48" t="s">
        <v>31</v>
      </c>
      <c r="K521" s="48" t="s">
        <v>32</v>
      </c>
      <c r="L521" s="2"/>
      <c r="M521" s="126">
        <v>200</v>
      </c>
    </row>
    <row r="522" spans="1:19" ht="15.75" customHeight="1">
      <c r="A522" s="50">
        <v>27</v>
      </c>
      <c r="B522" s="48" t="s">
        <v>2592</v>
      </c>
      <c r="C522" s="48" t="s">
        <v>27</v>
      </c>
      <c r="D522" s="48" t="s">
        <v>756</v>
      </c>
      <c r="E522" s="48" t="s">
        <v>36</v>
      </c>
      <c r="F522" s="48"/>
      <c r="G522" s="48" t="s">
        <v>1249</v>
      </c>
      <c r="H522" s="51">
        <v>200</v>
      </c>
      <c r="I522" s="49">
        <v>120</v>
      </c>
      <c r="J522" s="48" t="s">
        <v>31</v>
      </c>
      <c r="K522" s="48" t="s">
        <v>32</v>
      </c>
      <c r="L522" s="2"/>
      <c r="M522" s="126">
        <v>300</v>
      </c>
      <c r="P522" s="792" t="s">
        <v>2593</v>
      </c>
      <c r="Q522" s="719"/>
    </row>
    <row r="523" spans="1:19" ht="15.75" customHeight="1">
      <c r="A523" s="50">
        <v>27</v>
      </c>
      <c r="B523" s="151" t="s">
        <v>2594</v>
      </c>
      <c r="C523" s="48" t="s">
        <v>27</v>
      </c>
      <c r="D523" s="48" t="s">
        <v>1307</v>
      </c>
      <c r="E523" s="48" t="s">
        <v>148</v>
      </c>
      <c r="F523" s="48"/>
      <c r="G523" s="48" t="s">
        <v>30</v>
      </c>
      <c r="H523" s="51">
        <v>500</v>
      </c>
      <c r="I523" s="49">
        <v>100</v>
      </c>
      <c r="J523" s="48" t="s">
        <v>31</v>
      </c>
      <c r="K523" s="48" t="s">
        <v>32</v>
      </c>
      <c r="L523" s="2"/>
      <c r="M523" s="126">
        <v>80</v>
      </c>
      <c r="P523" s="723" t="s">
        <v>25</v>
      </c>
      <c r="Q523" s="719"/>
      <c r="R523" s="413" t="s">
        <v>2595</v>
      </c>
      <c r="S523" s="413" t="s">
        <v>2596</v>
      </c>
    </row>
    <row r="524" spans="1:19" ht="15.75" customHeight="1">
      <c r="A524" s="50">
        <v>27</v>
      </c>
      <c r="B524" s="151" t="s">
        <v>2597</v>
      </c>
      <c r="C524" s="48" t="s">
        <v>27</v>
      </c>
      <c r="D524" s="48" t="s">
        <v>2598</v>
      </c>
      <c r="E524" s="48" t="s">
        <v>86</v>
      </c>
      <c r="F524" s="48"/>
      <c r="G524" s="48" t="s">
        <v>30</v>
      </c>
      <c r="H524" s="51">
        <v>1000</v>
      </c>
      <c r="I524" s="49">
        <v>200</v>
      </c>
      <c r="J524" s="48" t="s">
        <v>31</v>
      </c>
      <c r="K524" s="48" t="s">
        <v>32</v>
      </c>
      <c r="L524" s="2"/>
      <c r="M524" s="126">
        <v>60</v>
      </c>
      <c r="P524" s="48" t="s">
        <v>33</v>
      </c>
      <c r="Q524" s="51">
        <v>27200</v>
      </c>
      <c r="S524" s="55"/>
    </row>
    <row r="525" spans="1:19" ht="15.75" customHeight="1">
      <c r="A525" s="50">
        <v>27</v>
      </c>
      <c r="B525" s="151" t="s">
        <v>2599</v>
      </c>
      <c r="C525" s="48" t="s">
        <v>27</v>
      </c>
      <c r="D525" s="48" t="s">
        <v>988</v>
      </c>
      <c r="E525" s="48" t="s">
        <v>44</v>
      </c>
      <c r="F525" s="48"/>
      <c r="G525" s="48" t="s">
        <v>30</v>
      </c>
      <c r="H525" s="51">
        <v>1500</v>
      </c>
      <c r="I525" s="49">
        <v>450</v>
      </c>
      <c r="J525" s="48" t="s">
        <v>31</v>
      </c>
      <c r="K525" s="48" t="s">
        <v>32</v>
      </c>
      <c r="L525" s="2"/>
      <c r="M525" s="126">
        <v>400</v>
      </c>
      <c r="P525" s="48" t="s">
        <v>37</v>
      </c>
      <c r="Q525" s="51">
        <v>5175</v>
      </c>
      <c r="S525" s="55"/>
    </row>
    <row r="526" spans="1:19" ht="15.75" customHeight="1">
      <c r="A526" s="50">
        <v>27</v>
      </c>
      <c r="B526" s="48" t="s">
        <v>2600</v>
      </c>
      <c r="C526" s="48" t="s">
        <v>27</v>
      </c>
      <c r="D526" s="48" t="s">
        <v>266</v>
      </c>
      <c r="E526" s="48" t="s">
        <v>79</v>
      </c>
      <c r="F526" s="48"/>
      <c r="G526" s="48" t="s">
        <v>30</v>
      </c>
      <c r="H526" s="51">
        <v>1500</v>
      </c>
      <c r="I526" s="49">
        <v>300</v>
      </c>
      <c r="J526" s="48" t="s">
        <v>31</v>
      </c>
      <c r="K526" s="48" t="s">
        <v>32</v>
      </c>
      <c r="L526" s="2"/>
      <c r="M526" s="126">
        <v>200</v>
      </c>
      <c r="P526" s="391" t="s">
        <v>282</v>
      </c>
      <c r="Q526" s="392">
        <v>32375</v>
      </c>
      <c r="S526" s="55"/>
    </row>
    <row r="527" spans="1:19" ht="15.75" customHeight="1">
      <c r="A527" s="50">
        <v>27</v>
      </c>
      <c r="B527" s="48" t="s">
        <v>2601</v>
      </c>
      <c r="C527" s="48" t="s">
        <v>27</v>
      </c>
      <c r="D527" s="48" t="s">
        <v>191</v>
      </c>
      <c r="E527" s="48" t="s">
        <v>47</v>
      </c>
      <c r="F527" s="48"/>
      <c r="G527" s="48" t="s">
        <v>30</v>
      </c>
      <c r="H527" s="51">
        <v>1000</v>
      </c>
      <c r="I527" s="49">
        <v>200</v>
      </c>
      <c r="J527" s="48" t="s">
        <v>31</v>
      </c>
      <c r="K527" s="48" t="s">
        <v>32</v>
      </c>
      <c r="L527" s="2"/>
      <c r="M527" s="126">
        <v>300</v>
      </c>
      <c r="P527" s="723" t="s">
        <v>586</v>
      </c>
      <c r="Q527" s="719"/>
    </row>
    <row r="528" spans="1:19" ht="15.75" customHeight="1">
      <c r="A528" s="50">
        <v>27</v>
      </c>
      <c r="B528" s="48" t="s">
        <v>2602</v>
      </c>
      <c r="C528" s="48" t="s">
        <v>27</v>
      </c>
      <c r="D528" s="48" t="s">
        <v>882</v>
      </c>
      <c r="E528" s="48" t="s">
        <v>51</v>
      </c>
      <c r="F528" s="48"/>
      <c r="G528" s="48" t="s">
        <v>30</v>
      </c>
      <c r="H528" s="51">
        <v>1000</v>
      </c>
      <c r="I528" s="49">
        <v>200</v>
      </c>
      <c r="J528" s="48" t="s">
        <v>31</v>
      </c>
      <c r="K528" s="48" t="s">
        <v>32</v>
      </c>
      <c r="L528" s="2"/>
      <c r="M528" s="126">
        <v>400</v>
      </c>
      <c r="P528" s="48" t="s">
        <v>33</v>
      </c>
      <c r="Q528" s="51">
        <v>6000</v>
      </c>
    </row>
    <row r="529" spans="1:26" ht="15.75" customHeight="1">
      <c r="A529" s="50">
        <v>27</v>
      </c>
      <c r="B529" s="151" t="s">
        <v>2603</v>
      </c>
      <c r="C529" s="48" t="s">
        <v>27</v>
      </c>
      <c r="D529" s="48" t="s">
        <v>96</v>
      </c>
      <c r="E529" s="48" t="s">
        <v>44</v>
      </c>
      <c r="F529" s="48"/>
      <c r="G529" s="48" t="s">
        <v>30</v>
      </c>
      <c r="H529" s="51">
        <v>4000</v>
      </c>
      <c r="I529" s="49" t="s">
        <v>1586</v>
      </c>
      <c r="J529" s="48" t="s">
        <v>31</v>
      </c>
      <c r="K529" s="48" t="s">
        <v>32</v>
      </c>
      <c r="L529" s="2"/>
      <c r="M529" s="126">
        <v>1000</v>
      </c>
      <c r="P529" s="48" t="s">
        <v>37</v>
      </c>
      <c r="Q529" s="51">
        <v>500</v>
      </c>
    </row>
    <row r="530" spans="1:26" ht="15.75" customHeight="1">
      <c r="A530" s="414">
        <v>27</v>
      </c>
      <c r="B530" s="151" t="s">
        <v>2604</v>
      </c>
      <c r="C530" s="48" t="s">
        <v>39</v>
      </c>
      <c r="D530" s="48" t="s">
        <v>108</v>
      </c>
      <c r="E530" s="48" t="s">
        <v>36</v>
      </c>
      <c r="F530" s="48"/>
      <c r="G530" s="48" t="s">
        <v>30</v>
      </c>
      <c r="H530" s="51">
        <v>500</v>
      </c>
      <c r="I530" s="49" t="s">
        <v>1586</v>
      </c>
      <c r="J530" s="48" t="s">
        <v>31</v>
      </c>
      <c r="K530" s="48" t="s">
        <v>32</v>
      </c>
      <c r="L530" s="2"/>
      <c r="M530" s="126">
        <v>100</v>
      </c>
      <c r="P530" s="391" t="s">
        <v>282</v>
      </c>
      <c r="Q530" s="392">
        <v>6500</v>
      </c>
    </row>
    <row r="531" spans="1:26" ht="15.75" customHeight="1">
      <c r="A531" s="50">
        <v>27</v>
      </c>
      <c r="B531" s="151" t="s">
        <v>2605</v>
      </c>
      <c r="C531" s="48" t="s">
        <v>39</v>
      </c>
      <c r="D531" s="48" t="s">
        <v>407</v>
      </c>
      <c r="E531" s="48" t="s">
        <v>44</v>
      </c>
      <c r="F531" s="48"/>
      <c r="G531" s="48" t="s">
        <v>30</v>
      </c>
      <c r="H531" s="51">
        <v>125</v>
      </c>
      <c r="I531" s="49" t="s">
        <v>1586</v>
      </c>
      <c r="J531" s="48" t="s">
        <v>31</v>
      </c>
      <c r="K531" s="48" t="s">
        <v>32</v>
      </c>
      <c r="L531" s="2"/>
      <c r="M531" s="126">
        <v>30</v>
      </c>
      <c r="P531" s="723" t="s">
        <v>57</v>
      </c>
      <c r="Q531" s="719"/>
    </row>
    <row r="532" spans="1:26" ht="15.75" customHeight="1">
      <c r="A532" s="50">
        <v>27</v>
      </c>
      <c r="B532" s="151" t="s">
        <v>2606</v>
      </c>
      <c r="C532" s="48" t="s">
        <v>39</v>
      </c>
      <c r="D532" s="48" t="s">
        <v>153</v>
      </c>
      <c r="E532" s="48" t="s">
        <v>36</v>
      </c>
      <c r="F532" s="48"/>
      <c r="G532" s="48" t="s">
        <v>30</v>
      </c>
      <c r="H532" s="51">
        <v>50</v>
      </c>
      <c r="I532" s="49" t="s">
        <v>1586</v>
      </c>
      <c r="J532" s="48" t="s">
        <v>31</v>
      </c>
      <c r="K532" s="48" t="s">
        <v>32</v>
      </c>
      <c r="L532" s="2"/>
      <c r="M532" s="126">
        <v>20</v>
      </c>
      <c r="P532" s="48" t="s">
        <v>33</v>
      </c>
      <c r="Q532" s="51">
        <v>1000</v>
      </c>
    </row>
    <row r="533" spans="1:26" ht="15.75" customHeight="1">
      <c r="A533" s="382">
        <v>27</v>
      </c>
      <c r="B533" s="48" t="s">
        <v>504</v>
      </c>
      <c r="C533" s="48" t="s">
        <v>27</v>
      </c>
      <c r="D533" s="151" t="s">
        <v>153</v>
      </c>
      <c r="E533" s="48" t="s">
        <v>36</v>
      </c>
      <c r="F533" s="48"/>
      <c r="G533" s="48" t="s">
        <v>1249</v>
      </c>
      <c r="H533" s="51">
        <v>5000</v>
      </c>
      <c r="I533" s="49" t="s">
        <v>1586</v>
      </c>
      <c r="J533" s="48" t="s">
        <v>1822</v>
      </c>
      <c r="K533" s="48" t="s">
        <v>32</v>
      </c>
      <c r="L533" s="2"/>
      <c r="P533" s="48" t="s">
        <v>37</v>
      </c>
      <c r="Q533" s="51">
        <v>7000</v>
      </c>
      <c r="S533" s="55"/>
    </row>
    <row r="534" spans="1:26" ht="15.75" customHeight="1">
      <c r="A534" s="382">
        <v>27</v>
      </c>
      <c r="B534" s="48" t="s">
        <v>504</v>
      </c>
      <c r="C534" s="48" t="s">
        <v>27</v>
      </c>
      <c r="D534" s="151" t="s">
        <v>153</v>
      </c>
      <c r="E534" s="48" t="s">
        <v>36</v>
      </c>
      <c r="F534" s="48"/>
      <c r="G534" s="151" t="s">
        <v>115</v>
      </c>
      <c r="H534" s="51">
        <v>5000</v>
      </c>
      <c r="I534" s="49" t="s">
        <v>1586</v>
      </c>
      <c r="J534" s="48" t="s">
        <v>31</v>
      </c>
      <c r="K534" s="48" t="s">
        <v>32</v>
      </c>
      <c r="L534" s="2"/>
      <c r="P534" s="391" t="s">
        <v>282</v>
      </c>
      <c r="Q534" s="392">
        <v>8000</v>
      </c>
    </row>
    <row r="535" spans="1:26" ht="15.75" customHeight="1">
      <c r="A535" s="50">
        <v>27</v>
      </c>
      <c r="B535" s="48" t="s">
        <v>2607</v>
      </c>
      <c r="C535" s="48" t="s">
        <v>27</v>
      </c>
      <c r="D535" s="48" t="s">
        <v>2608</v>
      </c>
      <c r="E535" s="48" t="s">
        <v>89</v>
      </c>
      <c r="F535" s="48"/>
      <c r="G535" s="48" t="s">
        <v>1249</v>
      </c>
      <c r="H535" s="51">
        <v>2000</v>
      </c>
      <c r="I535" s="49" t="s">
        <v>1586</v>
      </c>
      <c r="J535" s="48" t="s">
        <v>1822</v>
      </c>
      <c r="K535" s="48" t="s">
        <v>32</v>
      </c>
      <c r="L535" s="2"/>
      <c r="P535" s="723" t="s">
        <v>1751</v>
      </c>
      <c r="Q535" s="719"/>
    </row>
    <row r="536" spans="1:26" ht="15.75" customHeight="1">
      <c r="A536" s="50">
        <v>27</v>
      </c>
      <c r="B536" s="48" t="s">
        <v>2607</v>
      </c>
      <c r="C536" s="48" t="s">
        <v>27</v>
      </c>
      <c r="D536" s="48" t="s">
        <v>2608</v>
      </c>
      <c r="E536" s="48" t="s">
        <v>89</v>
      </c>
      <c r="F536" s="48"/>
      <c r="G536" s="151" t="s">
        <v>115</v>
      </c>
      <c r="H536" s="51">
        <v>1000</v>
      </c>
      <c r="I536" s="49" t="s">
        <v>1586</v>
      </c>
      <c r="J536" s="48" t="s">
        <v>31</v>
      </c>
      <c r="K536" s="48" t="s">
        <v>32</v>
      </c>
      <c r="L536" s="2"/>
      <c r="P536" s="48" t="s">
        <v>33</v>
      </c>
      <c r="Q536" s="51">
        <v>800</v>
      </c>
      <c r="S536" s="55"/>
    </row>
    <row r="537" spans="1:26" ht="15.75" customHeight="1">
      <c r="A537" s="50">
        <v>27</v>
      </c>
      <c r="B537" s="48" t="s">
        <v>1728</v>
      </c>
      <c r="C537" s="48" t="s">
        <v>27</v>
      </c>
      <c r="D537" s="48" t="s">
        <v>108</v>
      </c>
      <c r="E537" s="48" t="s">
        <v>36</v>
      </c>
      <c r="F537" s="48"/>
      <c r="G537" s="48" t="s">
        <v>1249</v>
      </c>
      <c r="H537" s="51">
        <v>2000</v>
      </c>
      <c r="I537" s="49" t="s">
        <v>1586</v>
      </c>
      <c r="J537" s="48" t="s">
        <v>2609</v>
      </c>
      <c r="K537" s="48" t="s">
        <v>32</v>
      </c>
      <c r="L537" s="2"/>
      <c r="P537" s="48" t="s">
        <v>37</v>
      </c>
      <c r="Q537" s="51">
        <v>9000</v>
      </c>
      <c r="S537" s="55"/>
    </row>
    <row r="538" spans="1:26" ht="15.75" customHeight="1">
      <c r="A538" s="50">
        <v>27</v>
      </c>
      <c r="B538" s="48" t="s">
        <v>1728</v>
      </c>
      <c r="C538" s="48" t="s">
        <v>27</v>
      </c>
      <c r="D538" s="48" t="s">
        <v>108</v>
      </c>
      <c r="E538" s="48" t="s">
        <v>36</v>
      </c>
      <c r="F538" s="48"/>
      <c r="G538" s="151" t="s">
        <v>115</v>
      </c>
      <c r="H538" s="51">
        <v>1000</v>
      </c>
      <c r="I538" s="49" t="s">
        <v>1586</v>
      </c>
      <c r="J538" s="48" t="s">
        <v>31</v>
      </c>
      <c r="K538" s="48" t="s">
        <v>32</v>
      </c>
      <c r="L538" s="2"/>
      <c r="P538" s="391" t="s">
        <v>282</v>
      </c>
      <c r="Q538" s="392">
        <v>9800</v>
      </c>
      <c r="S538" s="55"/>
    </row>
    <row r="539" spans="1:26" ht="15.75" customHeight="1">
      <c r="A539" s="65">
        <v>27</v>
      </c>
      <c r="B539" s="415" t="s">
        <v>2610</v>
      </c>
      <c r="C539" s="58" t="s">
        <v>39</v>
      </c>
      <c r="D539" s="58" t="s">
        <v>600</v>
      </c>
      <c r="E539" s="58" t="s">
        <v>209</v>
      </c>
      <c r="F539" s="58"/>
      <c r="G539" s="416" t="s">
        <v>561</v>
      </c>
      <c r="H539" s="59">
        <v>90</v>
      </c>
      <c r="I539" s="60" t="s">
        <v>1586</v>
      </c>
      <c r="J539" s="58" t="s">
        <v>31</v>
      </c>
      <c r="K539" s="58" t="s">
        <v>32</v>
      </c>
      <c r="L539" s="2"/>
    </row>
    <row r="540" spans="1:26" ht="15.7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26" ht="15.75" customHeight="1">
      <c r="A541" s="4"/>
      <c r="B541" s="2"/>
      <c r="C541" s="2"/>
      <c r="D541" s="2"/>
      <c r="E541" s="2"/>
      <c r="F541" s="2"/>
      <c r="G541" s="2"/>
      <c r="H541" s="2"/>
      <c r="I541" s="137" t="s">
        <v>508</v>
      </c>
      <c r="J541" s="83"/>
      <c r="K541" s="2"/>
      <c r="L541" s="2"/>
      <c r="U541" s="2"/>
      <c r="V541" s="2"/>
      <c r="W541" s="2"/>
      <c r="X541" s="2"/>
      <c r="Y541" s="2"/>
      <c r="Z541" s="2"/>
    </row>
    <row r="542" spans="1:26" ht="15.75" customHeight="1">
      <c r="A542" s="4"/>
      <c r="B542" s="2" t="s">
        <v>509</v>
      </c>
      <c r="C542" s="2"/>
      <c r="D542" s="2"/>
      <c r="E542" s="2" t="s">
        <v>510</v>
      </c>
      <c r="F542" s="2"/>
      <c r="G542" s="2"/>
      <c r="H542" s="2"/>
      <c r="I542" s="83" t="s">
        <v>942</v>
      </c>
      <c r="J542" s="83"/>
      <c r="K542" s="2"/>
      <c r="L542" s="2"/>
      <c r="U542" s="2"/>
      <c r="V542" s="2"/>
      <c r="W542" s="2"/>
      <c r="X542" s="2"/>
      <c r="Y542" s="2"/>
      <c r="Z542" s="2"/>
    </row>
    <row r="543" spans="1:26" ht="15.75" customHeight="1">
      <c r="A543" s="4"/>
      <c r="B543" s="2"/>
      <c r="C543" s="2"/>
      <c r="D543" s="2"/>
      <c r="E543" s="2"/>
      <c r="F543" s="2"/>
      <c r="G543" s="2"/>
      <c r="H543" s="2"/>
      <c r="I543" s="83" t="s">
        <v>944</v>
      </c>
      <c r="J543" s="83"/>
      <c r="K543" s="2"/>
      <c r="L543" s="2"/>
      <c r="U543" s="2"/>
      <c r="V543" s="2"/>
      <c r="W543" s="2"/>
      <c r="X543" s="2"/>
      <c r="Y543" s="2"/>
      <c r="Z543" s="2"/>
    </row>
    <row r="544" spans="1:26" ht="15.75" customHeight="1">
      <c r="A544" s="4"/>
      <c r="B544" s="2"/>
      <c r="C544" s="2"/>
      <c r="D544" s="2"/>
      <c r="E544" s="2"/>
      <c r="F544" s="2"/>
      <c r="G544" s="2"/>
      <c r="H544" s="2"/>
      <c r="I544" s="83" t="s">
        <v>946</v>
      </c>
      <c r="J544" s="83"/>
      <c r="K544" s="2"/>
      <c r="L544" s="2"/>
      <c r="U544" s="2"/>
      <c r="V544" s="2"/>
      <c r="W544" s="2"/>
      <c r="X544" s="2"/>
      <c r="Y544" s="2"/>
      <c r="Z544" s="2"/>
    </row>
    <row r="545" spans="1:26" ht="15.75" customHeight="1">
      <c r="A545" s="4"/>
      <c r="B545" s="86" t="s">
        <v>516</v>
      </c>
      <c r="C545" s="2"/>
      <c r="D545" s="2"/>
      <c r="E545" s="731" t="s">
        <v>517</v>
      </c>
      <c r="F545" s="711"/>
      <c r="G545" s="711"/>
      <c r="H545" s="2"/>
      <c r="I545" s="83" t="s">
        <v>947</v>
      </c>
      <c r="J545" s="83"/>
      <c r="K545" s="2"/>
      <c r="L545" s="2"/>
      <c r="U545" s="2"/>
      <c r="V545" s="2"/>
      <c r="W545" s="2"/>
      <c r="X545" s="2"/>
      <c r="Y545" s="2"/>
      <c r="Z545" s="2"/>
    </row>
    <row r="546" spans="1:26" ht="15.75" customHeight="1">
      <c r="A546" s="4"/>
      <c r="B546" s="4" t="s">
        <v>949</v>
      </c>
      <c r="C546" s="2"/>
      <c r="D546" s="2"/>
      <c r="E546" s="732" t="s">
        <v>521</v>
      </c>
      <c r="F546" s="711"/>
      <c r="G546" s="711"/>
      <c r="H546" s="711"/>
      <c r="I546" s="83" t="s">
        <v>950</v>
      </c>
      <c r="J546" s="83"/>
      <c r="K546" s="2"/>
      <c r="L546" s="2"/>
      <c r="U546" s="2"/>
      <c r="V546" s="2"/>
      <c r="W546" s="2"/>
      <c r="X546" s="2"/>
      <c r="Y546" s="2"/>
      <c r="Z546" s="2"/>
    </row>
    <row r="547" spans="1:26" ht="15.75" customHeight="1">
      <c r="A547" s="4"/>
      <c r="B547" s="2"/>
      <c r="C547" s="2"/>
      <c r="D547" s="2"/>
      <c r="E547" s="2"/>
      <c r="F547" s="2"/>
      <c r="G547" s="2"/>
      <c r="H547" s="2"/>
      <c r="I547" s="83" t="s">
        <v>564</v>
      </c>
      <c r="J547" s="83"/>
      <c r="K547" s="2"/>
      <c r="L547" s="2"/>
      <c r="U547" s="2"/>
      <c r="V547" s="2"/>
      <c r="W547" s="2"/>
      <c r="X547" s="2"/>
      <c r="Y547" s="2"/>
      <c r="Z547" s="2"/>
    </row>
    <row r="548" spans="1:26" ht="15.75" customHeight="1">
      <c r="A548" s="4"/>
      <c r="B548" s="2"/>
      <c r="C548" s="2"/>
      <c r="D548" s="2"/>
      <c r="E548" s="2"/>
      <c r="F548" s="2"/>
      <c r="G548" s="2"/>
      <c r="H548" s="2"/>
      <c r="I548" s="83" t="s">
        <v>525</v>
      </c>
      <c r="J548" s="83"/>
      <c r="K548" s="2"/>
      <c r="L548" s="2"/>
      <c r="U548" s="2"/>
      <c r="V548" s="2"/>
      <c r="W548" s="2"/>
      <c r="X548" s="2"/>
      <c r="Y548" s="2"/>
      <c r="Z548" s="2"/>
    </row>
    <row r="549" spans="1:26" ht="15.75" customHeight="1">
      <c r="A549" s="4"/>
      <c r="B549" s="2"/>
      <c r="C549" s="2"/>
      <c r="D549" s="2"/>
      <c r="E549" s="2"/>
      <c r="F549" s="2"/>
      <c r="G549" s="2"/>
      <c r="H549" s="2"/>
      <c r="I549" s="10" t="s">
        <v>565</v>
      </c>
      <c r="J549" s="90"/>
      <c r="K549" s="2"/>
      <c r="L549" s="2"/>
      <c r="U549" s="2"/>
      <c r="V549" s="2"/>
      <c r="W549" s="2"/>
      <c r="X549" s="2"/>
      <c r="Y549" s="2"/>
      <c r="Z549" s="2"/>
    </row>
    <row r="550" spans="1:26" ht="15.75" customHeight="1">
      <c r="A550" s="4"/>
      <c r="B550" s="2"/>
      <c r="C550" s="2"/>
      <c r="D550" s="2"/>
      <c r="E550" s="2"/>
      <c r="F550" s="2"/>
      <c r="G550" s="2"/>
      <c r="H550" s="2"/>
      <c r="I550" s="10" t="s">
        <v>953</v>
      </c>
      <c r="J550" s="90"/>
      <c r="K550" s="2"/>
      <c r="L550" s="2"/>
      <c r="U550" s="2"/>
      <c r="V550" s="2"/>
      <c r="W550" s="2"/>
      <c r="X550" s="2"/>
      <c r="Y550" s="2"/>
      <c r="Z550" s="2"/>
    </row>
    <row r="551" spans="1:26" ht="15.7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U551" s="2"/>
      <c r="V551" s="2"/>
      <c r="W551" s="2"/>
      <c r="X551" s="2"/>
      <c r="Y551" s="2"/>
      <c r="Z551" s="2"/>
    </row>
    <row r="552" spans="1:26" ht="15.7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U552" s="2"/>
      <c r="V552" s="2"/>
      <c r="W552" s="2"/>
      <c r="X552" s="2"/>
      <c r="Y552" s="2"/>
      <c r="Z552" s="2"/>
    </row>
    <row r="553" spans="1:26" ht="15.7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U553" s="2"/>
      <c r="V553" s="2"/>
      <c r="W553" s="2"/>
      <c r="X553" s="2"/>
      <c r="Y553" s="2"/>
      <c r="Z553" s="2"/>
    </row>
    <row r="554" spans="1:26" ht="15.7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U554" s="2"/>
      <c r="V554" s="2"/>
      <c r="W554" s="2"/>
      <c r="X554" s="2"/>
      <c r="Y554" s="2"/>
      <c r="Z554" s="2"/>
    </row>
    <row r="555" spans="1:26" ht="15.7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U555" s="2"/>
      <c r="V555" s="2"/>
      <c r="W555" s="2"/>
      <c r="X555" s="2"/>
      <c r="Y555" s="2"/>
      <c r="Z555" s="2"/>
    </row>
    <row r="556" spans="1:26" ht="15.7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U556" s="2"/>
      <c r="V556" s="2"/>
      <c r="W556" s="2"/>
      <c r="X556" s="2"/>
      <c r="Y556" s="2"/>
      <c r="Z556" s="2"/>
    </row>
    <row r="557" spans="1:26" ht="15.7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U557" s="2"/>
      <c r="V557" s="2"/>
      <c r="W557" s="2"/>
      <c r="X557" s="2"/>
      <c r="Y557" s="2"/>
      <c r="Z557" s="2"/>
    </row>
    <row r="558" spans="1:26" ht="15.7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U558" s="2"/>
      <c r="V558" s="2"/>
      <c r="W558" s="2"/>
      <c r="X558" s="2"/>
      <c r="Y558" s="2"/>
      <c r="Z558" s="2"/>
    </row>
    <row r="559" spans="1:26" ht="15.7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U559" s="2"/>
      <c r="V559" s="2"/>
      <c r="W559" s="2"/>
      <c r="X559" s="2"/>
      <c r="Y559" s="2"/>
      <c r="Z559" s="2"/>
    </row>
    <row r="560" spans="1:26" ht="15.7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U560" s="2"/>
      <c r="V560" s="2"/>
      <c r="W560" s="2"/>
      <c r="X560" s="2"/>
      <c r="Y560" s="2"/>
      <c r="Z560" s="2"/>
    </row>
    <row r="561" spans="1:26" ht="15.7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U561" s="2"/>
      <c r="V561" s="2"/>
      <c r="W561" s="2"/>
      <c r="X561" s="2"/>
      <c r="Y561" s="2"/>
      <c r="Z561" s="2"/>
    </row>
    <row r="562" spans="1:26" ht="15.7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U562" s="2"/>
      <c r="V562" s="2"/>
      <c r="W562" s="2"/>
      <c r="X562" s="2"/>
      <c r="Y562" s="2"/>
      <c r="Z562" s="2"/>
    </row>
    <row r="563" spans="1:26" ht="15.7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U563" s="2"/>
      <c r="V563" s="2"/>
      <c r="W563" s="2"/>
      <c r="X563" s="2"/>
      <c r="Y563" s="2"/>
      <c r="Z563" s="2"/>
    </row>
    <row r="564" spans="1:26" ht="15.7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U564" s="2"/>
      <c r="V564" s="2"/>
      <c r="W564" s="2"/>
      <c r="X564" s="2"/>
      <c r="Y564" s="2"/>
      <c r="Z564" s="2"/>
    </row>
    <row r="565" spans="1:26" ht="15.7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U565" s="2"/>
      <c r="V565" s="2"/>
      <c r="W565" s="2"/>
      <c r="X565" s="2"/>
      <c r="Y565" s="2"/>
      <c r="Z565" s="2"/>
    </row>
    <row r="566" spans="1:26" ht="15.7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U566" s="2"/>
      <c r="V566" s="2"/>
      <c r="W566" s="2"/>
      <c r="X566" s="2"/>
      <c r="Y566" s="2"/>
      <c r="Z566" s="2"/>
    </row>
    <row r="567" spans="1:26" ht="15.7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U567" s="2"/>
      <c r="V567" s="2"/>
      <c r="W567" s="2"/>
      <c r="X567" s="2"/>
      <c r="Y567" s="2"/>
      <c r="Z567" s="2"/>
    </row>
    <row r="568" spans="1:26" ht="15.75" customHeight="1">
      <c r="A568" s="4"/>
      <c r="G568" s="2"/>
      <c r="H568" s="2"/>
      <c r="I568" s="2"/>
      <c r="K568" s="253"/>
      <c r="L568" s="2"/>
    </row>
    <row r="569" spans="1:26" ht="15.75" customHeight="1">
      <c r="A569" s="4"/>
      <c r="G569" s="2"/>
      <c r="H569" s="2"/>
      <c r="I569" s="2"/>
      <c r="K569" s="253"/>
      <c r="L569" s="2"/>
    </row>
    <row r="570" spans="1:26" ht="15.75" customHeight="1">
      <c r="A570" s="4"/>
      <c r="G570" s="2"/>
      <c r="H570" s="2"/>
      <c r="I570" s="2"/>
      <c r="K570" s="253"/>
      <c r="L570" s="2"/>
    </row>
    <row r="571" spans="1:26" ht="15.75" customHeight="1">
      <c r="A571" s="4"/>
      <c r="G571" s="2"/>
      <c r="H571" s="2"/>
      <c r="I571" s="2"/>
      <c r="K571" s="253"/>
      <c r="L571" s="2"/>
    </row>
    <row r="572" spans="1:26" ht="15.75" customHeight="1">
      <c r="A572" s="4"/>
      <c r="G572" s="2"/>
      <c r="H572" s="2"/>
      <c r="I572" s="2"/>
      <c r="K572" s="253"/>
      <c r="L572" s="2"/>
    </row>
    <row r="573" spans="1:26" ht="15.75" customHeight="1">
      <c r="A573" s="4"/>
      <c r="G573" s="2"/>
      <c r="H573" s="2"/>
      <c r="I573" s="2"/>
      <c r="K573" s="253"/>
      <c r="L573" s="2"/>
    </row>
    <row r="574" spans="1:26" ht="15.75" customHeight="1">
      <c r="A574" s="4"/>
      <c r="G574" s="2"/>
      <c r="H574" s="2"/>
      <c r="I574" s="2"/>
      <c r="K574" s="253"/>
      <c r="L574" s="2"/>
    </row>
    <row r="575" spans="1:26" ht="15.75" customHeight="1">
      <c r="A575" s="4"/>
      <c r="G575" s="2"/>
      <c r="H575" s="2"/>
      <c r="I575" s="2"/>
      <c r="K575" s="253"/>
      <c r="L575" s="2"/>
    </row>
    <row r="576" spans="1:26" ht="15.75" customHeight="1">
      <c r="A576" s="4"/>
      <c r="G576" s="2"/>
      <c r="H576" s="2"/>
      <c r="I576" s="2"/>
      <c r="K576" s="253"/>
      <c r="L576" s="2"/>
    </row>
    <row r="577" spans="1:12" ht="15.75" customHeight="1">
      <c r="A577" s="4"/>
      <c r="G577" s="2"/>
      <c r="H577" s="2"/>
      <c r="I577" s="2"/>
      <c r="K577" s="253"/>
      <c r="L577" s="2"/>
    </row>
    <row r="578" spans="1:12" ht="15.75" customHeight="1">
      <c r="A578" s="4"/>
      <c r="G578" s="2"/>
      <c r="H578" s="2"/>
      <c r="I578" s="2"/>
      <c r="K578" s="253"/>
      <c r="L578" s="2"/>
    </row>
    <row r="579" spans="1:12" ht="15.75" customHeight="1">
      <c r="A579" s="4"/>
      <c r="G579" s="2"/>
      <c r="H579" s="2"/>
      <c r="I579" s="2"/>
      <c r="K579" s="253"/>
      <c r="L579" s="2"/>
    </row>
    <row r="580" spans="1:12" ht="15.75" customHeight="1">
      <c r="A580" s="4"/>
      <c r="G580" s="2"/>
      <c r="H580" s="2"/>
      <c r="I580" s="2"/>
      <c r="K580" s="253"/>
      <c r="L580" s="2"/>
    </row>
    <row r="581" spans="1:12" ht="15.75" customHeight="1">
      <c r="A581" s="4"/>
      <c r="G581" s="2"/>
      <c r="H581" s="2"/>
      <c r="I581" s="2"/>
      <c r="K581" s="253"/>
      <c r="L581" s="2"/>
    </row>
    <row r="582" spans="1:12" ht="15.75" customHeight="1">
      <c r="A582" s="4"/>
      <c r="G582" s="2"/>
      <c r="H582" s="2"/>
      <c r="I582" s="2"/>
      <c r="K582" s="253"/>
      <c r="L582" s="2"/>
    </row>
    <row r="583" spans="1:12" ht="15.75" customHeight="1">
      <c r="A583" s="4"/>
      <c r="G583" s="2"/>
      <c r="H583" s="2"/>
      <c r="I583" s="2"/>
      <c r="K583" s="253"/>
      <c r="L583" s="2"/>
    </row>
    <row r="584" spans="1:12" ht="15.75" customHeight="1">
      <c r="A584" s="4"/>
      <c r="G584" s="2"/>
      <c r="H584" s="2"/>
      <c r="I584" s="2"/>
      <c r="K584" s="253"/>
      <c r="L584" s="2"/>
    </row>
    <row r="585" spans="1:12" ht="15.75" customHeight="1">
      <c r="A585" s="4"/>
      <c r="G585" s="2"/>
      <c r="H585" s="2"/>
      <c r="I585" s="2"/>
      <c r="K585" s="253"/>
      <c r="L585" s="2"/>
    </row>
    <row r="586" spans="1:12" ht="15.75" customHeight="1">
      <c r="A586" s="4"/>
      <c r="G586" s="2"/>
      <c r="H586" s="2"/>
      <c r="I586" s="2"/>
      <c r="K586" s="253"/>
      <c r="L586" s="2"/>
    </row>
    <row r="587" spans="1:12" ht="15.75" customHeight="1">
      <c r="A587" s="4"/>
      <c r="G587" s="2"/>
      <c r="H587" s="2"/>
      <c r="I587" s="2"/>
      <c r="K587" s="253"/>
      <c r="L587" s="2"/>
    </row>
    <row r="588" spans="1:12" ht="15.75" customHeight="1">
      <c r="A588" s="4"/>
      <c r="G588" s="2"/>
      <c r="H588" s="2"/>
      <c r="I588" s="2"/>
      <c r="K588" s="253"/>
      <c r="L588" s="2"/>
    </row>
    <row r="589" spans="1:12" ht="15.75" customHeight="1">
      <c r="A589" s="4"/>
      <c r="G589" s="2"/>
      <c r="H589" s="2"/>
      <c r="I589" s="2"/>
      <c r="K589" s="253"/>
      <c r="L589" s="2"/>
    </row>
    <row r="590" spans="1:12" ht="15.75" customHeight="1">
      <c r="A590" s="4"/>
      <c r="G590" s="2"/>
      <c r="H590" s="2"/>
      <c r="I590" s="2"/>
      <c r="K590" s="253"/>
      <c r="L590" s="2"/>
    </row>
    <row r="591" spans="1:12" ht="15.75" customHeight="1">
      <c r="A591" s="4"/>
      <c r="G591" s="2"/>
      <c r="H591" s="2"/>
      <c r="I591" s="2"/>
      <c r="K591" s="253"/>
      <c r="L591" s="2"/>
    </row>
    <row r="592" spans="1:12" ht="15.75" customHeight="1">
      <c r="A592" s="4"/>
      <c r="G592" s="2"/>
      <c r="H592" s="2"/>
      <c r="I592" s="2"/>
      <c r="K592" s="253"/>
      <c r="L592" s="2"/>
    </row>
    <row r="593" spans="1:12" ht="15.75" customHeight="1">
      <c r="A593" s="4"/>
      <c r="G593" s="2"/>
      <c r="H593" s="2"/>
      <c r="I593" s="2"/>
      <c r="K593" s="253"/>
      <c r="L593" s="2"/>
    </row>
    <row r="594" spans="1:12" ht="15.75" customHeight="1">
      <c r="A594" s="4"/>
      <c r="G594" s="2"/>
      <c r="H594" s="2"/>
      <c r="I594" s="2"/>
      <c r="K594" s="253"/>
      <c r="L594" s="2"/>
    </row>
    <row r="595" spans="1:12" ht="15.75" customHeight="1">
      <c r="A595" s="4"/>
      <c r="G595" s="2"/>
      <c r="H595" s="2"/>
      <c r="I595" s="2"/>
      <c r="K595" s="253"/>
      <c r="L595" s="2"/>
    </row>
    <row r="596" spans="1:12" ht="15.75" customHeight="1">
      <c r="A596" s="4"/>
      <c r="G596" s="2"/>
      <c r="H596" s="2"/>
      <c r="I596" s="2"/>
      <c r="K596" s="253"/>
      <c r="L596" s="2"/>
    </row>
    <row r="597" spans="1:12" ht="15.75" customHeight="1">
      <c r="A597" s="4"/>
      <c r="G597" s="2"/>
      <c r="H597" s="2"/>
      <c r="I597" s="2"/>
      <c r="K597" s="253"/>
      <c r="L597" s="2"/>
    </row>
    <row r="598" spans="1:12" ht="15.75" customHeight="1">
      <c r="A598" s="4"/>
      <c r="G598" s="2"/>
      <c r="H598" s="2"/>
      <c r="I598" s="2"/>
      <c r="K598" s="253"/>
      <c r="L598" s="2"/>
    </row>
    <row r="599" spans="1:12" ht="15.75" customHeight="1">
      <c r="A599" s="4"/>
      <c r="G599" s="2"/>
      <c r="H599" s="2"/>
      <c r="I599" s="2"/>
      <c r="K599" s="253"/>
      <c r="L599" s="2"/>
    </row>
    <row r="600" spans="1:12" ht="15.75" customHeight="1">
      <c r="A600" s="4"/>
      <c r="G600" s="2"/>
      <c r="H600" s="2"/>
      <c r="I600" s="2"/>
      <c r="K600" s="253"/>
      <c r="L600" s="2"/>
    </row>
    <row r="601" spans="1:12" ht="15.75" customHeight="1">
      <c r="A601" s="4"/>
      <c r="G601" s="2"/>
      <c r="H601" s="2"/>
      <c r="I601" s="2"/>
      <c r="K601" s="253"/>
      <c r="L601" s="2"/>
    </row>
    <row r="602" spans="1:12" ht="15.75" customHeight="1">
      <c r="A602" s="4"/>
      <c r="G602" s="2"/>
      <c r="H602" s="2"/>
      <c r="I602" s="2"/>
      <c r="K602" s="253"/>
      <c r="L602" s="2"/>
    </row>
    <row r="603" spans="1:12" ht="15.75" customHeight="1">
      <c r="A603" s="4"/>
      <c r="G603" s="2"/>
      <c r="H603" s="2"/>
      <c r="I603" s="2"/>
      <c r="K603" s="253"/>
      <c r="L603" s="2"/>
    </row>
    <row r="604" spans="1:12" ht="15.75" customHeight="1">
      <c r="A604" s="4"/>
      <c r="G604" s="2"/>
      <c r="H604" s="2"/>
      <c r="I604" s="2"/>
      <c r="K604" s="253"/>
      <c r="L604" s="2"/>
    </row>
    <row r="605" spans="1:12" ht="15.75" customHeight="1">
      <c r="A605" s="4"/>
      <c r="G605" s="2"/>
      <c r="H605" s="2"/>
      <c r="I605" s="2"/>
      <c r="K605" s="253"/>
      <c r="L605" s="2"/>
    </row>
    <row r="606" spans="1:12" ht="15.75" customHeight="1">
      <c r="A606" s="4"/>
      <c r="G606" s="2"/>
      <c r="H606" s="2"/>
      <c r="I606" s="2"/>
      <c r="K606" s="253"/>
      <c r="L606" s="2"/>
    </row>
    <row r="607" spans="1:12" ht="15.75" customHeight="1">
      <c r="A607" s="4"/>
      <c r="G607" s="2"/>
      <c r="H607" s="2"/>
      <c r="I607" s="2"/>
      <c r="K607" s="253"/>
      <c r="L607" s="2"/>
    </row>
    <row r="608" spans="1:12" ht="15.75" customHeight="1">
      <c r="A608" s="4"/>
      <c r="G608" s="2"/>
      <c r="H608" s="2"/>
      <c r="I608" s="2"/>
      <c r="K608" s="253"/>
      <c r="L608" s="2"/>
    </row>
    <row r="609" spans="1:12" ht="15.75" customHeight="1">
      <c r="A609" s="4"/>
      <c r="G609" s="2"/>
      <c r="H609" s="2"/>
      <c r="I609" s="2"/>
      <c r="K609" s="253"/>
      <c r="L609" s="2"/>
    </row>
    <row r="610" spans="1:12" ht="15.75" customHeight="1">
      <c r="A610" s="4"/>
      <c r="G610" s="2"/>
      <c r="H610" s="2"/>
      <c r="I610" s="2"/>
      <c r="K610" s="253"/>
      <c r="L610" s="2"/>
    </row>
    <row r="611" spans="1:12" ht="15.75" customHeight="1">
      <c r="A611" s="4"/>
      <c r="G611" s="2"/>
      <c r="H611" s="2"/>
      <c r="I611" s="2"/>
      <c r="K611" s="253"/>
      <c r="L611" s="2"/>
    </row>
    <row r="612" spans="1:12" ht="15.75" customHeight="1">
      <c r="A612" s="4"/>
      <c r="G612" s="2"/>
      <c r="H612" s="2"/>
      <c r="I612" s="2"/>
      <c r="K612" s="253"/>
      <c r="L612" s="2"/>
    </row>
    <row r="613" spans="1:12" ht="15.75" customHeight="1">
      <c r="A613" s="4"/>
      <c r="G613" s="2"/>
      <c r="H613" s="2"/>
      <c r="I613" s="2"/>
      <c r="K613" s="253"/>
      <c r="L613" s="2"/>
    </row>
    <row r="614" spans="1:12" ht="15.75" customHeight="1">
      <c r="A614" s="4"/>
      <c r="G614" s="2"/>
      <c r="H614" s="2"/>
      <c r="I614" s="2"/>
      <c r="K614" s="253"/>
      <c r="L614" s="2"/>
    </row>
    <row r="615" spans="1:12" ht="15.75" customHeight="1">
      <c r="A615" s="4"/>
      <c r="G615" s="2"/>
      <c r="H615" s="2"/>
      <c r="I615" s="2"/>
      <c r="K615" s="253"/>
      <c r="L615" s="2"/>
    </row>
    <row r="616" spans="1:12" ht="15.75" customHeight="1">
      <c r="A616" s="4"/>
      <c r="G616" s="2"/>
      <c r="H616" s="2"/>
      <c r="I616" s="2"/>
      <c r="K616" s="253"/>
      <c r="L616" s="2"/>
    </row>
    <row r="617" spans="1:12" ht="15.75" customHeight="1">
      <c r="A617" s="4"/>
      <c r="G617" s="2"/>
      <c r="H617" s="2"/>
      <c r="I617" s="2"/>
      <c r="K617" s="253"/>
      <c r="L617" s="2"/>
    </row>
    <row r="618" spans="1:12" ht="15.75" customHeight="1">
      <c r="A618" s="4"/>
      <c r="G618" s="2"/>
      <c r="H618" s="2"/>
      <c r="I618" s="2"/>
      <c r="K618" s="253"/>
      <c r="L618" s="2"/>
    </row>
    <row r="619" spans="1:12" ht="15.75" customHeight="1">
      <c r="A619" s="4"/>
      <c r="G619" s="2"/>
      <c r="H619" s="2"/>
      <c r="I619" s="2"/>
      <c r="K619" s="253"/>
      <c r="L619" s="2"/>
    </row>
    <row r="620" spans="1:12" ht="15.75" customHeight="1">
      <c r="A620" s="4"/>
      <c r="G620" s="2"/>
      <c r="H620" s="2"/>
      <c r="I620" s="2"/>
      <c r="K620" s="253"/>
      <c r="L620" s="2"/>
    </row>
    <row r="621" spans="1:12" ht="15.75" customHeight="1">
      <c r="A621" s="4"/>
      <c r="G621" s="2"/>
      <c r="H621" s="2"/>
      <c r="I621" s="2"/>
      <c r="K621" s="253"/>
      <c r="L621" s="2"/>
    </row>
    <row r="622" spans="1:12" ht="15.75" customHeight="1">
      <c r="A622" s="4"/>
      <c r="G622" s="2"/>
      <c r="H622" s="2"/>
      <c r="I622" s="2"/>
      <c r="K622" s="253"/>
      <c r="L622" s="2"/>
    </row>
    <row r="623" spans="1:12" ht="15.75" customHeight="1">
      <c r="A623" s="4"/>
      <c r="G623" s="2"/>
      <c r="H623" s="2"/>
      <c r="I623" s="2"/>
      <c r="K623" s="253"/>
      <c r="L623" s="2"/>
    </row>
    <row r="624" spans="1:12" ht="15.75" customHeight="1">
      <c r="A624" s="4"/>
      <c r="G624" s="2"/>
      <c r="H624" s="2"/>
      <c r="I624" s="2"/>
      <c r="K624" s="253"/>
      <c r="L624" s="2"/>
    </row>
    <row r="625" spans="1:12" ht="15.75" customHeight="1">
      <c r="A625" s="4"/>
      <c r="G625" s="2"/>
      <c r="H625" s="2"/>
      <c r="I625" s="2"/>
      <c r="K625" s="253"/>
      <c r="L625" s="2"/>
    </row>
    <row r="626" spans="1:12" ht="15.75" customHeight="1">
      <c r="A626" s="4"/>
      <c r="G626" s="2"/>
      <c r="H626" s="2"/>
      <c r="I626" s="2"/>
      <c r="K626" s="253"/>
      <c r="L626" s="2"/>
    </row>
    <row r="627" spans="1:12" ht="15.75" customHeight="1">
      <c r="A627" s="4"/>
      <c r="G627" s="2"/>
      <c r="H627" s="2"/>
      <c r="I627" s="2"/>
      <c r="K627" s="253"/>
      <c r="L627" s="2"/>
    </row>
    <row r="628" spans="1:12" ht="15.75" customHeight="1">
      <c r="A628" s="4"/>
      <c r="G628" s="2"/>
      <c r="H628" s="2"/>
      <c r="I628" s="2"/>
      <c r="K628" s="253"/>
      <c r="L628" s="2"/>
    </row>
    <row r="629" spans="1:12" ht="15.75" customHeight="1">
      <c r="A629" s="4"/>
      <c r="G629" s="2"/>
      <c r="H629" s="2"/>
      <c r="I629" s="2"/>
      <c r="K629" s="253"/>
      <c r="L629" s="2"/>
    </row>
    <row r="630" spans="1:12" ht="15.75" customHeight="1">
      <c r="A630" s="4"/>
      <c r="G630" s="2"/>
      <c r="H630" s="2"/>
      <c r="I630" s="2"/>
      <c r="K630" s="253"/>
      <c r="L630" s="2"/>
    </row>
    <row r="631" spans="1:12" ht="15.75" customHeight="1">
      <c r="A631" s="4"/>
      <c r="G631" s="2"/>
      <c r="H631" s="2"/>
      <c r="I631" s="2"/>
      <c r="K631" s="253"/>
      <c r="L631" s="2"/>
    </row>
    <row r="632" spans="1:12" ht="15.75" customHeight="1">
      <c r="A632" s="4"/>
      <c r="G632" s="2"/>
      <c r="H632" s="2"/>
      <c r="I632" s="2"/>
      <c r="K632" s="253"/>
      <c r="L632" s="2"/>
    </row>
    <row r="633" spans="1:12" ht="15.75" customHeight="1">
      <c r="A633" s="4"/>
      <c r="G633" s="2"/>
      <c r="H633" s="2"/>
      <c r="I633" s="2"/>
      <c r="K633" s="253"/>
      <c r="L633" s="2"/>
    </row>
    <row r="634" spans="1:12" ht="15.75" customHeight="1">
      <c r="A634" s="4"/>
      <c r="G634" s="2"/>
      <c r="H634" s="2"/>
      <c r="I634" s="2"/>
      <c r="K634" s="253"/>
      <c r="L634" s="2"/>
    </row>
    <row r="635" spans="1:12" ht="15.75" customHeight="1">
      <c r="A635" s="4"/>
      <c r="G635" s="2"/>
      <c r="H635" s="2"/>
      <c r="I635" s="2"/>
      <c r="K635" s="253"/>
      <c r="L635" s="2"/>
    </row>
    <row r="636" spans="1:12" ht="15.75" customHeight="1">
      <c r="A636" s="4"/>
      <c r="G636" s="2"/>
      <c r="H636" s="2"/>
      <c r="I636" s="2"/>
      <c r="K636" s="253"/>
      <c r="L636" s="2"/>
    </row>
    <row r="637" spans="1:12" ht="15.75" customHeight="1">
      <c r="A637" s="4"/>
      <c r="G637" s="2"/>
      <c r="H637" s="2"/>
      <c r="I637" s="2"/>
      <c r="K637" s="253"/>
      <c r="L637" s="2"/>
    </row>
    <row r="638" spans="1:12" ht="15.75" customHeight="1">
      <c r="A638" s="4"/>
      <c r="G638" s="2"/>
      <c r="H638" s="2"/>
      <c r="I638" s="2"/>
      <c r="K638" s="253"/>
      <c r="L638" s="2"/>
    </row>
    <row r="639" spans="1:12" ht="15.75" customHeight="1">
      <c r="A639" s="4"/>
      <c r="G639" s="2"/>
      <c r="H639" s="2"/>
      <c r="I639" s="2"/>
      <c r="K639" s="253"/>
      <c r="L639" s="2"/>
    </row>
    <row r="640" spans="1:12" ht="15.75" customHeight="1">
      <c r="A640" s="4"/>
      <c r="G640" s="2"/>
      <c r="H640" s="2"/>
      <c r="I640" s="2"/>
      <c r="K640" s="253"/>
      <c r="L640" s="2"/>
    </row>
    <row r="641" spans="1:12" ht="15.75" customHeight="1">
      <c r="A641" s="4"/>
      <c r="G641" s="2"/>
      <c r="H641" s="2"/>
      <c r="I641" s="2"/>
      <c r="K641" s="253"/>
      <c r="L641" s="2"/>
    </row>
    <row r="642" spans="1:12" ht="15.75" customHeight="1">
      <c r="A642" s="4"/>
      <c r="G642" s="2"/>
      <c r="H642" s="2"/>
      <c r="I642" s="2"/>
      <c r="K642" s="253"/>
      <c r="L642" s="2"/>
    </row>
    <row r="643" spans="1:12" ht="15.75" customHeight="1">
      <c r="A643" s="4"/>
      <c r="G643" s="2"/>
      <c r="H643" s="2"/>
      <c r="I643" s="2"/>
      <c r="K643" s="253"/>
      <c r="L643" s="2"/>
    </row>
    <row r="644" spans="1:12" ht="15.75" customHeight="1">
      <c r="A644" s="4"/>
      <c r="G644" s="2"/>
      <c r="H644" s="2"/>
      <c r="I644" s="2"/>
      <c r="K644" s="253"/>
      <c r="L644" s="2"/>
    </row>
    <row r="645" spans="1:12" ht="15.75" customHeight="1">
      <c r="A645" s="4"/>
      <c r="G645" s="2"/>
      <c r="H645" s="2"/>
      <c r="I645" s="2"/>
      <c r="K645" s="253"/>
      <c r="L645" s="2"/>
    </row>
    <row r="646" spans="1:12" ht="15.75" customHeight="1">
      <c r="A646" s="4"/>
      <c r="G646" s="2"/>
      <c r="H646" s="2"/>
      <c r="I646" s="2"/>
      <c r="K646" s="253"/>
      <c r="L646" s="2"/>
    </row>
    <row r="647" spans="1:12" ht="15.75" customHeight="1">
      <c r="A647" s="4"/>
      <c r="G647" s="2"/>
      <c r="H647" s="2"/>
      <c r="I647" s="2"/>
      <c r="K647" s="253"/>
      <c r="L647" s="2"/>
    </row>
    <row r="648" spans="1:12" ht="15.75" customHeight="1">
      <c r="A648" s="4"/>
      <c r="G648" s="2"/>
      <c r="H648" s="2"/>
      <c r="I648" s="2"/>
      <c r="K648" s="253"/>
      <c r="L648" s="2"/>
    </row>
    <row r="649" spans="1:12" ht="15.75" customHeight="1">
      <c r="A649" s="4"/>
      <c r="G649" s="2"/>
      <c r="H649" s="2"/>
      <c r="I649" s="2"/>
      <c r="K649" s="253"/>
      <c r="L649" s="2"/>
    </row>
    <row r="650" spans="1:12" ht="15.75" customHeight="1">
      <c r="A650" s="4"/>
      <c r="G650" s="2"/>
      <c r="H650" s="2"/>
      <c r="I650" s="2"/>
      <c r="K650" s="253"/>
      <c r="L650" s="2"/>
    </row>
    <row r="651" spans="1:12" ht="15.75" customHeight="1">
      <c r="A651" s="4"/>
      <c r="G651" s="2"/>
      <c r="H651" s="2"/>
      <c r="I651" s="2"/>
      <c r="K651" s="253"/>
      <c r="L651" s="2"/>
    </row>
    <row r="652" spans="1:12" ht="15.75" customHeight="1">
      <c r="A652" s="4"/>
      <c r="G652" s="2"/>
      <c r="H652" s="2"/>
      <c r="I652" s="2"/>
      <c r="K652" s="253"/>
      <c r="L652" s="2"/>
    </row>
    <row r="653" spans="1:12" ht="15.75" customHeight="1">
      <c r="A653" s="4"/>
      <c r="G653" s="2"/>
      <c r="H653" s="2"/>
      <c r="I653" s="2"/>
      <c r="K653" s="253"/>
      <c r="L653" s="2"/>
    </row>
    <row r="654" spans="1:12" ht="15.75" customHeight="1">
      <c r="A654" s="4"/>
      <c r="G654" s="2"/>
      <c r="H654" s="2"/>
      <c r="I654" s="2"/>
      <c r="K654" s="253"/>
      <c r="L654" s="2"/>
    </row>
    <row r="655" spans="1:12" ht="15.75" customHeight="1">
      <c r="A655" s="4"/>
      <c r="G655" s="2"/>
      <c r="H655" s="2"/>
      <c r="I655" s="2"/>
      <c r="K655" s="253"/>
      <c r="L655" s="2"/>
    </row>
    <row r="656" spans="1:12" ht="15.75" customHeight="1">
      <c r="A656" s="4"/>
      <c r="G656" s="2"/>
      <c r="H656" s="2"/>
      <c r="I656" s="2"/>
      <c r="K656" s="253"/>
      <c r="L656" s="2"/>
    </row>
    <row r="657" spans="1:12" ht="15.75" customHeight="1">
      <c r="A657" s="4"/>
      <c r="G657" s="2"/>
      <c r="H657" s="2"/>
      <c r="I657" s="2"/>
      <c r="K657" s="253"/>
      <c r="L657" s="2"/>
    </row>
    <row r="658" spans="1:12" ht="15.75" customHeight="1">
      <c r="A658" s="4"/>
      <c r="G658" s="2"/>
      <c r="H658" s="2"/>
      <c r="I658" s="2"/>
      <c r="K658" s="253"/>
      <c r="L658" s="2"/>
    </row>
    <row r="659" spans="1:12" ht="15.75" customHeight="1">
      <c r="A659" s="4"/>
      <c r="G659" s="2"/>
      <c r="H659" s="2"/>
      <c r="I659" s="2"/>
      <c r="K659" s="253"/>
      <c r="L659" s="2"/>
    </row>
    <row r="660" spans="1:12" ht="15.75" customHeight="1">
      <c r="A660" s="4"/>
      <c r="G660" s="2"/>
      <c r="H660" s="2"/>
      <c r="I660" s="2"/>
      <c r="K660" s="253"/>
      <c r="L660" s="2"/>
    </row>
    <row r="661" spans="1:12" ht="15.75" customHeight="1">
      <c r="A661" s="4"/>
      <c r="G661" s="2"/>
      <c r="H661" s="2"/>
      <c r="I661" s="2"/>
      <c r="K661" s="253"/>
      <c r="L661" s="2"/>
    </row>
    <row r="662" spans="1:12" ht="15.75" customHeight="1">
      <c r="A662" s="4"/>
      <c r="G662" s="2"/>
      <c r="H662" s="2"/>
      <c r="I662" s="2"/>
      <c r="K662" s="253"/>
      <c r="L662" s="2"/>
    </row>
    <row r="663" spans="1:12" ht="15.75" customHeight="1">
      <c r="A663" s="4"/>
      <c r="G663" s="2"/>
      <c r="H663" s="2"/>
      <c r="I663" s="2"/>
      <c r="K663" s="253"/>
      <c r="L663" s="2"/>
    </row>
    <row r="664" spans="1:12" ht="15.75" customHeight="1">
      <c r="A664" s="4"/>
      <c r="G664" s="2"/>
      <c r="H664" s="2"/>
      <c r="I664" s="2"/>
      <c r="K664" s="253"/>
      <c r="L664" s="2"/>
    </row>
    <row r="665" spans="1:12" ht="15.75" customHeight="1">
      <c r="A665" s="4"/>
      <c r="G665" s="2"/>
      <c r="H665" s="2"/>
      <c r="I665" s="2"/>
      <c r="K665" s="253"/>
      <c r="L665" s="2"/>
    </row>
    <row r="666" spans="1:12" ht="15.75" customHeight="1">
      <c r="A666" s="4"/>
      <c r="G666" s="2"/>
      <c r="H666" s="2"/>
      <c r="I666" s="2"/>
      <c r="K666" s="253"/>
      <c r="L666" s="2"/>
    </row>
    <row r="667" spans="1:12" ht="15.75" customHeight="1">
      <c r="A667" s="4"/>
      <c r="G667" s="2"/>
      <c r="H667" s="2"/>
      <c r="I667" s="2"/>
      <c r="K667" s="253"/>
      <c r="L667" s="2"/>
    </row>
    <row r="668" spans="1:12" ht="15.75" customHeight="1">
      <c r="A668" s="4"/>
      <c r="G668" s="2"/>
      <c r="H668" s="2"/>
      <c r="I668" s="2"/>
      <c r="K668" s="253"/>
      <c r="L668" s="2"/>
    </row>
    <row r="669" spans="1:12" ht="15.75" customHeight="1">
      <c r="A669" s="4"/>
      <c r="G669" s="2"/>
      <c r="H669" s="2"/>
      <c r="I669" s="2"/>
      <c r="K669" s="253"/>
      <c r="L669" s="2"/>
    </row>
    <row r="670" spans="1:12" ht="15.75" customHeight="1">
      <c r="A670" s="4"/>
      <c r="G670" s="2"/>
      <c r="H670" s="2"/>
      <c r="I670" s="2"/>
      <c r="K670" s="253"/>
      <c r="L670" s="2"/>
    </row>
    <row r="671" spans="1:12" ht="15.75" customHeight="1">
      <c r="A671" s="4"/>
      <c r="G671" s="2"/>
      <c r="H671" s="2"/>
      <c r="I671" s="2"/>
      <c r="K671" s="253"/>
      <c r="L671" s="2"/>
    </row>
    <row r="672" spans="1:12" ht="15.75" customHeight="1">
      <c r="A672" s="4"/>
      <c r="G672" s="2"/>
      <c r="H672" s="2"/>
      <c r="I672" s="2"/>
      <c r="K672" s="253"/>
      <c r="L672" s="2"/>
    </row>
    <row r="673" spans="1:12" ht="15.75" customHeight="1">
      <c r="A673" s="4"/>
      <c r="G673" s="2"/>
      <c r="H673" s="2"/>
      <c r="I673" s="2"/>
      <c r="K673" s="253"/>
      <c r="L673" s="2"/>
    </row>
    <row r="674" spans="1:12" ht="15.75" customHeight="1">
      <c r="A674" s="4"/>
      <c r="G674" s="2"/>
      <c r="H674" s="2"/>
      <c r="I674" s="2"/>
      <c r="K674" s="253"/>
      <c r="L674" s="2"/>
    </row>
    <row r="675" spans="1:12" ht="15.75" customHeight="1">
      <c r="A675" s="4"/>
      <c r="G675" s="2"/>
      <c r="H675" s="2"/>
      <c r="I675" s="2"/>
      <c r="K675" s="253"/>
      <c r="L675" s="2"/>
    </row>
    <row r="676" spans="1:12" ht="15.75" customHeight="1">
      <c r="A676" s="4"/>
      <c r="G676" s="2"/>
      <c r="H676" s="2"/>
      <c r="I676" s="2"/>
      <c r="K676" s="253"/>
      <c r="L676" s="2"/>
    </row>
    <row r="677" spans="1:12" ht="15.75" customHeight="1">
      <c r="A677" s="4"/>
      <c r="G677" s="2"/>
      <c r="H677" s="2"/>
      <c r="I677" s="2"/>
      <c r="K677" s="253"/>
      <c r="L677" s="2"/>
    </row>
    <row r="678" spans="1:12" ht="15.75" customHeight="1">
      <c r="A678" s="4"/>
      <c r="G678" s="2"/>
      <c r="H678" s="2"/>
      <c r="I678" s="2"/>
      <c r="K678" s="253"/>
      <c r="L678" s="2"/>
    </row>
    <row r="679" spans="1:12" ht="15.75" customHeight="1">
      <c r="A679" s="4"/>
      <c r="G679" s="2"/>
      <c r="H679" s="2"/>
      <c r="I679" s="2"/>
      <c r="K679" s="253"/>
      <c r="L679" s="2"/>
    </row>
    <row r="680" spans="1:12" ht="15.75" customHeight="1">
      <c r="A680" s="4"/>
      <c r="G680" s="2"/>
      <c r="H680" s="2"/>
      <c r="I680" s="2"/>
      <c r="K680" s="253"/>
      <c r="L680" s="2"/>
    </row>
    <row r="681" spans="1:12" ht="15.75" customHeight="1">
      <c r="A681" s="4"/>
      <c r="G681" s="2"/>
      <c r="H681" s="2"/>
      <c r="I681" s="2"/>
      <c r="K681" s="253"/>
      <c r="L681" s="2"/>
    </row>
    <row r="682" spans="1:12" ht="15.75" customHeight="1">
      <c r="A682" s="4"/>
      <c r="G682" s="2"/>
      <c r="H682" s="2"/>
      <c r="I682" s="2"/>
      <c r="K682" s="253"/>
      <c r="L682" s="2"/>
    </row>
    <row r="683" spans="1:12" ht="15.75" customHeight="1">
      <c r="A683" s="4"/>
      <c r="G683" s="2"/>
      <c r="H683" s="2"/>
      <c r="I683" s="2"/>
      <c r="K683" s="253"/>
      <c r="L683" s="2"/>
    </row>
    <row r="684" spans="1:12" ht="15.75" customHeight="1">
      <c r="A684" s="4"/>
      <c r="G684" s="2"/>
      <c r="H684" s="2"/>
      <c r="I684" s="2"/>
      <c r="K684" s="253"/>
      <c r="L684" s="2"/>
    </row>
    <row r="685" spans="1:12" ht="15.75" customHeight="1">
      <c r="A685" s="4"/>
      <c r="G685" s="2"/>
      <c r="H685" s="2"/>
      <c r="I685" s="2"/>
      <c r="K685" s="253"/>
      <c r="L685" s="2"/>
    </row>
    <row r="686" spans="1:12" ht="15.75" customHeight="1">
      <c r="A686" s="4"/>
      <c r="G686" s="2"/>
      <c r="H686" s="2"/>
      <c r="I686" s="2"/>
      <c r="K686" s="253"/>
      <c r="L686" s="2"/>
    </row>
    <row r="687" spans="1:12" ht="15.75" customHeight="1">
      <c r="A687" s="4"/>
      <c r="G687" s="2"/>
      <c r="H687" s="2"/>
      <c r="I687" s="2"/>
      <c r="K687" s="253"/>
      <c r="L687" s="2"/>
    </row>
    <row r="688" spans="1:12" ht="15.75" customHeight="1">
      <c r="A688" s="4"/>
      <c r="G688" s="2"/>
      <c r="H688" s="2"/>
      <c r="I688" s="2"/>
      <c r="K688" s="253"/>
      <c r="L688" s="2"/>
    </row>
    <row r="689" spans="1:12" ht="15.75" customHeight="1">
      <c r="A689" s="4"/>
      <c r="G689" s="2"/>
      <c r="H689" s="2"/>
      <c r="I689" s="2"/>
      <c r="K689" s="253"/>
      <c r="L689" s="2"/>
    </row>
    <row r="690" spans="1:12" ht="15.75" customHeight="1">
      <c r="A690" s="4"/>
      <c r="G690" s="2"/>
      <c r="H690" s="2"/>
      <c r="I690" s="2"/>
      <c r="K690" s="253"/>
      <c r="L690" s="2"/>
    </row>
    <row r="691" spans="1:12" ht="15.75" customHeight="1">
      <c r="A691" s="4"/>
      <c r="G691" s="2"/>
      <c r="H691" s="2"/>
      <c r="I691" s="2"/>
      <c r="K691" s="253"/>
      <c r="L691" s="2"/>
    </row>
    <row r="692" spans="1:12" ht="15.75" customHeight="1">
      <c r="A692" s="4"/>
      <c r="G692" s="2"/>
      <c r="H692" s="2"/>
      <c r="I692" s="2"/>
      <c r="K692" s="253"/>
      <c r="L692" s="2"/>
    </row>
    <row r="693" spans="1:12" ht="15.75" customHeight="1">
      <c r="A693" s="4"/>
      <c r="G693" s="2"/>
      <c r="H693" s="2"/>
      <c r="I693" s="2"/>
      <c r="K693" s="253"/>
      <c r="L693" s="2"/>
    </row>
    <row r="694" spans="1:12" ht="15.75" customHeight="1">
      <c r="A694" s="4"/>
      <c r="G694" s="2"/>
      <c r="H694" s="2"/>
      <c r="I694" s="2"/>
      <c r="K694" s="253"/>
      <c r="L694" s="2"/>
    </row>
    <row r="695" spans="1:12" ht="15.75" customHeight="1">
      <c r="A695" s="4"/>
      <c r="G695" s="2"/>
      <c r="H695" s="2"/>
      <c r="I695" s="2"/>
      <c r="K695" s="253"/>
      <c r="L695" s="2"/>
    </row>
    <row r="696" spans="1:12" ht="15.75" customHeight="1">
      <c r="A696" s="4"/>
      <c r="G696" s="2"/>
      <c r="H696" s="2"/>
      <c r="I696" s="2"/>
      <c r="K696" s="253"/>
      <c r="L696" s="2"/>
    </row>
    <row r="697" spans="1:12" ht="15.75" customHeight="1">
      <c r="A697" s="4"/>
      <c r="G697" s="2"/>
      <c r="H697" s="2"/>
      <c r="I697" s="2"/>
      <c r="K697" s="253"/>
      <c r="L697" s="2"/>
    </row>
    <row r="698" spans="1:12" ht="15.75" customHeight="1">
      <c r="A698" s="4"/>
      <c r="G698" s="2"/>
      <c r="H698" s="2"/>
      <c r="I698" s="2"/>
      <c r="K698" s="253"/>
      <c r="L698" s="2"/>
    </row>
    <row r="699" spans="1:12" ht="15.75" customHeight="1">
      <c r="A699" s="4"/>
      <c r="G699" s="2"/>
      <c r="H699" s="2"/>
      <c r="I699" s="2"/>
      <c r="K699" s="253"/>
      <c r="L699" s="2"/>
    </row>
    <row r="700" spans="1:12" ht="15.75" customHeight="1">
      <c r="A700" s="4"/>
      <c r="G700" s="2"/>
      <c r="H700" s="2"/>
      <c r="I700" s="2"/>
      <c r="K700" s="253"/>
      <c r="L700" s="2"/>
    </row>
    <row r="701" spans="1:12" ht="15.75" customHeight="1">
      <c r="A701" s="4"/>
      <c r="G701" s="2"/>
      <c r="H701" s="2"/>
      <c r="I701" s="2"/>
      <c r="K701" s="253"/>
      <c r="L701" s="2"/>
    </row>
    <row r="702" spans="1:12" ht="15.75" customHeight="1">
      <c r="A702" s="4"/>
      <c r="G702" s="2"/>
      <c r="H702" s="2"/>
      <c r="I702" s="2"/>
      <c r="K702" s="253"/>
      <c r="L702" s="2"/>
    </row>
    <row r="703" spans="1:12" ht="15.75" customHeight="1">
      <c r="A703" s="4"/>
      <c r="G703" s="2"/>
      <c r="H703" s="2"/>
      <c r="I703" s="2"/>
      <c r="K703" s="253"/>
      <c r="L703" s="2"/>
    </row>
    <row r="704" spans="1:12" ht="15.75" customHeight="1">
      <c r="A704" s="4"/>
      <c r="G704" s="2"/>
      <c r="H704" s="2"/>
      <c r="I704" s="2"/>
      <c r="K704" s="253"/>
      <c r="L704" s="2"/>
    </row>
    <row r="705" spans="1:12" ht="15.75" customHeight="1">
      <c r="A705" s="4"/>
      <c r="G705" s="2"/>
      <c r="H705" s="2"/>
      <c r="I705" s="2"/>
      <c r="K705" s="253"/>
      <c r="L705" s="2"/>
    </row>
    <row r="706" spans="1:12" ht="15.75" customHeight="1">
      <c r="A706" s="4"/>
      <c r="G706" s="2"/>
      <c r="H706" s="2"/>
      <c r="I706" s="2"/>
      <c r="K706" s="253"/>
      <c r="L706" s="2"/>
    </row>
    <row r="707" spans="1:12" ht="15.75" customHeight="1">
      <c r="A707" s="4"/>
      <c r="G707" s="2"/>
      <c r="H707" s="2"/>
      <c r="I707" s="2"/>
      <c r="K707" s="253"/>
      <c r="L707" s="2"/>
    </row>
    <row r="708" spans="1:12" ht="15.75" customHeight="1">
      <c r="A708" s="4"/>
      <c r="G708" s="2"/>
      <c r="H708" s="2"/>
      <c r="I708" s="2"/>
      <c r="K708" s="253"/>
      <c r="L708" s="2"/>
    </row>
    <row r="709" spans="1:12" ht="15.75" customHeight="1">
      <c r="A709" s="4"/>
      <c r="G709" s="2"/>
      <c r="H709" s="2"/>
      <c r="I709" s="2"/>
      <c r="K709" s="253"/>
      <c r="L709" s="2"/>
    </row>
    <row r="710" spans="1:12" ht="15.75" customHeight="1">
      <c r="A710" s="4"/>
      <c r="G710" s="2"/>
      <c r="H710" s="2"/>
      <c r="I710" s="2"/>
      <c r="K710" s="253"/>
      <c r="L710" s="2"/>
    </row>
    <row r="711" spans="1:12" ht="15.75" customHeight="1">
      <c r="A711" s="4"/>
      <c r="G711" s="2"/>
      <c r="H711" s="2"/>
      <c r="I711" s="2"/>
      <c r="K711" s="253"/>
      <c r="L711" s="2"/>
    </row>
    <row r="712" spans="1:12" ht="15.75" customHeight="1">
      <c r="A712" s="4"/>
      <c r="G712" s="2"/>
      <c r="H712" s="2"/>
      <c r="I712" s="2"/>
      <c r="K712" s="253"/>
      <c r="L712" s="2"/>
    </row>
    <row r="713" spans="1:12" ht="15.75" customHeight="1">
      <c r="A713" s="4"/>
      <c r="G713" s="2"/>
      <c r="H713" s="2"/>
      <c r="I713" s="2"/>
      <c r="K713" s="253"/>
      <c r="L713" s="2"/>
    </row>
    <row r="714" spans="1:12" ht="15.75" customHeight="1">
      <c r="A714" s="4"/>
      <c r="G714" s="2"/>
      <c r="H714" s="2"/>
      <c r="I714" s="2"/>
      <c r="K714" s="253"/>
      <c r="L714" s="2"/>
    </row>
    <row r="715" spans="1:12" ht="15.75" customHeight="1">
      <c r="A715" s="4"/>
      <c r="G715" s="2"/>
      <c r="H715" s="2"/>
      <c r="I715" s="2"/>
      <c r="K715" s="253"/>
      <c r="L715" s="2"/>
    </row>
    <row r="716" spans="1:12" ht="15.75" customHeight="1">
      <c r="A716" s="4"/>
      <c r="G716" s="2"/>
      <c r="H716" s="2"/>
      <c r="I716" s="2"/>
      <c r="K716" s="253"/>
      <c r="L716" s="2"/>
    </row>
    <row r="717" spans="1:12" ht="15.75" customHeight="1">
      <c r="A717" s="4"/>
      <c r="G717" s="2"/>
      <c r="H717" s="2"/>
      <c r="I717" s="2"/>
      <c r="K717" s="253"/>
      <c r="L717" s="2"/>
    </row>
    <row r="718" spans="1:12" ht="15.75" customHeight="1">
      <c r="A718" s="4"/>
      <c r="G718" s="2"/>
      <c r="H718" s="2"/>
      <c r="I718" s="2"/>
      <c r="K718" s="253"/>
      <c r="L718" s="2"/>
    </row>
    <row r="719" spans="1:12" ht="15.75" customHeight="1">
      <c r="A719" s="4"/>
      <c r="G719" s="2"/>
      <c r="H719" s="2"/>
      <c r="I719" s="2"/>
      <c r="K719" s="253"/>
      <c r="L719" s="2"/>
    </row>
    <row r="720" spans="1:12" ht="15.75" customHeight="1">
      <c r="A720" s="4"/>
      <c r="G720" s="2"/>
      <c r="H720" s="2"/>
      <c r="I720" s="2"/>
      <c r="K720" s="253"/>
      <c r="L720" s="2"/>
    </row>
    <row r="721" spans="1:12" ht="15.75" customHeight="1">
      <c r="A721" s="4"/>
      <c r="G721" s="2"/>
      <c r="H721" s="2"/>
      <c r="I721" s="2"/>
      <c r="K721" s="253"/>
      <c r="L721" s="2"/>
    </row>
    <row r="722" spans="1:12" ht="15.75" customHeight="1">
      <c r="A722" s="4"/>
      <c r="G722" s="2"/>
      <c r="H722" s="2"/>
      <c r="I722" s="2"/>
      <c r="K722" s="253"/>
      <c r="L722" s="2"/>
    </row>
    <row r="723" spans="1:12" ht="15.75" customHeight="1">
      <c r="A723" s="4"/>
      <c r="G723" s="2"/>
      <c r="H723" s="2"/>
      <c r="I723" s="2"/>
      <c r="K723" s="253"/>
      <c r="L723" s="2"/>
    </row>
    <row r="724" spans="1:12" ht="15.75" customHeight="1">
      <c r="A724" s="4"/>
      <c r="G724" s="2"/>
      <c r="H724" s="2"/>
      <c r="I724" s="2"/>
      <c r="K724" s="253"/>
      <c r="L724" s="2"/>
    </row>
    <row r="725" spans="1:12" ht="15.75" customHeight="1">
      <c r="A725" s="4"/>
      <c r="G725" s="2"/>
      <c r="H725" s="2"/>
      <c r="I725" s="2"/>
      <c r="K725" s="253"/>
      <c r="L725" s="2"/>
    </row>
    <row r="726" spans="1:12" ht="15.75" customHeight="1">
      <c r="A726" s="4"/>
      <c r="G726" s="2"/>
      <c r="H726" s="2"/>
      <c r="I726" s="2"/>
      <c r="K726" s="253"/>
      <c r="L726" s="2"/>
    </row>
    <row r="727" spans="1:12" ht="15.75" customHeight="1">
      <c r="A727" s="4"/>
      <c r="G727" s="2"/>
      <c r="H727" s="2"/>
      <c r="I727" s="2"/>
      <c r="K727" s="253"/>
      <c r="L727" s="2"/>
    </row>
    <row r="728" spans="1:12" ht="15.75" customHeight="1">
      <c r="A728" s="4"/>
      <c r="G728" s="2"/>
      <c r="H728" s="2"/>
      <c r="I728" s="2"/>
      <c r="K728" s="253"/>
      <c r="L728" s="2"/>
    </row>
    <row r="729" spans="1:12" ht="15.75" customHeight="1">
      <c r="A729" s="4"/>
      <c r="G729" s="2"/>
      <c r="H729" s="2"/>
      <c r="I729" s="2"/>
      <c r="K729" s="253"/>
      <c r="L729" s="2"/>
    </row>
    <row r="730" spans="1:12" ht="15.75" customHeight="1">
      <c r="A730" s="4"/>
      <c r="G730" s="2"/>
      <c r="H730" s="2"/>
      <c r="I730" s="2"/>
      <c r="K730" s="253"/>
      <c r="L730" s="2"/>
    </row>
    <row r="731" spans="1:12" ht="15.75" customHeight="1">
      <c r="A731" s="4"/>
      <c r="G731" s="2"/>
      <c r="H731" s="2"/>
      <c r="I731" s="2"/>
      <c r="K731" s="253"/>
      <c r="L731" s="2"/>
    </row>
    <row r="732" spans="1:12" ht="15.75" customHeight="1">
      <c r="A732" s="4"/>
      <c r="G732" s="2"/>
      <c r="H732" s="2"/>
      <c r="I732" s="2"/>
      <c r="K732" s="253"/>
      <c r="L732" s="2"/>
    </row>
    <row r="733" spans="1:12" ht="15.75" customHeight="1">
      <c r="A733" s="4"/>
      <c r="G733" s="2"/>
      <c r="H733" s="2"/>
      <c r="I733" s="2"/>
      <c r="K733" s="253"/>
      <c r="L733" s="2"/>
    </row>
    <row r="734" spans="1:12" ht="15.75" customHeight="1">
      <c r="A734" s="4"/>
      <c r="G734" s="2"/>
      <c r="H734" s="2"/>
      <c r="I734" s="2"/>
      <c r="K734" s="253"/>
      <c r="L734" s="2"/>
    </row>
    <row r="735" spans="1:12" ht="15.75" customHeight="1">
      <c r="A735" s="4"/>
      <c r="G735" s="2"/>
      <c r="H735" s="2"/>
      <c r="I735" s="2"/>
      <c r="K735" s="253"/>
      <c r="L735" s="2"/>
    </row>
    <row r="736" spans="1:12" ht="15.75" customHeight="1">
      <c r="A736" s="4"/>
      <c r="G736" s="2"/>
      <c r="H736" s="2"/>
      <c r="I736" s="2"/>
      <c r="K736" s="253"/>
      <c r="L736" s="2"/>
    </row>
    <row r="737" spans="1:12" ht="15.75" customHeight="1">
      <c r="A737" s="4"/>
      <c r="G737" s="2"/>
      <c r="H737" s="2"/>
      <c r="I737" s="2"/>
      <c r="K737" s="253"/>
      <c r="L737" s="2"/>
    </row>
    <row r="738" spans="1:12" ht="15.75" customHeight="1">
      <c r="A738" s="4"/>
      <c r="G738" s="2"/>
      <c r="H738" s="2"/>
      <c r="I738" s="2"/>
      <c r="K738" s="253"/>
      <c r="L738" s="2"/>
    </row>
    <row r="739" spans="1:12" ht="15.75" customHeight="1">
      <c r="A739" s="4"/>
      <c r="G739" s="2"/>
      <c r="H739" s="2"/>
      <c r="I739" s="2"/>
      <c r="K739" s="253"/>
      <c r="L739" s="2"/>
    </row>
    <row r="740" spans="1:12" ht="15.75" customHeight="1">
      <c r="A740" s="4"/>
      <c r="G740" s="2"/>
      <c r="H740" s="2"/>
      <c r="I740" s="2"/>
      <c r="K740" s="253"/>
      <c r="L740" s="2"/>
    </row>
    <row r="741" spans="1:12" ht="15.75" customHeight="1">
      <c r="A741" s="4"/>
      <c r="G741" s="2"/>
      <c r="H741" s="2"/>
      <c r="I741" s="2"/>
      <c r="K741" s="253"/>
      <c r="L741" s="2"/>
    </row>
    <row r="742" spans="1:12" ht="15.75" customHeight="1">
      <c r="A742" s="4"/>
      <c r="G742" s="2"/>
      <c r="H742" s="2"/>
      <c r="I742" s="2"/>
      <c r="K742" s="253"/>
      <c r="L742" s="2"/>
    </row>
    <row r="743" spans="1:12" ht="15.75" customHeight="1">
      <c r="A743" s="4"/>
      <c r="G743" s="2"/>
      <c r="H743" s="2"/>
      <c r="I743" s="2"/>
      <c r="K743" s="253"/>
      <c r="L743" s="2"/>
    </row>
    <row r="744" spans="1:12" ht="15.75" customHeight="1">
      <c r="A744" s="4"/>
      <c r="G744" s="2"/>
      <c r="H744" s="2"/>
      <c r="I744" s="2"/>
      <c r="K744" s="253"/>
      <c r="L744" s="2"/>
    </row>
    <row r="745" spans="1:12" ht="15.75" customHeight="1">
      <c r="A745" s="4"/>
      <c r="G745" s="2"/>
      <c r="H745" s="2"/>
      <c r="I745" s="2"/>
      <c r="K745" s="253"/>
      <c r="L745" s="2"/>
    </row>
    <row r="746" spans="1:12" ht="15.75" customHeight="1">
      <c r="A746" s="4"/>
      <c r="G746" s="2"/>
      <c r="H746" s="2"/>
      <c r="I746" s="2"/>
      <c r="K746" s="253"/>
      <c r="L746" s="2"/>
    </row>
    <row r="747" spans="1:12" ht="15.75" customHeight="1">
      <c r="A747" s="4"/>
      <c r="G747" s="2"/>
      <c r="H747" s="2"/>
      <c r="I747" s="2"/>
      <c r="K747" s="253"/>
      <c r="L747" s="2"/>
    </row>
    <row r="748" spans="1:12" ht="15.75" customHeight="1">
      <c r="A748" s="4"/>
      <c r="G748" s="2"/>
      <c r="H748" s="2"/>
      <c r="I748" s="2"/>
      <c r="K748" s="253"/>
      <c r="L748" s="2"/>
    </row>
    <row r="749" spans="1:12" ht="15.75" customHeight="1">
      <c r="A749" s="4"/>
      <c r="G749" s="2"/>
      <c r="H749" s="2"/>
      <c r="I749" s="2"/>
      <c r="K749" s="253"/>
      <c r="L749" s="2"/>
    </row>
    <row r="750" spans="1:12" ht="15.75" customHeight="1">
      <c r="A750" s="4"/>
      <c r="G750" s="2"/>
      <c r="H750" s="2"/>
      <c r="I750" s="2"/>
      <c r="K750" s="253"/>
      <c r="L750" s="2"/>
    </row>
    <row r="751" spans="1:12" ht="15.75" customHeight="1">
      <c r="A751" s="4"/>
      <c r="G751" s="2"/>
      <c r="H751" s="2"/>
      <c r="I751" s="2"/>
      <c r="K751" s="253"/>
      <c r="L751" s="2"/>
    </row>
    <row r="752" spans="1:12" ht="15.75" customHeight="1">
      <c r="A752" s="4"/>
      <c r="G752" s="2"/>
      <c r="H752" s="2"/>
      <c r="I752" s="2"/>
      <c r="K752" s="253"/>
      <c r="L752" s="2"/>
    </row>
    <row r="753" spans="1:12" ht="15.75" customHeight="1">
      <c r="A753" s="4"/>
      <c r="G753" s="2"/>
      <c r="H753" s="2"/>
      <c r="I753" s="2"/>
      <c r="K753" s="253"/>
      <c r="L753" s="2"/>
    </row>
    <row r="754" spans="1:12" ht="15.75" customHeight="1">
      <c r="A754" s="4"/>
      <c r="G754" s="2"/>
      <c r="H754" s="2"/>
      <c r="I754" s="2"/>
      <c r="K754" s="253"/>
      <c r="L754" s="2"/>
    </row>
    <row r="755" spans="1:12" ht="15.75" customHeight="1">
      <c r="A755" s="4"/>
      <c r="G755" s="2"/>
      <c r="H755" s="2"/>
      <c r="I755" s="2"/>
      <c r="K755" s="253"/>
      <c r="L755" s="2"/>
    </row>
    <row r="756" spans="1:12" ht="15.75" customHeight="1">
      <c r="A756" s="4"/>
      <c r="G756" s="2"/>
      <c r="H756" s="2"/>
      <c r="I756" s="2"/>
      <c r="K756" s="253"/>
      <c r="L756" s="2"/>
    </row>
    <row r="757" spans="1:12" ht="15.75" customHeight="1">
      <c r="A757" s="4"/>
      <c r="G757" s="2"/>
      <c r="H757" s="2"/>
      <c r="I757" s="2"/>
      <c r="K757" s="253"/>
      <c r="L757" s="2"/>
    </row>
    <row r="758" spans="1:12" ht="15.75" customHeight="1">
      <c r="A758" s="4"/>
      <c r="G758" s="2"/>
      <c r="H758" s="2"/>
      <c r="I758" s="2"/>
      <c r="K758" s="253"/>
      <c r="L758" s="2"/>
    </row>
    <row r="759" spans="1:12" ht="15.75" customHeight="1">
      <c r="A759" s="4"/>
      <c r="G759" s="2"/>
      <c r="H759" s="2"/>
      <c r="I759" s="2"/>
      <c r="K759" s="253"/>
      <c r="L759" s="2"/>
    </row>
    <row r="760" spans="1:12" ht="15.75" customHeight="1">
      <c r="A760" s="4"/>
      <c r="G760" s="2"/>
      <c r="H760" s="2"/>
      <c r="I760" s="2"/>
      <c r="K760" s="253"/>
      <c r="L760" s="2"/>
    </row>
    <row r="761" spans="1:12" ht="15.75" customHeight="1">
      <c r="A761" s="4"/>
      <c r="G761" s="2"/>
      <c r="H761" s="2"/>
      <c r="I761" s="2"/>
      <c r="K761" s="253"/>
      <c r="L761" s="2"/>
    </row>
    <row r="762" spans="1:12" ht="15.75" customHeight="1">
      <c r="A762" s="4"/>
      <c r="G762" s="2"/>
      <c r="H762" s="2"/>
      <c r="I762" s="2"/>
      <c r="K762" s="253"/>
      <c r="L762" s="2"/>
    </row>
    <row r="763" spans="1:12" ht="15.75" customHeight="1">
      <c r="A763" s="4"/>
      <c r="G763" s="2"/>
      <c r="H763" s="2"/>
      <c r="I763" s="2"/>
      <c r="K763" s="253"/>
      <c r="L763" s="2"/>
    </row>
    <row r="764" spans="1:12" ht="15.75" customHeight="1">
      <c r="A764" s="4"/>
      <c r="G764" s="2"/>
      <c r="H764" s="2"/>
      <c r="I764" s="2"/>
      <c r="K764" s="253"/>
      <c r="L764" s="2"/>
    </row>
    <row r="765" spans="1:12" ht="15.75" customHeight="1">
      <c r="A765" s="4"/>
      <c r="G765" s="2"/>
      <c r="H765" s="2"/>
      <c r="I765" s="2"/>
      <c r="K765" s="253"/>
      <c r="L765" s="2"/>
    </row>
    <row r="766" spans="1:12" ht="15.75" customHeight="1">
      <c r="A766" s="4"/>
      <c r="G766" s="2"/>
      <c r="H766" s="2"/>
      <c r="I766" s="2"/>
      <c r="K766" s="253"/>
      <c r="L766" s="2"/>
    </row>
    <row r="767" spans="1:12" ht="15.75" customHeight="1">
      <c r="A767" s="4"/>
      <c r="G767" s="2"/>
      <c r="H767" s="2"/>
      <c r="I767" s="2"/>
      <c r="K767" s="253"/>
      <c r="L767" s="2"/>
    </row>
    <row r="768" spans="1:12" ht="15.75" customHeight="1">
      <c r="A768" s="4"/>
      <c r="G768" s="2"/>
      <c r="H768" s="2"/>
      <c r="I768" s="2"/>
      <c r="K768" s="253"/>
      <c r="L768" s="2"/>
    </row>
    <row r="769" spans="1:12" ht="15.75" customHeight="1">
      <c r="A769" s="4"/>
      <c r="G769" s="2"/>
      <c r="H769" s="2"/>
      <c r="I769" s="2"/>
      <c r="K769" s="253"/>
      <c r="L769" s="2"/>
    </row>
    <row r="770" spans="1:12" ht="15.75" customHeight="1">
      <c r="A770" s="4"/>
      <c r="G770" s="2"/>
      <c r="H770" s="2"/>
      <c r="I770" s="2"/>
      <c r="K770" s="253"/>
      <c r="L770" s="2"/>
    </row>
    <row r="771" spans="1:12" ht="15.75" customHeight="1">
      <c r="A771" s="4"/>
      <c r="G771" s="2"/>
      <c r="H771" s="2"/>
      <c r="I771" s="2"/>
      <c r="K771" s="253"/>
      <c r="L771" s="2"/>
    </row>
    <row r="772" spans="1:12" ht="15.75" customHeight="1">
      <c r="A772" s="4"/>
      <c r="G772" s="2"/>
      <c r="H772" s="2"/>
      <c r="I772" s="2"/>
      <c r="K772" s="253"/>
      <c r="L772" s="2"/>
    </row>
    <row r="773" spans="1:12" ht="15.75" customHeight="1">
      <c r="A773" s="4"/>
      <c r="G773" s="2"/>
      <c r="H773" s="2"/>
      <c r="I773" s="2"/>
      <c r="K773" s="253"/>
      <c r="L773" s="2"/>
    </row>
    <row r="774" spans="1:12" ht="15.75" customHeight="1">
      <c r="A774" s="4"/>
      <c r="G774" s="2"/>
      <c r="H774" s="2"/>
      <c r="I774" s="2"/>
      <c r="K774" s="253"/>
      <c r="L774" s="2"/>
    </row>
    <row r="775" spans="1:12" ht="15.75" customHeight="1">
      <c r="A775" s="4"/>
      <c r="G775" s="2"/>
      <c r="H775" s="2"/>
      <c r="I775" s="2"/>
      <c r="K775" s="253"/>
      <c r="L775" s="2"/>
    </row>
    <row r="776" spans="1:12" ht="15.75" customHeight="1">
      <c r="A776" s="4"/>
      <c r="G776" s="2"/>
      <c r="H776" s="2"/>
      <c r="I776" s="2"/>
      <c r="K776" s="253"/>
      <c r="L776" s="2"/>
    </row>
    <row r="777" spans="1:12" ht="15.75" customHeight="1">
      <c r="A777" s="4"/>
      <c r="G777" s="2"/>
      <c r="H777" s="2"/>
      <c r="I777" s="2"/>
      <c r="K777" s="253"/>
      <c r="L777" s="2"/>
    </row>
    <row r="778" spans="1:12" ht="15.75" customHeight="1">
      <c r="A778" s="4"/>
      <c r="G778" s="2"/>
      <c r="H778" s="2"/>
      <c r="I778" s="2"/>
      <c r="K778" s="253"/>
      <c r="L778" s="2"/>
    </row>
    <row r="779" spans="1:12" ht="15.75" customHeight="1">
      <c r="A779" s="4"/>
      <c r="G779" s="2"/>
      <c r="H779" s="2"/>
      <c r="I779" s="2"/>
      <c r="K779" s="253"/>
      <c r="L779" s="2"/>
    </row>
    <row r="780" spans="1:12" ht="15.75" customHeight="1">
      <c r="A780" s="4"/>
      <c r="G780" s="2"/>
      <c r="H780" s="2"/>
      <c r="I780" s="2"/>
      <c r="K780" s="253"/>
      <c r="L780" s="2"/>
    </row>
    <row r="781" spans="1:12" ht="15.75" customHeight="1">
      <c r="A781" s="4"/>
      <c r="G781" s="2"/>
      <c r="H781" s="2"/>
      <c r="I781" s="2"/>
      <c r="K781" s="253"/>
      <c r="L781" s="2"/>
    </row>
    <row r="782" spans="1:12" ht="15.75" customHeight="1">
      <c r="A782" s="4"/>
      <c r="G782" s="2"/>
      <c r="H782" s="2"/>
      <c r="I782" s="2"/>
      <c r="K782" s="253"/>
      <c r="L782" s="2"/>
    </row>
    <row r="783" spans="1:12" ht="15.75" customHeight="1">
      <c r="A783" s="4"/>
      <c r="G783" s="2"/>
      <c r="H783" s="2"/>
      <c r="I783" s="2"/>
      <c r="K783" s="253"/>
      <c r="L783" s="2"/>
    </row>
    <row r="784" spans="1:12" ht="15.75" customHeight="1">
      <c r="A784" s="4"/>
      <c r="G784" s="2"/>
      <c r="H784" s="2"/>
      <c r="I784" s="2"/>
      <c r="K784" s="253"/>
      <c r="L784" s="2"/>
    </row>
    <row r="785" spans="1:12" ht="15.75" customHeight="1">
      <c r="A785" s="4"/>
      <c r="G785" s="2"/>
      <c r="H785" s="2"/>
      <c r="I785" s="2"/>
      <c r="K785" s="253"/>
      <c r="L785" s="2"/>
    </row>
    <row r="786" spans="1:12" ht="15.75" customHeight="1">
      <c r="A786" s="4"/>
      <c r="G786" s="2"/>
      <c r="H786" s="2"/>
      <c r="I786" s="2"/>
      <c r="K786" s="253"/>
      <c r="L786" s="2"/>
    </row>
    <row r="787" spans="1:12" ht="15.75" customHeight="1">
      <c r="A787" s="4"/>
      <c r="G787" s="2"/>
      <c r="H787" s="2"/>
      <c r="I787" s="2"/>
      <c r="K787" s="253"/>
      <c r="L787" s="2"/>
    </row>
    <row r="788" spans="1:12" ht="15.75" customHeight="1">
      <c r="A788" s="4"/>
      <c r="G788" s="2"/>
      <c r="H788" s="2"/>
      <c r="I788" s="2"/>
      <c r="K788" s="253"/>
      <c r="L788" s="2"/>
    </row>
    <row r="789" spans="1:12" ht="15.75" customHeight="1">
      <c r="A789" s="4"/>
      <c r="G789" s="2"/>
      <c r="H789" s="2"/>
      <c r="I789" s="2"/>
      <c r="K789" s="253"/>
      <c r="L789" s="2"/>
    </row>
    <row r="790" spans="1:12" ht="15.75" customHeight="1">
      <c r="A790" s="4"/>
      <c r="G790" s="2"/>
      <c r="H790" s="2"/>
      <c r="I790" s="2"/>
      <c r="K790" s="253"/>
      <c r="L790" s="2"/>
    </row>
    <row r="791" spans="1:12" ht="15.75" customHeight="1">
      <c r="A791" s="4"/>
      <c r="G791" s="2"/>
      <c r="H791" s="2"/>
      <c r="I791" s="2"/>
      <c r="K791" s="253"/>
      <c r="L791" s="2"/>
    </row>
    <row r="792" spans="1:12" ht="15.75" customHeight="1">
      <c r="A792" s="4"/>
      <c r="G792" s="2"/>
      <c r="H792" s="2"/>
      <c r="I792" s="2"/>
      <c r="K792" s="253"/>
      <c r="L792" s="2"/>
    </row>
    <row r="793" spans="1:12" ht="15.75" customHeight="1">
      <c r="A793" s="4"/>
      <c r="G793" s="2"/>
      <c r="H793" s="2"/>
      <c r="I793" s="2"/>
      <c r="K793" s="253"/>
      <c r="L793" s="2"/>
    </row>
    <row r="794" spans="1:12" ht="15.75" customHeight="1">
      <c r="A794" s="4"/>
      <c r="G794" s="2"/>
      <c r="H794" s="2"/>
      <c r="I794" s="2"/>
      <c r="K794" s="253"/>
      <c r="L794" s="2"/>
    </row>
    <row r="795" spans="1:12" ht="15.75" customHeight="1">
      <c r="A795" s="4"/>
      <c r="G795" s="2"/>
      <c r="H795" s="2"/>
      <c r="I795" s="2"/>
      <c r="K795" s="253"/>
      <c r="L795" s="2"/>
    </row>
    <row r="796" spans="1:12" ht="15.75" customHeight="1">
      <c r="A796" s="4"/>
      <c r="G796" s="2"/>
      <c r="H796" s="2"/>
      <c r="I796" s="2"/>
      <c r="K796" s="253"/>
      <c r="L796" s="2"/>
    </row>
    <row r="797" spans="1:12" ht="15.75" customHeight="1">
      <c r="A797" s="4"/>
      <c r="G797" s="2"/>
      <c r="H797" s="2"/>
      <c r="I797" s="2"/>
      <c r="K797" s="253"/>
      <c r="L797" s="2"/>
    </row>
    <row r="798" spans="1:12" ht="15.75" customHeight="1">
      <c r="A798" s="4"/>
      <c r="G798" s="2"/>
      <c r="H798" s="2"/>
      <c r="I798" s="2"/>
      <c r="K798" s="253"/>
      <c r="L798" s="2"/>
    </row>
    <row r="799" spans="1:12" ht="15.75" customHeight="1">
      <c r="A799" s="4"/>
      <c r="G799" s="2"/>
      <c r="H799" s="2"/>
      <c r="I799" s="2"/>
      <c r="K799" s="253"/>
      <c r="L799" s="2"/>
    </row>
    <row r="800" spans="1:12" ht="15.75" customHeight="1">
      <c r="A800" s="4"/>
      <c r="G800" s="2"/>
      <c r="H800" s="2"/>
      <c r="I800" s="2"/>
      <c r="K800" s="253"/>
      <c r="L800" s="2"/>
    </row>
    <row r="801" spans="1:12" ht="15.75" customHeight="1">
      <c r="A801" s="4"/>
      <c r="G801" s="2"/>
      <c r="H801" s="2"/>
      <c r="I801" s="2"/>
      <c r="K801" s="253"/>
      <c r="L801" s="2"/>
    </row>
    <row r="802" spans="1:12" ht="15.75" customHeight="1">
      <c r="A802" s="4"/>
      <c r="G802" s="2"/>
      <c r="H802" s="2"/>
      <c r="I802" s="2"/>
      <c r="K802" s="253"/>
      <c r="L802" s="2"/>
    </row>
    <row r="803" spans="1:12" ht="15.75" customHeight="1">
      <c r="A803" s="4"/>
      <c r="G803" s="2"/>
      <c r="H803" s="2"/>
      <c r="I803" s="2"/>
      <c r="K803" s="253"/>
      <c r="L803" s="2"/>
    </row>
    <row r="804" spans="1:12" ht="15.75" customHeight="1">
      <c r="A804" s="4"/>
      <c r="G804" s="2"/>
      <c r="H804" s="2"/>
      <c r="I804" s="2"/>
      <c r="K804" s="253"/>
      <c r="L804" s="2"/>
    </row>
    <row r="805" spans="1:12" ht="15.75" customHeight="1">
      <c r="A805" s="4"/>
      <c r="G805" s="2"/>
      <c r="H805" s="2"/>
      <c r="I805" s="2"/>
      <c r="K805" s="253"/>
      <c r="L805" s="2"/>
    </row>
    <row r="806" spans="1:12" ht="15.75" customHeight="1">
      <c r="A806" s="4"/>
      <c r="G806" s="2"/>
      <c r="H806" s="2"/>
      <c r="I806" s="2"/>
      <c r="K806" s="253"/>
      <c r="L806" s="2"/>
    </row>
    <row r="807" spans="1:12" ht="15.75" customHeight="1">
      <c r="A807" s="4"/>
      <c r="G807" s="2"/>
      <c r="H807" s="2"/>
      <c r="I807" s="2"/>
      <c r="K807" s="253"/>
      <c r="L807" s="2"/>
    </row>
    <row r="808" spans="1:12" ht="15.75" customHeight="1">
      <c r="A808" s="4"/>
      <c r="G808" s="2"/>
      <c r="H808" s="2"/>
      <c r="I808" s="2"/>
      <c r="K808" s="253"/>
      <c r="L808" s="2"/>
    </row>
    <row r="809" spans="1:12" ht="15.75" customHeight="1">
      <c r="A809" s="4"/>
      <c r="G809" s="2"/>
      <c r="H809" s="2"/>
      <c r="I809" s="2"/>
      <c r="K809" s="253"/>
      <c r="L809" s="2"/>
    </row>
    <row r="810" spans="1:12" ht="15.75" customHeight="1">
      <c r="A810" s="4"/>
      <c r="G810" s="2"/>
      <c r="H810" s="2"/>
      <c r="I810" s="2"/>
      <c r="K810" s="253"/>
      <c r="L810" s="2"/>
    </row>
    <row r="811" spans="1:12" ht="15.75" customHeight="1">
      <c r="A811" s="4"/>
      <c r="G811" s="2"/>
      <c r="H811" s="2"/>
      <c r="I811" s="2"/>
      <c r="K811" s="253"/>
      <c r="L811" s="2"/>
    </row>
    <row r="812" spans="1:12" ht="15.75" customHeight="1">
      <c r="A812" s="4"/>
      <c r="G812" s="2"/>
      <c r="H812" s="2"/>
      <c r="I812" s="2"/>
      <c r="K812" s="253"/>
      <c r="L812" s="2"/>
    </row>
    <row r="813" spans="1:12" ht="15.75" customHeight="1">
      <c r="A813" s="4"/>
      <c r="G813" s="2"/>
      <c r="H813" s="2"/>
      <c r="I813" s="2"/>
      <c r="K813" s="253"/>
      <c r="L813" s="2"/>
    </row>
    <row r="814" spans="1:12" ht="15.75" customHeight="1">
      <c r="A814" s="4"/>
      <c r="G814" s="2"/>
      <c r="H814" s="2"/>
      <c r="I814" s="2"/>
      <c r="K814" s="253"/>
      <c r="L814" s="2"/>
    </row>
    <row r="815" spans="1:12" ht="15.75" customHeight="1">
      <c r="A815" s="4"/>
      <c r="G815" s="2"/>
      <c r="H815" s="2"/>
      <c r="I815" s="2"/>
      <c r="K815" s="253"/>
      <c r="L815" s="2"/>
    </row>
    <row r="816" spans="1:12" ht="15.75" customHeight="1">
      <c r="A816" s="4"/>
      <c r="G816" s="2"/>
      <c r="H816" s="2"/>
      <c r="I816" s="2"/>
      <c r="K816" s="253"/>
      <c r="L816" s="2"/>
    </row>
    <row r="817" spans="1:12" ht="15.75" customHeight="1">
      <c r="A817" s="4"/>
      <c r="G817" s="2"/>
      <c r="H817" s="2"/>
      <c r="I817" s="2"/>
      <c r="K817" s="253"/>
      <c r="L817" s="2"/>
    </row>
    <row r="818" spans="1:12" ht="15.75" customHeight="1">
      <c r="A818" s="4"/>
      <c r="G818" s="2"/>
      <c r="H818" s="2"/>
      <c r="I818" s="2"/>
      <c r="K818" s="253"/>
      <c r="L818" s="2"/>
    </row>
    <row r="819" spans="1:12" ht="15.75" customHeight="1">
      <c r="A819" s="4"/>
      <c r="G819" s="2"/>
      <c r="H819" s="2"/>
      <c r="I819" s="2"/>
      <c r="K819" s="253"/>
      <c r="L819" s="2"/>
    </row>
    <row r="820" spans="1:12" ht="15.75" customHeight="1">
      <c r="A820" s="4"/>
      <c r="G820" s="2"/>
      <c r="H820" s="2"/>
      <c r="I820" s="2"/>
      <c r="K820" s="253"/>
      <c r="L820" s="2"/>
    </row>
    <row r="821" spans="1:12" ht="15.75" customHeight="1">
      <c r="A821" s="4"/>
      <c r="G821" s="2"/>
      <c r="H821" s="2"/>
      <c r="I821" s="2"/>
      <c r="K821" s="253"/>
      <c r="L821" s="2"/>
    </row>
    <row r="822" spans="1:12" ht="15.75" customHeight="1">
      <c r="A822" s="4"/>
      <c r="G822" s="2"/>
      <c r="H822" s="2"/>
      <c r="I822" s="2"/>
      <c r="K822" s="253"/>
      <c r="L822" s="2"/>
    </row>
    <row r="823" spans="1:12" ht="15.75" customHeight="1">
      <c r="A823" s="4"/>
      <c r="G823" s="2"/>
      <c r="H823" s="2"/>
      <c r="I823" s="2"/>
      <c r="K823" s="253"/>
      <c r="L823" s="2"/>
    </row>
    <row r="824" spans="1:12" ht="15.75" customHeight="1">
      <c r="A824" s="4"/>
      <c r="G824" s="2"/>
      <c r="H824" s="2"/>
      <c r="I824" s="2"/>
      <c r="K824" s="253"/>
      <c r="L824" s="2"/>
    </row>
    <row r="825" spans="1:12" ht="15.75" customHeight="1">
      <c r="A825" s="4"/>
      <c r="G825" s="2"/>
      <c r="H825" s="2"/>
      <c r="I825" s="2"/>
      <c r="K825" s="253"/>
      <c r="L825" s="2"/>
    </row>
    <row r="826" spans="1:12" ht="15.75" customHeight="1">
      <c r="A826" s="4"/>
      <c r="G826" s="2"/>
      <c r="H826" s="2"/>
      <c r="I826" s="2"/>
      <c r="K826" s="253"/>
      <c r="L826" s="2"/>
    </row>
    <row r="827" spans="1:12" ht="15.75" customHeight="1">
      <c r="A827" s="4"/>
      <c r="G827" s="2"/>
      <c r="H827" s="2"/>
      <c r="I827" s="2"/>
      <c r="K827" s="253"/>
      <c r="L827" s="2"/>
    </row>
    <row r="828" spans="1:12" ht="15.75" customHeight="1">
      <c r="A828" s="4"/>
      <c r="G828" s="2"/>
      <c r="H828" s="2"/>
      <c r="I828" s="2"/>
      <c r="K828" s="253"/>
      <c r="L828" s="2"/>
    </row>
    <row r="829" spans="1:12" ht="15.75" customHeight="1">
      <c r="A829" s="4"/>
      <c r="G829" s="2"/>
      <c r="H829" s="2"/>
      <c r="I829" s="2"/>
      <c r="K829" s="253"/>
      <c r="L829" s="2"/>
    </row>
    <row r="830" spans="1:12" ht="15.75" customHeight="1">
      <c r="A830" s="4"/>
      <c r="G830" s="2"/>
      <c r="H830" s="2"/>
      <c r="I830" s="2"/>
      <c r="K830" s="253"/>
      <c r="L830" s="2"/>
    </row>
    <row r="831" spans="1:12" ht="15.75" customHeight="1">
      <c r="A831" s="4"/>
      <c r="G831" s="2"/>
      <c r="H831" s="2"/>
      <c r="I831" s="2"/>
      <c r="K831" s="253"/>
      <c r="L831" s="2"/>
    </row>
    <row r="832" spans="1:12" ht="15.75" customHeight="1">
      <c r="A832" s="4"/>
      <c r="G832" s="2"/>
      <c r="H832" s="2"/>
      <c r="I832" s="2"/>
      <c r="K832" s="253"/>
      <c r="L832" s="2"/>
    </row>
    <row r="833" spans="1:12" ht="15.75" customHeight="1">
      <c r="A833" s="4"/>
      <c r="G833" s="2"/>
      <c r="H833" s="2"/>
      <c r="I833" s="2"/>
      <c r="K833" s="253"/>
      <c r="L833" s="2"/>
    </row>
    <row r="834" spans="1:12" ht="15.75" customHeight="1">
      <c r="A834" s="4"/>
      <c r="G834" s="2"/>
      <c r="H834" s="2"/>
      <c r="I834" s="2"/>
      <c r="K834" s="253"/>
      <c r="L834" s="2"/>
    </row>
    <row r="835" spans="1:12" ht="15.75" customHeight="1">
      <c r="A835" s="4"/>
      <c r="G835" s="2"/>
      <c r="H835" s="2"/>
      <c r="I835" s="2"/>
      <c r="K835" s="253"/>
      <c r="L835" s="2"/>
    </row>
    <row r="836" spans="1:12" ht="15.75" customHeight="1">
      <c r="A836" s="4"/>
      <c r="G836" s="2"/>
      <c r="H836" s="2"/>
      <c r="I836" s="2"/>
      <c r="K836" s="253"/>
      <c r="L836" s="2"/>
    </row>
    <row r="837" spans="1:12" ht="15.75" customHeight="1">
      <c r="A837" s="4"/>
      <c r="G837" s="2"/>
      <c r="H837" s="2"/>
      <c r="I837" s="2"/>
      <c r="K837" s="253"/>
      <c r="L837" s="2"/>
    </row>
    <row r="838" spans="1:12" ht="15.75" customHeight="1">
      <c r="A838" s="4"/>
      <c r="G838" s="2"/>
      <c r="H838" s="2"/>
      <c r="I838" s="2"/>
      <c r="K838" s="253"/>
      <c r="L838" s="2"/>
    </row>
    <row r="839" spans="1:12" ht="15.75" customHeight="1">
      <c r="A839" s="4"/>
      <c r="G839" s="2"/>
      <c r="H839" s="2"/>
      <c r="I839" s="2"/>
      <c r="K839" s="253"/>
      <c r="L839" s="2"/>
    </row>
    <row r="840" spans="1:12" ht="15.75" customHeight="1">
      <c r="A840" s="4"/>
      <c r="G840" s="2"/>
      <c r="H840" s="2"/>
      <c r="I840" s="2"/>
      <c r="K840" s="253"/>
      <c r="L840" s="2"/>
    </row>
    <row r="841" spans="1:12" ht="15.75" customHeight="1">
      <c r="A841" s="4"/>
      <c r="G841" s="2"/>
      <c r="H841" s="2"/>
      <c r="I841" s="2"/>
      <c r="K841" s="253"/>
      <c r="L841" s="2"/>
    </row>
    <row r="842" spans="1:12" ht="15.75" customHeight="1">
      <c r="A842" s="4"/>
      <c r="G842" s="2"/>
      <c r="H842" s="2"/>
      <c r="I842" s="2"/>
      <c r="K842" s="253"/>
      <c r="L842" s="2"/>
    </row>
    <row r="843" spans="1:12" ht="15.75" customHeight="1">
      <c r="A843" s="4"/>
      <c r="G843" s="2"/>
      <c r="H843" s="2"/>
      <c r="I843" s="2"/>
      <c r="K843" s="253"/>
      <c r="L843" s="2"/>
    </row>
    <row r="844" spans="1:12" ht="15.75" customHeight="1">
      <c r="A844" s="4"/>
      <c r="G844" s="2"/>
      <c r="H844" s="2"/>
      <c r="I844" s="2"/>
      <c r="K844" s="253"/>
      <c r="L844" s="2"/>
    </row>
    <row r="845" spans="1:12" ht="15.75" customHeight="1">
      <c r="A845" s="4"/>
      <c r="G845" s="2"/>
      <c r="H845" s="2"/>
      <c r="I845" s="2"/>
      <c r="K845" s="253"/>
      <c r="L845" s="2"/>
    </row>
    <row r="846" spans="1:12" ht="15.75" customHeight="1">
      <c r="A846" s="4"/>
      <c r="G846" s="2"/>
      <c r="H846" s="2"/>
      <c r="I846" s="2"/>
      <c r="K846" s="253"/>
      <c r="L846" s="2"/>
    </row>
    <row r="847" spans="1:12" ht="15.75" customHeight="1">
      <c r="A847" s="4"/>
      <c r="G847" s="2"/>
      <c r="H847" s="2"/>
      <c r="I847" s="2"/>
      <c r="K847" s="253"/>
      <c r="L847" s="2"/>
    </row>
    <row r="848" spans="1:12" ht="15.75" customHeight="1">
      <c r="A848" s="4"/>
      <c r="G848" s="2"/>
      <c r="H848" s="2"/>
      <c r="I848" s="2"/>
      <c r="K848" s="253"/>
      <c r="L848" s="2"/>
    </row>
    <row r="849" spans="1:12" ht="15.75" customHeight="1">
      <c r="A849" s="4"/>
      <c r="G849" s="2"/>
      <c r="H849" s="2"/>
      <c r="I849" s="2"/>
      <c r="K849" s="253"/>
      <c r="L849" s="2"/>
    </row>
    <row r="850" spans="1:12" ht="15.75" customHeight="1">
      <c r="A850" s="4"/>
      <c r="G850" s="2"/>
      <c r="H850" s="2"/>
      <c r="I850" s="2"/>
      <c r="K850" s="253"/>
      <c r="L850" s="2"/>
    </row>
    <row r="851" spans="1:12" ht="15.75" customHeight="1">
      <c r="A851" s="4"/>
      <c r="G851" s="2"/>
      <c r="H851" s="2"/>
      <c r="I851" s="2"/>
      <c r="K851" s="253"/>
      <c r="L851" s="2"/>
    </row>
    <row r="852" spans="1:12" ht="15.75" customHeight="1">
      <c r="A852" s="4"/>
      <c r="G852" s="2"/>
      <c r="H852" s="2"/>
      <c r="I852" s="2"/>
      <c r="K852" s="253"/>
      <c r="L852" s="2"/>
    </row>
    <row r="853" spans="1:12" ht="15.75" customHeight="1">
      <c r="A853" s="4"/>
      <c r="G853" s="2"/>
      <c r="H853" s="2"/>
      <c r="I853" s="2"/>
      <c r="K853" s="253"/>
      <c r="L853" s="2"/>
    </row>
    <row r="854" spans="1:12" ht="15.75" customHeight="1">
      <c r="A854" s="4"/>
      <c r="G854" s="2"/>
      <c r="H854" s="2"/>
      <c r="I854" s="2"/>
      <c r="K854" s="253"/>
      <c r="L854" s="2"/>
    </row>
    <row r="855" spans="1:12" ht="15.75" customHeight="1">
      <c r="A855" s="4"/>
      <c r="G855" s="2"/>
      <c r="H855" s="2"/>
      <c r="I855" s="2"/>
      <c r="K855" s="253"/>
      <c r="L855" s="2"/>
    </row>
    <row r="856" spans="1:12" ht="15.75" customHeight="1">
      <c r="A856" s="4"/>
      <c r="G856" s="2"/>
      <c r="H856" s="2"/>
      <c r="I856" s="2"/>
      <c r="K856" s="253"/>
      <c r="L856" s="2"/>
    </row>
    <row r="857" spans="1:12" ht="15.75" customHeight="1">
      <c r="A857" s="4"/>
      <c r="G857" s="2"/>
      <c r="H857" s="2"/>
      <c r="I857" s="2"/>
      <c r="K857" s="253"/>
      <c r="L857" s="2"/>
    </row>
    <row r="858" spans="1:12" ht="15.75" customHeight="1">
      <c r="A858" s="4"/>
      <c r="G858" s="2"/>
      <c r="H858" s="2"/>
      <c r="I858" s="2"/>
      <c r="K858" s="253"/>
      <c r="L858" s="2"/>
    </row>
    <row r="859" spans="1:12" ht="15.75" customHeight="1">
      <c r="A859" s="4"/>
      <c r="G859" s="2"/>
      <c r="H859" s="2"/>
      <c r="I859" s="2"/>
      <c r="K859" s="253"/>
      <c r="L859" s="2"/>
    </row>
    <row r="860" spans="1:12" ht="15.75" customHeight="1">
      <c r="A860" s="4"/>
      <c r="G860" s="2"/>
      <c r="H860" s="2"/>
      <c r="I860" s="2"/>
      <c r="K860" s="253"/>
      <c r="L860" s="2"/>
    </row>
    <row r="861" spans="1:12" ht="15.75" customHeight="1">
      <c r="A861" s="4"/>
      <c r="G861" s="2"/>
      <c r="H861" s="2"/>
      <c r="I861" s="2"/>
      <c r="K861" s="253"/>
      <c r="L861" s="2"/>
    </row>
    <row r="862" spans="1:12" ht="15.75" customHeight="1">
      <c r="A862" s="4"/>
      <c r="G862" s="2"/>
      <c r="H862" s="2"/>
      <c r="I862" s="2"/>
      <c r="K862" s="253"/>
      <c r="L862" s="2"/>
    </row>
    <row r="863" spans="1:12" ht="15.75" customHeight="1">
      <c r="A863" s="4"/>
      <c r="G863" s="2"/>
      <c r="H863" s="2"/>
      <c r="I863" s="2"/>
      <c r="K863" s="253"/>
      <c r="L863" s="2"/>
    </row>
    <row r="864" spans="1:12" ht="15.75" customHeight="1">
      <c r="A864" s="4"/>
      <c r="G864" s="2"/>
      <c r="H864" s="2"/>
      <c r="I864" s="2"/>
      <c r="K864" s="253"/>
      <c r="L864" s="2"/>
    </row>
    <row r="865" spans="1:12" ht="15.75" customHeight="1">
      <c r="A865" s="4"/>
      <c r="G865" s="2"/>
      <c r="H865" s="2"/>
      <c r="I865" s="2"/>
      <c r="K865" s="253"/>
      <c r="L865" s="2"/>
    </row>
    <row r="866" spans="1:12" ht="15.75" customHeight="1">
      <c r="A866" s="4"/>
      <c r="G866" s="2"/>
      <c r="H866" s="2"/>
      <c r="I866" s="2"/>
      <c r="K866" s="253"/>
      <c r="L866" s="2"/>
    </row>
    <row r="867" spans="1:12" ht="15.75" customHeight="1">
      <c r="A867" s="4"/>
      <c r="G867" s="2"/>
      <c r="H867" s="2"/>
      <c r="I867" s="2"/>
      <c r="K867" s="253"/>
      <c r="L867" s="2"/>
    </row>
    <row r="868" spans="1:12" ht="15.75" customHeight="1">
      <c r="A868" s="4"/>
      <c r="G868" s="2"/>
      <c r="H868" s="2"/>
      <c r="I868" s="2"/>
      <c r="K868" s="253"/>
      <c r="L868" s="2"/>
    </row>
    <row r="869" spans="1:12" ht="15.75" customHeight="1">
      <c r="A869" s="4"/>
      <c r="G869" s="2"/>
      <c r="H869" s="2"/>
      <c r="I869" s="2"/>
      <c r="K869" s="253"/>
      <c r="L869" s="2"/>
    </row>
    <row r="870" spans="1:12" ht="15.75" customHeight="1">
      <c r="A870" s="4"/>
      <c r="G870" s="2"/>
      <c r="H870" s="2"/>
      <c r="I870" s="2"/>
      <c r="K870" s="253"/>
      <c r="L870" s="2"/>
    </row>
    <row r="871" spans="1:12" ht="15.75" customHeight="1">
      <c r="A871" s="4"/>
      <c r="G871" s="2"/>
      <c r="H871" s="2"/>
      <c r="I871" s="2"/>
      <c r="K871" s="253"/>
      <c r="L871" s="2"/>
    </row>
    <row r="872" spans="1:12" ht="15.75" customHeight="1">
      <c r="A872" s="4"/>
      <c r="G872" s="2"/>
      <c r="H872" s="2"/>
      <c r="I872" s="2"/>
      <c r="K872" s="253"/>
      <c r="L872" s="2"/>
    </row>
    <row r="873" spans="1:12" ht="15.75" customHeight="1">
      <c r="A873" s="4"/>
      <c r="G873" s="2"/>
      <c r="H873" s="2"/>
      <c r="I873" s="2"/>
      <c r="K873" s="253"/>
      <c r="L873" s="2"/>
    </row>
    <row r="874" spans="1:12" ht="15.75" customHeight="1">
      <c r="A874" s="4"/>
      <c r="G874" s="2"/>
      <c r="H874" s="2"/>
      <c r="I874" s="2"/>
      <c r="K874" s="253"/>
      <c r="L874" s="2"/>
    </row>
    <row r="875" spans="1:12" ht="15.75" customHeight="1">
      <c r="A875" s="4"/>
      <c r="G875" s="2"/>
      <c r="H875" s="2"/>
      <c r="I875" s="2"/>
      <c r="K875" s="253"/>
      <c r="L875" s="2"/>
    </row>
    <row r="876" spans="1:12" ht="15.75" customHeight="1">
      <c r="A876" s="4"/>
      <c r="G876" s="2"/>
      <c r="H876" s="2"/>
      <c r="I876" s="2"/>
      <c r="K876" s="253"/>
      <c r="L876" s="2"/>
    </row>
    <row r="877" spans="1:12" ht="15.75" customHeight="1">
      <c r="A877" s="4"/>
      <c r="G877" s="2"/>
      <c r="H877" s="2"/>
      <c r="I877" s="2"/>
      <c r="K877" s="253"/>
      <c r="L877" s="2"/>
    </row>
    <row r="878" spans="1:12" ht="15.75" customHeight="1">
      <c r="A878" s="4"/>
      <c r="G878" s="2"/>
      <c r="H878" s="2"/>
      <c r="I878" s="2"/>
      <c r="K878" s="253"/>
      <c r="L878" s="2"/>
    </row>
    <row r="879" spans="1:12" ht="15.75" customHeight="1">
      <c r="A879" s="4"/>
      <c r="G879" s="2"/>
      <c r="H879" s="2"/>
      <c r="I879" s="2"/>
      <c r="K879" s="253"/>
      <c r="L879" s="2"/>
    </row>
    <row r="880" spans="1:12" ht="15.75" customHeight="1">
      <c r="A880" s="4"/>
      <c r="G880" s="2"/>
      <c r="H880" s="2"/>
      <c r="I880" s="2"/>
      <c r="K880" s="253"/>
      <c r="L880" s="2"/>
    </row>
    <row r="881" spans="1:12" ht="15.75" customHeight="1">
      <c r="A881" s="4"/>
      <c r="G881" s="2"/>
      <c r="H881" s="2"/>
      <c r="I881" s="2"/>
      <c r="K881" s="253"/>
      <c r="L881" s="2"/>
    </row>
    <row r="882" spans="1:12" ht="15.75" customHeight="1">
      <c r="A882" s="4"/>
      <c r="G882" s="2"/>
      <c r="H882" s="2"/>
      <c r="I882" s="2"/>
      <c r="K882" s="253"/>
      <c r="L882" s="2"/>
    </row>
    <row r="883" spans="1:12" ht="15.75" customHeight="1">
      <c r="A883" s="4"/>
      <c r="G883" s="2"/>
      <c r="H883" s="2"/>
      <c r="I883" s="2"/>
      <c r="K883" s="253"/>
      <c r="L883" s="2"/>
    </row>
    <row r="884" spans="1:12" ht="15.75" customHeight="1">
      <c r="A884" s="4"/>
      <c r="G884" s="2"/>
      <c r="H884" s="2"/>
      <c r="I884" s="2"/>
      <c r="K884" s="253"/>
      <c r="L884" s="2"/>
    </row>
    <row r="885" spans="1:12" ht="15.75" customHeight="1">
      <c r="A885" s="4"/>
      <c r="G885" s="2"/>
      <c r="H885" s="2"/>
      <c r="I885" s="2"/>
      <c r="K885" s="253"/>
      <c r="L885" s="2"/>
    </row>
    <row r="886" spans="1:12" ht="15.75" customHeight="1">
      <c r="A886" s="4"/>
      <c r="G886" s="2"/>
      <c r="H886" s="2"/>
      <c r="I886" s="2"/>
      <c r="K886" s="253"/>
      <c r="L886" s="2"/>
    </row>
    <row r="887" spans="1:12" ht="15.75" customHeight="1">
      <c r="A887" s="4"/>
      <c r="G887" s="2"/>
      <c r="H887" s="2"/>
      <c r="I887" s="2"/>
      <c r="K887" s="253"/>
      <c r="L887" s="2"/>
    </row>
    <row r="888" spans="1:12" ht="15.75" customHeight="1">
      <c r="A888" s="4"/>
      <c r="G888" s="2"/>
      <c r="H888" s="2"/>
      <c r="I888" s="2"/>
      <c r="K888" s="253"/>
      <c r="L888" s="2"/>
    </row>
    <row r="889" spans="1:12" ht="15.75" customHeight="1">
      <c r="A889" s="4"/>
      <c r="G889" s="2"/>
      <c r="H889" s="2"/>
      <c r="I889" s="2"/>
      <c r="K889" s="253"/>
      <c r="L889" s="2"/>
    </row>
    <row r="890" spans="1:12" ht="15.75" customHeight="1">
      <c r="A890" s="4"/>
      <c r="G890" s="2"/>
      <c r="H890" s="2"/>
      <c r="I890" s="2"/>
      <c r="K890" s="253"/>
      <c r="L890" s="2"/>
    </row>
    <row r="891" spans="1:12" ht="15.75" customHeight="1">
      <c r="A891" s="4"/>
      <c r="G891" s="2"/>
      <c r="H891" s="2"/>
      <c r="I891" s="2"/>
      <c r="K891" s="253"/>
      <c r="L891" s="2"/>
    </row>
    <row r="892" spans="1:12" ht="15.75" customHeight="1">
      <c r="A892" s="4"/>
      <c r="G892" s="2"/>
      <c r="H892" s="2"/>
      <c r="I892" s="2"/>
      <c r="K892" s="253"/>
      <c r="L892" s="2"/>
    </row>
    <row r="893" spans="1:12" ht="15.75" customHeight="1">
      <c r="A893" s="4"/>
      <c r="G893" s="2"/>
      <c r="H893" s="2"/>
      <c r="I893" s="2"/>
      <c r="K893" s="253"/>
      <c r="L893" s="2"/>
    </row>
    <row r="894" spans="1:12" ht="15.75" customHeight="1">
      <c r="A894" s="4"/>
      <c r="G894" s="2"/>
      <c r="H894" s="2"/>
      <c r="I894" s="2"/>
      <c r="K894" s="253"/>
      <c r="L894" s="2"/>
    </row>
    <row r="895" spans="1:12" ht="15.75" customHeight="1">
      <c r="A895" s="4"/>
      <c r="G895" s="2"/>
      <c r="H895" s="2"/>
      <c r="I895" s="2"/>
      <c r="K895" s="253"/>
      <c r="L895" s="2"/>
    </row>
    <row r="896" spans="1:12" ht="15.75" customHeight="1">
      <c r="A896" s="4"/>
      <c r="G896" s="2"/>
      <c r="H896" s="2"/>
      <c r="I896" s="2"/>
      <c r="K896" s="253"/>
      <c r="L896" s="2"/>
    </row>
    <row r="897" spans="1:12" ht="15.75" customHeight="1">
      <c r="A897" s="4"/>
      <c r="G897" s="2"/>
      <c r="H897" s="2"/>
      <c r="I897" s="2"/>
      <c r="K897" s="253"/>
      <c r="L897" s="2"/>
    </row>
    <row r="898" spans="1:12" ht="15.75" customHeight="1">
      <c r="A898" s="4"/>
      <c r="G898" s="2"/>
      <c r="H898" s="2"/>
      <c r="I898" s="2"/>
      <c r="K898" s="253"/>
      <c r="L898" s="2"/>
    </row>
    <row r="899" spans="1:12" ht="15.75" customHeight="1">
      <c r="A899" s="4"/>
      <c r="G899" s="2"/>
      <c r="H899" s="2"/>
      <c r="I899" s="2"/>
      <c r="K899" s="253"/>
      <c r="L899" s="2"/>
    </row>
    <row r="900" spans="1:12" ht="15.75" customHeight="1">
      <c r="A900" s="4"/>
      <c r="G900" s="2"/>
      <c r="H900" s="2"/>
      <c r="I900" s="2"/>
      <c r="K900" s="253"/>
      <c r="L900" s="2"/>
    </row>
    <row r="901" spans="1:12" ht="15.75" customHeight="1">
      <c r="A901" s="4"/>
      <c r="G901" s="2"/>
      <c r="H901" s="2"/>
      <c r="I901" s="2"/>
      <c r="K901" s="253"/>
      <c r="L901" s="2"/>
    </row>
    <row r="902" spans="1:12" ht="15.75" customHeight="1">
      <c r="A902" s="4"/>
      <c r="G902" s="2"/>
      <c r="H902" s="2"/>
      <c r="I902" s="2"/>
      <c r="K902" s="253"/>
      <c r="L902" s="2"/>
    </row>
    <row r="903" spans="1:12" ht="15.75" customHeight="1">
      <c r="A903" s="4"/>
      <c r="G903" s="2"/>
      <c r="H903" s="2"/>
      <c r="I903" s="2"/>
      <c r="K903" s="253"/>
      <c r="L903" s="2"/>
    </row>
    <row r="904" spans="1:12" ht="15.75" customHeight="1">
      <c r="A904" s="4"/>
      <c r="G904" s="2"/>
      <c r="H904" s="2"/>
      <c r="I904" s="2"/>
      <c r="K904" s="253"/>
      <c r="L904" s="2"/>
    </row>
    <row r="905" spans="1:12" ht="15.75" customHeight="1">
      <c r="A905" s="4"/>
      <c r="G905" s="2"/>
      <c r="H905" s="2"/>
      <c r="I905" s="2"/>
      <c r="K905" s="253"/>
      <c r="L905" s="2"/>
    </row>
    <row r="906" spans="1:12" ht="15.75" customHeight="1">
      <c r="A906" s="4"/>
      <c r="G906" s="2"/>
      <c r="H906" s="2"/>
      <c r="I906" s="2"/>
      <c r="K906" s="253"/>
      <c r="L906" s="2"/>
    </row>
    <row r="907" spans="1:12" ht="15.75" customHeight="1">
      <c r="A907" s="4"/>
      <c r="G907" s="2"/>
      <c r="H907" s="2"/>
      <c r="I907" s="2"/>
      <c r="K907" s="253"/>
      <c r="L907" s="2"/>
    </row>
    <row r="908" spans="1:12" ht="15.75" customHeight="1">
      <c r="A908" s="4"/>
      <c r="G908" s="2"/>
      <c r="H908" s="2"/>
      <c r="I908" s="2"/>
      <c r="K908" s="253"/>
      <c r="L908" s="2"/>
    </row>
    <row r="909" spans="1:12" ht="15.75" customHeight="1">
      <c r="A909" s="4"/>
      <c r="G909" s="2"/>
      <c r="H909" s="2"/>
      <c r="I909" s="2"/>
      <c r="K909" s="253"/>
      <c r="L909" s="2"/>
    </row>
    <row r="910" spans="1:12" ht="15.75" customHeight="1">
      <c r="A910" s="4"/>
      <c r="G910" s="2"/>
      <c r="H910" s="2"/>
      <c r="I910" s="2"/>
      <c r="K910" s="253"/>
      <c r="L910" s="2"/>
    </row>
    <row r="911" spans="1:12" ht="15.75" customHeight="1">
      <c r="A911" s="4"/>
      <c r="G911" s="2"/>
      <c r="H911" s="2"/>
      <c r="I911" s="2"/>
      <c r="K911" s="253"/>
      <c r="L911" s="2"/>
    </row>
    <row r="912" spans="1:12" ht="15.75" customHeight="1">
      <c r="A912" s="4"/>
      <c r="G912" s="2"/>
      <c r="H912" s="2"/>
      <c r="I912" s="2"/>
      <c r="K912" s="253"/>
      <c r="L912" s="2"/>
    </row>
    <row r="913" spans="1:12" ht="15.75" customHeight="1">
      <c r="A913" s="4"/>
      <c r="G913" s="2"/>
      <c r="H913" s="2"/>
      <c r="I913" s="2"/>
      <c r="K913" s="253"/>
      <c r="L913" s="2"/>
    </row>
    <row r="914" spans="1:12" ht="15.75" customHeight="1">
      <c r="A914" s="4"/>
      <c r="G914" s="2"/>
      <c r="H914" s="2"/>
      <c r="I914" s="2"/>
      <c r="K914" s="253"/>
      <c r="L914" s="2"/>
    </row>
    <row r="915" spans="1:12" ht="15.75" customHeight="1">
      <c r="A915" s="4"/>
      <c r="G915" s="2"/>
      <c r="H915" s="2"/>
      <c r="I915" s="2"/>
      <c r="K915" s="253"/>
      <c r="L915" s="2"/>
    </row>
    <row r="916" spans="1:12" ht="15.75" customHeight="1">
      <c r="A916" s="4"/>
      <c r="G916" s="2"/>
      <c r="H916" s="2"/>
      <c r="I916" s="2"/>
      <c r="K916" s="253"/>
      <c r="L916" s="2"/>
    </row>
    <row r="917" spans="1:12" ht="15.75" customHeight="1">
      <c r="A917" s="4"/>
      <c r="G917" s="2"/>
      <c r="H917" s="2"/>
      <c r="I917" s="2"/>
      <c r="K917" s="253"/>
      <c r="L917" s="2"/>
    </row>
    <row r="918" spans="1:12" ht="15.75" customHeight="1">
      <c r="A918" s="4"/>
      <c r="G918" s="2"/>
      <c r="H918" s="2"/>
      <c r="I918" s="2"/>
      <c r="K918" s="253"/>
      <c r="L918" s="2"/>
    </row>
    <row r="919" spans="1:12" ht="15.75" customHeight="1">
      <c r="A919" s="4"/>
      <c r="G919" s="2"/>
      <c r="H919" s="2"/>
      <c r="I919" s="2"/>
      <c r="K919" s="253"/>
      <c r="L919" s="2"/>
    </row>
    <row r="920" spans="1:12" ht="15.75" customHeight="1">
      <c r="A920" s="4"/>
      <c r="G920" s="2"/>
      <c r="H920" s="2"/>
      <c r="I920" s="2"/>
      <c r="K920" s="253"/>
      <c r="L920" s="2"/>
    </row>
    <row r="921" spans="1:12" ht="15.75" customHeight="1">
      <c r="A921" s="4"/>
      <c r="G921" s="2"/>
      <c r="H921" s="2"/>
      <c r="I921" s="2"/>
      <c r="K921" s="253"/>
      <c r="L921" s="2"/>
    </row>
    <row r="922" spans="1:12" ht="15.75" customHeight="1">
      <c r="A922" s="4"/>
      <c r="G922" s="2"/>
      <c r="H922" s="2"/>
      <c r="I922" s="2"/>
      <c r="K922" s="253"/>
      <c r="L922" s="2"/>
    </row>
    <row r="923" spans="1:12" ht="15.75" customHeight="1">
      <c r="A923" s="4"/>
      <c r="G923" s="2"/>
      <c r="H923" s="2"/>
      <c r="I923" s="2"/>
      <c r="K923" s="253"/>
      <c r="L923" s="2"/>
    </row>
    <row r="924" spans="1:12" ht="15.75" customHeight="1">
      <c r="A924" s="4"/>
      <c r="G924" s="2"/>
      <c r="H924" s="2"/>
      <c r="I924" s="2"/>
      <c r="K924" s="253"/>
      <c r="L924" s="2"/>
    </row>
    <row r="925" spans="1:12" ht="15.75" customHeight="1">
      <c r="A925" s="4"/>
      <c r="G925" s="2"/>
      <c r="H925" s="2"/>
      <c r="I925" s="2"/>
      <c r="K925" s="253"/>
      <c r="L925" s="2"/>
    </row>
    <row r="926" spans="1:12" ht="15.75" customHeight="1">
      <c r="A926" s="4"/>
      <c r="G926" s="2"/>
      <c r="H926" s="2"/>
      <c r="I926" s="2"/>
      <c r="K926" s="253"/>
      <c r="L926" s="2"/>
    </row>
    <row r="927" spans="1:12" ht="15.75" customHeight="1">
      <c r="A927" s="4"/>
      <c r="G927" s="2"/>
      <c r="H927" s="2"/>
      <c r="I927" s="2"/>
      <c r="K927" s="253"/>
      <c r="L927" s="2"/>
    </row>
    <row r="928" spans="1:12" ht="15.75" customHeight="1">
      <c r="A928" s="4"/>
      <c r="G928" s="2"/>
      <c r="H928" s="2"/>
      <c r="I928" s="2"/>
      <c r="K928" s="253"/>
      <c r="L928" s="2"/>
    </row>
    <row r="929" spans="1:12" ht="15.75" customHeight="1">
      <c r="A929" s="4"/>
      <c r="G929" s="2"/>
      <c r="H929" s="2"/>
      <c r="I929" s="2"/>
      <c r="K929" s="253"/>
      <c r="L929" s="2"/>
    </row>
    <row r="930" spans="1:12" ht="15.75" customHeight="1">
      <c r="A930" s="4"/>
      <c r="G930" s="2"/>
      <c r="H930" s="2"/>
      <c r="I930" s="2"/>
      <c r="K930" s="253"/>
      <c r="L930" s="2"/>
    </row>
    <row r="931" spans="1:12" ht="15.75" customHeight="1">
      <c r="A931" s="4"/>
      <c r="G931" s="2"/>
      <c r="H931" s="2"/>
      <c r="I931" s="2"/>
      <c r="K931" s="253"/>
      <c r="L931" s="2"/>
    </row>
    <row r="932" spans="1:12" ht="15.75" customHeight="1">
      <c r="A932" s="4"/>
      <c r="G932" s="2"/>
      <c r="H932" s="2"/>
      <c r="I932" s="2"/>
      <c r="K932" s="253"/>
      <c r="L932" s="2"/>
    </row>
    <row r="933" spans="1:12" ht="15.75" customHeight="1">
      <c r="A933" s="4"/>
      <c r="G933" s="2"/>
      <c r="H933" s="2"/>
      <c r="I933" s="2"/>
      <c r="K933" s="253"/>
      <c r="L933" s="2"/>
    </row>
    <row r="934" spans="1:12" ht="15.75" customHeight="1">
      <c r="A934" s="4"/>
      <c r="G934" s="2"/>
      <c r="H934" s="2"/>
      <c r="I934" s="2"/>
      <c r="K934" s="253"/>
      <c r="L934" s="2"/>
    </row>
    <row r="935" spans="1:12" ht="15.75" customHeight="1">
      <c r="A935" s="4"/>
      <c r="G935" s="2"/>
      <c r="H935" s="2"/>
      <c r="I935" s="2"/>
      <c r="K935" s="253"/>
      <c r="L935" s="2"/>
    </row>
    <row r="936" spans="1:12" ht="15.75" customHeight="1">
      <c r="A936" s="4"/>
      <c r="G936" s="2"/>
      <c r="H936" s="2"/>
      <c r="I936" s="2"/>
      <c r="K936" s="253"/>
      <c r="L936" s="2"/>
    </row>
    <row r="937" spans="1:12" ht="15.75" customHeight="1">
      <c r="A937" s="4"/>
      <c r="G937" s="2"/>
      <c r="H937" s="2"/>
      <c r="I937" s="2"/>
      <c r="K937" s="253"/>
      <c r="L937" s="2"/>
    </row>
    <row r="938" spans="1:12" ht="15.75" customHeight="1">
      <c r="A938" s="4"/>
      <c r="G938" s="2"/>
      <c r="H938" s="2"/>
      <c r="I938" s="2"/>
      <c r="K938" s="253"/>
      <c r="L938" s="2"/>
    </row>
    <row r="939" spans="1:12" ht="15.75" customHeight="1">
      <c r="A939" s="4"/>
      <c r="G939" s="2"/>
      <c r="H939" s="2"/>
      <c r="I939" s="2"/>
      <c r="K939" s="253"/>
      <c r="L939" s="2"/>
    </row>
    <row r="940" spans="1:12" ht="15.75" customHeight="1">
      <c r="A940" s="4"/>
      <c r="G940" s="2"/>
      <c r="H940" s="2"/>
      <c r="I940" s="2"/>
      <c r="K940" s="253"/>
      <c r="L940" s="2"/>
    </row>
    <row r="941" spans="1:12" ht="15.75" customHeight="1">
      <c r="A941" s="4"/>
      <c r="G941" s="2"/>
      <c r="H941" s="2"/>
      <c r="I941" s="2"/>
      <c r="K941" s="253"/>
      <c r="L941" s="2"/>
    </row>
    <row r="942" spans="1:12" ht="15.75" customHeight="1">
      <c r="A942" s="4"/>
      <c r="G942" s="2"/>
      <c r="H942" s="2"/>
      <c r="I942" s="2"/>
      <c r="K942" s="253"/>
      <c r="L942" s="2"/>
    </row>
    <row r="943" spans="1:12" ht="15.75" customHeight="1">
      <c r="A943" s="4"/>
      <c r="G943" s="2"/>
      <c r="H943" s="2"/>
      <c r="I943" s="2"/>
      <c r="K943" s="253"/>
      <c r="L943" s="2"/>
    </row>
    <row r="944" spans="1:12" ht="15.75" customHeight="1">
      <c r="A944" s="4"/>
      <c r="G944" s="2"/>
      <c r="H944" s="2"/>
      <c r="I944" s="2"/>
      <c r="K944" s="253"/>
      <c r="L944" s="2"/>
    </row>
    <row r="945" spans="1:12" ht="15.75" customHeight="1">
      <c r="A945" s="4"/>
      <c r="G945" s="2"/>
      <c r="H945" s="2"/>
      <c r="I945" s="2"/>
      <c r="K945" s="253"/>
      <c r="L945" s="2"/>
    </row>
    <row r="946" spans="1:12" ht="15.75" customHeight="1">
      <c r="A946" s="4"/>
      <c r="G946" s="2"/>
      <c r="H946" s="2"/>
      <c r="I946" s="2"/>
      <c r="K946" s="253"/>
      <c r="L946" s="2"/>
    </row>
    <row r="947" spans="1:12" ht="15.75" customHeight="1">
      <c r="A947" s="4"/>
      <c r="G947" s="2"/>
      <c r="H947" s="2"/>
      <c r="I947" s="2"/>
      <c r="K947" s="253"/>
      <c r="L947" s="2"/>
    </row>
    <row r="948" spans="1:12" ht="15.75" customHeight="1">
      <c r="A948" s="4"/>
      <c r="G948" s="2"/>
      <c r="H948" s="2"/>
      <c r="I948" s="2"/>
      <c r="K948" s="253"/>
      <c r="L948" s="2"/>
    </row>
    <row r="949" spans="1:12" ht="15.75" customHeight="1">
      <c r="A949" s="4"/>
      <c r="G949" s="2"/>
      <c r="H949" s="2"/>
      <c r="I949" s="2"/>
      <c r="K949" s="253"/>
      <c r="L949" s="2"/>
    </row>
    <row r="950" spans="1:12" ht="15.75" customHeight="1">
      <c r="A950" s="4"/>
      <c r="G950" s="2"/>
      <c r="H950" s="2"/>
      <c r="I950" s="2"/>
      <c r="K950" s="253"/>
      <c r="L950" s="2"/>
    </row>
    <row r="951" spans="1:12" ht="15.75" customHeight="1">
      <c r="A951" s="4"/>
      <c r="G951" s="2"/>
      <c r="H951" s="2"/>
      <c r="I951" s="2"/>
      <c r="K951" s="253"/>
      <c r="L951" s="2"/>
    </row>
    <row r="952" spans="1:12" ht="15.75" customHeight="1">
      <c r="A952" s="4"/>
      <c r="G952" s="2"/>
      <c r="H952" s="2"/>
      <c r="I952" s="2"/>
      <c r="K952" s="253"/>
      <c r="L952" s="2"/>
    </row>
    <row r="953" spans="1:12" ht="15.75" customHeight="1">
      <c r="A953" s="4"/>
      <c r="G953" s="2"/>
      <c r="H953" s="2"/>
      <c r="I953" s="2"/>
      <c r="K953" s="253"/>
      <c r="L953" s="2"/>
    </row>
    <row r="954" spans="1:12" ht="15.75" customHeight="1">
      <c r="A954" s="4"/>
      <c r="G954" s="2"/>
      <c r="H954" s="2"/>
      <c r="I954" s="2"/>
      <c r="K954" s="253"/>
      <c r="L954" s="2"/>
    </row>
    <row r="955" spans="1:12" ht="15.75" customHeight="1">
      <c r="A955" s="4"/>
      <c r="G955" s="2"/>
      <c r="H955" s="2"/>
      <c r="I955" s="2"/>
      <c r="K955" s="253"/>
      <c r="L955" s="2"/>
    </row>
    <row r="956" spans="1:12" ht="15.75" customHeight="1">
      <c r="A956" s="4"/>
      <c r="G956" s="2"/>
      <c r="H956" s="2"/>
      <c r="I956" s="2"/>
      <c r="K956" s="253"/>
      <c r="L956" s="2"/>
    </row>
    <row r="957" spans="1:12" ht="15.75" customHeight="1">
      <c r="A957" s="4"/>
      <c r="G957" s="2"/>
      <c r="H957" s="2"/>
      <c r="I957" s="2"/>
      <c r="K957" s="253"/>
      <c r="L957" s="2"/>
    </row>
    <row r="958" spans="1:12" ht="15.75" customHeight="1">
      <c r="A958" s="4"/>
      <c r="G958" s="2"/>
      <c r="H958" s="2"/>
      <c r="I958" s="2"/>
      <c r="K958" s="253"/>
      <c r="L958" s="2"/>
    </row>
    <row r="959" spans="1:12" ht="15.75" customHeight="1">
      <c r="A959" s="4"/>
      <c r="G959" s="2"/>
      <c r="H959" s="2"/>
      <c r="I959" s="2"/>
      <c r="K959" s="253"/>
      <c r="L959" s="2"/>
    </row>
    <row r="960" spans="1:12" ht="15.75" customHeight="1">
      <c r="A960" s="4"/>
      <c r="G960" s="2"/>
      <c r="H960" s="2"/>
      <c r="I960" s="2"/>
      <c r="K960" s="253"/>
      <c r="L960" s="2"/>
    </row>
    <row r="961" spans="1:12" ht="15.75" customHeight="1">
      <c r="A961" s="4"/>
      <c r="G961" s="2"/>
      <c r="H961" s="2"/>
      <c r="I961" s="2"/>
      <c r="K961" s="253"/>
      <c r="L961" s="2"/>
    </row>
    <row r="962" spans="1:12" ht="15.75" customHeight="1">
      <c r="A962" s="4"/>
      <c r="G962" s="2"/>
      <c r="H962" s="2"/>
      <c r="I962" s="2"/>
      <c r="K962" s="253"/>
      <c r="L962" s="2"/>
    </row>
    <row r="963" spans="1:12" ht="15.75" customHeight="1">
      <c r="A963" s="4"/>
      <c r="G963" s="2"/>
      <c r="H963" s="2"/>
      <c r="I963" s="2"/>
      <c r="K963" s="253"/>
      <c r="L963" s="2"/>
    </row>
    <row r="964" spans="1:12" ht="15.75" customHeight="1">
      <c r="A964" s="4"/>
      <c r="G964" s="2"/>
      <c r="H964" s="2"/>
      <c r="I964" s="2"/>
      <c r="K964" s="253"/>
      <c r="L964" s="2"/>
    </row>
    <row r="965" spans="1:12" ht="15.75" customHeight="1">
      <c r="A965" s="4"/>
      <c r="G965" s="2"/>
      <c r="H965" s="2"/>
      <c r="I965" s="2"/>
      <c r="K965" s="253"/>
      <c r="L965" s="2"/>
    </row>
    <row r="966" spans="1:12" ht="15.75" customHeight="1">
      <c r="A966" s="4"/>
      <c r="G966" s="2"/>
      <c r="H966" s="2"/>
      <c r="I966" s="2"/>
      <c r="K966" s="253"/>
      <c r="L966" s="2"/>
    </row>
    <row r="967" spans="1:12" ht="15.75" customHeight="1">
      <c r="A967" s="4"/>
      <c r="G967" s="2"/>
      <c r="H967" s="2"/>
      <c r="I967" s="2"/>
      <c r="K967" s="253"/>
      <c r="L967" s="2"/>
    </row>
    <row r="968" spans="1:12" ht="15.75" customHeight="1">
      <c r="A968" s="4"/>
      <c r="G968" s="2"/>
      <c r="H968" s="2"/>
      <c r="I968" s="2"/>
      <c r="K968" s="253"/>
      <c r="L968" s="2"/>
    </row>
    <row r="969" spans="1:12" ht="15.75" customHeight="1">
      <c r="A969" s="4"/>
      <c r="G969" s="2"/>
      <c r="H969" s="2"/>
      <c r="I969" s="2"/>
      <c r="K969" s="253"/>
      <c r="L969" s="2"/>
    </row>
    <row r="970" spans="1:12" ht="15.75" customHeight="1">
      <c r="A970" s="4"/>
      <c r="G970" s="2"/>
      <c r="H970" s="2"/>
      <c r="I970" s="2"/>
      <c r="K970" s="253"/>
      <c r="L970" s="2"/>
    </row>
    <row r="971" spans="1:12" ht="15.75" customHeight="1">
      <c r="A971" s="4"/>
      <c r="G971" s="2"/>
      <c r="H971" s="2"/>
      <c r="I971" s="2"/>
      <c r="K971" s="253"/>
      <c r="L971" s="2"/>
    </row>
    <row r="972" spans="1:12" ht="15.75" customHeight="1">
      <c r="A972" s="4"/>
      <c r="G972" s="2"/>
      <c r="H972" s="2"/>
      <c r="I972" s="2"/>
      <c r="K972" s="253"/>
      <c r="L972" s="2"/>
    </row>
    <row r="973" spans="1:12" ht="15.75" customHeight="1">
      <c r="A973" s="4"/>
      <c r="G973" s="2"/>
      <c r="H973" s="2"/>
      <c r="I973" s="2"/>
      <c r="K973" s="253"/>
      <c r="L973" s="2"/>
    </row>
    <row r="974" spans="1:12" ht="15.75" customHeight="1">
      <c r="A974" s="4"/>
      <c r="G974" s="2"/>
      <c r="H974" s="2"/>
      <c r="I974" s="2"/>
      <c r="K974" s="253"/>
      <c r="L974" s="2"/>
    </row>
    <row r="975" spans="1:12" ht="15.75" customHeight="1">
      <c r="A975" s="4"/>
      <c r="G975" s="2"/>
      <c r="H975" s="2"/>
      <c r="I975" s="2"/>
      <c r="K975" s="253"/>
      <c r="L975" s="2"/>
    </row>
    <row r="976" spans="1:12" ht="15.75" customHeight="1">
      <c r="A976" s="4"/>
      <c r="G976" s="2"/>
      <c r="H976" s="2"/>
      <c r="I976" s="2"/>
      <c r="K976" s="253"/>
      <c r="L976" s="2"/>
    </row>
    <row r="977" spans="1:12" ht="15.75" customHeight="1">
      <c r="A977" s="4"/>
      <c r="G977" s="2"/>
      <c r="H977" s="2"/>
      <c r="I977" s="2"/>
      <c r="K977" s="253"/>
      <c r="L977" s="2"/>
    </row>
    <row r="978" spans="1:12" ht="15.75" customHeight="1">
      <c r="A978" s="4"/>
      <c r="G978" s="2"/>
      <c r="H978" s="2"/>
      <c r="I978" s="2"/>
      <c r="K978" s="253"/>
      <c r="L978" s="2"/>
    </row>
    <row r="979" spans="1:12" ht="15.75" customHeight="1">
      <c r="A979" s="4"/>
      <c r="G979" s="2"/>
      <c r="H979" s="2"/>
      <c r="I979" s="2"/>
      <c r="K979" s="253"/>
      <c r="L979" s="2"/>
    </row>
    <row r="980" spans="1:12" ht="15.75" customHeight="1">
      <c r="A980" s="4"/>
      <c r="G980" s="2"/>
      <c r="H980" s="2"/>
      <c r="I980" s="2"/>
      <c r="K980" s="253"/>
      <c r="L980" s="2"/>
    </row>
    <row r="981" spans="1:12" ht="15.75" customHeight="1">
      <c r="A981" s="4"/>
      <c r="G981" s="2"/>
      <c r="H981" s="2"/>
      <c r="I981" s="2"/>
      <c r="K981" s="253"/>
      <c r="L981" s="2"/>
    </row>
    <row r="982" spans="1:12" ht="15.75" customHeight="1">
      <c r="A982" s="4"/>
      <c r="G982" s="2"/>
      <c r="H982" s="2"/>
      <c r="I982" s="2"/>
      <c r="K982" s="253"/>
      <c r="L982" s="2"/>
    </row>
    <row r="983" spans="1:12" ht="15.75" customHeight="1">
      <c r="A983" s="4"/>
      <c r="G983" s="2"/>
      <c r="H983" s="2"/>
      <c r="I983" s="2"/>
      <c r="K983" s="253"/>
      <c r="L983" s="2"/>
    </row>
    <row r="984" spans="1:12" ht="15.75" customHeight="1">
      <c r="A984" s="4"/>
      <c r="G984" s="2"/>
      <c r="H984" s="2"/>
      <c r="I984" s="2"/>
      <c r="K984" s="253"/>
      <c r="L984" s="2"/>
    </row>
    <row r="985" spans="1:12" ht="15.75" customHeight="1">
      <c r="A985" s="4"/>
      <c r="G985" s="2"/>
      <c r="H985" s="2"/>
      <c r="I985" s="2"/>
      <c r="K985" s="253"/>
      <c r="L985" s="2"/>
    </row>
    <row r="986" spans="1:12" ht="15.75" customHeight="1">
      <c r="A986" s="4"/>
      <c r="G986" s="2"/>
      <c r="H986" s="2"/>
      <c r="I986" s="2"/>
      <c r="K986" s="253"/>
      <c r="L986" s="2"/>
    </row>
    <row r="987" spans="1:12" ht="15.75" customHeight="1">
      <c r="A987" s="4"/>
      <c r="G987" s="2"/>
      <c r="H987" s="2"/>
      <c r="I987" s="2"/>
      <c r="K987" s="253"/>
      <c r="L987" s="2"/>
    </row>
    <row r="988" spans="1:12" ht="15.75" customHeight="1">
      <c r="A988" s="4"/>
      <c r="G988" s="2"/>
      <c r="H988" s="2"/>
      <c r="I988" s="2"/>
      <c r="K988" s="253"/>
      <c r="L988" s="2"/>
    </row>
    <row r="989" spans="1:12" ht="15.75" customHeight="1">
      <c r="A989" s="4"/>
      <c r="G989" s="2"/>
      <c r="H989" s="2"/>
      <c r="I989" s="2"/>
      <c r="K989" s="253"/>
      <c r="L989" s="2"/>
    </row>
    <row r="990" spans="1:12" ht="15.75" customHeight="1">
      <c r="A990" s="4"/>
      <c r="G990" s="2"/>
      <c r="H990" s="2"/>
      <c r="I990" s="2"/>
      <c r="K990" s="253"/>
      <c r="L990" s="2"/>
    </row>
    <row r="991" spans="1:12" ht="15.75" customHeight="1">
      <c r="A991" s="4"/>
      <c r="G991" s="2"/>
      <c r="H991" s="2"/>
      <c r="I991" s="2"/>
      <c r="K991" s="253"/>
      <c r="L991" s="2"/>
    </row>
    <row r="992" spans="1:12" ht="15.75" customHeight="1">
      <c r="A992" s="4"/>
      <c r="G992" s="2"/>
      <c r="H992" s="2"/>
      <c r="I992" s="2"/>
      <c r="K992" s="253"/>
      <c r="L992" s="2"/>
    </row>
    <row r="993" spans="1:12" ht="15.75" customHeight="1">
      <c r="A993" s="4"/>
      <c r="G993" s="2"/>
      <c r="H993" s="2"/>
      <c r="I993" s="2"/>
      <c r="K993" s="253"/>
      <c r="L993" s="2"/>
    </row>
    <row r="994" spans="1:12" ht="15.75" customHeight="1">
      <c r="A994" s="4"/>
      <c r="G994" s="2"/>
      <c r="H994" s="2"/>
      <c r="I994" s="2"/>
      <c r="K994" s="253"/>
      <c r="L994" s="2"/>
    </row>
    <row r="995" spans="1:12" ht="15.75" customHeight="1">
      <c r="A995" s="4"/>
      <c r="G995" s="2"/>
      <c r="H995" s="2"/>
      <c r="I995" s="2"/>
      <c r="K995" s="253"/>
      <c r="L995" s="2"/>
    </row>
    <row r="996" spans="1:12" ht="15.75" customHeight="1">
      <c r="A996" s="4"/>
      <c r="G996" s="2"/>
      <c r="H996" s="2"/>
      <c r="I996" s="2"/>
      <c r="K996" s="253"/>
      <c r="L996" s="2"/>
    </row>
    <row r="997" spans="1:12" ht="15.75" customHeight="1">
      <c r="A997" s="4"/>
      <c r="G997" s="2"/>
      <c r="H997" s="2"/>
      <c r="I997" s="2"/>
      <c r="K997" s="253"/>
      <c r="L997" s="2"/>
    </row>
    <row r="998" spans="1:12" ht="15.75" customHeight="1">
      <c r="A998" s="4"/>
      <c r="G998" s="2"/>
      <c r="H998" s="2"/>
      <c r="I998" s="2"/>
      <c r="K998" s="253"/>
      <c r="L998" s="2"/>
    </row>
    <row r="999" spans="1:12" ht="15.75" customHeight="1">
      <c r="A999" s="4"/>
      <c r="G999" s="2"/>
      <c r="H999" s="2"/>
      <c r="I999" s="2"/>
      <c r="K999" s="253"/>
      <c r="L999" s="2"/>
    </row>
    <row r="1000" spans="1:12" ht="15.75" customHeight="1">
      <c r="A1000" s="4"/>
      <c r="G1000" s="2"/>
      <c r="H1000" s="2"/>
      <c r="I1000" s="2"/>
      <c r="K1000" s="253"/>
      <c r="L1000" s="2"/>
    </row>
  </sheetData>
  <mergeCells count="81">
    <mergeCell ref="P148:Q148"/>
    <mergeCell ref="P149:Q149"/>
    <mergeCell ref="P153:Q153"/>
    <mergeCell ref="P361:Q361"/>
    <mergeCell ref="P362:Q362"/>
    <mergeCell ref="A16:A17"/>
    <mergeCell ref="B16:B17"/>
    <mergeCell ref="C16:C17"/>
    <mergeCell ref="A19:A20"/>
    <mergeCell ref="B19:B20"/>
    <mergeCell ref="F21:F22"/>
    <mergeCell ref="J21:J22"/>
    <mergeCell ref="K21:K22"/>
    <mergeCell ref="B14:B15"/>
    <mergeCell ref="C14:C15"/>
    <mergeCell ref="F14:F15"/>
    <mergeCell ref="J14:J15"/>
    <mergeCell ref="J16:J17"/>
    <mergeCell ref="K16:K17"/>
    <mergeCell ref="A21:A22"/>
    <mergeCell ref="B21:B22"/>
    <mergeCell ref="C21:C22"/>
    <mergeCell ref="D21:D22"/>
    <mergeCell ref="E21:E22"/>
    <mergeCell ref="E545:G545"/>
    <mergeCell ref="E546:H546"/>
    <mergeCell ref="A1:I1"/>
    <mergeCell ref="C2:G2"/>
    <mergeCell ref="J3:K3"/>
    <mergeCell ref="F7:H7"/>
    <mergeCell ref="J7:K7"/>
    <mergeCell ref="A8:B8"/>
    <mergeCell ref="A14:A15"/>
    <mergeCell ref="K14:K15"/>
    <mergeCell ref="C19:C20"/>
    <mergeCell ref="D19:D20"/>
    <mergeCell ref="E19:E20"/>
    <mergeCell ref="F19:F20"/>
    <mergeCell ref="J19:J20"/>
    <mergeCell ref="K19:K20"/>
    <mergeCell ref="D14:D15"/>
    <mergeCell ref="E14:E15"/>
    <mergeCell ref="D16:D17"/>
    <mergeCell ref="E16:E17"/>
    <mergeCell ref="F16:F17"/>
    <mergeCell ref="P531:Q531"/>
    <mergeCell ref="P535:Q535"/>
    <mergeCell ref="P460:Q460"/>
    <mergeCell ref="P464:Q464"/>
    <mergeCell ref="P468:Q468"/>
    <mergeCell ref="P472:Q472"/>
    <mergeCell ref="P477:Q477"/>
    <mergeCell ref="P481:Q481"/>
    <mergeCell ref="P485:Q485"/>
    <mergeCell ref="P459:Q459"/>
    <mergeCell ref="P487:Q487"/>
    <mergeCell ref="P522:Q522"/>
    <mergeCell ref="P523:Q523"/>
    <mergeCell ref="P527:Q527"/>
    <mergeCell ref="P420:Q420"/>
    <mergeCell ref="P424:Q424"/>
    <mergeCell ref="P428:Q428"/>
    <mergeCell ref="P432:Q432"/>
    <mergeCell ref="S432:T432"/>
    <mergeCell ref="P322:Q322"/>
    <mergeCell ref="P323:Q323"/>
    <mergeCell ref="P327:Q327"/>
    <mergeCell ref="P331:Q331"/>
    <mergeCell ref="P419:Q419"/>
    <mergeCell ref="P366:Q366"/>
    <mergeCell ref="P370:Q370"/>
    <mergeCell ref="P249:Q249"/>
    <mergeCell ref="P250:Q250"/>
    <mergeCell ref="P254:Q254"/>
    <mergeCell ref="P258:Q258"/>
    <mergeCell ref="P262:Q262"/>
    <mergeCell ref="P157:Q157"/>
    <mergeCell ref="P203:Q203"/>
    <mergeCell ref="P204:Q204"/>
    <mergeCell ref="P208:Q208"/>
    <mergeCell ref="P212:Q212"/>
  </mergeCells>
  <pageMargins left="0.7" right="0.7" top="0.75" bottom="0.75" header="0" footer="0"/>
  <pageSetup paperSize="5" scale="90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99594"/>
  </sheetPr>
  <dimension ref="A1:O1000"/>
  <sheetViews>
    <sheetView topLeftCell="A9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6.28515625" customWidth="1"/>
    <col min="10" max="10" width="11.85546875" customWidth="1"/>
    <col min="11" max="11" width="13.7109375" customWidth="1"/>
    <col min="12" max="12" width="17.285156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2611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2612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2613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2614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2615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98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114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4</v>
      </c>
      <c r="B12" s="48" t="s">
        <v>973</v>
      </c>
      <c r="C12" s="48"/>
      <c r="D12" s="48"/>
      <c r="E12" s="48" t="s">
        <v>56</v>
      </c>
      <c r="F12" s="48"/>
      <c r="G12" s="117"/>
      <c r="H12" s="349" t="s">
        <v>30</v>
      </c>
      <c r="I12" s="74">
        <v>17000</v>
      </c>
      <c r="J12" s="417">
        <v>3400</v>
      </c>
      <c r="K12" s="324"/>
      <c r="L12" s="113" t="s">
        <v>32</v>
      </c>
      <c r="N12" s="3"/>
      <c r="O12" s="3"/>
    </row>
    <row r="13" spans="1:15">
      <c r="A13" s="48">
        <v>5</v>
      </c>
      <c r="B13" s="120" t="s">
        <v>2616</v>
      </c>
      <c r="C13" s="48"/>
      <c r="D13" s="120"/>
      <c r="E13" s="120" t="s">
        <v>44</v>
      </c>
      <c r="F13" s="48"/>
      <c r="G13" s="120" t="s">
        <v>1846</v>
      </c>
      <c r="H13" s="349" t="s">
        <v>30</v>
      </c>
      <c r="I13" s="74">
        <v>3000</v>
      </c>
      <c r="J13" s="114" t="s">
        <v>1586</v>
      </c>
      <c r="K13" s="324"/>
      <c r="L13" s="113" t="s">
        <v>32</v>
      </c>
    </row>
    <row r="14" spans="1:15" ht="26.25">
      <c r="A14" s="48">
        <v>5</v>
      </c>
      <c r="B14" s="255" t="s">
        <v>2617</v>
      </c>
      <c r="C14" s="120"/>
      <c r="D14" s="120" t="s">
        <v>100</v>
      </c>
      <c r="E14" s="120" t="s">
        <v>86</v>
      </c>
      <c r="F14" s="48"/>
      <c r="G14" s="120" t="s">
        <v>2618</v>
      </c>
      <c r="H14" s="349" t="s">
        <v>30</v>
      </c>
      <c r="I14" s="51">
        <v>2000</v>
      </c>
      <c r="J14" s="418">
        <v>400</v>
      </c>
      <c r="K14" s="324"/>
      <c r="L14" s="358" t="s">
        <v>32</v>
      </c>
    </row>
    <row r="15" spans="1:15">
      <c r="A15" s="48">
        <v>7</v>
      </c>
      <c r="B15" s="419" t="s">
        <v>2619</v>
      </c>
      <c r="C15" s="120"/>
      <c r="D15" s="120"/>
      <c r="E15" s="120" t="s">
        <v>245</v>
      </c>
      <c r="F15" s="48"/>
      <c r="G15" s="120" t="s">
        <v>548</v>
      </c>
      <c r="H15" s="349" t="s">
        <v>30</v>
      </c>
      <c r="I15" s="51">
        <v>18759</v>
      </c>
      <c r="J15" s="418" t="s">
        <v>1586</v>
      </c>
      <c r="K15" s="324"/>
      <c r="L15" s="358" t="s">
        <v>32</v>
      </c>
    </row>
    <row r="16" spans="1:15">
      <c r="A16" s="48">
        <v>10</v>
      </c>
      <c r="B16" s="419" t="s">
        <v>2620</v>
      </c>
      <c r="C16" s="120"/>
      <c r="D16" s="120" t="s">
        <v>2621</v>
      </c>
      <c r="E16" s="120" t="s">
        <v>334</v>
      </c>
      <c r="F16" s="48"/>
      <c r="G16" s="120" t="s">
        <v>2622</v>
      </c>
      <c r="H16" s="349" t="s">
        <v>30</v>
      </c>
      <c r="I16" s="51">
        <v>22000</v>
      </c>
      <c r="J16" s="418" t="s">
        <v>1586</v>
      </c>
      <c r="K16" s="324"/>
      <c r="L16" s="358" t="s">
        <v>32</v>
      </c>
    </row>
    <row r="17" spans="1:15">
      <c r="A17" s="48">
        <v>11</v>
      </c>
      <c r="B17" s="419" t="s">
        <v>2623</v>
      </c>
      <c r="C17" s="120"/>
      <c r="D17" s="120" t="s">
        <v>2624</v>
      </c>
      <c r="E17" s="120" t="s">
        <v>148</v>
      </c>
      <c r="F17" s="48"/>
      <c r="G17" s="420" t="s">
        <v>1844</v>
      </c>
      <c r="H17" s="349" t="s">
        <v>30</v>
      </c>
      <c r="I17" s="51">
        <v>8800</v>
      </c>
      <c r="J17" s="418" t="s">
        <v>1586</v>
      </c>
      <c r="K17" s="324"/>
      <c r="L17" s="358" t="s">
        <v>32</v>
      </c>
    </row>
    <row r="18" spans="1:15">
      <c r="A18" s="48">
        <v>11</v>
      </c>
      <c r="B18" s="419" t="s">
        <v>2623</v>
      </c>
      <c r="C18" s="120"/>
      <c r="D18" s="120" t="s">
        <v>2624</v>
      </c>
      <c r="E18" s="120" t="s">
        <v>148</v>
      </c>
      <c r="F18" s="48"/>
      <c r="G18" s="120"/>
      <c r="H18" s="421" t="s">
        <v>579</v>
      </c>
      <c r="I18" s="380">
        <v>600</v>
      </c>
      <c r="J18" s="418" t="s">
        <v>1586</v>
      </c>
      <c r="K18" s="324"/>
      <c r="L18" s="358" t="s">
        <v>32</v>
      </c>
    </row>
    <row r="19" spans="1:15">
      <c r="A19" s="48">
        <v>18</v>
      </c>
      <c r="B19" s="419" t="s">
        <v>2625</v>
      </c>
      <c r="C19" s="120"/>
      <c r="D19" s="120"/>
      <c r="E19" s="120" t="s">
        <v>56</v>
      </c>
      <c r="F19" s="48"/>
      <c r="G19" s="120" t="s">
        <v>974</v>
      </c>
      <c r="H19" s="422" t="s">
        <v>30</v>
      </c>
      <c r="I19" s="423">
        <v>13700</v>
      </c>
      <c r="J19" s="424">
        <v>2740</v>
      </c>
      <c r="K19" s="324"/>
      <c r="L19" s="358" t="s">
        <v>32</v>
      </c>
      <c r="N19" s="126">
        <v>13700</v>
      </c>
      <c r="O19" s="126" t="s">
        <v>2626</v>
      </c>
    </row>
    <row r="20" spans="1:15">
      <c r="A20" s="48">
        <v>20</v>
      </c>
      <c r="B20" s="419" t="s">
        <v>2627</v>
      </c>
      <c r="C20" s="420"/>
      <c r="D20" s="420" t="s">
        <v>2628</v>
      </c>
      <c r="E20" s="420" t="s">
        <v>237</v>
      </c>
      <c r="F20" s="151"/>
      <c r="G20" s="420"/>
      <c r="H20" s="425" t="s">
        <v>1249</v>
      </c>
      <c r="I20" s="152">
        <v>20000</v>
      </c>
      <c r="J20" s="426" t="s">
        <v>1586</v>
      </c>
      <c r="K20" s="427"/>
      <c r="L20" s="428" t="s">
        <v>32</v>
      </c>
    </row>
    <row r="21" spans="1:15" ht="15.75" customHeight="1">
      <c r="A21" s="48">
        <v>26</v>
      </c>
      <c r="B21" s="255" t="s">
        <v>2616</v>
      </c>
      <c r="C21" s="120"/>
      <c r="D21" s="120"/>
      <c r="E21" s="120" t="s">
        <v>44</v>
      </c>
      <c r="F21" s="48"/>
      <c r="G21" s="420" t="s">
        <v>1846</v>
      </c>
      <c r="H21" s="349" t="s">
        <v>579</v>
      </c>
      <c r="I21" s="51">
        <v>500</v>
      </c>
      <c r="J21" s="418" t="s">
        <v>1586</v>
      </c>
      <c r="K21" s="324"/>
      <c r="L21" s="358" t="s">
        <v>32</v>
      </c>
    </row>
    <row r="22" spans="1:15" ht="15.75" customHeight="1">
      <c r="A22" s="48"/>
      <c r="B22" s="255"/>
      <c r="C22" s="120"/>
      <c r="D22" s="120"/>
      <c r="E22" s="120"/>
      <c r="F22" s="48"/>
      <c r="G22" s="120"/>
      <c r="H22" s="349"/>
      <c r="I22" s="51"/>
      <c r="J22" s="418"/>
      <c r="K22" s="324"/>
      <c r="L22" s="358"/>
    </row>
    <row r="23" spans="1:15" ht="15.75" customHeight="1">
      <c r="A23" s="48"/>
      <c r="B23" s="255"/>
      <c r="C23" s="120"/>
      <c r="D23" s="120"/>
      <c r="E23" s="120"/>
      <c r="F23" s="48"/>
      <c r="G23" s="120"/>
      <c r="H23" s="349"/>
      <c r="I23" s="51"/>
      <c r="J23" s="418"/>
      <c r="K23" s="324"/>
      <c r="L23" s="358"/>
    </row>
    <row r="24" spans="1:15" ht="15.75" customHeight="1">
      <c r="A24" s="48"/>
      <c r="B24" s="255"/>
      <c r="C24" s="120"/>
      <c r="D24" s="120"/>
      <c r="E24" s="120"/>
      <c r="F24" s="48"/>
      <c r="G24" s="120"/>
      <c r="H24" s="349"/>
      <c r="I24" s="51"/>
      <c r="J24" s="418"/>
      <c r="K24" s="324"/>
      <c r="L24" s="358"/>
    </row>
    <row r="25" spans="1:15" ht="15.75" customHeight="1">
      <c r="A25" s="48"/>
      <c r="B25" s="255"/>
      <c r="C25" s="120"/>
      <c r="D25" s="120"/>
      <c r="E25" s="120"/>
      <c r="F25" s="48"/>
      <c r="G25" s="120"/>
      <c r="H25" s="349"/>
      <c r="I25" s="51"/>
      <c r="J25" s="418"/>
      <c r="K25" s="324"/>
      <c r="L25" s="358"/>
    </row>
    <row r="26" spans="1:15" ht="15.75" customHeight="1">
      <c r="A26" s="48"/>
      <c r="B26" s="255"/>
      <c r="C26" s="120"/>
      <c r="D26" s="120"/>
      <c r="E26" s="120"/>
      <c r="F26" s="48"/>
      <c r="G26" s="120"/>
      <c r="H26" s="349"/>
      <c r="I26" s="51"/>
      <c r="J26" s="418"/>
      <c r="K26" s="324"/>
      <c r="L26" s="358"/>
    </row>
    <row r="27" spans="1:15" ht="15.75" customHeight="1">
      <c r="A27" s="48"/>
      <c r="B27" s="48"/>
      <c r="C27" s="48"/>
      <c r="D27" s="48"/>
      <c r="E27" s="48"/>
      <c r="F27" s="48"/>
      <c r="G27" s="48"/>
      <c r="H27" s="120"/>
      <c r="I27" s="51"/>
      <c r="J27" s="296"/>
      <c r="K27" s="324"/>
      <c r="L27" s="358"/>
    </row>
    <row r="28" spans="1:15" ht="15.75" customHeight="1">
      <c r="I28" s="83"/>
      <c r="J28" s="83"/>
    </row>
    <row r="29" spans="1:15" ht="15.75" customHeight="1">
      <c r="J29" s="137" t="s">
        <v>508</v>
      </c>
    </row>
    <row r="30" spans="1:15" ht="15.75" customHeight="1">
      <c r="J30" s="83" t="s">
        <v>511</v>
      </c>
    </row>
    <row r="31" spans="1:15" ht="15.75" customHeight="1">
      <c r="B31" s="126" t="s">
        <v>509</v>
      </c>
      <c r="E31" s="126" t="s">
        <v>510</v>
      </c>
      <c r="J31" s="83" t="s">
        <v>513</v>
      </c>
    </row>
    <row r="32" spans="1:15" ht="15.75" customHeight="1">
      <c r="J32" s="83" t="s">
        <v>946</v>
      </c>
    </row>
    <row r="33" spans="2:11" ht="15.75" customHeight="1">
      <c r="J33" s="83" t="s">
        <v>947</v>
      </c>
    </row>
    <row r="34" spans="2:11" ht="15.75" customHeight="1">
      <c r="B34" s="139" t="s">
        <v>516</v>
      </c>
      <c r="E34" s="737" t="s">
        <v>517</v>
      </c>
      <c r="F34" s="711"/>
      <c r="G34" s="711"/>
      <c r="H34" s="711"/>
      <c r="J34" s="83" t="s">
        <v>950</v>
      </c>
      <c r="K34" s="359"/>
    </row>
    <row r="35" spans="2:11" ht="15.75" customHeight="1">
      <c r="B35" s="4" t="s">
        <v>980</v>
      </c>
      <c r="E35" s="732" t="s">
        <v>521</v>
      </c>
      <c r="F35" s="711"/>
      <c r="G35" s="711"/>
      <c r="H35" s="711"/>
      <c r="J35" s="83" t="s">
        <v>564</v>
      </c>
    </row>
    <row r="36" spans="2:11" ht="15.75" customHeight="1">
      <c r="J36" s="83" t="s">
        <v>525</v>
      </c>
    </row>
    <row r="37" spans="2:11" ht="15.75" customHeight="1">
      <c r="J37" s="10" t="s">
        <v>565</v>
      </c>
    </row>
    <row r="38" spans="2:11" ht="15.75" customHeight="1">
      <c r="J38" s="10" t="s">
        <v>953</v>
      </c>
    </row>
    <row r="39" spans="2:11" ht="15.75" customHeight="1"/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34:H34"/>
    <mergeCell ref="E35:H35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99594"/>
  </sheetPr>
  <dimension ref="A1:Z1000"/>
  <sheetViews>
    <sheetView topLeftCell="A19"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3" width="8.7109375" customWidth="1"/>
    <col min="14" max="14" width="7.28515625" customWidth="1"/>
    <col min="15" max="15" width="5.7109375" customWidth="1"/>
    <col min="16" max="16" width="15.28515625" customWidth="1"/>
    <col min="17" max="17" width="12.140625" customWidth="1"/>
    <col min="18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</row>
    <row r="2" spans="1:13" ht="18">
      <c r="A2" s="4"/>
      <c r="B2" s="712" t="s">
        <v>2629</v>
      </c>
      <c r="C2" s="711"/>
      <c r="D2" s="711"/>
      <c r="E2" s="711"/>
      <c r="F2" s="711"/>
      <c r="G2" s="711"/>
      <c r="H2" s="711"/>
      <c r="I2" s="711"/>
      <c r="J2" s="8"/>
      <c r="K2" s="285"/>
    </row>
    <row r="3" spans="1:13">
      <c r="A3" s="4"/>
      <c r="B3" s="5"/>
      <c r="C3" s="10"/>
      <c r="D3" s="5"/>
      <c r="E3" s="5"/>
      <c r="G3" s="10"/>
      <c r="H3" s="6"/>
      <c r="I3" s="140"/>
      <c r="J3" s="738" t="s">
        <v>984</v>
      </c>
      <c r="K3" s="717"/>
    </row>
    <row r="4" spans="1:13">
      <c r="A4" s="4"/>
      <c r="B4" s="5"/>
      <c r="C4" s="10"/>
      <c r="D4" s="5"/>
      <c r="E4" s="5"/>
      <c r="G4" s="10"/>
      <c r="H4" s="6"/>
      <c r="I4" s="141"/>
      <c r="J4" s="1" t="s">
        <v>569</v>
      </c>
      <c r="K4" s="214"/>
    </row>
    <row r="5" spans="1:13">
      <c r="A5" s="4"/>
      <c r="B5" s="5"/>
      <c r="C5" s="10"/>
      <c r="D5" s="5"/>
      <c r="E5" s="5"/>
      <c r="G5" s="10"/>
      <c r="H5" s="6"/>
      <c r="I5" s="141"/>
      <c r="J5" s="1" t="s">
        <v>4</v>
      </c>
      <c r="K5" s="214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3">
      <c r="A12" s="50">
        <v>1</v>
      </c>
      <c r="B12" s="151" t="s">
        <v>2630</v>
      </c>
      <c r="C12" s="48" t="s">
        <v>27</v>
      </c>
      <c r="D12" s="48" t="s">
        <v>578</v>
      </c>
      <c r="E12" s="48" t="s">
        <v>29</v>
      </c>
      <c r="F12" s="48"/>
      <c r="G12" s="48" t="s">
        <v>30</v>
      </c>
      <c r="H12" s="51">
        <v>15000</v>
      </c>
      <c r="I12" s="119">
        <v>3000</v>
      </c>
      <c r="J12" s="48" t="s">
        <v>31</v>
      </c>
      <c r="K12" s="48" t="s">
        <v>32</v>
      </c>
      <c r="M12" s="126">
        <v>1500</v>
      </c>
    </row>
    <row r="13" spans="1:13">
      <c r="A13" s="50">
        <v>1</v>
      </c>
      <c r="B13" s="151" t="s">
        <v>1272</v>
      </c>
      <c r="C13" s="48" t="s">
        <v>27</v>
      </c>
      <c r="D13" s="48" t="s">
        <v>1020</v>
      </c>
      <c r="E13" s="48" t="s">
        <v>68</v>
      </c>
      <c r="F13" s="48"/>
      <c r="G13" s="48" t="s">
        <v>30</v>
      </c>
      <c r="H13" s="51">
        <v>1000</v>
      </c>
      <c r="I13" s="119">
        <v>200</v>
      </c>
      <c r="J13" s="48" t="s">
        <v>31</v>
      </c>
      <c r="K13" s="48" t="s">
        <v>32</v>
      </c>
      <c r="M13" s="126">
        <v>400</v>
      </c>
    </row>
    <row r="14" spans="1:13">
      <c r="A14" s="256">
        <v>1</v>
      </c>
      <c r="B14" s="429" t="s">
        <v>2631</v>
      </c>
      <c r="C14" s="256" t="s">
        <v>27</v>
      </c>
      <c r="D14" s="256" t="s">
        <v>607</v>
      </c>
      <c r="E14" s="256" t="s">
        <v>36</v>
      </c>
      <c r="F14" s="48"/>
      <c r="G14" s="48" t="s">
        <v>30</v>
      </c>
      <c r="H14" s="51">
        <v>500</v>
      </c>
      <c r="I14" s="119" t="s">
        <v>1586</v>
      </c>
      <c r="J14" s="256" t="s">
        <v>31</v>
      </c>
      <c r="K14" s="256" t="s">
        <v>32</v>
      </c>
      <c r="M14" s="126">
        <v>228</v>
      </c>
    </row>
    <row r="15" spans="1:13">
      <c r="A15" s="256">
        <v>1</v>
      </c>
      <c r="B15" s="429" t="s">
        <v>2631</v>
      </c>
      <c r="C15" s="256" t="s">
        <v>27</v>
      </c>
      <c r="D15" s="256" t="s">
        <v>607</v>
      </c>
      <c r="E15" s="256" t="s">
        <v>36</v>
      </c>
      <c r="F15" s="48"/>
      <c r="G15" s="48" t="s">
        <v>30</v>
      </c>
      <c r="H15" s="51">
        <v>1000</v>
      </c>
      <c r="I15" s="119">
        <v>200</v>
      </c>
      <c r="J15" s="256" t="s">
        <v>31</v>
      </c>
      <c r="K15" s="256" t="s">
        <v>32</v>
      </c>
    </row>
    <row r="16" spans="1:13">
      <c r="A16" s="256">
        <v>1</v>
      </c>
      <c r="B16" s="429" t="s">
        <v>2632</v>
      </c>
      <c r="C16" s="256" t="s">
        <v>39</v>
      </c>
      <c r="D16" s="256" t="s">
        <v>173</v>
      </c>
      <c r="E16" s="256" t="s">
        <v>84</v>
      </c>
      <c r="F16" s="48"/>
      <c r="G16" s="48" t="s">
        <v>30</v>
      </c>
      <c r="H16" s="51">
        <v>500</v>
      </c>
      <c r="I16" s="49">
        <v>100</v>
      </c>
      <c r="J16" s="256" t="s">
        <v>31</v>
      </c>
      <c r="K16" s="256" t="s">
        <v>32</v>
      </c>
      <c r="M16" s="126">
        <v>150</v>
      </c>
    </row>
    <row r="17" spans="1:13">
      <c r="A17" s="256">
        <v>1</v>
      </c>
      <c r="B17" s="256" t="s">
        <v>2633</v>
      </c>
      <c r="C17" s="256" t="s">
        <v>39</v>
      </c>
      <c r="D17" s="256" t="s">
        <v>173</v>
      </c>
      <c r="E17" s="256" t="s">
        <v>84</v>
      </c>
      <c r="F17" s="48"/>
      <c r="G17" s="48" t="s">
        <v>30</v>
      </c>
      <c r="H17" s="51">
        <v>500</v>
      </c>
      <c r="I17" s="119">
        <v>100</v>
      </c>
      <c r="J17" s="256" t="s">
        <v>31</v>
      </c>
      <c r="K17" s="256" t="s">
        <v>32</v>
      </c>
      <c r="M17" s="126">
        <v>150</v>
      </c>
    </row>
    <row r="18" spans="1:13">
      <c r="A18" s="50">
        <v>1</v>
      </c>
      <c r="B18" s="151" t="s">
        <v>2634</v>
      </c>
      <c r="C18" s="48" t="s">
        <v>27</v>
      </c>
      <c r="D18" s="48" t="s">
        <v>173</v>
      </c>
      <c r="E18" s="48" t="s">
        <v>84</v>
      </c>
      <c r="F18" s="48"/>
      <c r="G18" s="48" t="s">
        <v>30</v>
      </c>
      <c r="H18" s="51">
        <v>500</v>
      </c>
      <c r="I18" s="119">
        <v>100</v>
      </c>
      <c r="J18" s="256" t="s">
        <v>31</v>
      </c>
      <c r="K18" s="256" t="s">
        <v>32</v>
      </c>
      <c r="M18" s="126">
        <v>150</v>
      </c>
    </row>
    <row r="19" spans="1:13">
      <c r="A19" s="256">
        <v>1</v>
      </c>
      <c r="B19" s="429" t="s">
        <v>235</v>
      </c>
      <c r="C19" s="256" t="s">
        <v>27</v>
      </c>
      <c r="D19" s="256" t="s">
        <v>180</v>
      </c>
      <c r="E19" s="256" t="s">
        <v>36</v>
      </c>
      <c r="F19" s="48"/>
      <c r="G19" s="48" t="s">
        <v>30</v>
      </c>
      <c r="H19" s="51">
        <v>1000</v>
      </c>
      <c r="I19" s="119">
        <v>200</v>
      </c>
      <c r="J19" s="256" t="s">
        <v>31</v>
      </c>
      <c r="K19" s="256" t="s">
        <v>32</v>
      </c>
      <c r="M19" s="126">
        <v>200</v>
      </c>
    </row>
    <row r="20" spans="1:13">
      <c r="A20" s="256">
        <v>1</v>
      </c>
      <c r="B20" s="429" t="s">
        <v>2635</v>
      </c>
      <c r="C20" s="256" t="s">
        <v>27</v>
      </c>
      <c r="D20" s="256" t="s">
        <v>578</v>
      </c>
      <c r="E20" s="256" t="s">
        <v>29</v>
      </c>
      <c r="F20" s="48"/>
      <c r="G20" s="48" t="s">
        <v>30</v>
      </c>
      <c r="H20" s="51">
        <v>25000</v>
      </c>
      <c r="I20" s="119">
        <v>5000</v>
      </c>
      <c r="J20" s="256" t="s">
        <v>31</v>
      </c>
      <c r="K20" s="256" t="s">
        <v>32</v>
      </c>
      <c r="M20" s="126">
        <v>5000</v>
      </c>
    </row>
    <row r="21" spans="1:13" ht="15.75" customHeight="1">
      <c r="A21" s="256">
        <v>1</v>
      </c>
      <c r="B21" s="429" t="s">
        <v>2636</v>
      </c>
      <c r="C21" s="256" t="s">
        <v>27</v>
      </c>
      <c r="D21" s="256" t="s">
        <v>67</v>
      </c>
      <c r="E21" s="256" t="s">
        <v>68</v>
      </c>
      <c r="F21" s="48"/>
      <c r="G21" s="48" t="s">
        <v>30</v>
      </c>
      <c r="H21" s="51">
        <v>20000</v>
      </c>
      <c r="I21" s="119">
        <v>4000</v>
      </c>
      <c r="J21" s="256" t="s">
        <v>31</v>
      </c>
      <c r="K21" s="256" t="s">
        <v>32</v>
      </c>
      <c r="M21" s="126">
        <v>10000</v>
      </c>
    </row>
    <row r="22" spans="1:13" ht="15.75" customHeight="1">
      <c r="A22" s="256">
        <v>1</v>
      </c>
      <c r="B22" s="429" t="s">
        <v>2637</v>
      </c>
      <c r="C22" s="256" t="s">
        <v>27</v>
      </c>
      <c r="D22" s="256" t="s">
        <v>67</v>
      </c>
      <c r="E22" s="256" t="s">
        <v>68</v>
      </c>
      <c r="F22" s="48"/>
      <c r="G22" s="48" t="s">
        <v>30</v>
      </c>
      <c r="H22" s="51">
        <v>5500</v>
      </c>
      <c r="I22" s="119">
        <v>1100</v>
      </c>
      <c r="J22" s="256" t="s">
        <v>31</v>
      </c>
      <c r="K22" s="256" t="s">
        <v>32</v>
      </c>
      <c r="M22" s="126">
        <v>2500</v>
      </c>
    </row>
    <row r="23" spans="1:13" ht="15.75" customHeight="1">
      <c r="A23" s="50">
        <v>1</v>
      </c>
      <c r="B23" s="151" t="s">
        <v>2638</v>
      </c>
      <c r="C23" s="48" t="s">
        <v>27</v>
      </c>
      <c r="D23" s="48" t="s">
        <v>68</v>
      </c>
      <c r="E23" s="48" t="s">
        <v>79</v>
      </c>
      <c r="F23" s="48"/>
      <c r="G23" s="48" t="s">
        <v>30</v>
      </c>
      <c r="H23" s="51">
        <v>12500</v>
      </c>
      <c r="I23" s="119">
        <v>2500</v>
      </c>
      <c r="J23" s="256" t="s">
        <v>31</v>
      </c>
      <c r="K23" s="256" t="s">
        <v>32</v>
      </c>
      <c r="M23" s="126">
        <v>3000</v>
      </c>
    </row>
    <row r="24" spans="1:13" ht="15.75" customHeight="1">
      <c r="A24" s="50">
        <v>1</v>
      </c>
      <c r="B24" s="151" t="s">
        <v>2638</v>
      </c>
      <c r="C24" s="48" t="s">
        <v>27</v>
      </c>
      <c r="D24" s="48" t="s">
        <v>68</v>
      </c>
      <c r="E24" s="48" t="s">
        <v>79</v>
      </c>
      <c r="F24" s="48"/>
      <c r="G24" s="48" t="s">
        <v>1249</v>
      </c>
      <c r="H24" s="51">
        <v>500</v>
      </c>
      <c r="I24" s="119">
        <v>300</v>
      </c>
      <c r="J24" s="256" t="s">
        <v>31</v>
      </c>
      <c r="K24" s="256" t="s">
        <v>32</v>
      </c>
    </row>
    <row r="25" spans="1:13" ht="15.75" customHeight="1">
      <c r="A25" s="50">
        <v>1</v>
      </c>
      <c r="B25" s="151" t="s">
        <v>2639</v>
      </c>
      <c r="C25" s="48" t="s">
        <v>27</v>
      </c>
      <c r="D25" s="48" t="s">
        <v>100</v>
      </c>
      <c r="E25" s="48" t="s">
        <v>51</v>
      </c>
      <c r="F25" s="48"/>
      <c r="G25" s="48" t="s">
        <v>30</v>
      </c>
      <c r="H25" s="51">
        <v>500</v>
      </c>
      <c r="I25" s="119" t="s">
        <v>1586</v>
      </c>
      <c r="J25" s="256" t="s">
        <v>31</v>
      </c>
      <c r="K25" s="256" t="s">
        <v>32</v>
      </c>
      <c r="M25" s="126">
        <v>100</v>
      </c>
    </row>
    <row r="26" spans="1:13" ht="15.75" customHeight="1">
      <c r="A26" s="50">
        <v>2</v>
      </c>
      <c r="B26" s="151" t="s">
        <v>854</v>
      </c>
      <c r="C26" s="48" t="s">
        <v>27</v>
      </c>
      <c r="D26" s="48" t="s">
        <v>1064</v>
      </c>
      <c r="E26" s="48" t="s">
        <v>358</v>
      </c>
      <c r="F26" s="48"/>
      <c r="G26" s="48" t="s">
        <v>30</v>
      </c>
      <c r="H26" s="51">
        <v>4000</v>
      </c>
      <c r="I26" s="119">
        <v>1600</v>
      </c>
      <c r="J26" s="256" t="s">
        <v>31</v>
      </c>
      <c r="K26" s="256" t="s">
        <v>32</v>
      </c>
    </row>
    <row r="27" spans="1:13" ht="15.75" customHeight="1">
      <c r="A27" s="50">
        <v>2</v>
      </c>
      <c r="B27" s="151" t="s">
        <v>854</v>
      </c>
      <c r="C27" s="48" t="s">
        <v>27</v>
      </c>
      <c r="D27" s="48" t="s">
        <v>1064</v>
      </c>
      <c r="E27" s="48" t="s">
        <v>358</v>
      </c>
      <c r="F27" s="48"/>
      <c r="G27" s="48" t="s">
        <v>30</v>
      </c>
      <c r="H27" s="51">
        <v>1000</v>
      </c>
      <c r="I27" s="119">
        <v>300</v>
      </c>
      <c r="J27" s="256" t="s">
        <v>31</v>
      </c>
      <c r="K27" s="256" t="s">
        <v>32</v>
      </c>
    </row>
    <row r="28" spans="1:13" ht="15.75" customHeight="1">
      <c r="A28" s="50">
        <v>2</v>
      </c>
      <c r="B28" s="151" t="s">
        <v>2640</v>
      </c>
      <c r="C28" s="48" t="s">
        <v>27</v>
      </c>
      <c r="D28" s="48" t="s">
        <v>108</v>
      </c>
      <c r="E28" s="48" t="s">
        <v>169</v>
      </c>
      <c r="F28" s="48"/>
      <c r="G28" s="48" t="s">
        <v>30</v>
      </c>
      <c r="H28" s="51">
        <v>350</v>
      </c>
      <c r="I28" s="119">
        <v>105</v>
      </c>
      <c r="J28" s="48" t="s">
        <v>31</v>
      </c>
      <c r="K28" s="48" t="s">
        <v>32</v>
      </c>
      <c r="M28" s="126">
        <v>100</v>
      </c>
    </row>
    <row r="29" spans="1:13" ht="15.75" customHeight="1">
      <c r="A29" s="50">
        <v>2</v>
      </c>
      <c r="B29" s="151" t="s">
        <v>2641</v>
      </c>
      <c r="C29" s="48" t="s">
        <v>27</v>
      </c>
      <c r="D29" s="48" t="s">
        <v>2642</v>
      </c>
      <c r="E29" s="48" t="s">
        <v>47</v>
      </c>
      <c r="F29" s="48"/>
      <c r="G29" s="48" t="s">
        <v>30</v>
      </c>
      <c r="H29" s="51">
        <v>1000</v>
      </c>
      <c r="I29" s="119">
        <v>300</v>
      </c>
      <c r="J29" s="48" t="s">
        <v>31</v>
      </c>
      <c r="K29" s="48" t="s">
        <v>32</v>
      </c>
      <c r="M29" s="126">
        <v>330</v>
      </c>
    </row>
    <row r="30" spans="1:13" ht="15.75" customHeight="1">
      <c r="A30" s="50">
        <v>2</v>
      </c>
      <c r="B30" s="151" t="s">
        <v>2643</v>
      </c>
      <c r="C30" s="48" t="s">
        <v>27</v>
      </c>
      <c r="D30" s="48" t="s">
        <v>666</v>
      </c>
      <c r="E30" s="48" t="s">
        <v>36</v>
      </c>
      <c r="F30" s="48"/>
      <c r="G30" s="48" t="s">
        <v>30</v>
      </c>
      <c r="H30" s="51">
        <v>300</v>
      </c>
      <c r="I30" s="119">
        <v>90</v>
      </c>
      <c r="J30" s="48" t="s">
        <v>31</v>
      </c>
      <c r="K30" s="48" t="s">
        <v>32</v>
      </c>
      <c r="M30" s="126">
        <v>50</v>
      </c>
    </row>
    <row r="31" spans="1:13" ht="15.75" customHeight="1">
      <c r="A31" s="50">
        <v>2</v>
      </c>
      <c r="B31" s="151" t="s">
        <v>2644</v>
      </c>
      <c r="C31" s="48" t="s">
        <v>27</v>
      </c>
      <c r="D31" s="48" t="s">
        <v>347</v>
      </c>
      <c r="E31" s="48" t="s">
        <v>245</v>
      </c>
      <c r="F31" s="48"/>
      <c r="G31" s="48" t="s">
        <v>30</v>
      </c>
      <c r="H31" s="51">
        <v>2000</v>
      </c>
      <c r="I31" s="119">
        <v>600</v>
      </c>
      <c r="J31" s="48" t="s">
        <v>31</v>
      </c>
      <c r="K31" s="48" t="s">
        <v>32</v>
      </c>
      <c r="M31" s="126">
        <v>600</v>
      </c>
    </row>
    <row r="32" spans="1:13" ht="15.75" customHeight="1">
      <c r="A32" s="50">
        <v>2</v>
      </c>
      <c r="B32" s="151" t="s">
        <v>753</v>
      </c>
      <c r="C32" s="48" t="s">
        <v>27</v>
      </c>
      <c r="D32" s="48" t="s">
        <v>108</v>
      </c>
      <c r="E32" s="48" t="s">
        <v>36</v>
      </c>
      <c r="F32" s="48"/>
      <c r="G32" s="48" t="s">
        <v>30</v>
      </c>
      <c r="H32" s="51">
        <v>4000</v>
      </c>
      <c r="I32" s="119">
        <v>800</v>
      </c>
      <c r="J32" s="48" t="s">
        <v>31</v>
      </c>
      <c r="K32" s="48" t="s">
        <v>32</v>
      </c>
      <c r="M32" s="126">
        <v>700</v>
      </c>
    </row>
    <row r="33" spans="1:13" ht="15.75" customHeight="1">
      <c r="A33" s="50">
        <v>2</v>
      </c>
      <c r="B33" s="151" t="s">
        <v>2645</v>
      </c>
      <c r="C33" s="48" t="s">
        <v>27</v>
      </c>
      <c r="D33" s="48" t="s">
        <v>347</v>
      </c>
      <c r="E33" s="48" t="s">
        <v>245</v>
      </c>
      <c r="F33" s="48"/>
      <c r="G33" s="48" t="s">
        <v>30</v>
      </c>
      <c r="H33" s="51">
        <v>100</v>
      </c>
      <c r="I33" s="119">
        <v>30</v>
      </c>
      <c r="J33" s="48" t="s">
        <v>31</v>
      </c>
      <c r="K33" s="48" t="s">
        <v>32</v>
      </c>
      <c r="M33" s="126">
        <v>30</v>
      </c>
    </row>
    <row r="34" spans="1:13" ht="15.75" customHeight="1">
      <c r="A34" s="50">
        <v>2</v>
      </c>
      <c r="B34" s="151" t="s">
        <v>2646</v>
      </c>
      <c r="C34" s="48" t="s">
        <v>27</v>
      </c>
      <c r="D34" s="48" t="s">
        <v>882</v>
      </c>
      <c r="E34" s="48" t="s">
        <v>51</v>
      </c>
      <c r="F34" s="48"/>
      <c r="G34" s="48" t="s">
        <v>30</v>
      </c>
      <c r="H34" s="51">
        <v>500</v>
      </c>
      <c r="I34" s="119">
        <v>100</v>
      </c>
      <c r="J34" s="48" t="s">
        <v>31</v>
      </c>
      <c r="K34" s="48" t="s">
        <v>32</v>
      </c>
      <c r="M34" s="126">
        <v>100</v>
      </c>
    </row>
    <row r="35" spans="1:13" ht="15.75" customHeight="1">
      <c r="A35" s="50">
        <v>2</v>
      </c>
      <c r="B35" s="48" t="s">
        <v>1322</v>
      </c>
      <c r="C35" s="48" t="s">
        <v>27</v>
      </c>
      <c r="D35" s="48" t="s">
        <v>108</v>
      </c>
      <c r="E35" s="48" t="s">
        <v>36</v>
      </c>
      <c r="F35" s="48"/>
      <c r="G35" s="48" t="s">
        <v>30</v>
      </c>
      <c r="H35" s="51">
        <v>500</v>
      </c>
      <c r="I35" s="119">
        <v>100</v>
      </c>
      <c r="J35" s="48" t="s">
        <v>31</v>
      </c>
      <c r="K35" s="48" t="s">
        <v>32</v>
      </c>
      <c r="M35" s="126">
        <v>150</v>
      </c>
    </row>
    <row r="36" spans="1:13" ht="15.75" customHeight="1">
      <c r="A36" s="50">
        <v>2</v>
      </c>
      <c r="B36" s="48" t="s">
        <v>2647</v>
      </c>
      <c r="C36" s="48" t="s">
        <v>27</v>
      </c>
      <c r="D36" s="48" t="s">
        <v>926</v>
      </c>
      <c r="E36" s="48" t="s">
        <v>145</v>
      </c>
      <c r="F36" s="48"/>
      <c r="G36" s="48" t="s">
        <v>30</v>
      </c>
      <c r="H36" s="51">
        <v>700</v>
      </c>
      <c r="I36" s="119">
        <v>140</v>
      </c>
      <c r="J36" s="48" t="s">
        <v>31</v>
      </c>
      <c r="K36" s="48" t="s">
        <v>32</v>
      </c>
      <c r="M36" s="126">
        <v>200</v>
      </c>
    </row>
    <row r="37" spans="1:13" ht="15.75" customHeight="1">
      <c r="A37" s="50">
        <v>2</v>
      </c>
      <c r="B37" s="48" t="s">
        <v>2648</v>
      </c>
      <c r="C37" s="48" t="s">
        <v>39</v>
      </c>
      <c r="D37" s="48" t="s">
        <v>910</v>
      </c>
      <c r="E37" s="48" t="s">
        <v>36</v>
      </c>
      <c r="F37" s="48"/>
      <c r="G37" s="48" t="s">
        <v>30</v>
      </c>
      <c r="H37" s="51">
        <v>500</v>
      </c>
      <c r="I37" s="119">
        <v>100</v>
      </c>
      <c r="J37" s="48" t="s">
        <v>31</v>
      </c>
      <c r="K37" s="48" t="s">
        <v>32</v>
      </c>
      <c r="M37" s="126">
        <v>150</v>
      </c>
    </row>
    <row r="38" spans="1:13" ht="15.75" customHeight="1">
      <c r="A38" s="50">
        <v>2</v>
      </c>
      <c r="B38" s="48" t="s">
        <v>1992</v>
      </c>
      <c r="C38" s="48" t="s">
        <v>27</v>
      </c>
      <c r="D38" s="48" t="s">
        <v>1993</v>
      </c>
      <c r="E38" s="48" t="s">
        <v>223</v>
      </c>
      <c r="F38" s="48"/>
      <c r="G38" s="48" t="s">
        <v>1300</v>
      </c>
      <c r="H38" s="51">
        <v>20</v>
      </c>
      <c r="I38" s="119">
        <v>100</v>
      </c>
      <c r="J38" s="48" t="s">
        <v>31</v>
      </c>
      <c r="K38" s="48" t="s">
        <v>32</v>
      </c>
    </row>
    <row r="39" spans="1:13" ht="15.75" customHeight="1">
      <c r="A39" s="50">
        <v>2</v>
      </c>
      <c r="B39" s="151" t="s">
        <v>2649</v>
      </c>
      <c r="C39" s="48" t="s">
        <v>39</v>
      </c>
      <c r="D39" s="48" t="s">
        <v>78</v>
      </c>
      <c r="E39" s="48" t="s">
        <v>79</v>
      </c>
      <c r="F39" s="48"/>
      <c r="G39" s="48" t="s">
        <v>30</v>
      </c>
      <c r="H39" s="51">
        <v>500</v>
      </c>
      <c r="I39" s="119" t="s">
        <v>1586</v>
      </c>
      <c r="J39" s="48" t="s">
        <v>31</v>
      </c>
      <c r="K39" s="48" t="s">
        <v>32</v>
      </c>
      <c r="M39" s="126">
        <v>240</v>
      </c>
    </row>
    <row r="40" spans="1:13" ht="15.75" customHeight="1">
      <c r="A40" s="50">
        <v>3</v>
      </c>
      <c r="B40" s="151" t="s">
        <v>2650</v>
      </c>
      <c r="C40" s="48" t="s">
        <v>27</v>
      </c>
      <c r="D40" s="48" t="s">
        <v>2651</v>
      </c>
      <c r="E40" s="48" t="s">
        <v>86</v>
      </c>
      <c r="F40" s="48"/>
      <c r="G40" s="48" t="s">
        <v>30</v>
      </c>
      <c r="H40" s="51">
        <v>200</v>
      </c>
      <c r="I40" s="119">
        <v>60</v>
      </c>
      <c r="J40" s="48" t="s">
        <v>31</v>
      </c>
      <c r="K40" s="48" t="s">
        <v>32</v>
      </c>
      <c r="M40" s="126">
        <v>60</v>
      </c>
    </row>
    <row r="41" spans="1:13" ht="15.75" customHeight="1">
      <c r="A41" s="50">
        <v>3</v>
      </c>
      <c r="B41" s="48" t="s">
        <v>2652</v>
      </c>
      <c r="C41" s="48" t="s">
        <v>27</v>
      </c>
      <c r="D41" s="48" t="s">
        <v>1120</v>
      </c>
      <c r="E41" s="48" t="s">
        <v>84</v>
      </c>
      <c r="F41" s="48"/>
      <c r="G41" s="48" t="s">
        <v>30</v>
      </c>
      <c r="H41" s="51">
        <v>500</v>
      </c>
      <c r="I41" s="119">
        <v>100</v>
      </c>
      <c r="J41" s="48" t="s">
        <v>31</v>
      </c>
      <c r="K41" s="48" t="s">
        <v>32</v>
      </c>
      <c r="M41" s="126">
        <v>100</v>
      </c>
    </row>
    <row r="42" spans="1:13" ht="15.75" customHeight="1">
      <c r="A42" s="50">
        <v>3</v>
      </c>
      <c r="B42" s="48" t="s">
        <v>2653</v>
      </c>
      <c r="C42" s="48" t="s">
        <v>27</v>
      </c>
      <c r="D42" s="48" t="s">
        <v>50</v>
      </c>
      <c r="E42" s="48" t="s">
        <v>145</v>
      </c>
      <c r="F42" s="48"/>
      <c r="G42" s="48" t="s">
        <v>30</v>
      </c>
      <c r="H42" s="51">
        <v>500</v>
      </c>
      <c r="I42" s="119">
        <v>100</v>
      </c>
      <c r="J42" s="48" t="s">
        <v>31</v>
      </c>
      <c r="K42" s="48" t="s">
        <v>32</v>
      </c>
      <c r="M42" s="126">
        <v>100</v>
      </c>
    </row>
    <row r="43" spans="1:13" ht="15.75" customHeight="1">
      <c r="A43" s="50">
        <v>3</v>
      </c>
      <c r="B43" s="48" t="s">
        <v>2654</v>
      </c>
      <c r="C43" s="48" t="s">
        <v>27</v>
      </c>
      <c r="D43" s="48" t="s">
        <v>108</v>
      </c>
      <c r="E43" s="48" t="s">
        <v>84</v>
      </c>
      <c r="F43" s="48"/>
      <c r="G43" s="48" t="s">
        <v>30</v>
      </c>
      <c r="H43" s="51">
        <v>300</v>
      </c>
      <c r="I43" s="119">
        <v>60</v>
      </c>
      <c r="J43" s="48" t="s">
        <v>31</v>
      </c>
      <c r="K43" s="48" t="s">
        <v>32</v>
      </c>
      <c r="M43" s="126">
        <v>12</v>
      </c>
    </row>
    <row r="44" spans="1:13" ht="15.75" customHeight="1">
      <c r="A44" s="50">
        <v>3</v>
      </c>
      <c r="B44" s="48" t="s">
        <v>2655</v>
      </c>
      <c r="C44" s="48" t="s">
        <v>27</v>
      </c>
      <c r="D44" s="48" t="s">
        <v>266</v>
      </c>
      <c r="E44" s="48" t="s">
        <v>79</v>
      </c>
      <c r="F44" s="48"/>
      <c r="G44" s="48" t="s">
        <v>30</v>
      </c>
      <c r="H44" s="51">
        <v>300</v>
      </c>
      <c r="I44" s="119">
        <v>60</v>
      </c>
      <c r="J44" s="48" t="s">
        <v>31</v>
      </c>
      <c r="K44" s="48" t="s">
        <v>32</v>
      </c>
      <c r="M44" s="126">
        <v>100</v>
      </c>
    </row>
    <row r="45" spans="1:13" ht="15.75" customHeight="1">
      <c r="A45" s="50">
        <v>3</v>
      </c>
      <c r="B45" s="48" t="s">
        <v>2656</v>
      </c>
      <c r="C45" s="48" t="s">
        <v>27</v>
      </c>
      <c r="D45" s="48"/>
      <c r="E45" s="48" t="s">
        <v>148</v>
      </c>
      <c r="F45" s="48"/>
      <c r="G45" s="48" t="s">
        <v>1300</v>
      </c>
      <c r="H45" s="51">
        <v>13</v>
      </c>
      <c r="I45" s="119">
        <v>65</v>
      </c>
      <c r="J45" s="48" t="s">
        <v>31</v>
      </c>
      <c r="K45" s="48" t="s">
        <v>32</v>
      </c>
    </row>
    <row r="46" spans="1:13" ht="15.75" customHeight="1">
      <c r="A46" s="50">
        <v>3</v>
      </c>
      <c r="B46" s="151" t="s">
        <v>2657</v>
      </c>
      <c r="C46" s="48" t="s">
        <v>27</v>
      </c>
      <c r="D46" s="48" t="s">
        <v>1558</v>
      </c>
      <c r="E46" s="48" t="s">
        <v>79</v>
      </c>
      <c r="F46" s="48"/>
      <c r="G46" s="48" t="s">
        <v>30</v>
      </c>
      <c r="H46" s="51">
        <v>1000</v>
      </c>
      <c r="I46" s="119">
        <v>200</v>
      </c>
      <c r="J46" s="48" t="s">
        <v>31</v>
      </c>
      <c r="K46" s="48" t="s">
        <v>32</v>
      </c>
      <c r="M46" s="126">
        <v>300</v>
      </c>
    </row>
    <row r="47" spans="1:13" ht="15.75" customHeight="1">
      <c r="A47" s="50">
        <v>3</v>
      </c>
      <c r="B47" s="151" t="s">
        <v>2658</v>
      </c>
      <c r="C47" s="48" t="s">
        <v>27</v>
      </c>
      <c r="D47" s="48" t="s">
        <v>50</v>
      </c>
      <c r="E47" s="48" t="s">
        <v>145</v>
      </c>
      <c r="F47" s="48"/>
      <c r="G47" s="48" t="s">
        <v>30</v>
      </c>
      <c r="H47" s="51">
        <v>600</v>
      </c>
      <c r="I47" s="119">
        <v>120</v>
      </c>
      <c r="J47" s="48" t="s">
        <v>31</v>
      </c>
      <c r="K47" s="48" t="s">
        <v>32</v>
      </c>
      <c r="M47" s="126">
        <v>900</v>
      </c>
    </row>
    <row r="48" spans="1:13" ht="15.75" customHeight="1">
      <c r="A48" s="50">
        <v>3</v>
      </c>
      <c r="B48" s="151" t="s">
        <v>2659</v>
      </c>
      <c r="C48" s="48" t="s">
        <v>27</v>
      </c>
      <c r="D48" s="48" t="s">
        <v>165</v>
      </c>
      <c r="E48" s="48" t="s">
        <v>84</v>
      </c>
      <c r="F48" s="48"/>
      <c r="G48" s="48" t="s">
        <v>30</v>
      </c>
      <c r="H48" s="51">
        <v>200</v>
      </c>
      <c r="I48" s="119">
        <v>40</v>
      </c>
      <c r="J48" s="48" t="s">
        <v>31</v>
      </c>
      <c r="K48" s="48" t="s">
        <v>32</v>
      </c>
      <c r="M48" s="126">
        <v>50</v>
      </c>
    </row>
    <row r="49" spans="1:13" ht="15.75" customHeight="1">
      <c r="A49" s="50">
        <v>3</v>
      </c>
      <c r="B49" s="151" t="s">
        <v>2660</v>
      </c>
      <c r="C49" s="48" t="s">
        <v>27</v>
      </c>
      <c r="D49" s="48" t="s">
        <v>68</v>
      </c>
      <c r="E49" s="48" t="s">
        <v>79</v>
      </c>
      <c r="F49" s="48"/>
      <c r="G49" s="48" t="s">
        <v>30</v>
      </c>
      <c r="H49" s="51">
        <v>1000</v>
      </c>
      <c r="I49" s="119">
        <v>200</v>
      </c>
      <c r="J49" s="48" t="s">
        <v>31</v>
      </c>
      <c r="K49" s="48" t="s">
        <v>32</v>
      </c>
      <c r="M49" s="126">
        <v>500</v>
      </c>
    </row>
    <row r="50" spans="1:13" ht="15.75" customHeight="1">
      <c r="A50" s="50">
        <v>3</v>
      </c>
      <c r="B50" s="48" t="s">
        <v>2661</v>
      </c>
      <c r="C50" s="48" t="s">
        <v>27</v>
      </c>
      <c r="D50" s="48" t="s">
        <v>434</v>
      </c>
      <c r="E50" s="48" t="s">
        <v>36</v>
      </c>
      <c r="F50" s="48"/>
      <c r="G50" s="48" t="s">
        <v>30</v>
      </c>
      <c r="H50" s="51">
        <v>500</v>
      </c>
      <c r="I50" s="119">
        <v>100</v>
      </c>
      <c r="J50" s="48" t="s">
        <v>31</v>
      </c>
      <c r="K50" s="48" t="s">
        <v>32</v>
      </c>
      <c r="M50" s="126">
        <v>100</v>
      </c>
    </row>
    <row r="51" spans="1:13" ht="15.75" customHeight="1">
      <c r="A51" s="50">
        <v>3</v>
      </c>
      <c r="B51" s="151" t="s">
        <v>2662</v>
      </c>
      <c r="C51" s="48" t="s">
        <v>27</v>
      </c>
      <c r="D51" s="48" t="s">
        <v>50</v>
      </c>
      <c r="E51" s="48" t="s">
        <v>145</v>
      </c>
      <c r="F51" s="48"/>
      <c r="G51" s="48" t="s">
        <v>30</v>
      </c>
      <c r="H51" s="51">
        <v>1000</v>
      </c>
      <c r="I51" s="119">
        <v>200</v>
      </c>
      <c r="J51" s="48" t="s">
        <v>31</v>
      </c>
      <c r="K51" s="48" t="s">
        <v>32</v>
      </c>
      <c r="M51" s="126">
        <v>200</v>
      </c>
    </row>
    <row r="52" spans="1:13" ht="15.75" customHeight="1">
      <c r="A52" s="65">
        <v>3</v>
      </c>
      <c r="B52" s="175" t="s">
        <v>2663</v>
      </c>
      <c r="C52" s="58" t="s">
        <v>27</v>
      </c>
      <c r="D52" s="58" t="s">
        <v>882</v>
      </c>
      <c r="E52" s="58" t="s">
        <v>51</v>
      </c>
      <c r="F52" s="58"/>
      <c r="G52" s="58" t="s">
        <v>30</v>
      </c>
      <c r="H52" s="59">
        <v>3000</v>
      </c>
      <c r="I52" s="160">
        <v>600</v>
      </c>
      <c r="J52" s="58" t="s">
        <v>31</v>
      </c>
      <c r="K52" s="58" t="s">
        <v>32</v>
      </c>
      <c r="M52" s="126">
        <v>600</v>
      </c>
    </row>
    <row r="53" spans="1:13" ht="15.75" customHeight="1">
      <c r="A53" s="61">
        <v>4</v>
      </c>
      <c r="B53" s="292" t="s">
        <v>2664</v>
      </c>
      <c r="C53" s="62" t="s">
        <v>27</v>
      </c>
      <c r="D53" s="292" t="s">
        <v>934</v>
      </c>
      <c r="E53" s="62" t="s">
        <v>44</v>
      </c>
      <c r="F53" s="62"/>
      <c r="G53" s="62" t="s">
        <v>30</v>
      </c>
      <c r="H53" s="63">
        <v>8000</v>
      </c>
      <c r="I53" s="159">
        <v>1600</v>
      </c>
      <c r="J53" s="62" t="s">
        <v>31</v>
      </c>
      <c r="K53" s="62" t="s">
        <v>32</v>
      </c>
      <c r="M53" s="126">
        <v>1700</v>
      </c>
    </row>
    <row r="54" spans="1:13" ht="15.75" customHeight="1">
      <c r="A54" s="61">
        <v>4</v>
      </c>
      <c r="B54" s="292" t="s">
        <v>2664</v>
      </c>
      <c r="C54" s="62" t="s">
        <v>27</v>
      </c>
      <c r="D54" s="292" t="s">
        <v>934</v>
      </c>
      <c r="E54" s="62" t="s">
        <v>44</v>
      </c>
      <c r="F54" s="48"/>
      <c r="G54" s="48" t="s">
        <v>1300</v>
      </c>
      <c r="H54" s="51">
        <v>250</v>
      </c>
      <c r="I54" s="119">
        <v>750</v>
      </c>
      <c r="J54" s="62" t="s">
        <v>31</v>
      </c>
      <c r="K54" s="62" t="s">
        <v>32</v>
      </c>
    </row>
    <row r="55" spans="1:13" ht="15.75" customHeight="1">
      <c r="A55" s="50">
        <v>4</v>
      </c>
      <c r="B55" s="48" t="s">
        <v>2665</v>
      </c>
      <c r="C55" s="48" t="s">
        <v>27</v>
      </c>
      <c r="D55" s="48" t="s">
        <v>1320</v>
      </c>
      <c r="E55" s="48" t="s">
        <v>44</v>
      </c>
      <c r="F55" s="48"/>
      <c r="G55" s="48" t="s">
        <v>30</v>
      </c>
      <c r="H55" s="51">
        <v>400</v>
      </c>
      <c r="I55" s="119">
        <v>120</v>
      </c>
      <c r="J55" s="48" t="s">
        <v>31</v>
      </c>
      <c r="K55" s="48" t="s">
        <v>32</v>
      </c>
      <c r="M55" s="126">
        <v>120</v>
      </c>
    </row>
    <row r="56" spans="1:13" ht="15.75" customHeight="1">
      <c r="A56" s="50">
        <v>4</v>
      </c>
      <c r="B56" s="151" t="s">
        <v>2666</v>
      </c>
      <c r="C56" s="48" t="s">
        <v>27</v>
      </c>
      <c r="D56" s="48" t="s">
        <v>347</v>
      </c>
      <c r="E56" s="48" t="s">
        <v>245</v>
      </c>
      <c r="F56" s="48"/>
      <c r="G56" s="48" t="s">
        <v>30</v>
      </c>
      <c r="H56" s="51">
        <v>400</v>
      </c>
      <c r="I56" s="119">
        <v>120</v>
      </c>
      <c r="J56" s="48" t="s">
        <v>31</v>
      </c>
      <c r="K56" s="48" t="s">
        <v>32</v>
      </c>
      <c r="M56" s="126">
        <v>100</v>
      </c>
    </row>
    <row r="57" spans="1:13" ht="15.75" customHeight="1">
      <c r="A57" s="50">
        <v>4</v>
      </c>
      <c r="B57" s="151" t="s">
        <v>2667</v>
      </c>
      <c r="C57" s="48" t="s">
        <v>27</v>
      </c>
      <c r="D57" s="48" t="s">
        <v>434</v>
      </c>
      <c r="E57" s="48" t="s">
        <v>36</v>
      </c>
      <c r="F57" s="48"/>
      <c r="G57" s="48" t="s">
        <v>30</v>
      </c>
      <c r="H57" s="51">
        <v>500</v>
      </c>
      <c r="I57" s="119">
        <v>100</v>
      </c>
      <c r="J57" s="48" t="s">
        <v>31</v>
      </c>
      <c r="K57" s="48" t="s">
        <v>32</v>
      </c>
      <c r="M57" s="126">
        <v>100</v>
      </c>
    </row>
    <row r="58" spans="1:13" ht="15.75" customHeight="1">
      <c r="A58" s="50">
        <v>4</v>
      </c>
      <c r="B58" s="151" t="s">
        <v>2543</v>
      </c>
      <c r="C58" s="48" t="s">
        <v>27</v>
      </c>
      <c r="D58" s="48" t="s">
        <v>1337</v>
      </c>
      <c r="E58" s="48" t="s">
        <v>36</v>
      </c>
      <c r="F58" s="48"/>
      <c r="G58" s="48" t="s">
        <v>30</v>
      </c>
      <c r="H58" s="51">
        <v>400</v>
      </c>
      <c r="I58" s="119">
        <v>80</v>
      </c>
      <c r="J58" s="48" t="s">
        <v>31</v>
      </c>
      <c r="K58" s="48" t="s">
        <v>32</v>
      </c>
      <c r="M58" s="126">
        <v>70</v>
      </c>
    </row>
    <row r="59" spans="1:13" ht="15.75" customHeight="1">
      <c r="A59" s="50">
        <v>4</v>
      </c>
      <c r="B59" s="151" t="s">
        <v>2334</v>
      </c>
      <c r="C59" s="48" t="s">
        <v>27</v>
      </c>
      <c r="D59" s="48" t="s">
        <v>2333</v>
      </c>
      <c r="E59" s="48" t="s">
        <v>68</v>
      </c>
      <c r="F59" s="48"/>
      <c r="G59" s="48" t="s">
        <v>30</v>
      </c>
      <c r="H59" s="51">
        <v>1000</v>
      </c>
      <c r="I59" s="119">
        <v>200</v>
      </c>
      <c r="J59" s="48" t="s">
        <v>31</v>
      </c>
      <c r="K59" s="48" t="s">
        <v>32</v>
      </c>
      <c r="M59" s="126">
        <v>200</v>
      </c>
    </row>
    <row r="60" spans="1:13" ht="15.75" customHeight="1">
      <c r="A60" s="50">
        <v>4</v>
      </c>
      <c r="B60" s="151" t="s">
        <v>2668</v>
      </c>
      <c r="C60" s="48" t="s">
        <v>27</v>
      </c>
      <c r="D60" s="48" t="s">
        <v>733</v>
      </c>
      <c r="E60" s="48" t="s">
        <v>36</v>
      </c>
      <c r="F60" s="48"/>
      <c r="G60" s="48" t="s">
        <v>30</v>
      </c>
      <c r="H60" s="51">
        <v>500</v>
      </c>
      <c r="I60" s="119">
        <v>150</v>
      </c>
      <c r="J60" s="48" t="s">
        <v>31</v>
      </c>
      <c r="K60" s="48" t="s">
        <v>32</v>
      </c>
      <c r="M60" s="126">
        <v>150</v>
      </c>
    </row>
    <row r="61" spans="1:13" ht="15.75" customHeight="1">
      <c r="A61" s="50">
        <v>4</v>
      </c>
      <c r="B61" s="151" t="s">
        <v>2669</v>
      </c>
      <c r="C61" s="48" t="s">
        <v>27</v>
      </c>
      <c r="D61" s="48" t="s">
        <v>67</v>
      </c>
      <c r="E61" s="48" t="s">
        <v>68</v>
      </c>
      <c r="F61" s="48"/>
      <c r="G61" s="151" t="s">
        <v>30</v>
      </c>
      <c r="H61" s="152">
        <v>5000</v>
      </c>
      <c r="I61" s="153">
        <v>1000</v>
      </c>
      <c r="J61" s="48" t="s">
        <v>31</v>
      </c>
      <c r="K61" s="48" t="s">
        <v>32</v>
      </c>
      <c r="M61" s="126">
        <v>1000</v>
      </c>
    </row>
    <row r="62" spans="1:13" ht="15.75" customHeight="1">
      <c r="A62" s="50">
        <v>4</v>
      </c>
      <c r="B62" s="151" t="s">
        <v>2670</v>
      </c>
      <c r="C62" s="48" t="s">
        <v>27</v>
      </c>
      <c r="D62" s="48" t="s">
        <v>108</v>
      </c>
      <c r="E62" s="48" t="s">
        <v>36</v>
      </c>
      <c r="F62" s="48"/>
      <c r="G62" s="48" t="s">
        <v>30</v>
      </c>
      <c r="H62" s="51">
        <v>1000</v>
      </c>
      <c r="I62" s="119">
        <v>200</v>
      </c>
      <c r="J62" s="48" t="s">
        <v>31</v>
      </c>
      <c r="K62" s="48" t="s">
        <v>32</v>
      </c>
      <c r="M62" s="126">
        <v>300</v>
      </c>
    </row>
    <row r="63" spans="1:13" ht="15.75" customHeight="1">
      <c r="A63" s="50">
        <v>4</v>
      </c>
      <c r="B63" s="151" t="s">
        <v>1725</v>
      </c>
      <c r="C63" s="48" t="s">
        <v>27</v>
      </c>
      <c r="D63" s="48" t="s">
        <v>407</v>
      </c>
      <c r="E63" s="48" t="s">
        <v>44</v>
      </c>
      <c r="F63" s="48"/>
      <c r="G63" s="48" t="s">
        <v>1300</v>
      </c>
      <c r="H63" s="51">
        <v>300</v>
      </c>
      <c r="I63" s="119">
        <v>1500</v>
      </c>
      <c r="J63" s="48" t="s">
        <v>31</v>
      </c>
      <c r="K63" s="48" t="s">
        <v>32</v>
      </c>
    </row>
    <row r="64" spans="1:13" ht="15.75" customHeight="1">
      <c r="A64" s="50">
        <v>4</v>
      </c>
      <c r="B64" s="151" t="s">
        <v>2671</v>
      </c>
      <c r="C64" s="48" t="s">
        <v>27</v>
      </c>
      <c r="D64" s="48" t="s">
        <v>1303</v>
      </c>
      <c r="E64" s="48" t="s">
        <v>44</v>
      </c>
      <c r="F64" s="48"/>
      <c r="G64" s="48" t="s">
        <v>1300</v>
      </c>
      <c r="H64" s="51">
        <v>30</v>
      </c>
      <c r="I64" s="119">
        <v>150</v>
      </c>
      <c r="J64" s="48" t="s">
        <v>31</v>
      </c>
      <c r="K64" s="48" t="s">
        <v>32</v>
      </c>
    </row>
    <row r="65" spans="1:13" ht="15.75" customHeight="1">
      <c r="A65" s="50">
        <v>4</v>
      </c>
      <c r="B65" s="151" t="s">
        <v>2672</v>
      </c>
      <c r="C65" s="48" t="s">
        <v>27</v>
      </c>
      <c r="D65" s="48" t="s">
        <v>495</v>
      </c>
      <c r="E65" s="48" t="s">
        <v>245</v>
      </c>
      <c r="F65" s="48"/>
      <c r="G65" s="48" t="s">
        <v>1300</v>
      </c>
      <c r="H65" s="51">
        <v>20</v>
      </c>
      <c r="I65" s="119">
        <v>100</v>
      </c>
      <c r="J65" s="48" t="s">
        <v>31</v>
      </c>
      <c r="K65" s="48" t="s">
        <v>32</v>
      </c>
    </row>
    <row r="66" spans="1:13" ht="15.75" customHeight="1">
      <c r="A66" s="50">
        <v>4</v>
      </c>
      <c r="B66" s="151" t="s">
        <v>1229</v>
      </c>
      <c r="C66" s="48" t="s">
        <v>27</v>
      </c>
      <c r="D66" s="48" t="s">
        <v>1303</v>
      </c>
      <c r="E66" s="48" t="s">
        <v>44</v>
      </c>
      <c r="F66" s="48"/>
      <c r="G66" s="48" t="s">
        <v>1300</v>
      </c>
      <c r="H66" s="51">
        <v>300</v>
      </c>
      <c r="I66" s="119">
        <v>1500</v>
      </c>
      <c r="J66" s="48" t="s">
        <v>31</v>
      </c>
      <c r="K66" s="48" t="s">
        <v>32</v>
      </c>
    </row>
    <row r="67" spans="1:13" ht="15.75" customHeight="1">
      <c r="A67" s="50">
        <v>4</v>
      </c>
      <c r="B67" s="151" t="s">
        <v>2673</v>
      </c>
      <c r="C67" s="48" t="s">
        <v>27</v>
      </c>
      <c r="D67" s="48" t="s">
        <v>434</v>
      </c>
      <c r="E67" s="48" t="s">
        <v>36</v>
      </c>
      <c r="F67" s="48"/>
      <c r="G67" s="48" t="s">
        <v>30</v>
      </c>
      <c r="H67" s="51">
        <v>500</v>
      </c>
      <c r="I67" s="119" t="s">
        <v>1586</v>
      </c>
      <c r="J67" s="48" t="s">
        <v>31</v>
      </c>
      <c r="K67" s="48" t="s">
        <v>32</v>
      </c>
      <c r="M67" s="126">
        <v>120</v>
      </c>
    </row>
    <row r="68" spans="1:13" ht="15.75" customHeight="1">
      <c r="A68" s="50">
        <v>4</v>
      </c>
      <c r="B68" s="151" t="s">
        <v>2674</v>
      </c>
      <c r="C68" s="48" t="s">
        <v>27</v>
      </c>
      <c r="D68" s="48" t="s">
        <v>153</v>
      </c>
      <c r="E68" s="48" t="s">
        <v>36</v>
      </c>
      <c r="F68" s="48"/>
      <c r="G68" s="48" t="s">
        <v>30</v>
      </c>
      <c r="H68" s="51">
        <v>500</v>
      </c>
      <c r="I68" s="119" t="s">
        <v>1586</v>
      </c>
      <c r="J68" s="48" t="s">
        <v>31</v>
      </c>
      <c r="K68" s="48" t="s">
        <v>32</v>
      </c>
      <c r="M68" s="126">
        <v>100</v>
      </c>
    </row>
    <row r="69" spans="1:13" ht="15.75" customHeight="1">
      <c r="A69" s="65">
        <v>4</v>
      </c>
      <c r="B69" s="175" t="s">
        <v>2675</v>
      </c>
      <c r="C69" s="58" t="s">
        <v>27</v>
      </c>
      <c r="D69" s="58" t="s">
        <v>2044</v>
      </c>
      <c r="E69" s="58" t="s">
        <v>79</v>
      </c>
      <c r="F69" s="58"/>
      <c r="G69" s="58" t="s">
        <v>30</v>
      </c>
      <c r="H69" s="59">
        <v>500</v>
      </c>
      <c r="I69" s="160" t="s">
        <v>1586</v>
      </c>
      <c r="J69" s="58" t="s">
        <v>31</v>
      </c>
      <c r="K69" s="58" t="s">
        <v>32</v>
      </c>
      <c r="M69" s="126">
        <v>100</v>
      </c>
    </row>
    <row r="70" spans="1:13" ht="15.75" customHeight="1">
      <c r="A70" s="61">
        <v>5</v>
      </c>
      <c r="B70" s="292" t="s">
        <v>2676</v>
      </c>
      <c r="C70" s="62" t="s">
        <v>27</v>
      </c>
      <c r="D70" s="62" t="s">
        <v>361</v>
      </c>
      <c r="E70" s="62" t="s">
        <v>79</v>
      </c>
      <c r="F70" s="62"/>
      <c r="G70" s="62" t="s">
        <v>30</v>
      </c>
      <c r="H70" s="63">
        <v>2000</v>
      </c>
      <c r="I70" s="159">
        <v>400</v>
      </c>
      <c r="J70" s="62" t="s">
        <v>31</v>
      </c>
      <c r="K70" s="62" t="s">
        <v>32</v>
      </c>
      <c r="M70" s="126">
        <v>400</v>
      </c>
    </row>
    <row r="71" spans="1:13" ht="15.75" customHeight="1">
      <c r="A71" s="50">
        <v>5</v>
      </c>
      <c r="B71" s="151" t="s">
        <v>2677</v>
      </c>
      <c r="C71" s="48" t="s">
        <v>27</v>
      </c>
      <c r="D71" s="48" t="s">
        <v>733</v>
      </c>
      <c r="E71" s="48" t="s">
        <v>36</v>
      </c>
      <c r="F71" s="48"/>
      <c r="G71" s="48" t="s">
        <v>30</v>
      </c>
      <c r="H71" s="51">
        <v>300</v>
      </c>
      <c r="I71" s="119">
        <v>60</v>
      </c>
      <c r="J71" s="48" t="s">
        <v>31</v>
      </c>
      <c r="K71" s="48" t="s">
        <v>32</v>
      </c>
      <c r="M71" s="126">
        <v>80</v>
      </c>
    </row>
    <row r="72" spans="1:13" ht="15.75" customHeight="1">
      <c r="A72" s="50">
        <v>5</v>
      </c>
      <c r="B72" s="151" t="s">
        <v>2678</v>
      </c>
      <c r="C72" s="48" t="s">
        <v>39</v>
      </c>
      <c r="D72" s="48" t="s">
        <v>211</v>
      </c>
      <c r="E72" s="48" t="s">
        <v>245</v>
      </c>
      <c r="F72" s="48"/>
      <c r="G72" s="48" t="s">
        <v>30</v>
      </c>
      <c r="H72" s="51">
        <v>500</v>
      </c>
      <c r="I72" s="119">
        <v>10</v>
      </c>
      <c r="J72" s="48" t="s">
        <v>31</v>
      </c>
      <c r="K72" s="48" t="s">
        <v>32</v>
      </c>
      <c r="M72" s="126">
        <v>115</v>
      </c>
    </row>
    <row r="73" spans="1:13" ht="15.75" customHeight="1">
      <c r="A73" s="50">
        <v>5</v>
      </c>
      <c r="B73" s="151" t="s">
        <v>2679</v>
      </c>
      <c r="C73" s="48" t="s">
        <v>27</v>
      </c>
      <c r="D73" s="48" t="s">
        <v>2680</v>
      </c>
      <c r="E73" s="48" t="s">
        <v>245</v>
      </c>
      <c r="F73" s="48"/>
      <c r="G73" s="48" t="s">
        <v>30</v>
      </c>
      <c r="H73" s="51">
        <v>300</v>
      </c>
      <c r="I73" s="119">
        <v>60</v>
      </c>
      <c r="J73" s="48" t="s">
        <v>31</v>
      </c>
      <c r="K73" s="48" t="s">
        <v>32</v>
      </c>
      <c r="M73" s="126">
        <v>60</v>
      </c>
    </row>
    <row r="74" spans="1:13" ht="15.75" customHeight="1">
      <c r="A74" s="50">
        <v>5</v>
      </c>
      <c r="B74" s="151" t="s">
        <v>2681</v>
      </c>
      <c r="C74" s="48" t="s">
        <v>27</v>
      </c>
      <c r="D74" s="48" t="s">
        <v>79</v>
      </c>
      <c r="E74" s="48" t="s">
        <v>145</v>
      </c>
      <c r="F74" s="48"/>
      <c r="G74" s="48" t="s">
        <v>30</v>
      </c>
      <c r="H74" s="51">
        <v>500</v>
      </c>
      <c r="I74" s="119">
        <v>100</v>
      </c>
      <c r="J74" s="48" t="s">
        <v>31</v>
      </c>
      <c r="K74" s="48" t="s">
        <v>32</v>
      </c>
      <c r="M74" s="126">
        <v>100</v>
      </c>
    </row>
    <row r="75" spans="1:13" ht="15.75" customHeight="1">
      <c r="A75" s="50">
        <v>5</v>
      </c>
      <c r="B75" s="151" t="s">
        <v>2682</v>
      </c>
      <c r="C75" s="48" t="s">
        <v>27</v>
      </c>
      <c r="D75" s="48" t="s">
        <v>79</v>
      </c>
      <c r="E75" s="48" t="s">
        <v>145</v>
      </c>
      <c r="F75" s="48"/>
      <c r="G75" s="48" t="s">
        <v>30</v>
      </c>
      <c r="H75" s="51">
        <v>1500</v>
      </c>
      <c r="I75" s="119">
        <v>300</v>
      </c>
      <c r="J75" s="48" t="s">
        <v>31</v>
      </c>
      <c r="K75" s="48" t="s">
        <v>32</v>
      </c>
      <c r="M75" s="126">
        <v>600</v>
      </c>
    </row>
    <row r="76" spans="1:13" ht="15.75" customHeight="1">
      <c r="A76" s="50">
        <v>5</v>
      </c>
      <c r="B76" s="151" t="s">
        <v>2683</v>
      </c>
      <c r="C76" s="48" t="s">
        <v>27</v>
      </c>
      <c r="D76" s="48" t="s">
        <v>2684</v>
      </c>
      <c r="E76" s="48" t="s">
        <v>223</v>
      </c>
      <c r="F76" s="48"/>
      <c r="G76" s="48" t="s">
        <v>30</v>
      </c>
      <c r="H76" s="51">
        <v>200</v>
      </c>
      <c r="I76" s="119">
        <v>40</v>
      </c>
      <c r="J76" s="48" t="s">
        <v>31</v>
      </c>
      <c r="K76" s="48" t="s">
        <v>32</v>
      </c>
      <c r="M76" s="126">
        <v>40</v>
      </c>
    </row>
    <row r="77" spans="1:13" ht="15.75" customHeight="1">
      <c r="A77" s="50">
        <v>5</v>
      </c>
      <c r="B77" s="151" t="s">
        <v>2685</v>
      </c>
      <c r="C77" s="48" t="s">
        <v>27</v>
      </c>
      <c r="D77" s="48" t="s">
        <v>2684</v>
      </c>
      <c r="E77" s="48" t="s">
        <v>223</v>
      </c>
      <c r="F77" s="48"/>
      <c r="G77" s="48" t="s">
        <v>30</v>
      </c>
      <c r="H77" s="51">
        <v>200</v>
      </c>
      <c r="I77" s="119">
        <v>40</v>
      </c>
      <c r="J77" s="48" t="s">
        <v>31</v>
      </c>
      <c r="K77" s="48" t="s">
        <v>32</v>
      </c>
      <c r="M77" s="126">
        <v>40</v>
      </c>
    </row>
    <row r="78" spans="1:13" ht="15.75" customHeight="1">
      <c r="A78" s="50">
        <v>5</v>
      </c>
      <c r="B78" s="151" t="s">
        <v>2686</v>
      </c>
      <c r="C78" s="48" t="s">
        <v>39</v>
      </c>
      <c r="D78" s="48" t="s">
        <v>2684</v>
      </c>
      <c r="E78" s="48" t="s">
        <v>223</v>
      </c>
      <c r="F78" s="48"/>
      <c r="G78" s="48" t="s">
        <v>30</v>
      </c>
      <c r="H78" s="51">
        <v>200</v>
      </c>
      <c r="I78" s="119">
        <v>40</v>
      </c>
      <c r="J78" s="48" t="s">
        <v>31</v>
      </c>
      <c r="K78" s="48" t="s">
        <v>32</v>
      </c>
    </row>
    <row r="79" spans="1:13" ht="15.75" customHeight="1">
      <c r="A79" s="65">
        <v>5</v>
      </c>
      <c r="B79" s="388" t="s">
        <v>2687</v>
      </c>
      <c r="C79" s="388" t="s">
        <v>27</v>
      </c>
      <c r="D79" s="388" t="s">
        <v>319</v>
      </c>
      <c r="E79" s="388" t="s">
        <v>36</v>
      </c>
      <c r="F79" s="388"/>
      <c r="G79" s="388" t="s">
        <v>579</v>
      </c>
      <c r="H79" s="389">
        <v>200</v>
      </c>
      <c r="I79" s="430">
        <v>200</v>
      </c>
      <c r="J79" s="58" t="s">
        <v>31</v>
      </c>
      <c r="K79" s="58" t="s">
        <v>32</v>
      </c>
      <c r="M79" s="126">
        <v>300</v>
      </c>
    </row>
    <row r="80" spans="1:13" ht="15.75" customHeight="1">
      <c r="A80" s="61">
        <v>6</v>
      </c>
      <c r="B80" s="292" t="s">
        <v>2688</v>
      </c>
      <c r="C80" s="62" t="s">
        <v>27</v>
      </c>
      <c r="D80" s="62" t="s">
        <v>211</v>
      </c>
      <c r="E80" s="62" t="s">
        <v>245</v>
      </c>
      <c r="F80" s="62"/>
      <c r="G80" s="62" t="s">
        <v>30</v>
      </c>
      <c r="H80" s="63">
        <v>500</v>
      </c>
      <c r="I80" s="159">
        <v>100</v>
      </c>
      <c r="J80" s="62" t="s">
        <v>31</v>
      </c>
      <c r="K80" s="62" t="s">
        <v>32</v>
      </c>
      <c r="M80" s="126">
        <v>100</v>
      </c>
    </row>
    <row r="81" spans="1:18" ht="15.75" customHeight="1">
      <c r="A81" s="50">
        <v>6</v>
      </c>
      <c r="B81" s="151" t="s">
        <v>2689</v>
      </c>
      <c r="C81" s="48" t="s">
        <v>27</v>
      </c>
      <c r="D81" s="48" t="s">
        <v>211</v>
      </c>
      <c r="E81" s="48" t="s">
        <v>245</v>
      </c>
      <c r="F81" s="48"/>
      <c r="G81" s="48" t="s">
        <v>30</v>
      </c>
      <c r="H81" s="51">
        <v>500</v>
      </c>
      <c r="I81" s="119">
        <v>100</v>
      </c>
      <c r="J81" s="48" t="s">
        <v>31</v>
      </c>
      <c r="K81" s="48" t="s">
        <v>32</v>
      </c>
      <c r="M81" s="126">
        <v>300</v>
      </c>
    </row>
    <row r="82" spans="1:18" ht="15.75" customHeight="1">
      <c r="A82" s="50">
        <v>6</v>
      </c>
      <c r="B82" s="151" t="s">
        <v>2690</v>
      </c>
      <c r="C82" s="48" t="s">
        <v>27</v>
      </c>
      <c r="D82" s="48" t="s">
        <v>211</v>
      </c>
      <c r="E82" s="48" t="s">
        <v>245</v>
      </c>
      <c r="F82" s="48"/>
      <c r="G82" s="48" t="s">
        <v>30</v>
      </c>
      <c r="H82" s="51">
        <v>500</v>
      </c>
      <c r="I82" s="119">
        <v>100</v>
      </c>
      <c r="J82" s="48" t="s">
        <v>31</v>
      </c>
      <c r="K82" s="48" t="s">
        <v>32</v>
      </c>
      <c r="M82" s="126">
        <v>300</v>
      </c>
      <c r="P82" s="761" t="s">
        <v>2691</v>
      </c>
      <c r="Q82" s="719"/>
    </row>
    <row r="83" spans="1:18" ht="15.75" customHeight="1">
      <c r="A83" s="50">
        <v>6</v>
      </c>
      <c r="B83" s="151" t="s">
        <v>2692</v>
      </c>
      <c r="C83" s="48" t="s">
        <v>27</v>
      </c>
      <c r="D83" s="48" t="s">
        <v>1363</v>
      </c>
      <c r="E83" s="48" t="s">
        <v>54</v>
      </c>
      <c r="F83" s="48"/>
      <c r="G83" s="48" t="s">
        <v>30</v>
      </c>
      <c r="H83" s="51">
        <v>500</v>
      </c>
      <c r="I83" s="119">
        <v>100</v>
      </c>
      <c r="J83" s="48" t="s">
        <v>31</v>
      </c>
      <c r="K83" s="48" t="s">
        <v>32</v>
      </c>
      <c r="M83" s="126">
        <v>300</v>
      </c>
      <c r="P83" s="723" t="s">
        <v>2693</v>
      </c>
      <c r="Q83" s="719"/>
    </row>
    <row r="84" spans="1:18" ht="15.75" customHeight="1">
      <c r="A84" s="50">
        <v>6</v>
      </c>
      <c r="B84" s="151" t="s">
        <v>2694</v>
      </c>
      <c r="C84" s="48" t="s">
        <v>39</v>
      </c>
      <c r="D84" s="48" t="s">
        <v>1363</v>
      </c>
      <c r="E84" s="48" t="s">
        <v>54</v>
      </c>
      <c r="F84" s="48"/>
      <c r="G84" s="48" t="s">
        <v>30</v>
      </c>
      <c r="H84" s="51">
        <v>500</v>
      </c>
      <c r="I84" s="119">
        <v>100</v>
      </c>
      <c r="J84" s="48" t="s">
        <v>31</v>
      </c>
      <c r="K84" s="48" t="s">
        <v>32</v>
      </c>
      <c r="M84" s="126">
        <v>300</v>
      </c>
      <c r="P84" s="48" t="s">
        <v>33</v>
      </c>
      <c r="Q84" s="51">
        <v>136400</v>
      </c>
      <c r="R84" s="55">
        <f>SUM(H12:H13,H15:H23,H26:H37,H40:H44,H46:H53,H55:H62,H70:H78,H80:H92)</f>
        <v>136400</v>
      </c>
    </row>
    <row r="85" spans="1:18" ht="15.75" customHeight="1">
      <c r="A85" s="50">
        <v>6</v>
      </c>
      <c r="B85" s="151" t="s">
        <v>2695</v>
      </c>
      <c r="C85" s="48" t="s">
        <v>39</v>
      </c>
      <c r="D85" s="48" t="s">
        <v>916</v>
      </c>
      <c r="E85" s="48" t="s">
        <v>36</v>
      </c>
      <c r="F85" s="48"/>
      <c r="G85" s="48" t="s">
        <v>30</v>
      </c>
      <c r="H85" s="51">
        <v>500</v>
      </c>
      <c r="I85" s="119">
        <v>100</v>
      </c>
      <c r="J85" s="48" t="s">
        <v>31</v>
      </c>
      <c r="K85" s="48" t="s">
        <v>32</v>
      </c>
      <c r="M85" s="126">
        <v>150</v>
      </c>
      <c r="P85" s="48" t="s">
        <v>37</v>
      </c>
      <c r="Q85" s="51">
        <v>3000</v>
      </c>
      <c r="R85" s="55">
        <f>SUM(H67:H69,H39,H25,H14)</f>
        <v>3000</v>
      </c>
    </row>
    <row r="86" spans="1:18" ht="15.75" customHeight="1">
      <c r="A86" s="50">
        <v>6</v>
      </c>
      <c r="B86" s="48" t="s">
        <v>2696</v>
      </c>
      <c r="C86" s="48" t="s">
        <v>27</v>
      </c>
      <c r="D86" s="48" t="s">
        <v>108</v>
      </c>
      <c r="E86" s="48" t="s">
        <v>36</v>
      </c>
      <c r="F86" s="48"/>
      <c r="G86" s="48" t="s">
        <v>30</v>
      </c>
      <c r="H86" s="51">
        <v>2000</v>
      </c>
      <c r="I86" s="119">
        <v>400</v>
      </c>
      <c r="J86" s="48" t="s">
        <v>31</v>
      </c>
      <c r="K86" s="48" t="s">
        <v>32</v>
      </c>
      <c r="M86" s="126">
        <v>400</v>
      </c>
      <c r="P86" s="723" t="s">
        <v>1249</v>
      </c>
      <c r="Q86" s="719"/>
    </row>
    <row r="87" spans="1:18" ht="15.75" customHeight="1">
      <c r="A87" s="50">
        <v>6</v>
      </c>
      <c r="B87" s="151" t="s">
        <v>2697</v>
      </c>
      <c r="C87" s="48" t="s">
        <v>27</v>
      </c>
      <c r="D87" s="48" t="s">
        <v>988</v>
      </c>
      <c r="E87" s="48" t="s">
        <v>44</v>
      </c>
      <c r="F87" s="48"/>
      <c r="G87" s="48" t="s">
        <v>30</v>
      </c>
      <c r="H87" s="51">
        <v>300</v>
      </c>
      <c r="I87" s="119">
        <v>60</v>
      </c>
      <c r="J87" s="48" t="s">
        <v>31</v>
      </c>
      <c r="K87" s="48" t="s">
        <v>32</v>
      </c>
      <c r="M87" s="126">
        <v>60</v>
      </c>
      <c r="P87" s="48" t="s">
        <v>33</v>
      </c>
      <c r="Q87" s="48">
        <v>500</v>
      </c>
    </row>
    <row r="88" spans="1:18" ht="15.75" customHeight="1">
      <c r="A88" s="50">
        <v>6</v>
      </c>
      <c r="B88" s="151" t="s">
        <v>2698</v>
      </c>
      <c r="C88" s="48" t="s">
        <v>27</v>
      </c>
      <c r="D88" s="48" t="s">
        <v>845</v>
      </c>
      <c r="E88" s="48" t="s">
        <v>79</v>
      </c>
      <c r="F88" s="48"/>
      <c r="G88" s="48" t="s">
        <v>30</v>
      </c>
      <c r="H88" s="51">
        <v>500</v>
      </c>
      <c r="I88" s="119">
        <v>100</v>
      </c>
      <c r="J88" s="48" t="s">
        <v>31</v>
      </c>
      <c r="K88" s="48" t="s">
        <v>32</v>
      </c>
      <c r="M88" s="126">
        <v>100</v>
      </c>
      <c r="P88" s="723" t="s">
        <v>579</v>
      </c>
      <c r="Q88" s="719"/>
    </row>
    <row r="89" spans="1:18" ht="15.75" customHeight="1">
      <c r="A89" s="50">
        <v>6</v>
      </c>
      <c r="B89" s="151" t="s">
        <v>2699</v>
      </c>
      <c r="C89" s="48" t="s">
        <v>39</v>
      </c>
      <c r="D89" s="48" t="s">
        <v>845</v>
      </c>
      <c r="E89" s="48" t="s">
        <v>79</v>
      </c>
      <c r="F89" s="48"/>
      <c r="G89" s="48" t="s">
        <v>30</v>
      </c>
      <c r="H89" s="51">
        <v>100</v>
      </c>
      <c r="I89" s="119">
        <v>20</v>
      </c>
      <c r="J89" s="48" t="s">
        <v>31</v>
      </c>
      <c r="K89" s="48" t="s">
        <v>32</v>
      </c>
      <c r="M89" s="126">
        <v>20</v>
      </c>
      <c r="P89" s="48" t="s">
        <v>33</v>
      </c>
      <c r="Q89" s="48">
        <v>200</v>
      </c>
    </row>
    <row r="90" spans="1:18" ht="15.75" customHeight="1">
      <c r="A90" s="50">
        <v>6</v>
      </c>
      <c r="B90" s="151" t="s">
        <v>2232</v>
      </c>
      <c r="C90" s="48" t="s">
        <v>27</v>
      </c>
      <c r="D90" s="48" t="s">
        <v>137</v>
      </c>
      <c r="E90" s="48" t="s">
        <v>73</v>
      </c>
      <c r="F90" s="48"/>
      <c r="G90" s="48" t="s">
        <v>30</v>
      </c>
      <c r="H90" s="51">
        <v>500</v>
      </c>
      <c r="I90" s="119">
        <v>100</v>
      </c>
      <c r="J90" s="48" t="s">
        <v>31</v>
      </c>
      <c r="K90" s="48" t="s">
        <v>32</v>
      </c>
      <c r="M90" s="126">
        <v>100</v>
      </c>
      <c r="P90" s="723" t="s">
        <v>2700</v>
      </c>
      <c r="Q90" s="719"/>
    </row>
    <row r="91" spans="1:18" ht="15.75" customHeight="1">
      <c r="A91" s="50">
        <v>6</v>
      </c>
      <c r="B91" s="151" t="s">
        <v>2701</v>
      </c>
      <c r="C91" s="48" t="s">
        <v>27</v>
      </c>
      <c r="D91" s="48" t="s">
        <v>651</v>
      </c>
      <c r="E91" s="48" t="s">
        <v>86</v>
      </c>
      <c r="F91" s="48"/>
      <c r="G91" s="48" t="s">
        <v>30</v>
      </c>
      <c r="H91" s="51">
        <v>300</v>
      </c>
      <c r="I91" s="119">
        <v>60</v>
      </c>
      <c r="J91" s="48" t="s">
        <v>31</v>
      </c>
      <c r="K91" s="48" t="s">
        <v>32</v>
      </c>
      <c r="M91" s="126">
        <v>100</v>
      </c>
      <c r="P91" s="48" t="s">
        <v>580</v>
      </c>
      <c r="Q91" s="48">
        <v>933</v>
      </c>
      <c r="R91" s="55"/>
    </row>
    <row r="92" spans="1:18" ht="15.75" customHeight="1">
      <c r="A92" s="65">
        <v>6</v>
      </c>
      <c r="B92" s="175" t="s">
        <v>2702</v>
      </c>
      <c r="C92" s="58" t="s">
        <v>27</v>
      </c>
      <c r="D92" s="58" t="s">
        <v>128</v>
      </c>
      <c r="E92" s="58" t="s">
        <v>44</v>
      </c>
      <c r="F92" s="58"/>
      <c r="G92" s="58" t="s">
        <v>30</v>
      </c>
      <c r="H92" s="59">
        <v>250</v>
      </c>
      <c r="I92" s="160">
        <v>50</v>
      </c>
      <c r="J92" s="58" t="s">
        <v>31</v>
      </c>
      <c r="K92" s="58" t="s">
        <v>32</v>
      </c>
      <c r="M92" s="126">
        <v>50</v>
      </c>
    </row>
    <row r="93" spans="1:18" ht="15.75" customHeight="1">
      <c r="A93" s="61">
        <v>7</v>
      </c>
      <c r="B93" s="292" t="s">
        <v>2703</v>
      </c>
      <c r="C93" s="62" t="s">
        <v>27</v>
      </c>
      <c r="D93" s="62" t="s">
        <v>2704</v>
      </c>
      <c r="E93" s="62" t="s">
        <v>1381</v>
      </c>
      <c r="F93" s="62"/>
      <c r="G93" s="62" t="s">
        <v>30</v>
      </c>
      <c r="H93" s="63">
        <v>500</v>
      </c>
      <c r="I93" s="159">
        <v>100</v>
      </c>
      <c r="J93" s="62" t="s">
        <v>31</v>
      </c>
      <c r="K93" s="62" t="s">
        <v>32</v>
      </c>
      <c r="M93" s="126">
        <v>100</v>
      </c>
    </row>
    <row r="94" spans="1:18" ht="15.75" customHeight="1">
      <c r="A94" s="50">
        <v>7</v>
      </c>
      <c r="B94" s="151" t="s">
        <v>2705</v>
      </c>
      <c r="C94" s="48" t="s">
        <v>27</v>
      </c>
      <c r="D94" s="48" t="s">
        <v>607</v>
      </c>
      <c r="E94" s="48" t="s">
        <v>36</v>
      </c>
      <c r="F94" s="48"/>
      <c r="G94" s="48" t="s">
        <v>30</v>
      </c>
      <c r="H94" s="51">
        <v>500</v>
      </c>
      <c r="I94" s="119">
        <v>100</v>
      </c>
      <c r="J94" s="48" t="s">
        <v>31</v>
      </c>
      <c r="K94" s="48" t="s">
        <v>32</v>
      </c>
      <c r="M94" s="126">
        <v>100</v>
      </c>
    </row>
    <row r="95" spans="1:18" ht="15.75" customHeight="1">
      <c r="A95" s="50">
        <v>7</v>
      </c>
      <c r="B95" s="151" t="s">
        <v>1975</v>
      </c>
      <c r="C95" s="48" t="s">
        <v>27</v>
      </c>
      <c r="D95" s="48" t="s">
        <v>88</v>
      </c>
      <c r="E95" s="48" t="s">
        <v>54</v>
      </c>
      <c r="F95" s="48"/>
      <c r="G95" s="48" t="s">
        <v>30</v>
      </c>
      <c r="H95" s="51">
        <v>11500</v>
      </c>
      <c r="I95" s="119">
        <v>2300</v>
      </c>
      <c r="J95" s="48" t="s">
        <v>31</v>
      </c>
      <c r="K95" s="48" t="s">
        <v>32</v>
      </c>
      <c r="M95" s="126">
        <v>2000</v>
      </c>
    </row>
    <row r="96" spans="1:18" ht="15.75" customHeight="1">
      <c r="A96" s="50">
        <v>7</v>
      </c>
      <c r="B96" s="408" t="s">
        <v>2706</v>
      </c>
      <c r="C96" s="48" t="s">
        <v>27</v>
      </c>
      <c r="D96" s="48" t="s">
        <v>100</v>
      </c>
      <c r="E96" s="48" t="s">
        <v>86</v>
      </c>
      <c r="F96" s="48"/>
      <c r="G96" s="48" t="s">
        <v>30</v>
      </c>
      <c r="H96" s="51">
        <v>300</v>
      </c>
      <c r="I96" s="119">
        <v>60</v>
      </c>
      <c r="J96" s="48" t="s">
        <v>31</v>
      </c>
      <c r="K96" s="48" t="s">
        <v>32</v>
      </c>
      <c r="M96" s="126">
        <v>50</v>
      </c>
    </row>
    <row r="97" spans="1:18" ht="15.75" customHeight="1">
      <c r="A97" s="50">
        <v>7</v>
      </c>
      <c r="B97" s="151" t="s">
        <v>2707</v>
      </c>
      <c r="C97" s="48" t="s">
        <v>27</v>
      </c>
      <c r="D97" s="48" t="s">
        <v>295</v>
      </c>
      <c r="E97" s="48" t="s">
        <v>41</v>
      </c>
      <c r="F97" s="48"/>
      <c r="G97" s="48" t="s">
        <v>30</v>
      </c>
      <c r="H97" s="51">
        <v>1000</v>
      </c>
      <c r="I97" s="119">
        <v>200</v>
      </c>
      <c r="J97" s="48" t="s">
        <v>31</v>
      </c>
      <c r="K97" s="48" t="s">
        <v>32</v>
      </c>
      <c r="M97" s="126">
        <v>400</v>
      </c>
    </row>
    <row r="98" spans="1:18" ht="15.75" customHeight="1">
      <c r="A98" s="50">
        <v>7</v>
      </c>
      <c r="B98" s="151" t="s">
        <v>2708</v>
      </c>
      <c r="C98" s="48" t="s">
        <v>27</v>
      </c>
      <c r="D98" s="48" t="s">
        <v>931</v>
      </c>
      <c r="E98" s="48" t="s">
        <v>145</v>
      </c>
      <c r="F98" s="48"/>
      <c r="G98" s="48" t="s">
        <v>30</v>
      </c>
      <c r="H98" s="51">
        <v>1500</v>
      </c>
      <c r="I98" s="119">
        <v>300</v>
      </c>
      <c r="J98" s="48" t="s">
        <v>31</v>
      </c>
      <c r="K98" s="48" t="s">
        <v>32</v>
      </c>
      <c r="M98" s="126">
        <v>300</v>
      </c>
    </row>
    <row r="99" spans="1:18" ht="15.75" customHeight="1">
      <c r="A99" s="50">
        <v>7</v>
      </c>
      <c r="B99" s="151" t="s">
        <v>2709</v>
      </c>
      <c r="C99" s="48" t="s">
        <v>27</v>
      </c>
      <c r="D99" s="48" t="s">
        <v>988</v>
      </c>
      <c r="E99" s="48" t="s">
        <v>44</v>
      </c>
      <c r="F99" s="48"/>
      <c r="G99" s="48" t="s">
        <v>30</v>
      </c>
      <c r="H99" s="51">
        <v>300</v>
      </c>
      <c r="I99" s="119">
        <v>60</v>
      </c>
      <c r="J99" s="48" t="s">
        <v>31</v>
      </c>
      <c r="K99" s="48" t="s">
        <v>32</v>
      </c>
      <c r="M99" s="126">
        <v>50</v>
      </c>
    </row>
    <row r="100" spans="1:18" ht="15.75" customHeight="1">
      <c r="A100" s="431">
        <v>7</v>
      </c>
      <c r="B100" s="408" t="s">
        <v>2710</v>
      </c>
      <c r="C100" s="408" t="s">
        <v>27</v>
      </c>
      <c r="D100" s="408" t="s">
        <v>1320</v>
      </c>
      <c r="E100" s="408" t="s">
        <v>44</v>
      </c>
      <c r="F100" s="408"/>
      <c r="G100" s="408" t="s">
        <v>30</v>
      </c>
      <c r="H100" s="432">
        <v>100</v>
      </c>
      <c r="I100" s="433">
        <v>20</v>
      </c>
      <c r="J100" s="408" t="s">
        <v>31</v>
      </c>
      <c r="K100" s="408" t="s">
        <v>32</v>
      </c>
      <c r="M100" s="126">
        <v>25</v>
      </c>
    </row>
    <row r="101" spans="1:18" ht="15.75" customHeight="1">
      <c r="A101" s="50">
        <v>7</v>
      </c>
      <c r="B101" s="151" t="s">
        <v>2711</v>
      </c>
      <c r="C101" s="48" t="s">
        <v>27</v>
      </c>
      <c r="D101" s="48" t="s">
        <v>452</v>
      </c>
      <c r="E101" s="48" t="s">
        <v>68</v>
      </c>
      <c r="F101" s="48"/>
      <c r="G101" s="48" t="s">
        <v>30</v>
      </c>
      <c r="H101" s="51">
        <v>1500</v>
      </c>
      <c r="I101" s="119">
        <v>300</v>
      </c>
      <c r="J101" s="48" t="s">
        <v>31</v>
      </c>
      <c r="K101" s="48" t="s">
        <v>32</v>
      </c>
      <c r="M101" s="126">
        <v>900</v>
      </c>
    </row>
    <row r="102" spans="1:18" ht="15.75" customHeight="1">
      <c r="A102" s="50">
        <v>7</v>
      </c>
      <c r="B102" s="151" t="s">
        <v>2712</v>
      </c>
      <c r="C102" s="48" t="s">
        <v>27</v>
      </c>
      <c r="D102" s="48" t="s">
        <v>193</v>
      </c>
      <c r="E102" s="48" t="s">
        <v>36</v>
      </c>
      <c r="F102" s="48"/>
      <c r="G102" s="48" t="s">
        <v>30</v>
      </c>
      <c r="H102" s="51">
        <v>1000</v>
      </c>
      <c r="I102" s="119">
        <v>200</v>
      </c>
      <c r="J102" s="48" t="s">
        <v>31</v>
      </c>
      <c r="K102" s="48" t="s">
        <v>32</v>
      </c>
      <c r="M102" s="126">
        <v>300</v>
      </c>
    </row>
    <row r="103" spans="1:18" ht="15.75" customHeight="1">
      <c r="A103" s="50">
        <v>7</v>
      </c>
      <c r="B103" s="151" t="s">
        <v>2713</v>
      </c>
      <c r="C103" s="48" t="s">
        <v>27</v>
      </c>
      <c r="D103" s="48" t="s">
        <v>301</v>
      </c>
      <c r="E103" s="48" t="s">
        <v>51</v>
      </c>
      <c r="F103" s="48"/>
      <c r="G103" s="48" t="s">
        <v>30</v>
      </c>
      <c r="H103" s="51">
        <v>500</v>
      </c>
      <c r="I103" s="119">
        <v>100</v>
      </c>
      <c r="J103" s="48" t="s">
        <v>31</v>
      </c>
      <c r="K103" s="48" t="s">
        <v>32</v>
      </c>
      <c r="M103" s="126">
        <v>200</v>
      </c>
    </row>
    <row r="104" spans="1:18" ht="15.75" customHeight="1">
      <c r="A104" s="431">
        <v>7</v>
      </c>
      <c r="B104" s="408" t="s">
        <v>2714</v>
      </c>
      <c r="C104" s="408" t="s">
        <v>27</v>
      </c>
      <c r="D104" s="408" t="s">
        <v>100</v>
      </c>
      <c r="E104" s="408" t="s">
        <v>86</v>
      </c>
      <c r="F104" s="408"/>
      <c r="G104" s="408" t="s">
        <v>30</v>
      </c>
      <c r="H104" s="432">
        <v>500</v>
      </c>
      <c r="I104" s="433">
        <v>100</v>
      </c>
      <c r="J104" s="408" t="s">
        <v>31</v>
      </c>
      <c r="K104" s="408" t="s">
        <v>32</v>
      </c>
      <c r="M104" s="126">
        <v>100</v>
      </c>
    </row>
    <row r="105" spans="1:18" ht="15.75" customHeight="1">
      <c r="A105" s="65">
        <v>7</v>
      </c>
      <c r="B105" s="58" t="s">
        <v>2715</v>
      </c>
      <c r="C105" s="58" t="s">
        <v>27</v>
      </c>
      <c r="D105" s="58" t="s">
        <v>232</v>
      </c>
      <c r="E105" s="58" t="s">
        <v>68</v>
      </c>
      <c r="F105" s="58"/>
      <c r="G105" s="58" t="s">
        <v>1300</v>
      </c>
      <c r="H105" s="59">
        <v>60</v>
      </c>
      <c r="I105" s="160">
        <v>300</v>
      </c>
      <c r="J105" s="58" t="s">
        <v>31</v>
      </c>
      <c r="K105" s="58" t="s">
        <v>32</v>
      </c>
      <c r="P105" s="753" t="s">
        <v>2716</v>
      </c>
      <c r="Q105" s="719"/>
    </row>
    <row r="106" spans="1:18" ht="15.75" customHeight="1">
      <c r="A106" s="61">
        <v>8</v>
      </c>
      <c r="B106" s="62" t="s">
        <v>71</v>
      </c>
      <c r="C106" s="62" t="s">
        <v>27</v>
      </c>
      <c r="D106" s="62" t="s">
        <v>72</v>
      </c>
      <c r="E106" s="62" t="s">
        <v>73</v>
      </c>
      <c r="F106" s="62"/>
      <c r="G106" s="62" t="s">
        <v>30</v>
      </c>
      <c r="H106" s="63">
        <v>10000</v>
      </c>
      <c r="I106" s="159">
        <v>2000</v>
      </c>
      <c r="J106" s="62" t="s">
        <v>31</v>
      </c>
      <c r="K106" s="62" t="s">
        <v>32</v>
      </c>
      <c r="M106" s="126">
        <v>2000</v>
      </c>
      <c r="P106" s="772" t="s">
        <v>2693</v>
      </c>
      <c r="Q106" s="719"/>
    </row>
    <row r="107" spans="1:18" ht="15.75" customHeight="1">
      <c r="A107" s="50">
        <v>8</v>
      </c>
      <c r="B107" s="151" t="s">
        <v>2717</v>
      </c>
      <c r="C107" s="48" t="s">
        <v>27</v>
      </c>
      <c r="D107" s="48" t="s">
        <v>1303</v>
      </c>
      <c r="E107" s="48" t="s">
        <v>44</v>
      </c>
      <c r="F107" s="48"/>
      <c r="G107" s="48" t="s">
        <v>30</v>
      </c>
      <c r="H107" s="51">
        <v>200</v>
      </c>
      <c r="I107" s="119">
        <v>40</v>
      </c>
      <c r="J107" s="48" t="s">
        <v>31</v>
      </c>
      <c r="K107" s="48" t="s">
        <v>32</v>
      </c>
      <c r="M107" s="126">
        <v>50</v>
      </c>
      <c r="P107" s="48" t="s">
        <v>33</v>
      </c>
      <c r="Q107" s="51">
        <v>29400</v>
      </c>
      <c r="R107" s="55">
        <f>SUM(H93:H104,H106,H107)</f>
        <v>29400</v>
      </c>
    </row>
    <row r="108" spans="1:18" ht="15.75" customHeight="1">
      <c r="A108" s="50">
        <v>8</v>
      </c>
      <c r="B108" s="151" t="s">
        <v>2717</v>
      </c>
      <c r="C108" s="48" t="s">
        <v>27</v>
      </c>
      <c r="D108" s="48" t="s">
        <v>1303</v>
      </c>
      <c r="E108" s="48" t="s">
        <v>44</v>
      </c>
      <c r="F108" s="48"/>
      <c r="G108" s="48" t="s">
        <v>1300</v>
      </c>
      <c r="H108" s="51">
        <v>50</v>
      </c>
      <c r="I108" s="119">
        <v>250</v>
      </c>
      <c r="J108" s="48" t="s">
        <v>31</v>
      </c>
      <c r="K108" s="48" t="s">
        <v>32</v>
      </c>
      <c r="P108" s="772" t="s">
        <v>2700</v>
      </c>
      <c r="Q108" s="719"/>
    </row>
    <row r="109" spans="1:18" ht="15.75" customHeight="1">
      <c r="A109" s="65">
        <v>8</v>
      </c>
      <c r="B109" s="175" t="s">
        <v>2718</v>
      </c>
      <c r="C109" s="58" t="s">
        <v>27</v>
      </c>
      <c r="D109" s="58" t="s">
        <v>193</v>
      </c>
      <c r="E109" s="58" t="s">
        <v>36</v>
      </c>
      <c r="F109" s="58"/>
      <c r="G109" s="58" t="s">
        <v>1300</v>
      </c>
      <c r="H109" s="59">
        <v>50</v>
      </c>
      <c r="I109" s="160">
        <v>250</v>
      </c>
      <c r="J109" s="58" t="s">
        <v>31</v>
      </c>
      <c r="K109" s="58" t="s">
        <v>32</v>
      </c>
      <c r="P109" s="48" t="s">
        <v>580</v>
      </c>
      <c r="Q109" s="48">
        <v>160</v>
      </c>
      <c r="R109" s="55">
        <f>H105+H108+H109</f>
        <v>160</v>
      </c>
    </row>
    <row r="110" spans="1:18" ht="15.75" customHeight="1">
      <c r="A110" s="61">
        <v>11</v>
      </c>
      <c r="B110" s="62" t="s">
        <v>2719</v>
      </c>
      <c r="C110" s="62" t="s">
        <v>27</v>
      </c>
      <c r="D110" s="62" t="s">
        <v>326</v>
      </c>
      <c r="E110" s="62" t="s">
        <v>29</v>
      </c>
      <c r="F110" s="62"/>
      <c r="G110" s="62" t="s">
        <v>30</v>
      </c>
      <c r="H110" s="63">
        <v>5000</v>
      </c>
      <c r="I110" s="159">
        <v>1000</v>
      </c>
      <c r="J110" s="62" t="s">
        <v>31</v>
      </c>
      <c r="K110" s="62" t="s">
        <v>32</v>
      </c>
      <c r="M110" s="126">
        <v>1300</v>
      </c>
    </row>
    <row r="111" spans="1:18" ht="15.75" customHeight="1">
      <c r="A111" s="50">
        <v>11</v>
      </c>
      <c r="B111" s="151" t="s">
        <v>2720</v>
      </c>
      <c r="C111" s="48" t="s">
        <v>27</v>
      </c>
      <c r="D111" s="48" t="s">
        <v>2721</v>
      </c>
      <c r="E111" s="48" t="s">
        <v>191</v>
      </c>
      <c r="F111" s="48"/>
      <c r="G111" s="48" t="s">
        <v>30</v>
      </c>
      <c r="H111" s="51">
        <v>100</v>
      </c>
      <c r="I111" s="119">
        <v>40</v>
      </c>
      <c r="J111" s="48" t="s">
        <v>31</v>
      </c>
      <c r="K111" s="48" t="s">
        <v>32</v>
      </c>
      <c r="M111" s="126">
        <v>20</v>
      </c>
    </row>
    <row r="112" spans="1:18" ht="15.75" customHeight="1">
      <c r="A112" s="50">
        <v>11</v>
      </c>
      <c r="B112" s="151" t="s">
        <v>2722</v>
      </c>
      <c r="C112" s="48" t="s">
        <v>27</v>
      </c>
      <c r="D112" s="48" t="s">
        <v>88</v>
      </c>
      <c r="E112" s="48" t="s">
        <v>84</v>
      </c>
      <c r="F112" s="48"/>
      <c r="G112" s="48" t="s">
        <v>30</v>
      </c>
      <c r="H112" s="51">
        <v>300</v>
      </c>
      <c r="I112" s="119">
        <v>120</v>
      </c>
      <c r="J112" s="48" t="s">
        <v>31</v>
      </c>
      <c r="K112" s="48" t="s">
        <v>32</v>
      </c>
      <c r="M112" s="126">
        <v>80</v>
      </c>
    </row>
    <row r="113" spans="1:26" ht="15.75" customHeight="1">
      <c r="A113" s="50">
        <v>11</v>
      </c>
      <c r="B113" s="151" t="s">
        <v>2723</v>
      </c>
      <c r="C113" s="48" t="s">
        <v>27</v>
      </c>
      <c r="D113" s="48" t="s">
        <v>1431</v>
      </c>
      <c r="E113" s="48" t="s">
        <v>44</v>
      </c>
      <c r="F113" s="48"/>
      <c r="G113" s="48" t="s">
        <v>30</v>
      </c>
      <c r="H113" s="51">
        <v>500</v>
      </c>
      <c r="I113" s="119">
        <v>100</v>
      </c>
      <c r="J113" s="48" t="s">
        <v>31</v>
      </c>
      <c r="K113" s="48" t="s">
        <v>32</v>
      </c>
      <c r="M113" s="126">
        <v>20</v>
      </c>
    </row>
    <row r="114" spans="1:26" ht="15.75" customHeight="1">
      <c r="A114" s="50">
        <v>11</v>
      </c>
      <c r="B114" s="151" t="s">
        <v>2724</v>
      </c>
      <c r="C114" s="48" t="s">
        <v>27</v>
      </c>
      <c r="D114" s="48" t="s">
        <v>1431</v>
      </c>
      <c r="E114" s="48" t="s">
        <v>44</v>
      </c>
      <c r="F114" s="48"/>
      <c r="G114" s="48" t="s">
        <v>30</v>
      </c>
      <c r="H114" s="51">
        <v>500</v>
      </c>
      <c r="I114" s="119">
        <v>100</v>
      </c>
      <c r="J114" s="48" t="s">
        <v>31</v>
      </c>
      <c r="K114" s="48" t="s">
        <v>32</v>
      </c>
      <c r="M114" s="126">
        <v>20</v>
      </c>
    </row>
    <row r="115" spans="1:26" ht="15.75" customHeight="1">
      <c r="A115" s="50">
        <v>11</v>
      </c>
      <c r="B115" s="151" t="s">
        <v>2725</v>
      </c>
      <c r="C115" s="48" t="s">
        <v>27</v>
      </c>
      <c r="D115" s="48" t="s">
        <v>371</v>
      </c>
      <c r="E115" s="48" t="s">
        <v>245</v>
      </c>
      <c r="F115" s="48"/>
      <c r="G115" s="48" t="s">
        <v>30</v>
      </c>
      <c r="H115" s="51">
        <v>1000</v>
      </c>
      <c r="I115" s="119">
        <v>200</v>
      </c>
      <c r="J115" s="48" t="s">
        <v>31</v>
      </c>
      <c r="K115" s="48" t="s">
        <v>32</v>
      </c>
      <c r="M115" s="126">
        <v>300</v>
      </c>
    </row>
    <row r="116" spans="1:26" ht="15.75" customHeight="1">
      <c r="A116" s="50">
        <v>11</v>
      </c>
      <c r="B116" s="151" t="s">
        <v>2726</v>
      </c>
      <c r="C116" s="48" t="s">
        <v>39</v>
      </c>
      <c r="D116" s="48" t="s">
        <v>108</v>
      </c>
      <c r="E116" s="48" t="s">
        <v>36</v>
      </c>
      <c r="F116" s="48"/>
      <c r="G116" s="48" t="s">
        <v>30</v>
      </c>
      <c r="H116" s="51">
        <v>500</v>
      </c>
      <c r="I116" s="119" t="s">
        <v>1586</v>
      </c>
      <c r="J116" s="48" t="s">
        <v>31</v>
      </c>
      <c r="K116" s="48" t="s">
        <v>32</v>
      </c>
      <c r="M116" s="126">
        <v>800</v>
      </c>
    </row>
    <row r="117" spans="1:26" ht="15.75" customHeight="1">
      <c r="A117" s="50">
        <v>11</v>
      </c>
      <c r="B117" s="151" t="s">
        <v>2726</v>
      </c>
      <c r="C117" s="48" t="s">
        <v>39</v>
      </c>
      <c r="D117" s="48" t="s">
        <v>108</v>
      </c>
      <c r="E117" s="48" t="s">
        <v>36</v>
      </c>
      <c r="F117" s="48"/>
      <c r="G117" s="48" t="s">
        <v>30</v>
      </c>
      <c r="H117" s="51">
        <v>3500</v>
      </c>
      <c r="I117" s="119">
        <v>700</v>
      </c>
      <c r="J117" s="48" t="s">
        <v>31</v>
      </c>
      <c r="K117" s="48" t="s">
        <v>32</v>
      </c>
    </row>
    <row r="118" spans="1:26" ht="15.75" customHeight="1">
      <c r="A118" s="50">
        <v>11</v>
      </c>
      <c r="B118" s="151" t="s">
        <v>2727</v>
      </c>
      <c r="C118" s="48" t="s">
        <v>27</v>
      </c>
      <c r="D118" s="48" t="s">
        <v>232</v>
      </c>
      <c r="E118" s="48" t="s">
        <v>68</v>
      </c>
      <c r="F118" s="48"/>
      <c r="G118" s="48" t="s">
        <v>30</v>
      </c>
      <c r="H118" s="51">
        <v>9000</v>
      </c>
      <c r="I118" s="119">
        <v>1800</v>
      </c>
      <c r="J118" s="48" t="s">
        <v>31</v>
      </c>
      <c r="K118" s="48" t="s">
        <v>32</v>
      </c>
      <c r="M118" s="126">
        <v>2000</v>
      </c>
    </row>
    <row r="119" spans="1:26" ht="15.75" customHeight="1">
      <c r="A119" s="50">
        <v>11</v>
      </c>
      <c r="B119" s="151" t="s">
        <v>2728</v>
      </c>
      <c r="C119" s="48" t="s">
        <v>39</v>
      </c>
      <c r="D119" s="48" t="s">
        <v>319</v>
      </c>
      <c r="E119" s="48" t="s">
        <v>36</v>
      </c>
      <c r="F119" s="48"/>
      <c r="G119" s="48" t="s">
        <v>30</v>
      </c>
      <c r="H119" s="51">
        <v>500</v>
      </c>
      <c r="I119" s="119" t="s">
        <v>1586</v>
      </c>
      <c r="J119" s="48" t="s">
        <v>31</v>
      </c>
      <c r="K119" s="48" t="s">
        <v>32</v>
      </c>
      <c r="M119" s="126">
        <v>100</v>
      </c>
    </row>
    <row r="120" spans="1:26" ht="15.75" customHeight="1">
      <c r="A120" s="50">
        <v>11</v>
      </c>
      <c r="B120" s="151" t="s">
        <v>2729</v>
      </c>
      <c r="C120" s="48" t="s">
        <v>27</v>
      </c>
      <c r="D120" s="48" t="s">
        <v>786</v>
      </c>
      <c r="E120" s="48" t="s">
        <v>191</v>
      </c>
      <c r="F120" s="48"/>
      <c r="G120" s="48" t="s">
        <v>30</v>
      </c>
      <c r="H120" s="51">
        <v>500</v>
      </c>
      <c r="I120" s="119">
        <v>100</v>
      </c>
      <c r="J120" s="48" t="s">
        <v>31</v>
      </c>
      <c r="K120" s="48" t="s">
        <v>32</v>
      </c>
      <c r="M120" s="126">
        <v>100</v>
      </c>
    </row>
    <row r="121" spans="1:26" ht="15.75" customHeight="1">
      <c r="A121" s="50">
        <v>11</v>
      </c>
      <c r="B121" s="151" t="s">
        <v>2730</v>
      </c>
      <c r="C121" s="48" t="s">
        <v>27</v>
      </c>
      <c r="D121" s="48" t="s">
        <v>591</v>
      </c>
      <c r="E121" s="48" t="s">
        <v>54</v>
      </c>
      <c r="F121" s="48"/>
      <c r="G121" s="48" t="s">
        <v>30</v>
      </c>
      <c r="H121" s="51">
        <v>500</v>
      </c>
      <c r="I121" s="119">
        <v>100</v>
      </c>
      <c r="J121" s="48" t="s">
        <v>31</v>
      </c>
      <c r="K121" s="48" t="s">
        <v>32</v>
      </c>
      <c r="M121" s="126">
        <v>100</v>
      </c>
    </row>
    <row r="122" spans="1:26" ht="15.75" customHeight="1">
      <c r="A122" s="50">
        <v>11</v>
      </c>
      <c r="B122" s="151" t="s">
        <v>2731</v>
      </c>
      <c r="C122" s="48" t="s">
        <v>27</v>
      </c>
      <c r="D122" s="48" t="s">
        <v>1774</v>
      </c>
      <c r="E122" s="48" t="s">
        <v>102</v>
      </c>
      <c r="F122" s="48"/>
      <c r="G122" s="48" t="s">
        <v>30</v>
      </c>
      <c r="H122" s="51">
        <v>300</v>
      </c>
      <c r="I122" s="119">
        <v>60</v>
      </c>
      <c r="J122" s="48" t="s">
        <v>31</v>
      </c>
      <c r="K122" s="48" t="s">
        <v>32</v>
      </c>
      <c r="M122" s="126">
        <v>60</v>
      </c>
    </row>
    <row r="123" spans="1:26" ht="15.75" customHeight="1">
      <c r="A123" s="50">
        <v>11</v>
      </c>
      <c r="B123" s="151" t="s">
        <v>2732</v>
      </c>
      <c r="C123" s="48" t="s">
        <v>27</v>
      </c>
      <c r="D123" s="48" t="s">
        <v>59</v>
      </c>
      <c r="E123" s="48" t="s">
        <v>84</v>
      </c>
      <c r="F123" s="48"/>
      <c r="G123" s="48" t="s">
        <v>30</v>
      </c>
      <c r="H123" s="51">
        <v>300</v>
      </c>
      <c r="I123" s="119">
        <v>60</v>
      </c>
      <c r="J123" s="48" t="s">
        <v>31</v>
      </c>
      <c r="K123" s="48" t="s">
        <v>32</v>
      </c>
      <c r="L123" s="370"/>
      <c r="M123" s="370">
        <v>30</v>
      </c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5.75" customHeight="1">
      <c r="A124" s="50">
        <v>11</v>
      </c>
      <c r="B124" s="151" t="s">
        <v>2733</v>
      </c>
      <c r="C124" s="48" t="s">
        <v>27</v>
      </c>
      <c r="D124" s="48" t="s">
        <v>205</v>
      </c>
      <c r="E124" s="48" t="s">
        <v>191</v>
      </c>
      <c r="F124" s="48"/>
      <c r="G124" s="48" t="s">
        <v>30</v>
      </c>
      <c r="H124" s="51">
        <v>7500</v>
      </c>
      <c r="I124" s="119">
        <v>1500</v>
      </c>
      <c r="J124" s="48" t="s">
        <v>31</v>
      </c>
      <c r="K124" s="48" t="s">
        <v>32</v>
      </c>
      <c r="M124" s="126">
        <v>1000</v>
      </c>
    </row>
    <row r="125" spans="1:26" ht="15.75" customHeight="1">
      <c r="A125" s="50">
        <v>11</v>
      </c>
      <c r="B125" s="151" t="s">
        <v>2734</v>
      </c>
      <c r="C125" s="48" t="s">
        <v>27</v>
      </c>
      <c r="D125" s="48" t="s">
        <v>110</v>
      </c>
      <c r="E125" s="48" t="s">
        <v>36</v>
      </c>
      <c r="F125" s="48"/>
      <c r="G125" s="48" t="s">
        <v>30</v>
      </c>
      <c r="H125" s="51">
        <v>500</v>
      </c>
      <c r="I125" s="49">
        <v>100</v>
      </c>
      <c r="J125" s="48" t="s">
        <v>31</v>
      </c>
      <c r="K125" s="48" t="s">
        <v>32</v>
      </c>
      <c r="M125" s="126">
        <v>400</v>
      </c>
    </row>
    <row r="126" spans="1:26" ht="15.75" customHeight="1">
      <c r="A126" s="50">
        <v>11</v>
      </c>
      <c r="B126" s="151" t="s">
        <v>2735</v>
      </c>
      <c r="C126" s="48" t="s">
        <v>27</v>
      </c>
      <c r="D126" s="48" t="s">
        <v>108</v>
      </c>
      <c r="E126" s="48" t="s">
        <v>36</v>
      </c>
      <c r="F126" s="48"/>
      <c r="G126" s="48" t="s">
        <v>30</v>
      </c>
      <c r="H126" s="51">
        <v>200</v>
      </c>
      <c r="I126" s="49">
        <v>40</v>
      </c>
      <c r="J126" s="48" t="s">
        <v>31</v>
      </c>
      <c r="K126" s="48" t="s">
        <v>32</v>
      </c>
      <c r="M126" s="126">
        <v>400</v>
      </c>
    </row>
    <row r="127" spans="1:26" ht="15.75" customHeight="1">
      <c r="A127" s="50">
        <v>11</v>
      </c>
      <c r="B127" s="151" t="s">
        <v>2736</v>
      </c>
      <c r="C127" s="48" t="s">
        <v>27</v>
      </c>
      <c r="D127" s="48" t="s">
        <v>2737</v>
      </c>
      <c r="E127" s="48" t="s">
        <v>84</v>
      </c>
      <c r="F127" s="48"/>
      <c r="G127" s="48" t="s">
        <v>30</v>
      </c>
      <c r="H127" s="51">
        <v>500</v>
      </c>
      <c r="I127" s="49">
        <v>100</v>
      </c>
      <c r="J127" s="48" t="s">
        <v>31</v>
      </c>
      <c r="K127" s="48" t="s">
        <v>32</v>
      </c>
      <c r="M127" s="126">
        <v>100</v>
      </c>
    </row>
    <row r="128" spans="1:26" ht="15.75" customHeight="1">
      <c r="A128" s="50">
        <v>11</v>
      </c>
      <c r="B128" s="151" t="s">
        <v>2738</v>
      </c>
      <c r="C128" s="48" t="s">
        <v>27</v>
      </c>
      <c r="D128" s="48" t="s">
        <v>70</v>
      </c>
      <c r="E128" s="48" t="s">
        <v>36</v>
      </c>
      <c r="F128" s="48"/>
      <c r="G128" s="48" t="s">
        <v>30</v>
      </c>
      <c r="H128" s="51">
        <v>500</v>
      </c>
      <c r="I128" s="49">
        <v>100</v>
      </c>
      <c r="J128" s="48" t="s">
        <v>31</v>
      </c>
      <c r="K128" s="48" t="s">
        <v>32</v>
      </c>
      <c r="M128" s="126">
        <v>2500</v>
      </c>
    </row>
    <row r="129" spans="1:13" ht="15.75" customHeight="1">
      <c r="A129" s="50">
        <v>11</v>
      </c>
      <c r="B129" s="151" t="s">
        <v>2739</v>
      </c>
      <c r="C129" s="48" t="s">
        <v>27</v>
      </c>
      <c r="D129" s="48" t="s">
        <v>1040</v>
      </c>
      <c r="E129" s="48" t="s">
        <v>245</v>
      </c>
      <c r="F129" s="48"/>
      <c r="G129" s="48" t="s">
        <v>30</v>
      </c>
      <c r="H129" s="51">
        <v>500</v>
      </c>
      <c r="I129" s="49">
        <v>100</v>
      </c>
      <c r="J129" s="48" t="s">
        <v>31</v>
      </c>
      <c r="K129" s="48" t="s">
        <v>32</v>
      </c>
      <c r="M129" s="126">
        <v>100</v>
      </c>
    </row>
    <row r="130" spans="1:13" ht="15.75" customHeight="1">
      <c r="A130" s="50">
        <v>11</v>
      </c>
      <c r="B130" s="151" t="s">
        <v>2740</v>
      </c>
      <c r="C130" s="48" t="s">
        <v>27</v>
      </c>
      <c r="D130" s="48" t="s">
        <v>191</v>
      </c>
      <c r="E130" s="48" t="s">
        <v>36</v>
      </c>
      <c r="F130" s="48"/>
      <c r="G130" s="48" t="s">
        <v>30</v>
      </c>
      <c r="H130" s="51">
        <v>500</v>
      </c>
      <c r="I130" s="49">
        <v>100</v>
      </c>
      <c r="J130" s="48" t="s">
        <v>31</v>
      </c>
      <c r="K130" s="48" t="s">
        <v>32</v>
      </c>
      <c r="M130" s="126">
        <v>800</v>
      </c>
    </row>
    <row r="131" spans="1:13" ht="15.75" customHeight="1">
      <c r="A131" s="50">
        <v>11</v>
      </c>
      <c r="B131" s="151" t="s">
        <v>2741</v>
      </c>
      <c r="C131" s="48" t="s">
        <v>27</v>
      </c>
      <c r="D131" s="48" t="s">
        <v>144</v>
      </c>
      <c r="E131" s="48" t="s">
        <v>145</v>
      </c>
      <c r="F131" s="48"/>
      <c r="G131" s="48" t="s">
        <v>30</v>
      </c>
      <c r="H131" s="51">
        <v>500</v>
      </c>
      <c r="I131" s="49">
        <v>100</v>
      </c>
      <c r="J131" s="48" t="s">
        <v>31</v>
      </c>
      <c r="K131" s="48" t="s">
        <v>32</v>
      </c>
      <c r="M131" s="126">
        <v>500</v>
      </c>
    </row>
    <row r="132" spans="1:13" ht="15.75" customHeight="1">
      <c r="A132" s="65">
        <v>11</v>
      </c>
      <c r="B132" s="175" t="s">
        <v>2742</v>
      </c>
      <c r="C132" s="58" t="s">
        <v>39</v>
      </c>
      <c r="D132" s="58" t="s">
        <v>2737</v>
      </c>
      <c r="E132" s="58" t="s">
        <v>36</v>
      </c>
      <c r="F132" s="58"/>
      <c r="G132" s="58" t="s">
        <v>30</v>
      </c>
      <c r="H132" s="59">
        <v>200</v>
      </c>
      <c r="I132" s="60">
        <v>60</v>
      </c>
      <c r="J132" s="58" t="s">
        <v>31</v>
      </c>
      <c r="K132" s="58" t="s">
        <v>32</v>
      </c>
      <c r="M132" s="126">
        <v>60</v>
      </c>
    </row>
    <row r="133" spans="1:13" ht="15.75" customHeight="1">
      <c r="A133" s="61">
        <v>12</v>
      </c>
      <c r="B133" s="292" t="s">
        <v>2743</v>
      </c>
      <c r="C133" s="62" t="s">
        <v>27</v>
      </c>
      <c r="D133" s="62" t="s">
        <v>191</v>
      </c>
      <c r="E133" s="62" t="s">
        <v>36</v>
      </c>
      <c r="F133" s="62"/>
      <c r="G133" s="62" t="s">
        <v>30</v>
      </c>
      <c r="H133" s="63">
        <v>500</v>
      </c>
      <c r="I133" s="64">
        <v>100</v>
      </c>
      <c r="J133" s="62" t="s">
        <v>31</v>
      </c>
      <c r="K133" s="62" t="s">
        <v>32</v>
      </c>
      <c r="M133" s="126">
        <v>400</v>
      </c>
    </row>
    <row r="134" spans="1:13" ht="15.75" customHeight="1">
      <c r="A134" s="50">
        <v>12</v>
      </c>
      <c r="B134" s="151" t="s">
        <v>2744</v>
      </c>
      <c r="C134" s="48" t="s">
        <v>39</v>
      </c>
      <c r="D134" s="48" t="s">
        <v>407</v>
      </c>
      <c r="E134" s="48" t="s">
        <v>44</v>
      </c>
      <c r="F134" s="48"/>
      <c r="G134" s="48" t="s">
        <v>30</v>
      </c>
      <c r="H134" s="51">
        <v>6000</v>
      </c>
      <c r="I134" s="49">
        <v>1200</v>
      </c>
      <c r="J134" s="48" t="s">
        <v>31</v>
      </c>
      <c r="K134" s="48" t="s">
        <v>32</v>
      </c>
      <c r="M134" s="126">
        <v>1000</v>
      </c>
    </row>
    <row r="135" spans="1:13" ht="15.75" customHeight="1">
      <c r="A135" s="50">
        <v>12</v>
      </c>
      <c r="B135" s="151" t="s">
        <v>2745</v>
      </c>
      <c r="C135" s="48" t="s">
        <v>27</v>
      </c>
      <c r="D135" s="48" t="s">
        <v>2746</v>
      </c>
      <c r="E135" s="48" t="s">
        <v>44</v>
      </c>
      <c r="F135" s="48"/>
      <c r="G135" s="48" t="s">
        <v>1300</v>
      </c>
      <c r="H135" s="51">
        <v>50</v>
      </c>
      <c r="I135" s="49">
        <v>250</v>
      </c>
      <c r="J135" s="48" t="s">
        <v>31</v>
      </c>
      <c r="K135" s="48" t="s">
        <v>32</v>
      </c>
    </row>
    <row r="136" spans="1:13" ht="15.75" customHeight="1">
      <c r="A136" s="50">
        <v>12</v>
      </c>
      <c r="B136" s="151" t="s">
        <v>2747</v>
      </c>
      <c r="C136" s="48" t="s">
        <v>27</v>
      </c>
      <c r="D136" s="48" t="s">
        <v>88</v>
      </c>
      <c r="E136" s="48" t="s">
        <v>84</v>
      </c>
      <c r="F136" s="48"/>
      <c r="G136" s="48" t="s">
        <v>30</v>
      </c>
      <c r="H136" s="51">
        <v>800</v>
      </c>
      <c r="I136" s="49">
        <v>240</v>
      </c>
      <c r="J136" s="48" t="s">
        <v>31</v>
      </c>
      <c r="K136" s="48" t="s">
        <v>32</v>
      </c>
      <c r="M136" s="126">
        <v>250</v>
      </c>
    </row>
    <row r="137" spans="1:13" ht="15.75" customHeight="1">
      <c r="A137" s="50">
        <v>12</v>
      </c>
      <c r="B137" s="151" t="s">
        <v>2748</v>
      </c>
      <c r="C137" s="48" t="s">
        <v>27</v>
      </c>
      <c r="D137" s="48" t="s">
        <v>1120</v>
      </c>
      <c r="E137" s="48" t="s">
        <v>84</v>
      </c>
      <c r="F137" s="48"/>
      <c r="G137" s="48" t="s">
        <v>1300</v>
      </c>
      <c r="H137" s="51">
        <v>20</v>
      </c>
      <c r="I137" s="49">
        <v>100</v>
      </c>
      <c r="J137" s="48" t="s">
        <v>31</v>
      </c>
      <c r="K137" s="48" t="s">
        <v>32</v>
      </c>
    </row>
    <row r="138" spans="1:13" ht="15.75" customHeight="1">
      <c r="A138" s="50">
        <v>12</v>
      </c>
      <c r="B138" s="151" t="s">
        <v>1903</v>
      </c>
      <c r="C138" s="48" t="s">
        <v>27</v>
      </c>
      <c r="D138" s="48" t="s">
        <v>2333</v>
      </c>
      <c r="E138" s="48" t="s">
        <v>68</v>
      </c>
      <c r="F138" s="48"/>
      <c r="G138" s="48" t="s">
        <v>589</v>
      </c>
      <c r="H138" s="51">
        <v>33</v>
      </c>
      <c r="I138" s="49">
        <v>99</v>
      </c>
      <c r="J138" s="48" t="s">
        <v>31</v>
      </c>
      <c r="K138" s="48" t="s">
        <v>32</v>
      </c>
    </row>
    <row r="139" spans="1:13" ht="15.75" customHeight="1">
      <c r="A139" s="50">
        <v>12</v>
      </c>
      <c r="B139" s="151" t="s">
        <v>2298</v>
      </c>
      <c r="C139" s="48" t="s">
        <v>39</v>
      </c>
      <c r="D139" s="48" t="s">
        <v>387</v>
      </c>
      <c r="E139" s="48" t="s">
        <v>41</v>
      </c>
      <c r="F139" s="48"/>
      <c r="G139" s="48" t="s">
        <v>30</v>
      </c>
      <c r="H139" s="51">
        <v>500</v>
      </c>
      <c r="I139" s="49">
        <v>100</v>
      </c>
      <c r="J139" s="48" t="s">
        <v>31</v>
      </c>
      <c r="K139" s="48" t="s">
        <v>32</v>
      </c>
      <c r="M139" s="126">
        <v>100</v>
      </c>
    </row>
    <row r="140" spans="1:13" ht="15.75" customHeight="1">
      <c r="A140" s="50">
        <v>12</v>
      </c>
      <c r="B140" s="48" t="s">
        <v>2749</v>
      </c>
      <c r="C140" s="48" t="s">
        <v>27</v>
      </c>
      <c r="D140" s="48" t="s">
        <v>1465</v>
      </c>
      <c r="E140" s="48" t="s">
        <v>44</v>
      </c>
      <c r="F140" s="48"/>
      <c r="G140" s="48" t="s">
        <v>1300</v>
      </c>
      <c r="H140" s="51">
        <v>55</v>
      </c>
      <c r="I140" s="49">
        <v>275</v>
      </c>
      <c r="J140" s="48" t="s">
        <v>31</v>
      </c>
      <c r="K140" s="48" t="s">
        <v>32</v>
      </c>
    </row>
    <row r="141" spans="1:13" ht="15.75" customHeight="1">
      <c r="A141" s="50">
        <v>12</v>
      </c>
      <c r="B141" s="48" t="s">
        <v>2750</v>
      </c>
      <c r="C141" s="48" t="s">
        <v>27</v>
      </c>
      <c r="D141" s="48" t="s">
        <v>434</v>
      </c>
      <c r="E141" s="48" t="s">
        <v>36</v>
      </c>
      <c r="F141" s="48"/>
      <c r="G141" s="48" t="s">
        <v>30</v>
      </c>
      <c r="H141" s="51">
        <v>400</v>
      </c>
      <c r="I141" s="49">
        <v>80</v>
      </c>
      <c r="J141" s="48" t="s">
        <v>31</v>
      </c>
      <c r="K141" s="48" t="s">
        <v>32</v>
      </c>
      <c r="M141" s="126">
        <v>80</v>
      </c>
    </row>
    <row r="142" spans="1:13" ht="15.75" customHeight="1">
      <c r="A142" s="50">
        <v>12</v>
      </c>
      <c r="B142" s="151" t="s">
        <v>2751</v>
      </c>
      <c r="C142" s="48" t="s">
        <v>39</v>
      </c>
      <c r="D142" s="48" t="s">
        <v>2248</v>
      </c>
      <c r="E142" s="48" t="s">
        <v>44</v>
      </c>
      <c r="F142" s="48"/>
      <c r="G142" s="48" t="s">
        <v>30</v>
      </c>
      <c r="H142" s="51">
        <v>500</v>
      </c>
      <c r="I142" s="49">
        <v>100</v>
      </c>
      <c r="J142" s="48" t="s">
        <v>31</v>
      </c>
      <c r="K142" s="48" t="s">
        <v>32</v>
      </c>
      <c r="M142" s="126">
        <v>100</v>
      </c>
    </row>
    <row r="143" spans="1:13" ht="15.75" customHeight="1">
      <c r="A143" s="50">
        <v>12</v>
      </c>
      <c r="B143" s="151" t="s">
        <v>2752</v>
      </c>
      <c r="C143" s="48" t="s">
        <v>27</v>
      </c>
      <c r="D143" s="48" t="s">
        <v>1303</v>
      </c>
      <c r="E143" s="48" t="s">
        <v>44</v>
      </c>
      <c r="F143" s="48"/>
      <c r="G143" s="48" t="s">
        <v>1300</v>
      </c>
      <c r="H143" s="51">
        <v>10</v>
      </c>
      <c r="I143" s="49">
        <v>50</v>
      </c>
      <c r="J143" s="48" t="s">
        <v>31</v>
      </c>
      <c r="K143" s="48" t="s">
        <v>32</v>
      </c>
    </row>
    <row r="144" spans="1:13" ht="15.75" customHeight="1">
      <c r="A144" s="50">
        <v>12</v>
      </c>
      <c r="B144" s="151" t="s">
        <v>2753</v>
      </c>
      <c r="C144" s="48" t="s">
        <v>27</v>
      </c>
      <c r="D144" s="48" t="s">
        <v>1465</v>
      </c>
      <c r="E144" s="48" t="s">
        <v>44</v>
      </c>
      <c r="F144" s="48"/>
      <c r="G144" s="48" t="s">
        <v>30</v>
      </c>
      <c r="H144" s="51">
        <v>500</v>
      </c>
      <c r="I144" s="49">
        <v>150</v>
      </c>
      <c r="J144" s="48" t="s">
        <v>31</v>
      </c>
      <c r="K144" s="48" t="s">
        <v>32</v>
      </c>
      <c r="M144" s="126">
        <v>150</v>
      </c>
    </row>
    <row r="145" spans="1:18" ht="15.75" customHeight="1">
      <c r="A145" s="65">
        <v>12</v>
      </c>
      <c r="B145" s="175" t="s">
        <v>2754</v>
      </c>
      <c r="C145" s="58" t="s">
        <v>27</v>
      </c>
      <c r="D145" s="58" t="s">
        <v>1616</v>
      </c>
      <c r="E145" s="58" t="s">
        <v>47</v>
      </c>
      <c r="F145" s="58"/>
      <c r="G145" s="58" t="s">
        <v>30</v>
      </c>
      <c r="H145" s="59">
        <v>3000</v>
      </c>
      <c r="I145" s="60">
        <v>600</v>
      </c>
      <c r="J145" s="58" t="s">
        <v>31</v>
      </c>
      <c r="K145" s="58" t="s">
        <v>32</v>
      </c>
      <c r="M145" s="126">
        <v>1120</v>
      </c>
    </row>
    <row r="146" spans="1:18" ht="15.75" customHeight="1">
      <c r="A146" s="434">
        <v>13</v>
      </c>
      <c r="B146" s="294" t="s">
        <v>2755</v>
      </c>
      <c r="C146" s="294" t="s">
        <v>27</v>
      </c>
      <c r="D146" s="294" t="s">
        <v>156</v>
      </c>
      <c r="E146" s="294" t="s">
        <v>102</v>
      </c>
      <c r="F146" s="294"/>
      <c r="G146" s="294" t="s">
        <v>30</v>
      </c>
      <c r="H146" s="435">
        <v>500</v>
      </c>
      <c r="I146" s="436">
        <v>100</v>
      </c>
      <c r="J146" s="294" t="s">
        <v>31</v>
      </c>
      <c r="K146" s="294" t="s">
        <v>32</v>
      </c>
      <c r="M146" s="126">
        <v>120</v>
      </c>
    </row>
    <row r="147" spans="1:18" ht="15.75" customHeight="1">
      <c r="A147" s="50">
        <v>13</v>
      </c>
      <c r="B147" s="151" t="s">
        <v>1587</v>
      </c>
      <c r="C147" s="48" t="s">
        <v>27</v>
      </c>
      <c r="D147" s="48" t="s">
        <v>1396</v>
      </c>
      <c r="E147" s="48" t="s">
        <v>245</v>
      </c>
      <c r="F147" s="48"/>
      <c r="G147" s="48" t="s">
        <v>30</v>
      </c>
      <c r="H147" s="51">
        <v>1000</v>
      </c>
      <c r="I147" s="49">
        <v>200</v>
      </c>
      <c r="J147" s="48" t="s">
        <v>31</v>
      </c>
      <c r="K147" s="48" t="s">
        <v>32</v>
      </c>
      <c r="M147" s="126">
        <v>200</v>
      </c>
    </row>
    <row r="148" spans="1:18" ht="15.75" customHeight="1">
      <c r="A148" s="50">
        <v>13</v>
      </c>
      <c r="B148" s="151" t="s">
        <v>2756</v>
      </c>
      <c r="C148" s="48" t="s">
        <v>27</v>
      </c>
      <c r="D148" s="48" t="s">
        <v>2757</v>
      </c>
      <c r="E148" s="48" t="s">
        <v>86</v>
      </c>
      <c r="F148" s="48"/>
      <c r="G148" s="48" t="s">
        <v>30</v>
      </c>
      <c r="H148" s="51">
        <v>1500</v>
      </c>
      <c r="I148" s="49">
        <v>300</v>
      </c>
      <c r="J148" s="48" t="s">
        <v>31</v>
      </c>
      <c r="K148" s="48" t="s">
        <v>32</v>
      </c>
      <c r="M148" s="126">
        <v>540</v>
      </c>
      <c r="P148" s="761" t="s">
        <v>2758</v>
      </c>
      <c r="Q148" s="719"/>
    </row>
    <row r="149" spans="1:18" ht="15.75" customHeight="1">
      <c r="A149" s="50">
        <v>13</v>
      </c>
      <c r="B149" s="151" t="s">
        <v>2759</v>
      </c>
      <c r="C149" s="48" t="s">
        <v>27</v>
      </c>
      <c r="D149" s="48" t="s">
        <v>2248</v>
      </c>
      <c r="E149" s="48" t="s">
        <v>44</v>
      </c>
      <c r="F149" s="48"/>
      <c r="G149" s="48" t="s">
        <v>30</v>
      </c>
      <c r="H149" s="51">
        <v>300</v>
      </c>
      <c r="I149" s="49">
        <v>60</v>
      </c>
      <c r="J149" s="48" t="s">
        <v>31</v>
      </c>
      <c r="K149" s="48" t="s">
        <v>32</v>
      </c>
      <c r="M149" s="126">
        <v>60</v>
      </c>
      <c r="P149" s="723" t="s">
        <v>2693</v>
      </c>
      <c r="Q149" s="719"/>
    </row>
    <row r="150" spans="1:18" ht="15.75" customHeight="1">
      <c r="A150" s="50">
        <v>13</v>
      </c>
      <c r="B150" s="151" t="s">
        <v>2760</v>
      </c>
      <c r="C150" s="48" t="s">
        <v>27</v>
      </c>
      <c r="D150" s="48" t="s">
        <v>2761</v>
      </c>
      <c r="E150" s="48" t="s">
        <v>86</v>
      </c>
      <c r="F150" s="48"/>
      <c r="G150" s="48" t="s">
        <v>30</v>
      </c>
      <c r="H150" s="51">
        <v>500</v>
      </c>
      <c r="I150" s="49">
        <v>100</v>
      </c>
      <c r="J150" s="48" t="s">
        <v>31</v>
      </c>
      <c r="K150" s="48" t="s">
        <v>32</v>
      </c>
      <c r="M150" s="126">
        <v>100</v>
      </c>
      <c r="P150" s="48" t="s">
        <v>33</v>
      </c>
      <c r="Q150" s="51">
        <v>59250</v>
      </c>
      <c r="R150" s="55">
        <f>SUM(H110:H115,H117:H118,H120:H134,H136,H139,H141:H142,H144:H154,H157)</f>
        <v>59250</v>
      </c>
    </row>
    <row r="151" spans="1:18" ht="15.75" customHeight="1">
      <c r="A151" s="50">
        <v>13</v>
      </c>
      <c r="B151" s="151" t="s">
        <v>2762</v>
      </c>
      <c r="C151" s="48" t="s">
        <v>27</v>
      </c>
      <c r="D151" s="48" t="s">
        <v>2090</v>
      </c>
      <c r="E151" s="48" t="s">
        <v>84</v>
      </c>
      <c r="F151" s="48"/>
      <c r="G151" s="48" t="s">
        <v>30</v>
      </c>
      <c r="H151" s="51">
        <v>1000</v>
      </c>
      <c r="I151" s="49">
        <v>200</v>
      </c>
      <c r="J151" s="48" t="s">
        <v>31</v>
      </c>
      <c r="K151" s="48" t="s">
        <v>32</v>
      </c>
      <c r="M151" s="126">
        <v>150</v>
      </c>
      <c r="P151" s="48" t="s">
        <v>37</v>
      </c>
      <c r="Q151" s="51">
        <v>2000</v>
      </c>
      <c r="R151" s="126">
        <v>2000</v>
      </c>
    </row>
    <row r="152" spans="1:18" ht="15.75" customHeight="1">
      <c r="A152" s="50">
        <v>13</v>
      </c>
      <c r="B152" s="151" t="s">
        <v>2763</v>
      </c>
      <c r="C152" s="48" t="s">
        <v>27</v>
      </c>
      <c r="D152" s="48" t="s">
        <v>2764</v>
      </c>
      <c r="E152" s="48" t="s">
        <v>108</v>
      </c>
      <c r="F152" s="48"/>
      <c r="G152" s="48" t="s">
        <v>30</v>
      </c>
      <c r="H152" s="51">
        <v>500</v>
      </c>
      <c r="I152" s="49">
        <v>100</v>
      </c>
      <c r="J152" s="48" t="s">
        <v>31</v>
      </c>
      <c r="K152" s="48" t="s">
        <v>32</v>
      </c>
      <c r="M152" s="126">
        <v>300</v>
      </c>
      <c r="P152" s="723" t="s">
        <v>286</v>
      </c>
      <c r="Q152" s="719"/>
      <c r="R152" s="55">
        <f>SUM(R150:R151)</f>
        <v>61250</v>
      </c>
    </row>
    <row r="153" spans="1:18" ht="15.75" customHeight="1">
      <c r="A153" s="50">
        <v>13</v>
      </c>
      <c r="B153" s="151" t="s">
        <v>2765</v>
      </c>
      <c r="C153" s="48" t="s">
        <v>27</v>
      </c>
      <c r="D153" s="48" t="s">
        <v>108</v>
      </c>
      <c r="E153" s="48" t="s">
        <v>36</v>
      </c>
      <c r="F153" s="48"/>
      <c r="G153" s="48" t="s">
        <v>30</v>
      </c>
      <c r="H153" s="51">
        <v>9000</v>
      </c>
      <c r="I153" s="49">
        <v>1800</v>
      </c>
      <c r="J153" s="48" t="s">
        <v>31</v>
      </c>
      <c r="K153" s="48" t="s">
        <v>32</v>
      </c>
      <c r="M153" s="126">
        <v>1500</v>
      </c>
      <c r="P153" s="48" t="s">
        <v>1346</v>
      </c>
      <c r="Q153" s="51">
        <v>229</v>
      </c>
    </row>
    <row r="154" spans="1:18" ht="15.75" customHeight="1">
      <c r="A154" s="50">
        <v>13</v>
      </c>
      <c r="B154" s="151" t="s">
        <v>2766</v>
      </c>
      <c r="C154" s="48" t="s">
        <v>27</v>
      </c>
      <c r="D154" s="48" t="s">
        <v>2767</v>
      </c>
      <c r="E154" s="48" t="s">
        <v>484</v>
      </c>
      <c r="F154" s="48"/>
      <c r="G154" s="48" t="s">
        <v>30</v>
      </c>
      <c r="H154" s="51">
        <v>150</v>
      </c>
      <c r="I154" s="49">
        <v>30</v>
      </c>
      <c r="J154" s="48" t="s">
        <v>31</v>
      </c>
      <c r="K154" s="48" t="s">
        <v>32</v>
      </c>
      <c r="M154" s="126">
        <v>30</v>
      </c>
      <c r="P154" s="48" t="s">
        <v>2325</v>
      </c>
      <c r="Q154" s="51">
        <f>H138+H156</f>
        <v>43</v>
      </c>
    </row>
    <row r="155" spans="1:18" ht="15.75" customHeight="1">
      <c r="A155" s="50">
        <v>13</v>
      </c>
      <c r="B155" s="151" t="s">
        <v>2768</v>
      </c>
      <c r="C155" s="48" t="s">
        <v>39</v>
      </c>
      <c r="D155" s="48" t="s">
        <v>2053</v>
      </c>
      <c r="E155" s="48" t="s">
        <v>86</v>
      </c>
      <c r="F155" s="48"/>
      <c r="G155" s="48" t="s">
        <v>1300</v>
      </c>
      <c r="H155" s="51">
        <v>94</v>
      </c>
      <c r="I155" s="49">
        <v>470</v>
      </c>
      <c r="J155" s="48" t="s">
        <v>31</v>
      </c>
      <c r="K155" s="48" t="s">
        <v>32</v>
      </c>
      <c r="Q155" s="55">
        <f>SUM(Q153:Q154)</f>
        <v>272</v>
      </c>
    </row>
    <row r="156" spans="1:18" ht="15.75" customHeight="1">
      <c r="A156" s="50"/>
      <c r="B156" s="48"/>
      <c r="C156" s="48"/>
      <c r="D156" s="48"/>
      <c r="E156" s="48"/>
      <c r="F156" s="48"/>
      <c r="G156" s="48" t="s">
        <v>589</v>
      </c>
      <c r="H156" s="51">
        <v>10</v>
      </c>
      <c r="I156" s="49">
        <v>30</v>
      </c>
      <c r="J156" s="48" t="s">
        <v>31</v>
      </c>
      <c r="K156" s="48" t="s">
        <v>32</v>
      </c>
    </row>
    <row r="157" spans="1:18" ht="15.75" customHeight="1">
      <c r="A157" s="50">
        <v>13</v>
      </c>
      <c r="B157" s="151" t="s">
        <v>2769</v>
      </c>
      <c r="C157" s="48" t="s">
        <v>27</v>
      </c>
      <c r="D157" s="151" t="s">
        <v>934</v>
      </c>
      <c r="E157" s="48" t="s">
        <v>44</v>
      </c>
      <c r="F157" s="48"/>
      <c r="G157" s="48" t="s">
        <v>30</v>
      </c>
      <c r="H157" s="51">
        <v>200</v>
      </c>
      <c r="I157" s="49">
        <v>40</v>
      </c>
      <c r="J157" s="48" t="s">
        <v>31</v>
      </c>
      <c r="K157" s="48" t="s">
        <v>32</v>
      </c>
      <c r="M157" s="126">
        <v>50</v>
      </c>
    </row>
    <row r="158" spans="1:18" ht="15.75" customHeight="1">
      <c r="A158" s="431">
        <v>13</v>
      </c>
      <c r="B158" s="408" t="s">
        <v>2770</v>
      </c>
      <c r="C158" s="408" t="s">
        <v>39</v>
      </c>
      <c r="D158" s="408" t="s">
        <v>2771</v>
      </c>
      <c r="E158" s="408" t="s">
        <v>145</v>
      </c>
      <c r="F158" s="408"/>
      <c r="G158" s="408" t="s">
        <v>30</v>
      </c>
      <c r="H158" s="432">
        <v>500</v>
      </c>
      <c r="I158" s="437" t="s">
        <v>1586</v>
      </c>
      <c r="J158" s="408" t="s">
        <v>31</v>
      </c>
      <c r="K158" s="408" t="s">
        <v>32</v>
      </c>
      <c r="M158" s="126">
        <v>100</v>
      </c>
    </row>
    <row r="159" spans="1:18" ht="15.75" customHeight="1">
      <c r="A159" s="65">
        <v>13</v>
      </c>
      <c r="B159" s="58" t="s">
        <v>2772</v>
      </c>
      <c r="C159" s="58" t="s">
        <v>27</v>
      </c>
      <c r="D159" s="58" t="s">
        <v>2771</v>
      </c>
      <c r="E159" s="58" t="s">
        <v>145</v>
      </c>
      <c r="F159" s="58"/>
      <c r="G159" s="58" t="s">
        <v>30</v>
      </c>
      <c r="H159" s="59">
        <v>500</v>
      </c>
      <c r="I159" s="60" t="s">
        <v>1586</v>
      </c>
      <c r="J159" s="58" t="s">
        <v>31</v>
      </c>
      <c r="K159" s="58" t="s">
        <v>32</v>
      </c>
    </row>
    <row r="160" spans="1:18" ht="15.75" customHeight="1">
      <c r="A160" s="61">
        <v>14</v>
      </c>
      <c r="B160" s="292" t="s">
        <v>2773</v>
      </c>
      <c r="C160" s="62" t="s">
        <v>27</v>
      </c>
      <c r="D160" s="62" t="s">
        <v>215</v>
      </c>
      <c r="E160" s="62" t="s">
        <v>54</v>
      </c>
      <c r="F160" s="62"/>
      <c r="G160" s="62" t="s">
        <v>30</v>
      </c>
      <c r="H160" s="63">
        <v>300</v>
      </c>
      <c r="I160" s="64">
        <v>60</v>
      </c>
      <c r="J160" s="62" t="s">
        <v>31</v>
      </c>
      <c r="K160" s="62" t="s">
        <v>32</v>
      </c>
      <c r="M160" s="126">
        <v>80</v>
      </c>
    </row>
    <row r="161" spans="1:13" ht="15.75" customHeight="1">
      <c r="A161" s="50">
        <v>14</v>
      </c>
      <c r="B161" s="151" t="s">
        <v>999</v>
      </c>
      <c r="C161" s="48" t="s">
        <v>27</v>
      </c>
      <c r="D161" s="48" t="s">
        <v>1363</v>
      </c>
      <c r="E161" s="48" t="s">
        <v>54</v>
      </c>
      <c r="F161" s="48"/>
      <c r="G161" s="48" t="s">
        <v>30</v>
      </c>
      <c r="H161" s="51">
        <v>1000</v>
      </c>
      <c r="I161" s="49">
        <v>200</v>
      </c>
      <c r="J161" s="48" t="s">
        <v>31</v>
      </c>
      <c r="K161" s="48" t="s">
        <v>32</v>
      </c>
      <c r="M161" s="126">
        <v>2800</v>
      </c>
    </row>
    <row r="162" spans="1:13" ht="15.75" customHeight="1">
      <c r="A162" s="50">
        <v>14</v>
      </c>
      <c r="B162" s="151" t="s">
        <v>2774</v>
      </c>
      <c r="C162" s="48" t="s">
        <v>27</v>
      </c>
      <c r="D162" s="48" t="s">
        <v>1095</v>
      </c>
      <c r="E162" s="48" t="s">
        <v>89</v>
      </c>
      <c r="F162" s="48"/>
      <c r="G162" s="48" t="s">
        <v>30</v>
      </c>
      <c r="H162" s="51">
        <v>1500</v>
      </c>
      <c r="I162" s="49">
        <v>300</v>
      </c>
      <c r="J162" s="48" t="s">
        <v>31</v>
      </c>
      <c r="K162" s="48" t="s">
        <v>32</v>
      </c>
      <c r="M162" s="126">
        <v>300</v>
      </c>
    </row>
    <row r="163" spans="1:13" ht="15.75" customHeight="1">
      <c r="A163" s="50">
        <v>14</v>
      </c>
      <c r="B163" s="151" t="s">
        <v>2775</v>
      </c>
      <c r="C163" s="48" t="s">
        <v>27</v>
      </c>
      <c r="D163" s="48" t="s">
        <v>2776</v>
      </c>
      <c r="E163" s="48" t="s">
        <v>484</v>
      </c>
      <c r="F163" s="48"/>
      <c r="G163" s="48" t="s">
        <v>30</v>
      </c>
      <c r="H163" s="51">
        <v>1000</v>
      </c>
      <c r="I163" s="49">
        <v>200</v>
      </c>
      <c r="J163" s="48" t="s">
        <v>31</v>
      </c>
      <c r="K163" s="48" t="s">
        <v>32</v>
      </c>
      <c r="M163" s="126">
        <v>1000</v>
      </c>
    </row>
    <row r="164" spans="1:13" ht="15.75" customHeight="1">
      <c r="A164" s="396">
        <v>14</v>
      </c>
      <c r="B164" s="166" t="s">
        <v>2777</v>
      </c>
      <c r="C164" s="166" t="s">
        <v>27</v>
      </c>
      <c r="D164" s="166" t="s">
        <v>2776</v>
      </c>
      <c r="E164" s="166" t="s">
        <v>484</v>
      </c>
      <c r="F164" s="166"/>
      <c r="G164" s="166" t="s">
        <v>30</v>
      </c>
      <c r="H164" s="167">
        <v>1500</v>
      </c>
      <c r="I164" s="397" t="s">
        <v>1586</v>
      </c>
      <c r="J164" s="166" t="s">
        <v>31</v>
      </c>
      <c r="K164" s="48" t="s">
        <v>32</v>
      </c>
    </row>
    <row r="165" spans="1:13" ht="15.75" customHeight="1">
      <c r="A165" s="50">
        <v>14</v>
      </c>
      <c r="B165" s="151" t="s">
        <v>2778</v>
      </c>
      <c r="C165" s="48" t="s">
        <v>27</v>
      </c>
      <c r="D165" s="48" t="s">
        <v>1431</v>
      </c>
      <c r="E165" s="48" t="s">
        <v>44</v>
      </c>
      <c r="F165" s="48"/>
      <c r="G165" s="48" t="s">
        <v>30</v>
      </c>
      <c r="H165" s="51">
        <v>100</v>
      </c>
      <c r="I165" s="49">
        <v>40</v>
      </c>
      <c r="J165" s="48" t="s">
        <v>31</v>
      </c>
      <c r="K165" s="48" t="s">
        <v>32</v>
      </c>
      <c r="M165" s="126">
        <v>40</v>
      </c>
    </row>
    <row r="166" spans="1:13" ht="15.75" customHeight="1">
      <c r="A166" s="50">
        <v>14</v>
      </c>
      <c r="B166" s="151" t="s">
        <v>2779</v>
      </c>
      <c r="C166" s="48" t="s">
        <v>27</v>
      </c>
      <c r="D166" s="48" t="s">
        <v>988</v>
      </c>
      <c r="E166" s="48" t="s">
        <v>44</v>
      </c>
      <c r="F166" s="48"/>
      <c r="G166" s="48" t="s">
        <v>30</v>
      </c>
      <c r="H166" s="51">
        <v>1000</v>
      </c>
      <c r="I166" s="49">
        <v>200</v>
      </c>
      <c r="J166" s="48" t="s">
        <v>31</v>
      </c>
      <c r="K166" s="48" t="s">
        <v>32</v>
      </c>
      <c r="M166" s="126">
        <v>200</v>
      </c>
    </row>
    <row r="167" spans="1:13" ht="15.75" customHeight="1">
      <c r="A167" s="50">
        <v>14</v>
      </c>
      <c r="B167" s="151" t="s">
        <v>2780</v>
      </c>
      <c r="C167" s="48" t="s">
        <v>27</v>
      </c>
      <c r="D167" s="48" t="s">
        <v>607</v>
      </c>
      <c r="E167" s="48" t="s">
        <v>36</v>
      </c>
      <c r="F167" s="48"/>
      <c r="G167" s="48" t="s">
        <v>30</v>
      </c>
      <c r="H167" s="51">
        <v>600</v>
      </c>
      <c r="I167" s="49">
        <v>120</v>
      </c>
      <c r="J167" s="48" t="s">
        <v>31</v>
      </c>
      <c r="K167" s="48" t="s">
        <v>32</v>
      </c>
      <c r="M167" s="126">
        <v>300</v>
      </c>
    </row>
    <row r="168" spans="1:13" ht="15.75" customHeight="1">
      <c r="A168" s="50">
        <v>14</v>
      </c>
      <c r="B168" s="151" t="s">
        <v>2781</v>
      </c>
      <c r="C168" s="48" t="s">
        <v>27</v>
      </c>
      <c r="D168" s="48" t="s">
        <v>607</v>
      </c>
      <c r="E168" s="48" t="s">
        <v>36</v>
      </c>
      <c r="F168" s="48"/>
      <c r="G168" s="48" t="s">
        <v>30</v>
      </c>
      <c r="H168" s="51">
        <v>1000</v>
      </c>
      <c r="I168" s="49">
        <v>200</v>
      </c>
      <c r="J168" s="48" t="s">
        <v>31</v>
      </c>
      <c r="K168" s="48" t="s">
        <v>32</v>
      </c>
      <c r="M168" s="126">
        <v>300</v>
      </c>
    </row>
    <row r="169" spans="1:13" ht="15.75" customHeight="1">
      <c r="A169" s="50">
        <v>14</v>
      </c>
      <c r="B169" s="151" t="s">
        <v>2782</v>
      </c>
      <c r="C169" s="48" t="s">
        <v>27</v>
      </c>
      <c r="D169" s="48" t="s">
        <v>910</v>
      </c>
      <c r="E169" s="48" t="s">
        <v>36</v>
      </c>
      <c r="F169" s="48"/>
      <c r="G169" s="48" t="s">
        <v>30</v>
      </c>
      <c r="H169" s="51">
        <v>1000</v>
      </c>
      <c r="I169" s="49">
        <v>200</v>
      </c>
      <c r="J169" s="48" t="s">
        <v>31</v>
      </c>
      <c r="K169" s="48" t="s">
        <v>32</v>
      </c>
      <c r="M169" s="126">
        <v>200</v>
      </c>
    </row>
    <row r="170" spans="1:13" ht="15.75" customHeight="1">
      <c r="A170" s="50">
        <v>14</v>
      </c>
      <c r="B170" s="151" t="s">
        <v>2385</v>
      </c>
      <c r="C170" s="48" t="s">
        <v>39</v>
      </c>
      <c r="D170" s="48" t="s">
        <v>2248</v>
      </c>
      <c r="E170" s="48" t="s">
        <v>44</v>
      </c>
      <c r="F170" s="48"/>
      <c r="G170" s="48" t="s">
        <v>30</v>
      </c>
      <c r="H170" s="51">
        <v>1500</v>
      </c>
      <c r="I170" s="49">
        <v>300</v>
      </c>
      <c r="J170" s="48" t="s">
        <v>31</v>
      </c>
      <c r="K170" s="48" t="s">
        <v>32</v>
      </c>
      <c r="M170" s="126">
        <v>300</v>
      </c>
    </row>
    <row r="171" spans="1:13" ht="15.75" customHeight="1">
      <c r="A171" s="50">
        <v>14</v>
      </c>
      <c r="B171" s="151" t="s">
        <v>2783</v>
      </c>
      <c r="C171" s="48" t="s">
        <v>27</v>
      </c>
      <c r="D171" s="48" t="s">
        <v>2034</v>
      </c>
      <c r="E171" s="48" t="s">
        <v>44</v>
      </c>
      <c r="F171" s="48"/>
      <c r="G171" s="48" t="s">
        <v>30</v>
      </c>
      <c r="H171" s="51">
        <v>1000</v>
      </c>
      <c r="I171" s="49">
        <v>200</v>
      </c>
      <c r="J171" s="48" t="s">
        <v>31</v>
      </c>
      <c r="K171" s="48" t="s">
        <v>32</v>
      </c>
      <c r="M171" s="126">
        <v>200</v>
      </c>
    </row>
    <row r="172" spans="1:13" ht="15.75" customHeight="1">
      <c r="A172" s="65">
        <v>14</v>
      </c>
      <c r="B172" s="58" t="s">
        <v>1686</v>
      </c>
      <c r="C172" s="58" t="s">
        <v>27</v>
      </c>
      <c r="D172" s="58" t="s">
        <v>43</v>
      </c>
      <c r="E172" s="58" t="s">
        <v>44</v>
      </c>
      <c r="F172" s="58"/>
      <c r="G172" s="58" t="s">
        <v>30</v>
      </c>
      <c r="H172" s="59">
        <v>3000</v>
      </c>
      <c r="I172" s="60">
        <v>600</v>
      </c>
      <c r="J172" s="58" t="s">
        <v>31</v>
      </c>
      <c r="K172" s="58" t="s">
        <v>32</v>
      </c>
      <c r="M172" s="126">
        <v>600</v>
      </c>
    </row>
    <row r="173" spans="1:13" ht="15.75" customHeight="1">
      <c r="A173" s="61">
        <v>15</v>
      </c>
      <c r="B173" s="292" t="s">
        <v>2784</v>
      </c>
      <c r="C173" s="62" t="s">
        <v>27</v>
      </c>
      <c r="D173" s="62" t="s">
        <v>2785</v>
      </c>
      <c r="E173" s="62" t="s">
        <v>47</v>
      </c>
      <c r="F173" s="62"/>
      <c r="G173" s="62" t="s">
        <v>30</v>
      </c>
      <c r="H173" s="63">
        <v>7000</v>
      </c>
      <c r="I173" s="64">
        <v>1400</v>
      </c>
      <c r="J173" s="62" t="s">
        <v>31</v>
      </c>
      <c r="K173" s="62" t="s">
        <v>32</v>
      </c>
      <c r="M173" s="126">
        <v>1500</v>
      </c>
    </row>
    <row r="174" spans="1:13" ht="15.75" customHeight="1">
      <c r="A174" s="50">
        <v>15</v>
      </c>
      <c r="B174" s="151" t="s">
        <v>236</v>
      </c>
      <c r="C174" s="48" t="s">
        <v>27</v>
      </c>
      <c r="D174" s="48" t="s">
        <v>100</v>
      </c>
      <c r="E174" s="48" t="s">
        <v>237</v>
      </c>
      <c r="F174" s="48"/>
      <c r="G174" s="48" t="s">
        <v>30</v>
      </c>
      <c r="H174" s="51">
        <v>200</v>
      </c>
      <c r="I174" s="49">
        <v>40</v>
      </c>
      <c r="J174" s="48" t="s">
        <v>31</v>
      </c>
      <c r="K174" s="48" t="s">
        <v>32</v>
      </c>
      <c r="M174" s="126">
        <v>50</v>
      </c>
    </row>
    <row r="175" spans="1:13" ht="15.75" customHeight="1">
      <c r="A175" s="50">
        <v>15</v>
      </c>
      <c r="B175" s="151" t="s">
        <v>2786</v>
      </c>
      <c r="C175" s="48" t="s">
        <v>27</v>
      </c>
      <c r="D175" s="48" t="s">
        <v>472</v>
      </c>
      <c r="E175" s="48" t="s">
        <v>41</v>
      </c>
      <c r="F175" s="48"/>
      <c r="G175" s="48" t="s">
        <v>30</v>
      </c>
      <c r="H175" s="51">
        <v>10000</v>
      </c>
      <c r="I175" s="49">
        <v>2000</v>
      </c>
      <c r="J175" s="48" t="s">
        <v>31</v>
      </c>
      <c r="K175" s="48" t="s">
        <v>32</v>
      </c>
      <c r="M175" s="126">
        <v>2000</v>
      </c>
    </row>
    <row r="176" spans="1:13" ht="15.75" customHeight="1">
      <c r="A176" s="50">
        <v>15</v>
      </c>
      <c r="B176" s="151" t="s">
        <v>2787</v>
      </c>
      <c r="C176" s="48" t="s">
        <v>27</v>
      </c>
      <c r="D176" s="48" t="s">
        <v>56</v>
      </c>
      <c r="E176" s="48" t="s">
        <v>84</v>
      </c>
      <c r="F176" s="48"/>
      <c r="G176" s="48" t="s">
        <v>30</v>
      </c>
      <c r="H176" s="51">
        <v>200</v>
      </c>
      <c r="I176" s="49">
        <v>40</v>
      </c>
      <c r="J176" s="48" t="s">
        <v>31</v>
      </c>
      <c r="K176" s="48" t="s">
        <v>32</v>
      </c>
      <c r="M176" s="126">
        <v>40</v>
      </c>
    </row>
    <row r="177" spans="1:13" ht="15.75" customHeight="1">
      <c r="A177" s="50">
        <v>15</v>
      </c>
      <c r="B177" s="151" t="s">
        <v>2788</v>
      </c>
      <c r="C177" s="48" t="s">
        <v>27</v>
      </c>
      <c r="D177" s="48" t="s">
        <v>649</v>
      </c>
      <c r="E177" s="48" t="s">
        <v>310</v>
      </c>
      <c r="F177" s="48"/>
      <c r="G177" s="48" t="s">
        <v>30</v>
      </c>
      <c r="H177" s="51">
        <v>1400</v>
      </c>
      <c r="I177" s="49">
        <v>280</v>
      </c>
      <c r="J177" s="48" t="s">
        <v>31</v>
      </c>
      <c r="K177" s="48" t="s">
        <v>32</v>
      </c>
      <c r="M177" s="126">
        <v>280</v>
      </c>
    </row>
    <row r="178" spans="1:13" ht="15.75" customHeight="1">
      <c r="A178" s="382">
        <v>15</v>
      </c>
      <c r="B178" s="151" t="s">
        <v>2789</v>
      </c>
      <c r="C178" s="151" t="s">
        <v>27</v>
      </c>
      <c r="D178" s="151" t="s">
        <v>400</v>
      </c>
      <c r="E178" s="151" t="s">
        <v>36</v>
      </c>
      <c r="F178" s="151"/>
      <c r="G178" s="151" t="s">
        <v>30</v>
      </c>
      <c r="H178" s="152">
        <v>1000</v>
      </c>
      <c r="I178" s="438">
        <v>200</v>
      </c>
      <c r="J178" s="151" t="s">
        <v>31</v>
      </c>
      <c r="K178" s="151" t="s">
        <v>32</v>
      </c>
      <c r="M178" s="126">
        <v>200</v>
      </c>
    </row>
    <row r="179" spans="1:13" ht="15.75" customHeight="1">
      <c r="A179" s="50">
        <v>15</v>
      </c>
      <c r="B179" s="151" t="s">
        <v>2790</v>
      </c>
      <c r="C179" s="48" t="s">
        <v>27</v>
      </c>
      <c r="D179" s="48" t="s">
        <v>234</v>
      </c>
      <c r="E179" s="48" t="s">
        <v>68</v>
      </c>
      <c r="F179" s="48"/>
      <c r="G179" s="48" t="s">
        <v>30</v>
      </c>
      <c r="H179" s="51">
        <v>1000</v>
      </c>
      <c r="I179" s="49">
        <v>200</v>
      </c>
      <c r="J179" s="48" t="s">
        <v>31</v>
      </c>
      <c r="K179" s="48" t="s">
        <v>32</v>
      </c>
      <c r="M179" s="126">
        <v>300</v>
      </c>
    </row>
    <row r="180" spans="1:13" ht="15.75" customHeight="1">
      <c r="A180" s="50">
        <v>15</v>
      </c>
      <c r="B180" s="385" t="s">
        <v>2791</v>
      </c>
      <c r="C180" s="48" t="s">
        <v>27</v>
      </c>
      <c r="D180" s="48" t="s">
        <v>234</v>
      </c>
      <c r="E180" s="48" t="s">
        <v>68</v>
      </c>
      <c r="F180" s="48"/>
      <c r="G180" s="48" t="s">
        <v>30</v>
      </c>
      <c r="H180" s="51">
        <v>1000</v>
      </c>
      <c r="I180" s="49">
        <v>200</v>
      </c>
      <c r="J180" s="48" t="s">
        <v>31</v>
      </c>
      <c r="K180" s="48" t="s">
        <v>32</v>
      </c>
      <c r="M180" s="126">
        <v>1200</v>
      </c>
    </row>
    <row r="181" spans="1:13" ht="15.75" customHeight="1">
      <c r="A181" s="50">
        <v>15</v>
      </c>
      <c r="B181" s="151" t="s">
        <v>2792</v>
      </c>
      <c r="C181" s="48" t="s">
        <v>39</v>
      </c>
      <c r="D181" s="48" t="s">
        <v>2426</v>
      </c>
      <c r="E181" s="48" t="s">
        <v>145</v>
      </c>
      <c r="F181" s="48"/>
      <c r="G181" s="48" t="s">
        <v>30</v>
      </c>
      <c r="H181" s="51">
        <v>500</v>
      </c>
      <c r="I181" s="49" t="s">
        <v>1586</v>
      </c>
      <c r="J181" s="48" t="s">
        <v>31</v>
      </c>
      <c r="K181" s="48" t="s">
        <v>32</v>
      </c>
      <c r="M181" s="126">
        <v>400</v>
      </c>
    </row>
    <row r="182" spans="1:13" ht="15.75" customHeight="1">
      <c r="A182" s="50">
        <v>15</v>
      </c>
      <c r="B182" s="151" t="s">
        <v>2792</v>
      </c>
      <c r="C182" s="48" t="s">
        <v>39</v>
      </c>
      <c r="D182" s="48" t="s">
        <v>2426</v>
      </c>
      <c r="E182" s="48" t="s">
        <v>145</v>
      </c>
      <c r="F182" s="48"/>
      <c r="G182" s="48" t="s">
        <v>30</v>
      </c>
      <c r="H182" s="51">
        <v>500</v>
      </c>
      <c r="I182" s="49">
        <v>100</v>
      </c>
      <c r="J182" s="48" t="s">
        <v>31</v>
      </c>
      <c r="K182" s="48" t="s">
        <v>32</v>
      </c>
    </row>
    <row r="183" spans="1:13" ht="15.75" customHeight="1">
      <c r="A183" s="50">
        <v>15</v>
      </c>
      <c r="B183" s="151" t="s">
        <v>2793</v>
      </c>
      <c r="C183" s="48" t="s">
        <v>27</v>
      </c>
      <c r="D183" s="48" t="s">
        <v>2426</v>
      </c>
      <c r="E183" s="48" t="s">
        <v>145</v>
      </c>
      <c r="F183" s="48"/>
      <c r="G183" s="48" t="s">
        <v>30</v>
      </c>
      <c r="H183" s="51">
        <v>500</v>
      </c>
      <c r="I183" s="49" t="s">
        <v>1586</v>
      </c>
      <c r="J183" s="48" t="s">
        <v>31</v>
      </c>
      <c r="K183" s="48" t="s">
        <v>32</v>
      </c>
      <c r="M183" s="126">
        <v>600</v>
      </c>
    </row>
    <row r="184" spans="1:13" ht="15.75" customHeight="1">
      <c r="A184" s="50">
        <v>15</v>
      </c>
      <c r="B184" s="151" t="s">
        <v>2793</v>
      </c>
      <c r="C184" s="48" t="s">
        <v>27</v>
      </c>
      <c r="D184" s="48" t="s">
        <v>2426</v>
      </c>
      <c r="E184" s="48" t="s">
        <v>145</v>
      </c>
      <c r="F184" s="48"/>
      <c r="G184" s="48" t="s">
        <v>30</v>
      </c>
      <c r="H184" s="51">
        <v>500</v>
      </c>
      <c r="I184" s="49">
        <v>100</v>
      </c>
      <c r="J184" s="48" t="s">
        <v>31</v>
      </c>
      <c r="K184" s="48" t="s">
        <v>32</v>
      </c>
    </row>
    <row r="185" spans="1:13" ht="15.75" customHeight="1">
      <c r="A185" s="50">
        <v>15</v>
      </c>
      <c r="B185" s="151" t="s">
        <v>1602</v>
      </c>
      <c r="C185" s="48" t="s">
        <v>27</v>
      </c>
      <c r="D185" s="48" t="s">
        <v>607</v>
      </c>
      <c r="E185" s="48" t="s">
        <v>36</v>
      </c>
      <c r="F185" s="48"/>
      <c r="G185" s="48" t="s">
        <v>30</v>
      </c>
      <c r="H185" s="51">
        <v>200</v>
      </c>
      <c r="I185" s="49">
        <v>40</v>
      </c>
      <c r="J185" s="48" t="s">
        <v>31</v>
      </c>
      <c r="K185" s="48" t="s">
        <v>32</v>
      </c>
      <c r="M185" s="126">
        <v>32</v>
      </c>
    </row>
    <row r="186" spans="1:13" ht="15.75" customHeight="1">
      <c r="A186" s="382">
        <v>15</v>
      </c>
      <c r="B186" s="151" t="s">
        <v>2794</v>
      </c>
      <c r="C186" s="151" t="s">
        <v>27</v>
      </c>
      <c r="D186" s="151"/>
      <c r="E186" s="151" t="s">
        <v>36</v>
      </c>
      <c r="F186" s="151"/>
      <c r="G186" s="151" t="s">
        <v>30</v>
      </c>
      <c r="H186" s="152">
        <v>500</v>
      </c>
      <c r="I186" s="438">
        <v>100</v>
      </c>
      <c r="J186" s="151" t="s">
        <v>31</v>
      </c>
      <c r="K186" s="151" t="s">
        <v>32</v>
      </c>
      <c r="M186" s="126">
        <v>100</v>
      </c>
    </row>
    <row r="187" spans="1:13" ht="15.75" customHeight="1">
      <c r="A187" s="50">
        <v>15</v>
      </c>
      <c r="B187" s="151" t="s">
        <v>2795</v>
      </c>
      <c r="C187" s="48" t="s">
        <v>27</v>
      </c>
      <c r="D187" s="48" t="s">
        <v>1064</v>
      </c>
      <c r="E187" s="48" t="s">
        <v>358</v>
      </c>
      <c r="F187" s="48"/>
      <c r="G187" s="48" t="s">
        <v>30</v>
      </c>
      <c r="H187" s="51">
        <v>1000</v>
      </c>
      <c r="I187" s="49">
        <v>200</v>
      </c>
      <c r="J187" s="48" t="s">
        <v>31</v>
      </c>
      <c r="K187" s="48" t="s">
        <v>32</v>
      </c>
      <c r="M187" s="126">
        <v>285</v>
      </c>
    </row>
    <row r="188" spans="1:13" ht="15.75" customHeight="1">
      <c r="A188" s="50">
        <v>15</v>
      </c>
      <c r="B188" s="151" t="s">
        <v>2796</v>
      </c>
      <c r="C188" s="48" t="s">
        <v>27</v>
      </c>
      <c r="D188" s="48" t="s">
        <v>130</v>
      </c>
      <c r="E188" s="48" t="s">
        <v>51</v>
      </c>
      <c r="F188" s="48"/>
      <c r="G188" s="48" t="s">
        <v>30</v>
      </c>
      <c r="H188" s="51">
        <v>1000</v>
      </c>
      <c r="I188" s="49">
        <v>300</v>
      </c>
      <c r="J188" s="48" t="s">
        <v>31</v>
      </c>
      <c r="K188" s="48" t="s">
        <v>32</v>
      </c>
      <c r="M188" s="126">
        <v>300</v>
      </c>
    </row>
    <row r="189" spans="1:13" ht="15.75" customHeight="1">
      <c r="A189" s="50">
        <v>15</v>
      </c>
      <c r="B189" s="151" t="s">
        <v>2797</v>
      </c>
      <c r="C189" s="48" t="s">
        <v>39</v>
      </c>
      <c r="D189" s="48" t="s">
        <v>266</v>
      </c>
      <c r="E189" s="48" t="s">
        <v>68</v>
      </c>
      <c r="F189" s="48"/>
      <c r="G189" s="48" t="s">
        <v>30</v>
      </c>
      <c r="H189" s="51">
        <v>1500</v>
      </c>
      <c r="I189" s="49">
        <v>300</v>
      </c>
      <c r="J189" s="48" t="s">
        <v>31</v>
      </c>
      <c r="K189" s="48" t="s">
        <v>32</v>
      </c>
      <c r="M189" s="126">
        <v>300</v>
      </c>
    </row>
    <row r="190" spans="1:13" ht="15.75" customHeight="1">
      <c r="A190" s="50">
        <v>15</v>
      </c>
      <c r="B190" s="151" t="s">
        <v>2587</v>
      </c>
      <c r="C190" s="48" t="s">
        <v>27</v>
      </c>
      <c r="D190" s="48" t="s">
        <v>79</v>
      </c>
      <c r="E190" s="48" t="s">
        <v>145</v>
      </c>
      <c r="F190" s="48"/>
      <c r="G190" s="48" t="s">
        <v>30</v>
      </c>
      <c r="H190" s="51">
        <v>500</v>
      </c>
      <c r="I190" s="49" t="s">
        <v>1586</v>
      </c>
      <c r="J190" s="48" t="s">
        <v>31</v>
      </c>
      <c r="K190" s="48" t="s">
        <v>32</v>
      </c>
      <c r="M190" s="126">
        <v>450</v>
      </c>
    </row>
    <row r="191" spans="1:13" ht="15.75" customHeight="1">
      <c r="A191" s="50">
        <v>15</v>
      </c>
      <c r="B191" s="151" t="s">
        <v>2587</v>
      </c>
      <c r="C191" s="48" t="s">
        <v>27</v>
      </c>
      <c r="D191" s="48" t="s">
        <v>79</v>
      </c>
      <c r="E191" s="48" t="s">
        <v>145</v>
      </c>
      <c r="F191" s="48"/>
      <c r="G191" s="48" t="s">
        <v>30</v>
      </c>
      <c r="H191" s="51">
        <v>1000</v>
      </c>
      <c r="I191" s="49">
        <v>200</v>
      </c>
      <c r="J191" s="48" t="s">
        <v>31</v>
      </c>
      <c r="K191" s="48" t="s">
        <v>32</v>
      </c>
    </row>
    <row r="192" spans="1:13" ht="15.75" customHeight="1">
      <c r="A192" s="50">
        <v>15</v>
      </c>
      <c r="B192" s="151" t="s">
        <v>2798</v>
      </c>
      <c r="C192" s="48" t="s">
        <v>27</v>
      </c>
      <c r="D192" s="48" t="s">
        <v>130</v>
      </c>
      <c r="E192" s="48" t="s">
        <v>51</v>
      </c>
      <c r="F192" s="48"/>
      <c r="G192" s="48" t="s">
        <v>30</v>
      </c>
      <c r="H192" s="51">
        <v>1000</v>
      </c>
      <c r="I192" s="49">
        <v>200</v>
      </c>
      <c r="J192" s="48" t="s">
        <v>31</v>
      </c>
      <c r="K192" s="48" t="s">
        <v>32</v>
      </c>
      <c r="M192" s="126">
        <v>200</v>
      </c>
    </row>
    <row r="193" spans="1:13" ht="15.75" customHeight="1">
      <c r="A193" s="50">
        <v>15</v>
      </c>
      <c r="B193" s="151" t="s">
        <v>2799</v>
      </c>
      <c r="C193" s="48" t="s">
        <v>27</v>
      </c>
      <c r="D193" s="48" t="s">
        <v>2800</v>
      </c>
      <c r="E193" s="48" t="s">
        <v>36</v>
      </c>
      <c r="F193" s="48"/>
      <c r="G193" s="48" t="s">
        <v>30</v>
      </c>
      <c r="H193" s="51">
        <v>700</v>
      </c>
      <c r="I193" s="49">
        <v>140</v>
      </c>
      <c r="J193" s="48" t="s">
        <v>31</v>
      </c>
      <c r="K193" s="48" t="s">
        <v>32</v>
      </c>
      <c r="M193" s="126">
        <v>140</v>
      </c>
    </row>
    <row r="194" spans="1:13" ht="15.75" customHeight="1">
      <c r="A194" s="50">
        <v>15</v>
      </c>
      <c r="B194" s="48" t="s">
        <v>2801</v>
      </c>
      <c r="C194" s="48" t="s">
        <v>27</v>
      </c>
      <c r="D194" s="48" t="s">
        <v>2802</v>
      </c>
      <c r="E194" s="48" t="s">
        <v>209</v>
      </c>
      <c r="F194" s="48"/>
      <c r="G194" s="48" t="s">
        <v>30</v>
      </c>
      <c r="H194" s="51">
        <v>500</v>
      </c>
      <c r="I194" s="49">
        <v>100</v>
      </c>
      <c r="J194" s="48" t="s">
        <v>31</v>
      </c>
      <c r="K194" s="48" t="s">
        <v>32</v>
      </c>
      <c r="M194" s="126">
        <v>100</v>
      </c>
    </row>
    <row r="195" spans="1:13" ht="15.75" customHeight="1">
      <c r="A195" s="50">
        <v>15</v>
      </c>
      <c r="B195" s="48" t="s">
        <v>2801</v>
      </c>
      <c r="C195" s="48" t="s">
        <v>27</v>
      </c>
      <c r="D195" s="48" t="s">
        <v>2802</v>
      </c>
      <c r="E195" s="48" t="s">
        <v>209</v>
      </c>
      <c r="F195" s="48"/>
      <c r="G195" s="48" t="s">
        <v>1300</v>
      </c>
      <c r="H195" s="51">
        <v>30</v>
      </c>
      <c r="I195" s="49">
        <v>150</v>
      </c>
      <c r="J195" s="48" t="s">
        <v>31</v>
      </c>
      <c r="K195" s="48" t="s">
        <v>32</v>
      </c>
    </row>
    <row r="196" spans="1:13" ht="15.75" customHeight="1">
      <c r="A196" s="50">
        <v>15</v>
      </c>
      <c r="B196" s="151" t="s">
        <v>2803</v>
      </c>
      <c r="C196" s="48" t="s">
        <v>27</v>
      </c>
      <c r="D196" s="48" t="s">
        <v>230</v>
      </c>
      <c r="E196" s="48" t="s">
        <v>86</v>
      </c>
      <c r="F196" s="48"/>
      <c r="G196" s="48" t="s">
        <v>30</v>
      </c>
      <c r="H196" s="51">
        <v>700</v>
      </c>
      <c r="I196" s="49">
        <v>140</v>
      </c>
      <c r="J196" s="48" t="s">
        <v>31</v>
      </c>
      <c r="K196" s="48" t="s">
        <v>32</v>
      </c>
      <c r="M196" s="126">
        <v>150</v>
      </c>
    </row>
    <row r="197" spans="1:13" ht="15.75" customHeight="1">
      <c r="A197" s="50">
        <v>15</v>
      </c>
      <c r="B197" s="151" t="s">
        <v>2804</v>
      </c>
      <c r="C197" s="48" t="s">
        <v>27</v>
      </c>
      <c r="D197" s="48" t="s">
        <v>2805</v>
      </c>
      <c r="E197" s="48" t="s">
        <v>148</v>
      </c>
      <c r="F197" s="48"/>
      <c r="G197" s="48" t="s">
        <v>30</v>
      </c>
      <c r="H197" s="51">
        <v>1500</v>
      </c>
      <c r="I197" s="49">
        <v>300</v>
      </c>
      <c r="J197" s="48" t="s">
        <v>31</v>
      </c>
      <c r="K197" s="48" t="s">
        <v>32</v>
      </c>
      <c r="M197" s="126">
        <v>300</v>
      </c>
    </row>
    <row r="198" spans="1:13" ht="15.75" customHeight="1">
      <c r="A198" s="50">
        <v>15</v>
      </c>
      <c r="B198" s="151" t="s">
        <v>2806</v>
      </c>
      <c r="C198" s="48" t="s">
        <v>27</v>
      </c>
      <c r="D198" s="48" t="s">
        <v>1616</v>
      </c>
      <c r="E198" s="48" t="s">
        <v>47</v>
      </c>
      <c r="F198" s="48"/>
      <c r="G198" s="48" t="s">
        <v>30</v>
      </c>
      <c r="H198" s="51">
        <v>500</v>
      </c>
      <c r="I198" s="49">
        <v>150</v>
      </c>
      <c r="J198" s="48" t="s">
        <v>31</v>
      </c>
      <c r="K198" s="48" t="s">
        <v>32</v>
      </c>
      <c r="M198" s="126">
        <v>150</v>
      </c>
    </row>
    <row r="199" spans="1:13" ht="15.75" customHeight="1">
      <c r="A199" s="50">
        <v>15</v>
      </c>
      <c r="B199" s="151" t="s">
        <v>1414</v>
      </c>
      <c r="C199" s="48" t="s">
        <v>27</v>
      </c>
      <c r="D199" s="48" t="s">
        <v>361</v>
      </c>
      <c r="E199" s="48" t="s">
        <v>79</v>
      </c>
      <c r="F199" s="48"/>
      <c r="G199" s="48" t="s">
        <v>30</v>
      </c>
      <c r="H199" s="51">
        <v>2000</v>
      </c>
      <c r="I199" s="49">
        <v>400</v>
      </c>
      <c r="J199" s="48" t="s">
        <v>31</v>
      </c>
      <c r="K199" s="48" t="s">
        <v>32</v>
      </c>
      <c r="M199" s="126">
        <v>400</v>
      </c>
    </row>
    <row r="200" spans="1:13" ht="15.75" customHeight="1">
      <c r="A200" s="50">
        <v>15</v>
      </c>
      <c r="B200" s="151" t="s">
        <v>2807</v>
      </c>
      <c r="C200" s="48" t="s">
        <v>27</v>
      </c>
      <c r="D200" s="48" t="s">
        <v>43</v>
      </c>
      <c r="E200" s="48" t="s">
        <v>44</v>
      </c>
      <c r="F200" s="48"/>
      <c r="G200" s="48" t="s">
        <v>30</v>
      </c>
      <c r="H200" s="51">
        <v>500</v>
      </c>
      <c r="I200" s="49">
        <v>100</v>
      </c>
      <c r="J200" s="48" t="s">
        <v>31</v>
      </c>
      <c r="K200" s="48" t="s">
        <v>32</v>
      </c>
      <c r="M200" s="126">
        <v>100</v>
      </c>
    </row>
    <row r="201" spans="1:13" ht="15.75" customHeight="1">
      <c r="A201" s="65">
        <v>15</v>
      </c>
      <c r="B201" s="58" t="s">
        <v>71</v>
      </c>
      <c r="C201" s="58" t="s">
        <v>27</v>
      </c>
      <c r="D201" s="58" t="s">
        <v>72</v>
      </c>
      <c r="E201" s="58" t="s">
        <v>73</v>
      </c>
      <c r="F201" s="58"/>
      <c r="G201" s="58" t="s">
        <v>30</v>
      </c>
      <c r="H201" s="59">
        <v>1100</v>
      </c>
      <c r="I201" s="60">
        <v>220</v>
      </c>
      <c r="J201" s="58" t="s">
        <v>31</v>
      </c>
      <c r="K201" s="58" t="s">
        <v>32</v>
      </c>
      <c r="M201" s="126">
        <v>200</v>
      </c>
    </row>
    <row r="202" spans="1:13" ht="15.75" customHeight="1">
      <c r="A202" s="61">
        <v>16</v>
      </c>
      <c r="B202" s="292" t="s">
        <v>2808</v>
      </c>
      <c r="C202" s="62" t="s">
        <v>27</v>
      </c>
      <c r="D202" s="62" t="s">
        <v>68</v>
      </c>
      <c r="E202" s="62" t="s">
        <v>145</v>
      </c>
      <c r="F202" s="62"/>
      <c r="G202" s="62" t="s">
        <v>30</v>
      </c>
      <c r="H202" s="63">
        <v>500</v>
      </c>
      <c r="I202" s="64" t="s">
        <v>1586</v>
      </c>
      <c r="J202" s="62" t="s">
        <v>31</v>
      </c>
      <c r="K202" s="62" t="s">
        <v>32</v>
      </c>
      <c r="M202" s="126">
        <v>400</v>
      </c>
    </row>
    <row r="203" spans="1:13" ht="15.75" customHeight="1">
      <c r="A203" s="61">
        <v>16</v>
      </c>
      <c r="B203" s="292" t="s">
        <v>2808</v>
      </c>
      <c r="C203" s="62" t="s">
        <v>27</v>
      </c>
      <c r="D203" s="62" t="s">
        <v>68</v>
      </c>
      <c r="E203" s="62" t="s">
        <v>145</v>
      </c>
      <c r="F203" s="48"/>
      <c r="G203" s="48" t="s">
        <v>30</v>
      </c>
      <c r="H203" s="51">
        <v>1000</v>
      </c>
      <c r="I203" s="49">
        <v>200</v>
      </c>
      <c r="J203" s="62" t="s">
        <v>31</v>
      </c>
      <c r="K203" s="62" t="s">
        <v>32</v>
      </c>
    </row>
    <row r="204" spans="1:13" ht="15.75" customHeight="1">
      <c r="A204" s="50">
        <v>16</v>
      </c>
      <c r="B204" s="151" t="s">
        <v>1880</v>
      </c>
      <c r="C204" s="48" t="s">
        <v>27</v>
      </c>
      <c r="D204" s="151" t="s">
        <v>934</v>
      </c>
      <c r="E204" s="48" t="s">
        <v>44</v>
      </c>
      <c r="F204" s="48"/>
      <c r="G204" s="48" t="s">
        <v>30</v>
      </c>
      <c r="H204" s="51">
        <v>250</v>
      </c>
      <c r="I204" s="49">
        <v>50</v>
      </c>
      <c r="J204" s="62" t="s">
        <v>31</v>
      </c>
      <c r="K204" s="62" t="s">
        <v>32</v>
      </c>
      <c r="M204" s="126">
        <v>50</v>
      </c>
    </row>
    <row r="205" spans="1:13" ht="15.75" customHeight="1">
      <c r="A205" s="50">
        <v>16</v>
      </c>
      <c r="B205" s="151" t="s">
        <v>1880</v>
      </c>
      <c r="C205" s="48" t="s">
        <v>27</v>
      </c>
      <c r="D205" s="151" t="s">
        <v>934</v>
      </c>
      <c r="E205" s="48" t="s">
        <v>44</v>
      </c>
      <c r="F205" s="48"/>
      <c r="G205" s="48" t="s">
        <v>115</v>
      </c>
      <c r="H205" s="51">
        <v>40</v>
      </c>
      <c r="I205" s="49">
        <v>40</v>
      </c>
      <c r="J205" s="62" t="s">
        <v>31</v>
      </c>
      <c r="K205" s="62" t="s">
        <v>32</v>
      </c>
      <c r="L205" s="55"/>
    </row>
    <row r="206" spans="1:13" ht="15.75" customHeight="1">
      <c r="A206" s="50">
        <v>16</v>
      </c>
      <c r="B206" s="151" t="s">
        <v>2809</v>
      </c>
      <c r="C206" s="48" t="s">
        <v>27</v>
      </c>
      <c r="D206" s="48" t="s">
        <v>68</v>
      </c>
      <c r="E206" s="48" t="s">
        <v>79</v>
      </c>
      <c r="F206" s="48"/>
      <c r="G206" s="48" t="s">
        <v>1249</v>
      </c>
      <c r="H206" s="51">
        <v>1000</v>
      </c>
      <c r="I206" s="49">
        <v>600</v>
      </c>
      <c r="J206" s="62" t="s">
        <v>31</v>
      </c>
      <c r="K206" s="62" t="s">
        <v>32</v>
      </c>
      <c r="M206" s="126">
        <v>250</v>
      </c>
    </row>
    <row r="207" spans="1:13" ht="15.75" customHeight="1">
      <c r="A207" s="50">
        <v>16</v>
      </c>
      <c r="B207" s="151" t="s">
        <v>2810</v>
      </c>
      <c r="C207" s="48" t="s">
        <v>39</v>
      </c>
      <c r="D207" s="48" t="s">
        <v>2811</v>
      </c>
      <c r="E207" s="48" t="s">
        <v>73</v>
      </c>
      <c r="F207" s="48"/>
      <c r="G207" s="48" t="s">
        <v>30</v>
      </c>
      <c r="H207" s="51">
        <v>1000</v>
      </c>
      <c r="I207" s="49">
        <v>200</v>
      </c>
      <c r="J207" s="62" t="s">
        <v>31</v>
      </c>
      <c r="K207" s="62" t="s">
        <v>32</v>
      </c>
      <c r="M207" s="126">
        <v>300</v>
      </c>
    </row>
    <row r="208" spans="1:13" ht="15.75" customHeight="1">
      <c r="A208" s="50">
        <v>16</v>
      </c>
      <c r="B208" s="48" t="s">
        <v>2812</v>
      </c>
      <c r="C208" s="48" t="s">
        <v>27</v>
      </c>
      <c r="D208" s="48" t="s">
        <v>400</v>
      </c>
      <c r="E208" s="48" t="s">
        <v>36</v>
      </c>
      <c r="F208" s="48"/>
      <c r="G208" s="48" t="s">
        <v>30</v>
      </c>
      <c r="H208" s="51">
        <v>500</v>
      </c>
      <c r="I208" s="49" t="s">
        <v>1586</v>
      </c>
      <c r="J208" s="62" t="s">
        <v>31</v>
      </c>
      <c r="K208" s="62" t="s">
        <v>32</v>
      </c>
      <c r="M208" s="126">
        <v>150</v>
      </c>
    </row>
    <row r="209" spans="1:26" ht="15.75" customHeight="1">
      <c r="A209" s="50">
        <v>16</v>
      </c>
      <c r="B209" s="48" t="s">
        <v>2812</v>
      </c>
      <c r="C209" s="48" t="s">
        <v>27</v>
      </c>
      <c r="D209" s="48" t="s">
        <v>400</v>
      </c>
      <c r="E209" s="48" t="s">
        <v>36</v>
      </c>
      <c r="F209" s="48"/>
      <c r="G209" s="48" t="s">
        <v>30</v>
      </c>
      <c r="H209" s="51">
        <v>500</v>
      </c>
      <c r="I209" s="49">
        <v>100</v>
      </c>
      <c r="J209" s="62" t="s">
        <v>31</v>
      </c>
      <c r="K209" s="62" t="s">
        <v>32</v>
      </c>
    </row>
    <row r="210" spans="1:26" ht="15.75" customHeight="1">
      <c r="A210" s="50">
        <v>16</v>
      </c>
      <c r="B210" s="48" t="s">
        <v>2813</v>
      </c>
      <c r="C210" s="48" t="s">
        <v>39</v>
      </c>
      <c r="D210" s="48" t="s">
        <v>593</v>
      </c>
      <c r="E210" s="48" t="s">
        <v>169</v>
      </c>
      <c r="F210" s="48"/>
      <c r="G210" s="48" t="s">
        <v>30</v>
      </c>
      <c r="H210" s="51">
        <v>600</v>
      </c>
      <c r="I210" s="49">
        <v>180</v>
      </c>
      <c r="J210" s="62" t="s">
        <v>31</v>
      </c>
      <c r="K210" s="62" t="s">
        <v>32</v>
      </c>
      <c r="M210" s="126">
        <v>150</v>
      </c>
    </row>
    <row r="211" spans="1:26" ht="15.75" customHeight="1">
      <c r="A211" s="50">
        <v>16</v>
      </c>
      <c r="B211" s="48" t="s">
        <v>2813</v>
      </c>
      <c r="C211" s="48" t="s">
        <v>39</v>
      </c>
      <c r="D211" s="48" t="s">
        <v>593</v>
      </c>
      <c r="E211" s="48" t="s">
        <v>169</v>
      </c>
      <c r="F211" s="48"/>
      <c r="G211" s="48" t="s">
        <v>1300</v>
      </c>
      <c r="H211" s="51">
        <v>10</v>
      </c>
      <c r="I211" s="49">
        <v>50</v>
      </c>
      <c r="J211" s="62" t="s">
        <v>31</v>
      </c>
      <c r="K211" s="62" t="s">
        <v>32</v>
      </c>
    </row>
    <row r="212" spans="1:26" ht="15.75" customHeight="1">
      <c r="A212" s="50">
        <v>16</v>
      </c>
      <c r="B212" s="48" t="s">
        <v>2814</v>
      </c>
      <c r="C212" s="48" t="s">
        <v>39</v>
      </c>
      <c r="D212" s="48" t="s">
        <v>2815</v>
      </c>
      <c r="E212" s="48" t="s">
        <v>273</v>
      </c>
      <c r="F212" s="48"/>
      <c r="G212" s="48" t="s">
        <v>30</v>
      </c>
      <c r="H212" s="51">
        <v>1000</v>
      </c>
      <c r="I212" s="49">
        <v>300</v>
      </c>
      <c r="J212" s="62" t="s">
        <v>31</v>
      </c>
      <c r="K212" s="62" t="s">
        <v>32</v>
      </c>
      <c r="M212" s="126">
        <v>200</v>
      </c>
    </row>
    <row r="213" spans="1:26" ht="15.75" customHeight="1">
      <c r="A213" s="50">
        <v>16</v>
      </c>
      <c r="B213" s="48" t="s">
        <v>2814</v>
      </c>
      <c r="C213" s="48" t="s">
        <v>39</v>
      </c>
      <c r="D213" s="48" t="s">
        <v>2815</v>
      </c>
      <c r="E213" s="48" t="s">
        <v>273</v>
      </c>
      <c r="F213" s="48"/>
      <c r="G213" s="48" t="s">
        <v>1300</v>
      </c>
      <c r="H213" s="51">
        <v>120</v>
      </c>
      <c r="I213" s="49">
        <v>600</v>
      </c>
      <c r="J213" s="62" t="s">
        <v>31</v>
      </c>
      <c r="K213" s="62" t="s">
        <v>32</v>
      </c>
    </row>
    <row r="214" spans="1:26" ht="15.75" customHeight="1">
      <c r="A214" s="50">
        <v>16</v>
      </c>
      <c r="B214" s="48" t="s">
        <v>2816</v>
      </c>
      <c r="C214" s="48" t="s">
        <v>27</v>
      </c>
      <c r="D214" s="48" t="s">
        <v>651</v>
      </c>
      <c r="E214" s="48" t="s">
        <v>86</v>
      </c>
      <c r="F214" s="48"/>
      <c r="G214" s="48" t="s">
        <v>30</v>
      </c>
      <c r="H214" s="51">
        <v>100</v>
      </c>
      <c r="I214" s="49">
        <v>30</v>
      </c>
      <c r="J214" s="48" t="s">
        <v>31</v>
      </c>
      <c r="K214" s="48" t="s">
        <v>32</v>
      </c>
      <c r="M214" s="126">
        <v>20</v>
      </c>
    </row>
    <row r="215" spans="1:26" ht="15.75" customHeight="1">
      <c r="A215" s="50">
        <v>16</v>
      </c>
      <c r="B215" s="48" t="s">
        <v>2817</v>
      </c>
      <c r="C215" s="48" t="s">
        <v>27</v>
      </c>
      <c r="D215" s="48" t="s">
        <v>1431</v>
      </c>
      <c r="E215" s="48" t="s">
        <v>44</v>
      </c>
      <c r="F215" s="48"/>
      <c r="G215" s="48" t="s">
        <v>30</v>
      </c>
      <c r="H215" s="51">
        <v>500</v>
      </c>
      <c r="I215" s="49">
        <v>150</v>
      </c>
      <c r="J215" s="48" t="s">
        <v>31</v>
      </c>
      <c r="K215" s="48" t="s">
        <v>32</v>
      </c>
      <c r="M215" s="126">
        <v>150</v>
      </c>
    </row>
    <row r="216" spans="1:26" ht="15.75" customHeight="1">
      <c r="A216" s="50">
        <v>16</v>
      </c>
      <c r="B216" s="48" t="s">
        <v>2818</v>
      </c>
      <c r="C216" s="48" t="s">
        <v>39</v>
      </c>
      <c r="D216" s="48" t="s">
        <v>2819</v>
      </c>
      <c r="E216" s="48" t="s">
        <v>73</v>
      </c>
      <c r="F216" s="48"/>
      <c r="G216" s="48" t="s">
        <v>1300</v>
      </c>
      <c r="H216" s="51">
        <v>50</v>
      </c>
      <c r="I216" s="49">
        <v>250</v>
      </c>
      <c r="J216" s="48" t="s">
        <v>31</v>
      </c>
      <c r="K216" s="48" t="s">
        <v>32</v>
      </c>
    </row>
    <row r="217" spans="1:26" ht="15.75" customHeight="1">
      <c r="A217" s="50">
        <v>16</v>
      </c>
      <c r="B217" s="48" t="s">
        <v>2330</v>
      </c>
      <c r="C217" s="48" t="s">
        <v>27</v>
      </c>
      <c r="D217" s="48" t="s">
        <v>2090</v>
      </c>
      <c r="E217" s="48" t="s">
        <v>84</v>
      </c>
      <c r="F217" s="48"/>
      <c r="G217" s="48" t="s">
        <v>30</v>
      </c>
      <c r="H217" s="51">
        <v>500</v>
      </c>
      <c r="I217" s="49">
        <v>100</v>
      </c>
      <c r="J217" s="48" t="s">
        <v>31</v>
      </c>
      <c r="K217" s="48" t="s">
        <v>32</v>
      </c>
      <c r="M217" s="126">
        <v>150</v>
      </c>
    </row>
    <row r="218" spans="1:26" ht="15.75" customHeight="1">
      <c r="A218" s="50">
        <v>16</v>
      </c>
      <c r="B218" s="151" t="s">
        <v>2820</v>
      </c>
      <c r="C218" s="48" t="s">
        <v>39</v>
      </c>
      <c r="D218" s="48" t="s">
        <v>2821</v>
      </c>
      <c r="E218" s="48" t="s">
        <v>86</v>
      </c>
      <c r="F218" s="48"/>
      <c r="G218" s="48" t="s">
        <v>30</v>
      </c>
      <c r="H218" s="51">
        <v>100</v>
      </c>
      <c r="I218" s="49" t="s">
        <v>1586</v>
      </c>
      <c r="J218" s="48" t="s">
        <v>31</v>
      </c>
      <c r="K218" s="48" t="s">
        <v>32</v>
      </c>
      <c r="M218" s="126">
        <v>20</v>
      </c>
    </row>
    <row r="219" spans="1:26" ht="15.75" customHeight="1">
      <c r="A219" s="50">
        <v>16</v>
      </c>
      <c r="B219" s="151" t="s">
        <v>2822</v>
      </c>
      <c r="C219" s="48" t="s">
        <v>27</v>
      </c>
      <c r="D219" s="48" t="s">
        <v>1337</v>
      </c>
      <c r="E219" s="48" t="s">
        <v>36</v>
      </c>
      <c r="F219" s="48"/>
      <c r="G219" s="48" t="s">
        <v>30</v>
      </c>
      <c r="H219" s="51">
        <v>500</v>
      </c>
      <c r="I219" s="49" t="s">
        <v>1586</v>
      </c>
      <c r="J219" s="48" t="s">
        <v>31</v>
      </c>
      <c r="K219" s="48" t="s">
        <v>32</v>
      </c>
      <c r="M219" s="126">
        <v>600</v>
      </c>
    </row>
    <row r="220" spans="1:26" ht="15.75" customHeight="1">
      <c r="A220" s="50">
        <v>16</v>
      </c>
      <c r="B220" s="151" t="s">
        <v>2822</v>
      </c>
      <c r="C220" s="48" t="s">
        <v>27</v>
      </c>
      <c r="D220" s="48" t="s">
        <v>1337</v>
      </c>
      <c r="E220" s="48" t="s">
        <v>36</v>
      </c>
      <c r="F220" s="48"/>
      <c r="G220" s="48" t="s">
        <v>30</v>
      </c>
      <c r="H220" s="51">
        <v>500</v>
      </c>
      <c r="I220" s="49">
        <v>100</v>
      </c>
      <c r="J220" s="48" t="s">
        <v>31</v>
      </c>
      <c r="K220" s="48" t="s">
        <v>32</v>
      </c>
    </row>
    <row r="221" spans="1:26" ht="15.75" customHeight="1">
      <c r="A221" s="50">
        <v>16</v>
      </c>
      <c r="B221" s="48" t="s">
        <v>2209</v>
      </c>
      <c r="C221" s="48" t="s">
        <v>27</v>
      </c>
      <c r="D221" s="48" t="s">
        <v>733</v>
      </c>
      <c r="E221" s="48" t="s">
        <v>36</v>
      </c>
      <c r="F221" s="48"/>
      <c r="G221" s="48" t="s">
        <v>30</v>
      </c>
      <c r="H221" s="51">
        <v>1000</v>
      </c>
      <c r="I221" s="49">
        <v>200</v>
      </c>
      <c r="J221" s="48" t="s">
        <v>31</v>
      </c>
      <c r="K221" s="48" t="s">
        <v>32</v>
      </c>
      <c r="M221" s="126">
        <v>90</v>
      </c>
    </row>
    <row r="222" spans="1:26" ht="15.75" customHeight="1">
      <c r="A222" s="50">
        <v>16</v>
      </c>
      <c r="B222" s="48" t="s">
        <v>2823</v>
      </c>
      <c r="C222" s="48" t="s">
        <v>27</v>
      </c>
      <c r="D222" s="48" t="s">
        <v>191</v>
      </c>
      <c r="E222" s="48" t="s">
        <v>47</v>
      </c>
      <c r="F222" s="48"/>
      <c r="G222" s="48" t="s">
        <v>30</v>
      </c>
      <c r="H222" s="51">
        <v>500</v>
      </c>
      <c r="I222" s="49">
        <v>100</v>
      </c>
      <c r="J222" s="48" t="s">
        <v>31</v>
      </c>
      <c r="K222" s="48" t="s">
        <v>32</v>
      </c>
      <c r="M222" s="126">
        <v>300</v>
      </c>
    </row>
    <row r="223" spans="1:26" ht="15.75" customHeight="1">
      <c r="A223" s="382">
        <v>16</v>
      </c>
      <c r="B223" s="151" t="s">
        <v>2824</v>
      </c>
      <c r="C223" s="151" t="s">
        <v>27</v>
      </c>
      <c r="D223" s="151" t="s">
        <v>123</v>
      </c>
      <c r="E223" s="151" t="s">
        <v>84</v>
      </c>
      <c r="F223" s="151"/>
      <c r="G223" s="151" t="s">
        <v>30</v>
      </c>
      <c r="H223" s="152">
        <v>500</v>
      </c>
      <c r="I223" s="438">
        <v>100</v>
      </c>
      <c r="J223" s="151" t="s">
        <v>31</v>
      </c>
      <c r="K223" s="151" t="s">
        <v>32</v>
      </c>
      <c r="L223" s="383"/>
      <c r="M223" s="383">
        <v>50</v>
      </c>
      <c r="N223" s="383"/>
      <c r="O223" s="383"/>
      <c r="P223" s="794" t="s">
        <v>2825</v>
      </c>
      <c r="Q223" s="719"/>
      <c r="R223" s="383"/>
      <c r="S223" s="383"/>
      <c r="T223" s="383"/>
      <c r="U223" s="383"/>
      <c r="V223" s="383"/>
      <c r="W223" s="383"/>
      <c r="X223" s="383"/>
      <c r="Y223" s="383"/>
      <c r="Z223" s="383"/>
    </row>
    <row r="224" spans="1:26" ht="15.75" customHeight="1">
      <c r="A224" s="50">
        <v>16</v>
      </c>
      <c r="B224" s="151" t="s">
        <v>2826</v>
      </c>
      <c r="C224" s="48" t="s">
        <v>27</v>
      </c>
      <c r="D224" s="48" t="s">
        <v>2248</v>
      </c>
      <c r="E224" s="48" t="s">
        <v>44</v>
      </c>
      <c r="F224" s="48"/>
      <c r="G224" s="48" t="s">
        <v>30</v>
      </c>
      <c r="H224" s="51">
        <v>500</v>
      </c>
      <c r="I224" s="49" t="s">
        <v>1586</v>
      </c>
      <c r="J224" s="48" t="s">
        <v>31</v>
      </c>
      <c r="K224" s="48" t="s">
        <v>32</v>
      </c>
      <c r="M224" s="126">
        <v>800</v>
      </c>
      <c r="P224" s="723" t="s">
        <v>2693</v>
      </c>
      <c r="Q224" s="719"/>
      <c r="R224" s="55"/>
    </row>
    <row r="225" spans="1:26" ht="15.75" customHeight="1">
      <c r="A225" s="50">
        <v>16</v>
      </c>
      <c r="B225" s="151" t="s">
        <v>2826</v>
      </c>
      <c r="C225" s="48" t="s">
        <v>27</v>
      </c>
      <c r="D225" s="48" t="s">
        <v>2248</v>
      </c>
      <c r="E225" s="48" t="s">
        <v>44</v>
      </c>
      <c r="F225" s="48"/>
      <c r="G225" s="48" t="s">
        <v>30</v>
      </c>
      <c r="H225" s="51">
        <v>1500</v>
      </c>
      <c r="I225" s="49">
        <v>300</v>
      </c>
      <c r="J225" s="48" t="s">
        <v>31</v>
      </c>
      <c r="K225" s="48" t="s">
        <v>32</v>
      </c>
      <c r="P225" s="48" t="s">
        <v>33</v>
      </c>
      <c r="Q225" s="51">
        <v>65950</v>
      </c>
    </row>
    <row r="226" spans="1:26" ht="15.75" customHeight="1">
      <c r="A226" s="50">
        <v>16</v>
      </c>
      <c r="B226" s="151" t="s">
        <v>2827</v>
      </c>
      <c r="C226" s="48" t="s">
        <v>27</v>
      </c>
      <c r="D226" s="48" t="s">
        <v>651</v>
      </c>
      <c r="E226" s="48" t="s">
        <v>86</v>
      </c>
      <c r="F226" s="48"/>
      <c r="G226" s="48" t="s">
        <v>30</v>
      </c>
      <c r="H226" s="51">
        <v>1000</v>
      </c>
      <c r="I226" s="49">
        <v>200</v>
      </c>
      <c r="J226" s="48" t="s">
        <v>31</v>
      </c>
      <c r="K226" s="48" t="s">
        <v>32</v>
      </c>
      <c r="M226" s="126">
        <v>80</v>
      </c>
      <c r="P226" s="48" t="s">
        <v>37</v>
      </c>
      <c r="Q226" s="51">
        <v>5400</v>
      </c>
      <c r="R226" s="55"/>
    </row>
    <row r="227" spans="1:26" ht="15.75" customHeight="1">
      <c r="A227" s="50">
        <v>16</v>
      </c>
      <c r="B227" s="151" t="s">
        <v>1728</v>
      </c>
      <c r="C227" s="48" t="s">
        <v>27</v>
      </c>
      <c r="D227" s="48" t="s">
        <v>108</v>
      </c>
      <c r="E227" s="48" t="s">
        <v>36</v>
      </c>
      <c r="F227" s="48"/>
      <c r="G227" s="48" t="s">
        <v>30</v>
      </c>
      <c r="H227" s="51">
        <v>2000</v>
      </c>
      <c r="I227" s="49">
        <v>400</v>
      </c>
      <c r="J227" s="48" t="s">
        <v>31</v>
      </c>
      <c r="K227" s="48" t="s">
        <v>32</v>
      </c>
      <c r="M227" s="126">
        <v>600</v>
      </c>
      <c r="P227" s="723" t="s">
        <v>286</v>
      </c>
      <c r="Q227" s="719"/>
    </row>
    <row r="228" spans="1:26" ht="15.75" customHeight="1">
      <c r="A228" s="50">
        <v>16</v>
      </c>
      <c r="B228" s="151" t="s">
        <v>1728</v>
      </c>
      <c r="C228" s="48" t="s">
        <v>27</v>
      </c>
      <c r="D228" s="48" t="s">
        <v>108</v>
      </c>
      <c r="E228" s="48" t="s">
        <v>36</v>
      </c>
      <c r="F228" s="48"/>
      <c r="G228" s="48" t="s">
        <v>1249</v>
      </c>
      <c r="H228" s="51">
        <v>200</v>
      </c>
      <c r="I228" s="49">
        <v>120</v>
      </c>
      <c r="J228" s="48" t="s">
        <v>31</v>
      </c>
      <c r="K228" s="48" t="s">
        <v>32</v>
      </c>
      <c r="P228" s="48" t="s">
        <v>1346</v>
      </c>
      <c r="Q228" s="51">
        <v>210</v>
      </c>
      <c r="R228" s="55"/>
    </row>
    <row r="229" spans="1:26" ht="15.75" customHeight="1">
      <c r="A229" s="50">
        <v>16</v>
      </c>
      <c r="B229" s="151" t="s">
        <v>1728</v>
      </c>
      <c r="C229" s="48" t="s">
        <v>27</v>
      </c>
      <c r="D229" s="48" t="s">
        <v>108</v>
      </c>
      <c r="E229" s="48" t="s">
        <v>36</v>
      </c>
      <c r="F229" s="48"/>
      <c r="G229" s="379" t="s">
        <v>579</v>
      </c>
      <c r="H229" s="380">
        <v>80</v>
      </c>
      <c r="I229" s="387">
        <v>80</v>
      </c>
      <c r="J229" s="48" t="s">
        <v>31</v>
      </c>
      <c r="K229" s="48" t="s">
        <v>32</v>
      </c>
      <c r="P229" s="54" t="s">
        <v>57</v>
      </c>
      <c r="Q229" s="51">
        <v>40</v>
      </c>
    </row>
    <row r="230" spans="1:26" ht="15.75" customHeight="1">
      <c r="A230" s="50">
        <v>16</v>
      </c>
      <c r="B230" s="151" t="s">
        <v>2025</v>
      </c>
      <c r="C230" s="48" t="s">
        <v>27</v>
      </c>
      <c r="D230" s="48" t="s">
        <v>990</v>
      </c>
      <c r="E230" s="48" t="s">
        <v>73</v>
      </c>
      <c r="F230" s="48"/>
      <c r="G230" s="48" t="s">
        <v>30</v>
      </c>
      <c r="H230" s="51">
        <v>500</v>
      </c>
      <c r="I230" s="49">
        <v>100</v>
      </c>
      <c r="J230" s="48" t="s">
        <v>31</v>
      </c>
      <c r="K230" s="48" t="s">
        <v>32</v>
      </c>
      <c r="M230" s="126">
        <v>300</v>
      </c>
      <c r="P230" s="772" t="s">
        <v>2828</v>
      </c>
      <c r="Q230" s="719"/>
    </row>
    <row r="231" spans="1:26" ht="15.75" customHeight="1">
      <c r="A231" s="50">
        <v>16</v>
      </c>
      <c r="B231" s="151" t="s">
        <v>2025</v>
      </c>
      <c r="C231" s="48" t="s">
        <v>27</v>
      </c>
      <c r="D231" s="48" t="s">
        <v>990</v>
      </c>
      <c r="E231" s="48" t="s">
        <v>73</v>
      </c>
      <c r="F231" s="48"/>
      <c r="G231" s="48" t="s">
        <v>1249</v>
      </c>
      <c r="H231" s="51">
        <v>100</v>
      </c>
      <c r="I231" s="49">
        <v>60</v>
      </c>
      <c r="J231" s="48" t="s">
        <v>31</v>
      </c>
      <c r="K231" s="48" t="s">
        <v>32</v>
      </c>
      <c r="P231" s="48" t="s">
        <v>33</v>
      </c>
      <c r="Q231" s="51">
        <v>1300</v>
      </c>
      <c r="R231" s="55"/>
    </row>
    <row r="232" spans="1:26" ht="15.75" customHeight="1">
      <c r="A232" s="50">
        <v>16</v>
      </c>
      <c r="B232" s="151" t="s">
        <v>2025</v>
      </c>
      <c r="C232" s="48" t="s">
        <v>27</v>
      </c>
      <c r="D232" s="48" t="s">
        <v>990</v>
      </c>
      <c r="E232" s="48" t="s">
        <v>73</v>
      </c>
      <c r="F232" s="386"/>
      <c r="G232" s="379" t="s">
        <v>579</v>
      </c>
      <c r="H232" s="380">
        <v>400</v>
      </c>
      <c r="I232" s="387">
        <v>400</v>
      </c>
      <c r="J232" s="48" t="s">
        <v>31</v>
      </c>
      <c r="K232" s="48" t="s">
        <v>32</v>
      </c>
      <c r="L232" s="370"/>
      <c r="M232" s="370"/>
      <c r="N232" s="370"/>
      <c r="O232" s="370"/>
      <c r="P232" s="48"/>
      <c r="Q232" s="386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5.75" customHeight="1">
      <c r="A233" s="50">
        <v>16</v>
      </c>
      <c r="B233" s="151" t="s">
        <v>2829</v>
      </c>
      <c r="C233" s="48" t="s">
        <v>27</v>
      </c>
      <c r="D233" s="48" t="s">
        <v>153</v>
      </c>
      <c r="E233" s="48" t="s">
        <v>36</v>
      </c>
      <c r="F233" s="48"/>
      <c r="G233" s="48" t="s">
        <v>30</v>
      </c>
      <c r="H233" s="51">
        <v>3000</v>
      </c>
      <c r="I233" s="49">
        <v>600</v>
      </c>
      <c r="J233" s="48" t="s">
        <v>31</v>
      </c>
      <c r="K233" s="48" t="s">
        <v>32</v>
      </c>
      <c r="M233" s="126">
        <v>250</v>
      </c>
      <c r="P233" s="772" t="s">
        <v>586</v>
      </c>
      <c r="Q233" s="719"/>
    </row>
    <row r="234" spans="1:26" ht="15.75" customHeight="1">
      <c r="A234" s="50">
        <v>16</v>
      </c>
      <c r="B234" s="151" t="s">
        <v>2830</v>
      </c>
      <c r="C234" s="48" t="s">
        <v>27</v>
      </c>
      <c r="D234" s="48" t="s">
        <v>88</v>
      </c>
      <c r="E234" s="48" t="s">
        <v>84</v>
      </c>
      <c r="F234" s="48"/>
      <c r="G234" s="48" t="s">
        <v>30</v>
      </c>
      <c r="H234" s="51">
        <v>500</v>
      </c>
      <c r="I234" s="49">
        <v>100</v>
      </c>
      <c r="J234" s="48" t="s">
        <v>31</v>
      </c>
      <c r="K234" s="48" t="s">
        <v>32</v>
      </c>
      <c r="M234" s="126">
        <v>100</v>
      </c>
      <c r="P234" s="48" t="s">
        <v>33</v>
      </c>
      <c r="Q234" s="48">
        <v>400</v>
      </c>
    </row>
    <row r="235" spans="1:26" ht="15.75" customHeight="1">
      <c r="A235" s="50">
        <v>16</v>
      </c>
      <c r="B235" s="151" t="s">
        <v>1372</v>
      </c>
      <c r="C235" s="48" t="s">
        <v>27</v>
      </c>
      <c r="D235" s="48" t="s">
        <v>1373</v>
      </c>
      <c r="E235" s="48" t="s">
        <v>56</v>
      </c>
      <c r="F235" s="48"/>
      <c r="G235" s="48" t="s">
        <v>30</v>
      </c>
      <c r="H235" s="51">
        <v>300</v>
      </c>
      <c r="I235" s="49" t="s">
        <v>1586</v>
      </c>
      <c r="J235" s="48" t="s">
        <v>31</v>
      </c>
      <c r="K235" s="48" t="s">
        <v>32</v>
      </c>
      <c r="M235" s="126">
        <v>150</v>
      </c>
      <c r="P235" s="48" t="s">
        <v>37</v>
      </c>
      <c r="Q235" s="48">
        <v>50</v>
      </c>
    </row>
    <row r="236" spans="1:26" ht="15.75" customHeight="1">
      <c r="A236" s="50">
        <v>16</v>
      </c>
      <c r="B236" s="151" t="s">
        <v>1372</v>
      </c>
      <c r="C236" s="48" t="s">
        <v>27</v>
      </c>
      <c r="D236" s="48" t="s">
        <v>1373</v>
      </c>
      <c r="E236" s="48" t="s">
        <v>56</v>
      </c>
      <c r="F236" s="58"/>
      <c r="G236" s="388" t="s">
        <v>579</v>
      </c>
      <c r="H236" s="389">
        <v>50</v>
      </c>
      <c r="I236" s="390" t="s">
        <v>1586</v>
      </c>
      <c r="J236" s="48" t="s">
        <v>31</v>
      </c>
      <c r="K236" s="48" t="s">
        <v>32</v>
      </c>
    </row>
    <row r="237" spans="1:26" ht="15.75" customHeight="1">
      <c r="A237" s="61">
        <v>17</v>
      </c>
      <c r="B237" s="292" t="s">
        <v>2831</v>
      </c>
      <c r="C237" s="62" t="s">
        <v>27</v>
      </c>
      <c r="D237" s="62" t="s">
        <v>232</v>
      </c>
      <c r="E237" s="62" t="s">
        <v>169</v>
      </c>
      <c r="F237" s="62"/>
      <c r="G237" s="62" t="s">
        <v>30</v>
      </c>
      <c r="H237" s="63">
        <v>7000</v>
      </c>
      <c r="I237" s="64">
        <v>1400</v>
      </c>
      <c r="J237" s="62" t="s">
        <v>31</v>
      </c>
      <c r="K237" s="62" t="s">
        <v>32</v>
      </c>
      <c r="M237" s="126">
        <v>2500</v>
      </c>
    </row>
    <row r="238" spans="1:26" ht="15.75" customHeight="1">
      <c r="A238" s="50">
        <v>17</v>
      </c>
      <c r="B238" s="151" t="s">
        <v>697</v>
      </c>
      <c r="C238" s="48" t="s">
        <v>27</v>
      </c>
      <c r="D238" s="48" t="s">
        <v>98</v>
      </c>
      <c r="E238" s="48" t="s">
        <v>36</v>
      </c>
      <c r="F238" s="48"/>
      <c r="G238" s="48" t="s">
        <v>30</v>
      </c>
      <c r="H238" s="51">
        <v>1500</v>
      </c>
      <c r="I238" s="49">
        <v>300</v>
      </c>
      <c r="J238" s="48" t="s">
        <v>31</v>
      </c>
      <c r="K238" s="48" t="s">
        <v>32</v>
      </c>
      <c r="M238" s="126">
        <v>300</v>
      </c>
    </row>
    <row r="239" spans="1:26" ht="15.75" customHeight="1">
      <c r="A239" s="50">
        <v>17</v>
      </c>
      <c r="B239" s="151" t="s">
        <v>1126</v>
      </c>
      <c r="C239" s="48" t="s">
        <v>27</v>
      </c>
      <c r="D239" s="48" t="s">
        <v>659</v>
      </c>
      <c r="E239" s="48" t="s">
        <v>86</v>
      </c>
      <c r="F239" s="48"/>
      <c r="G239" s="48" t="s">
        <v>30</v>
      </c>
      <c r="H239" s="51">
        <v>500</v>
      </c>
      <c r="I239" s="49">
        <v>100</v>
      </c>
      <c r="J239" s="48" t="s">
        <v>31</v>
      </c>
      <c r="K239" s="48" t="s">
        <v>32</v>
      </c>
    </row>
    <row r="240" spans="1:26" ht="15.75" customHeight="1">
      <c r="A240" s="50">
        <v>17</v>
      </c>
      <c r="B240" s="151" t="s">
        <v>2832</v>
      </c>
      <c r="C240" s="48" t="s">
        <v>27</v>
      </c>
      <c r="D240" s="48" t="s">
        <v>88</v>
      </c>
      <c r="E240" s="48" t="s">
        <v>84</v>
      </c>
      <c r="F240" s="48"/>
      <c r="G240" s="48" t="s">
        <v>30</v>
      </c>
      <c r="H240" s="51">
        <v>1000</v>
      </c>
      <c r="I240" s="49">
        <v>200</v>
      </c>
      <c r="J240" s="48" t="s">
        <v>31</v>
      </c>
      <c r="K240" s="48" t="s">
        <v>32</v>
      </c>
      <c r="M240" s="126">
        <v>200</v>
      </c>
    </row>
    <row r="241" spans="1:13" ht="15.75" customHeight="1">
      <c r="A241" s="50">
        <v>17</v>
      </c>
      <c r="B241" s="151" t="s">
        <v>445</v>
      </c>
      <c r="C241" s="48" t="s">
        <v>27</v>
      </c>
      <c r="D241" s="48" t="s">
        <v>106</v>
      </c>
      <c r="E241" s="48" t="s">
        <v>86</v>
      </c>
      <c r="F241" s="48"/>
      <c r="G241" s="48" t="s">
        <v>30</v>
      </c>
      <c r="H241" s="51">
        <v>200</v>
      </c>
      <c r="I241" s="49">
        <v>40</v>
      </c>
      <c r="J241" s="48" t="s">
        <v>31</v>
      </c>
      <c r="K241" s="48" t="s">
        <v>32</v>
      </c>
      <c r="M241" s="126">
        <v>40</v>
      </c>
    </row>
    <row r="242" spans="1:13" ht="15.75" customHeight="1">
      <c r="A242" s="50">
        <v>17</v>
      </c>
      <c r="B242" s="151" t="s">
        <v>2833</v>
      </c>
      <c r="C242" s="48" t="s">
        <v>27</v>
      </c>
      <c r="D242" s="48" t="s">
        <v>1337</v>
      </c>
      <c r="E242" s="48" t="s">
        <v>36</v>
      </c>
      <c r="F242" s="48"/>
      <c r="G242" s="48" t="s">
        <v>30</v>
      </c>
      <c r="H242" s="51">
        <v>500</v>
      </c>
      <c r="I242" s="49">
        <v>100</v>
      </c>
      <c r="J242" s="48" t="s">
        <v>31</v>
      </c>
      <c r="K242" s="48" t="s">
        <v>32</v>
      </c>
      <c r="M242" s="126">
        <v>100</v>
      </c>
    </row>
    <row r="243" spans="1:13" ht="15.75" customHeight="1">
      <c r="A243" s="50">
        <v>17</v>
      </c>
      <c r="B243" s="151" t="s">
        <v>2834</v>
      </c>
      <c r="C243" s="48" t="s">
        <v>27</v>
      </c>
      <c r="D243" s="48" t="s">
        <v>232</v>
      </c>
      <c r="E243" s="48" t="s">
        <v>79</v>
      </c>
      <c r="F243" s="48"/>
      <c r="G243" s="48" t="s">
        <v>30</v>
      </c>
      <c r="H243" s="51">
        <v>500</v>
      </c>
      <c r="I243" s="49" t="s">
        <v>1586</v>
      </c>
      <c r="J243" s="48" t="s">
        <v>31</v>
      </c>
      <c r="K243" s="48" t="s">
        <v>32</v>
      </c>
      <c r="M243" s="126">
        <v>30</v>
      </c>
    </row>
    <row r="244" spans="1:13" ht="15.75" customHeight="1">
      <c r="A244" s="50">
        <v>17</v>
      </c>
      <c r="B244" s="151" t="s">
        <v>2834</v>
      </c>
      <c r="C244" s="48" t="s">
        <v>27</v>
      </c>
      <c r="D244" s="48" t="s">
        <v>232</v>
      </c>
      <c r="E244" s="48" t="s">
        <v>79</v>
      </c>
      <c r="F244" s="48"/>
      <c r="G244" s="48" t="s">
        <v>30</v>
      </c>
      <c r="H244" s="51">
        <v>2500</v>
      </c>
      <c r="I244" s="49">
        <v>500</v>
      </c>
      <c r="J244" s="48" t="s">
        <v>31</v>
      </c>
      <c r="K244" s="48" t="s">
        <v>32</v>
      </c>
    </row>
    <row r="245" spans="1:13" ht="15.75" customHeight="1">
      <c r="A245" s="50">
        <v>17</v>
      </c>
      <c r="B245" s="151" t="s">
        <v>2835</v>
      </c>
      <c r="C245" s="48" t="s">
        <v>39</v>
      </c>
      <c r="D245" s="48" t="s">
        <v>2836</v>
      </c>
      <c r="E245" s="48" t="s">
        <v>79</v>
      </c>
      <c r="F245" s="48"/>
      <c r="G245" s="48" t="s">
        <v>30</v>
      </c>
      <c r="H245" s="51">
        <v>500</v>
      </c>
      <c r="I245" s="49" t="s">
        <v>1586</v>
      </c>
      <c r="J245" s="48" t="s">
        <v>31</v>
      </c>
      <c r="K245" s="48" t="s">
        <v>32</v>
      </c>
      <c r="M245" s="126">
        <v>25</v>
      </c>
    </row>
    <row r="246" spans="1:13" ht="15.75" customHeight="1">
      <c r="A246" s="50">
        <v>17</v>
      </c>
      <c r="B246" s="151" t="s">
        <v>2835</v>
      </c>
      <c r="C246" s="48" t="s">
        <v>39</v>
      </c>
      <c r="D246" s="48" t="s">
        <v>2836</v>
      </c>
      <c r="E246" s="48" t="s">
        <v>79</v>
      </c>
      <c r="F246" s="48"/>
      <c r="G246" s="48" t="s">
        <v>30</v>
      </c>
      <c r="H246" s="51">
        <v>1000</v>
      </c>
      <c r="I246" s="49">
        <v>200</v>
      </c>
      <c r="J246" s="48" t="s">
        <v>31</v>
      </c>
      <c r="K246" s="48" t="s">
        <v>32</v>
      </c>
    </row>
    <row r="247" spans="1:13" ht="15.75" customHeight="1">
      <c r="A247" s="50">
        <v>17</v>
      </c>
      <c r="B247" s="151" t="s">
        <v>2837</v>
      </c>
      <c r="C247" s="48" t="s">
        <v>27</v>
      </c>
      <c r="D247" s="48" t="s">
        <v>100</v>
      </c>
      <c r="E247" s="48" t="s">
        <v>68</v>
      </c>
      <c r="F247" s="48"/>
      <c r="G247" s="48" t="s">
        <v>30</v>
      </c>
      <c r="H247" s="51">
        <v>7000</v>
      </c>
      <c r="I247" s="49">
        <v>1400</v>
      </c>
      <c r="J247" s="48" t="s">
        <v>31</v>
      </c>
      <c r="K247" s="48" t="s">
        <v>32</v>
      </c>
      <c r="M247" s="126">
        <v>2000</v>
      </c>
    </row>
    <row r="248" spans="1:13" ht="15.75" customHeight="1">
      <c r="A248" s="50">
        <v>17</v>
      </c>
      <c r="B248" s="151" t="s">
        <v>2254</v>
      </c>
      <c r="C248" s="48" t="s">
        <v>27</v>
      </c>
      <c r="D248" s="48" t="s">
        <v>2838</v>
      </c>
      <c r="E248" s="48" t="s">
        <v>145</v>
      </c>
      <c r="F248" s="48"/>
      <c r="G248" s="48" t="s">
        <v>30</v>
      </c>
      <c r="H248" s="51">
        <v>3000</v>
      </c>
      <c r="I248" s="49">
        <v>600</v>
      </c>
      <c r="J248" s="48" t="s">
        <v>31</v>
      </c>
      <c r="K248" s="48" t="s">
        <v>32</v>
      </c>
      <c r="M248" s="126">
        <v>1600</v>
      </c>
    </row>
    <row r="249" spans="1:13" ht="15.75" customHeight="1">
      <c r="A249" s="50">
        <v>17</v>
      </c>
      <c r="B249" s="151" t="s">
        <v>2839</v>
      </c>
      <c r="C249" s="48" t="s">
        <v>27</v>
      </c>
      <c r="D249" s="48" t="s">
        <v>363</v>
      </c>
      <c r="E249" s="48" t="s">
        <v>102</v>
      </c>
      <c r="F249" s="48"/>
      <c r="G249" s="48" t="s">
        <v>30</v>
      </c>
      <c r="H249" s="51">
        <v>1500</v>
      </c>
      <c r="I249" s="49">
        <v>300</v>
      </c>
      <c r="J249" s="48" t="s">
        <v>31</v>
      </c>
      <c r="K249" s="48" t="s">
        <v>32</v>
      </c>
      <c r="M249" s="126">
        <v>300</v>
      </c>
    </row>
    <row r="250" spans="1:13" ht="15.75" customHeight="1">
      <c r="A250" s="50">
        <v>17</v>
      </c>
      <c r="B250" s="151" t="s">
        <v>2840</v>
      </c>
      <c r="C250" s="48" t="s">
        <v>27</v>
      </c>
      <c r="D250" s="48" t="s">
        <v>1196</v>
      </c>
      <c r="E250" s="48" t="s">
        <v>73</v>
      </c>
      <c r="F250" s="48"/>
      <c r="G250" s="48" t="s">
        <v>30</v>
      </c>
      <c r="H250" s="51">
        <v>600</v>
      </c>
      <c r="I250" s="49">
        <v>120</v>
      </c>
      <c r="J250" s="48" t="s">
        <v>31</v>
      </c>
      <c r="K250" s="48" t="s">
        <v>32</v>
      </c>
      <c r="M250" s="126">
        <v>150</v>
      </c>
    </row>
    <row r="251" spans="1:13" ht="15.75" customHeight="1">
      <c r="A251" s="50">
        <v>17</v>
      </c>
      <c r="B251" s="151" t="s">
        <v>2841</v>
      </c>
      <c r="C251" s="48" t="s">
        <v>27</v>
      </c>
      <c r="D251" s="48" t="s">
        <v>1656</v>
      </c>
      <c r="E251" s="48" t="s">
        <v>237</v>
      </c>
      <c r="F251" s="48"/>
      <c r="G251" s="48" t="s">
        <v>30</v>
      </c>
      <c r="H251" s="51">
        <v>400</v>
      </c>
      <c r="I251" s="49">
        <v>120</v>
      </c>
      <c r="J251" s="48" t="s">
        <v>31</v>
      </c>
      <c r="K251" s="48" t="s">
        <v>32</v>
      </c>
      <c r="M251" s="126">
        <v>100</v>
      </c>
    </row>
    <row r="252" spans="1:13" ht="15.75" customHeight="1">
      <c r="A252" s="50">
        <v>17</v>
      </c>
      <c r="B252" s="151" t="s">
        <v>2842</v>
      </c>
      <c r="C252" s="48" t="s">
        <v>27</v>
      </c>
      <c r="D252" s="48" t="s">
        <v>88</v>
      </c>
      <c r="E252" s="48" t="s">
        <v>84</v>
      </c>
      <c r="F252" s="48"/>
      <c r="G252" s="48" t="s">
        <v>30</v>
      </c>
      <c r="H252" s="51">
        <v>1000</v>
      </c>
      <c r="I252" s="49">
        <v>200</v>
      </c>
      <c r="J252" s="48" t="s">
        <v>31</v>
      </c>
      <c r="K252" s="48" t="s">
        <v>32</v>
      </c>
      <c r="M252" s="126">
        <v>200</v>
      </c>
    </row>
    <row r="253" spans="1:13" ht="15.75" customHeight="1">
      <c r="A253" s="50">
        <v>17</v>
      </c>
      <c r="B253" s="48" t="s">
        <v>2843</v>
      </c>
      <c r="C253" s="48" t="s">
        <v>39</v>
      </c>
      <c r="D253" s="48" t="s">
        <v>96</v>
      </c>
      <c r="E253" s="48" t="s">
        <v>44</v>
      </c>
      <c r="F253" s="48"/>
      <c r="G253" s="48" t="s">
        <v>30</v>
      </c>
      <c r="H253" s="51">
        <v>2000</v>
      </c>
      <c r="I253" s="49">
        <v>400</v>
      </c>
      <c r="J253" s="48" t="s">
        <v>31</v>
      </c>
      <c r="K253" s="48" t="s">
        <v>32</v>
      </c>
      <c r="M253" s="126">
        <v>400</v>
      </c>
    </row>
    <row r="254" spans="1:13" ht="15.75" customHeight="1">
      <c r="A254" s="50">
        <v>17</v>
      </c>
      <c r="B254" s="151" t="s">
        <v>2844</v>
      </c>
      <c r="C254" s="48" t="s">
        <v>39</v>
      </c>
      <c r="D254" s="48" t="s">
        <v>100</v>
      </c>
      <c r="E254" s="48" t="s">
        <v>145</v>
      </c>
      <c r="F254" s="48"/>
      <c r="G254" s="48" t="s">
        <v>30</v>
      </c>
      <c r="H254" s="51">
        <v>500</v>
      </c>
      <c r="I254" s="49">
        <v>100</v>
      </c>
      <c r="J254" s="48" t="s">
        <v>31</v>
      </c>
      <c r="K254" s="48" t="s">
        <v>32</v>
      </c>
      <c r="M254" s="126">
        <v>100</v>
      </c>
    </row>
    <row r="255" spans="1:13" ht="15.75" customHeight="1">
      <c r="A255" s="50">
        <v>17</v>
      </c>
      <c r="B255" s="151" t="s">
        <v>802</v>
      </c>
      <c r="C255" s="48" t="s">
        <v>27</v>
      </c>
      <c r="D255" s="48" t="s">
        <v>211</v>
      </c>
      <c r="E255" s="48" t="s">
        <v>245</v>
      </c>
      <c r="F255" s="48"/>
      <c r="G255" s="48" t="s">
        <v>30</v>
      </c>
      <c r="H255" s="51">
        <v>1000</v>
      </c>
      <c r="I255" s="49">
        <v>200</v>
      </c>
      <c r="J255" s="48" t="s">
        <v>31</v>
      </c>
      <c r="K255" s="48" t="s">
        <v>32</v>
      </c>
      <c r="M255" s="126">
        <v>300</v>
      </c>
    </row>
    <row r="256" spans="1:13" ht="15.75" customHeight="1">
      <c r="A256" s="50">
        <v>17</v>
      </c>
      <c r="B256" s="151" t="s">
        <v>2845</v>
      </c>
      <c r="C256" s="48" t="s">
        <v>27</v>
      </c>
      <c r="D256" s="48" t="s">
        <v>104</v>
      </c>
      <c r="E256" s="48" t="s">
        <v>36</v>
      </c>
      <c r="F256" s="48"/>
      <c r="G256" s="48" t="s">
        <v>30</v>
      </c>
      <c r="H256" s="51">
        <v>2900</v>
      </c>
      <c r="I256" s="49">
        <v>580</v>
      </c>
      <c r="J256" s="48" t="s">
        <v>31</v>
      </c>
      <c r="K256" s="48" t="s">
        <v>32</v>
      </c>
      <c r="M256" s="126">
        <v>1200</v>
      </c>
    </row>
    <row r="257" spans="1:13" ht="15.75" customHeight="1">
      <c r="A257" s="50">
        <v>17</v>
      </c>
      <c r="B257" s="151" t="s">
        <v>2845</v>
      </c>
      <c r="C257" s="48" t="s">
        <v>27</v>
      </c>
      <c r="D257" s="48" t="s">
        <v>104</v>
      </c>
      <c r="E257" s="48" t="s">
        <v>36</v>
      </c>
      <c r="F257" s="48"/>
      <c r="G257" s="48" t="s">
        <v>1249</v>
      </c>
      <c r="H257" s="51">
        <v>100</v>
      </c>
      <c r="I257" s="49">
        <v>60</v>
      </c>
      <c r="J257" s="48" t="s">
        <v>31</v>
      </c>
      <c r="K257" s="48" t="s">
        <v>32</v>
      </c>
    </row>
    <row r="258" spans="1:13" ht="15.75" customHeight="1">
      <c r="A258" s="50">
        <v>17</v>
      </c>
      <c r="B258" s="151" t="s">
        <v>2846</v>
      </c>
      <c r="C258" s="48" t="s">
        <v>27</v>
      </c>
      <c r="D258" s="48" t="s">
        <v>1320</v>
      </c>
      <c r="E258" s="48" t="s">
        <v>44</v>
      </c>
      <c r="F258" s="48"/>
      <c r="G258" s="48" t="s">
        <v>30</v>
      </c>
      <c r="H258" s="51">
        <v>50</v>
      </c>
      <c r="I258" s="49" t="s">
        <v>1586</v>
      </c>
      <c r="J258" s="48" t="s">
        <v>31</v>
      </c>
      <c r="K258" s="48" t="s">
        <v>32</v>
      </c>
      <c r="M258" s="126">
        <v>10</v>
      </c>
    </row>
    <row r="259" spans="1:13" ht="15.75" customHeight="1">
      <c r="A259" s="50">
        <v>17</v>
      </c>
      <c r="B259" s="151" t="s">
        <v>2847</v>
      </c>
      <c r="C259" s="48" t="s">
        <v>27</v>
      </c>
      <c r="D259" s="48" t="s">
        <v>88</v>
      </c>
      <c r="E259" s="48" t="s">
        <v>89</v>
      </c>
      <c r="F259" s="48"/>
      <c r="G259" s="48" t="s">
        <v>30</v>
      </c>
      <c r="H259" s="51">
        <v>500</v>
      </c>
      <c r="I259" s="49" t="s">
        <v>1586</v>
      </c>
      <c r="J259" s="48" t="s">
        <v>31</v>
      </c>
      <c r="K259" s="48" t="s">
        <v>32</v>
      </c>
      <c r="M259" s="126">
        <v>100</v>
      </c>
    </row>
    <row r="260" spans="1:13" ht="15.75" customHeight="1">
      <c r="A260" s="50">
        <v>17</v>
      </c>
      <c r="B260" s="151" t="s">
        <v>2848</v>
      </c>
      <c r="C260" s="48" t="s">
        <v>27</v>
      </c>
      <c r="D260" s="48" t="s">
        <v>88</v>
      </c>
      <c r="E260" s="48" t="s">
        <v>89</v>
      </c>
      <c r="F260" s="48"/>
      <c r="G260" s="48" t="s">
        <v>30</v>
      </c>
      <c r="H260" s="51">
        <v>500</v>
      </c>
      <c r="I260" s="49" t="s">
        <v>1586</v>
      </c>
      <c r="J260" s="48" t="s">
        <v>31</v>
      </c>
      <c r="K260" s="48" t="s">
        <v>32</v>
      </c>
      <c r="M260" s="126">
        <v>100</v>
      </c>
    </row>
    <row r="261" spans="1:13" ht="15.75" customHeight="1">
      <c r="A261" s="50">
        <v>17</v>
      </c>
      <c r="B261" s="151" t="s">
        <v>2849</v>
      </c>
      <c r="C261" s="48" t="s">
        <v>27</v>
      </c>
      <c r="D261" s="48" t="s">
        <v>88</v>
      </c>
      <c r="E261" s="48" t="s">
        <v>89</v>
      </c>
      <c r="F261" s="48"/>
      <c r="G261" s="48" t="s">
        <v>30</v>
      </c>
      <c r="H261" s="51">
        <v>500</v>
      </c>
      <c r="I261" s="49" t="s">
        <v>1586</v>
      </c>
      <c r="J261" s="48" t="s">
        <v>31</v>
      </c>
      <c r="K261" s="48" t="s">
        <v>32</v>
      </c>
      <c r="M261" s="126">
        <v>100</v>
      </c>
    </row>
    <row r="262" spans="1:13" ht="15.75" customHeight="1">
      <c r="A262" s="50">
        <v>17</v>
      </c>
      <c r="B262" s="151" t="s">
        <v>2850</v>
      </c>
      <c r="C262" s="48" t="s">
        <v>27</v>
      </c>
      <c r="D262" s="48" t="s">
        <v>88</v>
      </c>
      <c r="E262" s="48" t="s">
        <v>89</v>
      </c>
      <c r="F262" s="48"/>
      <c r="G262" s="48" t="s">
        <v>30</v>
      </c>
      <c r="H262" s="51">
        <v>500</v>
      </c>
      <c r="I262" s="49" t="s">
        <v>1586</v>
      </c>
      <c r="J262" s="48" t="s">
        <v>31</v>
      </c>
      <c r="K262" s="48" t="s">
        <v>32</v>
      </c>
      <c r="M262" s="126">
        <v>100</v>
      </c>
    </row>
    <row r="263" spans="1:13" ht="15.75" customHeight="1">
      <c r="A263" s="50">
        <v>17</v>
      </c>
      <c r="B263" s="151" t="s">
        <v>2851</v>
      </c>
      <c r="C263" s="48" t="s">
        <v>27</v>
      </c>
      <c r="D263" s="48" t="s">
        <v>88</v>
      </c>
      <c r="E263" s="48" t="s">
        <v>89</v>
      </c>
      <c r="F263" s="48"/>
      <c r="G263" s="48" t="s">
        <v>30</v>
      </c>
      <c r="H263" s="51">
        <v>500</v>
      </c>
      <c r="I263" s="49" t="s">
        <v>1586</v>
      </c>
      <c r="J263" s="48" t="s">
        <v>31</v>
      </c>
      <c r="K263" s="48" t="s">
        <v>32</v>
      </c>
      <c r="M263" s="126">
        <v>100</v>
      </c>
    </row>
    <row r="264" spans="1:13" ht="15.75" customHeight="1">
      <c r="A264" s="65">
        <v>17</v>
      </c>
      <c r="B264" s="175" t="s">
        <v>2852</v>
      </c>
      <c r="C264" s="58" t="s">
        <v>27</v>
      </c>
      <c r="D264" s="58" t="s">
        <v>88</v>
      </c>
      <c r="E264" s="58" t="s">
        <v>89</v>
      </c>
      <c r="F264" s="58"/>
      <c r="G264" s="58" t="s">
        <v>30</v>
      </c>
      <c r="H264" s="59">
        <v>500</v>
      </c>
      <c r="I264" s="60" t="s">
        <v>1586</v>
      </c>
      <c r="J264" s="58" t="s">
        <v>31</v>
      </c>
      <c r="K264" s="58" t="s">
        <v>32</v>
      </c>
      <c r="M264" s="126">
        <v>100</v>
      </c>
    </row>
    <row r="265" spans="1:13" ht="15.75" customHeight="1">
      <c r="A265" s="61">
        <v>18</v>
      </c>
      <c r="B265" s="292" t="s">
        <v>2853</v>
      </c>
      <c r="C265" s="62" t="s">
        <v>27</v>
      </c>
      <c r="D265" s="62" t="s">
        <v>2070</v>
      </c>
      <c r="E265" s="62" t="s">
        <v>84</v>
      </c>
      <c r="F265" s="62"/>
      <c r="G265" s="62" t="s">
        <v>30</v>
      </c>
      <c r="H265" s="63">
        <v>5000</v>
      </c>
      <c r="I265" s="64">
        <v>1000</v>
      </c>
      <c r="J265" s="62" t="s">
        <v>31</v>
      </c>
      <c r="K265" s="62" t="s">
        <v>32</v>
      </c>
      <c r="M265" s="126">
        <v>824</v>
      </c>
    </row>
    <row r="266" spans="1:13" ht="15.75" customHeight="1">
      <c r="A266" s="50">
        <v>18</v>
      </c>
      <c r="B266" s="151" t="s">
        <v>2854</v>
      </c>
      <c r="C266" s="48" t="s">
        <v>27</v>
      </c>
      <c r="D266" s="48" t="s">
        <v>53</v>
      </c>
      <c r="E266" s="48" t="s">
        <v>54</v>
      </c>
      <c r="F266" s="48"/>
      <c r="G266" s="48" t="s">
        <v>30</v>
      </c>
      <c r="H266" s="51">
        <v>1000</v>
      </c>
      <c r="I266" s="49">
        <v>200</v>
      </c>
      <c r="J266" s="48" t="s">
        <v>31</v>
      </c>
      <c r="K266" s="48" t="s">
        <v>32</v>
      </c>
      <c r="M266" s="126">
        <v>200</v>
      </c>
    </row>
    <row r="267" spans="1:13" ht="15.75" customHeight="1">
      <c r="A267" s="50">
        <v>18</v>
      </c>
      <c r="B267" s="151" t="s">
        <v>2855</v>
      </c>
      <c r="C267" s="48" t="s">
        <v>27</v>
      </c>
      <c r="D267" s="48" t="s">
        <v>2856</v>
      </c>
      <c r="E267" s="48" t="s">
        <v>36</v>
      </c>
      <c r="F267" s="48"/>
      <c r="G267" s="48" t="s">
        <v>30</v>
      </c>
      <c r="H267" s="51">
        <v>1500</v>
      </c>
      <c r="I267" s="49">
        <v>300</v>
      </c>
      <c r="J267" s="48" t="s">
        <v>31</v>
      </c>
      <c r="K267" s="48" t="s">
        <v>32</v>
      </c>
      <c r="M267" s="126">
        <v>300</v>
      </c>
    </row>
    <row r="268" spans="1:13" ht="15.75" customHeight="1">
      <c r="A268" s="50">
        <v>18</v>
      </c>
      <c r="B268" s="151" t="s">
        <v>2857</v>
      </c>
      <c r="C268" s="48" t="s">
        <v>27</v>
      </c>
      <c r="D268" s="48" t="s">
        <v>319</v>
      </c>
      <c r="E268" s="48" t="s">
        <v>36</v>
      </c>
      <c r="F268" s="48"/>
      <c r="G268" s="48" t="s">
        <v>30</v>
      </c>
      <c r="H268" s="51">
        <v>1000</v>
      </c>
      <c r="I268" s="49">
        <v>200</v>
      </c>
      <c r="J268" s="48" t="s">
        <v>31</v>
      </c>
      <c r="K268" s="48" t="s">
        <v>32</v>
      </c>
      <c r="M268" s="126">
        <v>300</v>
      </c>
    </row>
    <row r="269" spans="1:13" ht="15.75" customHeight="1">
      <c r="A269" s="50">
        <v>18</v>
      </c>
      <c r="B269" s="151" t="s">
        <v>2858</v>
      </c>
      <c r="C269" s="48" t="s">
        <v>27</v>
      </c>
      <c r="D269" s="48" t="s">
        <v>232</v>
      </c>
      <c r="E269" s="48" t="s">
        <v>68</v>
      </c>
      <c r="F269" s="48"/>
      <c r="G269" s="48" t="s">
        <v>30</v>
      </c>
      <c r="H269" s="51">
        <v>2000</v>
      </c>
      <c r="I269" s="49">
        <v>400</v>
      </c>
      <c r="J269" s="48" t="s">
        <v>31</v>
      </c>
      <c r="K269" s="48" t="s">
        <v>32</v>
      </c>
      <c r="M269" s="126">
        <v>1600</v>
      </c>
    </row>
    <row r="270" spans="1:13" ht="15.75" customHeight="1">
      <c r="A270" s="50">
        <v>18</v>
      </c>
      <c r="B270" s="151" t="s">
        <v>2859</v>
      </c>
      <c r="C270" s="48" t="s">
        <v>27</v>
      </c>
      <c r="D270" s="48" t="s">
        <v>434</v>
      </c>
      <c r="E270" s="48" t="s">
        <v>36</v>
      </c>
      <c r="F270" s="48"/>
      <c r="G270" s="48" t="s">
        <v>30</v>
      </c>
      <c r="H270" s="51">
        <v>1000</v>
      </c>
      <c r="I270" s="49">
        <v>200</v>
      </c>
      <c r="J270" s="48" t="s">
        <v>31</v>
      </c>
      <c r="K270" s="48" t="s">
        <v>32</v>
      </c>
      <c r="M270" s="126">
        <v>150</v>
      </c>
    </row>
    <row r="271" spans="1:13" ht="15.75" customHeight="1">
      <c r="A271" s="50">
        <v>18</v>
      </c>
      <c r="B271" s="151" t="s">
        <v>2860</v>
      </c>
      <c r="C271" s="48" t="s">
        <v>27</v>
      </c>
      <c r="D271" s="48" t="s">
        <v>2861</v>
      </c>
      <c r="E271" s="48" t="s">
        <v>245</v>
      </c>
      <c r="F271" s="48"/>
      <c r="G271" s="48" t="s">
        <v>30</v>
      </c>
      <c r="H271" s="51">
        <v>500</v>
      </c>
      <c r="I271" s="49">
        <v>150</v>
      </c>
      <c r="J271" s="48" t="s">
        <v>31</v>
      </c>
      <c r="K271" s="48" t="s">
        <v>32</v>
      </c>
      <c r="M271" s="126">
        <v>100</v>
      </c>
    </row>
    <row r="272" spans="1:13" ht="15.75" customHeight="1">
      <c r="A272" s="50">
        <v>18</v>
      </c>
      <c r="B272" s="151" t="s">
        <v>2862</v>
      </c>
      <c r="C272" s="48" t="s">
        <v>27</v>
      </c>
      <c r="D272" s="48" t="s">
        <v>607</v>
      </c>
      <c r="E272" s="48" t="s">
        <v>36</v>
      </c>
      <c r="F272" s="48"/>
      <c r="G272" s="48" t="s">
        <v>30</v>
      </c>
      <c r="H272" s="51">
        <v>500</v>
      </c>
      <c r="I272" s="49">
        <v>150</v>
      </c>
      <c r="J272" s="48" t="s">
        <v>31</v>
      </c>
      <c r="K272" s="48" t="s">
        <v>32</v>
      </c>
      <c r="M272" s="126">
        <v>100</v>
      </c>
    </row>
    <row r="273" spans="1:13" ht="15.75" customHeight="1">
      <c r="A273" s="50">
        <v>18</v>
      </c>
      <c r="B273" s="151" t="s">
        <v>2863</v>
      </c>
      <c r="C273" s="48" t="s">
        <v>27</v>
      </c>
      <c r="D273" s="48" t="s">
        <v>363</v>
      </c>
      <c r="E273" s="48" t="s">
        <v>2864</v>
      </c>
      <c r="F273" s="48"/>
      <c r="G273" s="48" t="s">
        <v>30</v>
      </c>
      <c r="H273" s="51">
        <v>200</v>
      </c>
      <c r="I273" s="49">
        <v>60</v>
      </c>
      <c r="J273" s="48" t="s">
        <v>31</v>
      </c>
      <c r="K273" s="48" t="s">
        <v>32</v>
      </c>
      <c r="M273" s="126">
        <v>60</v>
      </c>
    </row>
    <row r="274" spans="1:13" ht="15.75" customHeight="1">
      <c r="A274" s="50">
        <v>18</v>
      </c>
      <c r="B274" s="151" t="s">
        <v>2865</v>
      </c>
      <c r="C274" s="48" t="s">
        <v>27</v>
      </c>
      <c r="D274" s="48" t="s">
        <v>2866</v>
      </c>
      <c r="E274" s="48" t="s">
        <v>245</v>
      </c>
      <c r="F274" s="48"/>
      <c r="G274" s="48" t="s">
        <v>30</v>
      </c>
      <c r="H274" s="51">
        <v>1000</v>
      </c>
      <c r="I274" s="49">
        <v>200</v>
      </c>
      <c r="J274" s="48" t="s">
        <v>31</v>
      </c>
      <c r="K274" s="48" t="s">
        <v>32</v>
      </c>
      <c r="M274" s="126">
        <v>200</v>
      </c>
    </row>
    <row r="275" spans="1:13" ht="15.75" customHeight="1">
      <c r="A275" s="50">
        <v>18</v>
      </c>
      <c r="B275" s="151" t="s">
        <v>2867</v>
      </c>
      <c r="C275" s="48" t="s">
        <v>27</v>
      </c>
      <c r="D275" s="48" t="s">
        <v>100</v>
      </c>
      <c r="E275" s="48" t="s">
        <v>191</v>
      </c>
      <c r="F275" s="48"/>
      <c r="G275" s="48" t="s">
        <v>30</v>
      </c>
      <c r="H275" s="51">
        <v>2000</v>
      </c>
      <c r="I275" s="49">
        <v>400</v>
      </c>
      <c r="J275" s="48" t="s">
        <v>31</v>
      </c>
      <c r="K275" s="48" t="s">
        <v>32</v>
      </c>
      <c r="M275" s="126">
        <v>900</v>
      </c>
    </row>
    <row r="276" spans="1:13" ht="15.75" customHeight="1">
      <c r="A276" s="50">
        <v>18</v>
      </c>
      <c r="B276" s="151" t="s">
        <v>2868</v>
      </c>
      <c r="C276" s="48" t="s">
        <v>27</v>
      </c>
      <c r="D276" s="48" t="s">
        <v>1674</v>
      </c>
      <c r="E276" s="48" t="s">
        <v>36</v>
      </c>
      <c r="F276" s="48"/>
      <c r="G276" s="48" t="s">
        <v>30</v>
      </c>
      <c r="H276" s="51">
        <v>2000</v>
      </c>
      <c r="I276" s="49">
        <v>400</v>
      </c>
      <c r="J276" s="48" t="s">
        <v>31</v>
      </c>
      <c r="K276" s="48" t="s">
        <v>32</v>
      </c>
      <c r="M276" s="126">
        <v>300</v>
      </c>
    </row>
    <row r="277" spans="1:13" ht="15.75" customHeight="1">
      <c r="A277" s="50">
        <v>18</v>
      </c>
      <c r="B277" s="48" t="s">
        <v>2869</v>
      </c>
      <c r="C277" s="48" t="s">
        <v>27</v>
      </c>
      <c r="D277" s="48" t="s">
        <v>934</v>
      </c>
      <c r="E277" s="48" t="s">
        <v>44</v>
      </c>
      <c r="F277" s="48"/>
      <c r="G277" s="48" t="s">
        <v>30</v>
      </c>
      <c r="H277" s="51">
        <v>500</v>
      </c>
      <c r="I277" s="49" t="s">
        <v>1586</v>
      </c>
      <c r="J277" s="48" t="s">
        <v>31</v>
      </c>
      <c r="K277" s="48" t="s">
        <v>32</v>
      </c>
      <c r="M277" s="126">
        <v>100</v>
      </c>
    </row>
    <row r="278" spans="1:13" ht="15.75" customHeight="1">
      <c r="A278" s="50">
        <v>18</v>
      </c>
      <c r="B278" s="379" t="s">
        <v>2870</v>
      </c>
      <c r="C278" s="379" t="s">
        <v>27</v>
      </c>
      <c r="D278" s="379" t="s">
        <v>2871</v>
      </c>
      <c r="E278" s="379" t="s">
        <v>148</v>
      </c>
      <c r="F278" s="379"/>
      <c r="G278" s="379" t="s">
        <v>579</v>
      </c>
      <c r="H278" s="380">
        <v>5000</v>
      </c>
      <c r="I278" s="387" t="s">
        <v>1586</v>
      </c>
      <c r="J278" s="151" t="s">
        <v>31</v>
      </c>
      <c r="K278" s="151" t="s">
        <v>32</v>
      </c>
    </row>
    <row r="279" spans="1:13" ht="15.75" customHeight="1">
      <c r="A279" s="50">
        <v>18</v>
      </c>
      <c r="B279" s="151" t="s">
        <v>2872</v>
      </c>
      <c r="C279" s="48" t="s">
        <v>27</v>
      </c>
      <c r="D279" s="48" t="s">
        <v>319</v>
      </c>
      <c r="E279" s="48" t="s">
        <v>36</v>
      </c>
      <c r="F279" s="48"/>
      <c r="G279" s="48" t="s">
        <v>30</v>
      </c>
      <c r="H279" s="51">
        <v>1000</v>
      </c>
      <c r="I279" s="49">
        <v>200</v>
      </c>
      <c r="J279" s="48" t="s">
        <v>31</v>
      </c>
      <c r="K279" s="48" t="s">
        <v>32</v>
      </c>
      <c r="M279" s="126">
        <v>300</v>
      </c>
    </row>
    <row r="280" spans="1:13" ht="15.75" customHeight="1">
      <c r="A280" s="50">
        <v>18</v>
      </c>
      <c r="B280" s="151" t="s">
        <v>2873</v>
      </c>
      <c r="C280" s="48" t="s">
        <v>39</v>
      </c>
      <c r="D280" s="48" t="s">
        <v>319</v>
      </c>
      <c r="E280" s="48" t="s">
        <v>36</v>
      </c>
      <c r="F280" s="48"/>
      <c r="G280" s="48" t="s">
        <v>30</v>
      </c>
      <c r="H280" s="51">
        <v>1000</v>
      </c>
      <c r="I280" s="49">
        <v>200</v>
      </c>
      <c r="J280" s="48" t="s">
        <v>31</v>
      </c>
      <c r="K280" s="48" t="s">
        <v>32</v>
      </c>
      <c r="M280" s="126">
        <v>300</v>
      </c>
    </row>
    <row r="281" spans="1:13" ht="15.75" customHeight="1">
      <c r="A281" s="50">
        <v>18</v>
      </c>
      <c r="B281" s="151" t="s">
        <v>2874</v>
      </c>
      <c r="C281" s="48" t="s">
        <v>27</v>
      </c>
      <c r="D281" s="48" t="s">
        <v>733</v>
      </c>
      <c r="E281" s="48" t="s">
        <v>36</v>
      </c>
      <c r="F281" s="48"/>
      <c r="G281" s="48" t="s">
        <v>30</v>
      </c>
      <c r="H281" s="51">
        <v>300</v>
      </c>
      <c r="I281" s="49">
        <v>120</v>
      </c>
      <c r="J281" s="48" t="s">
        <v>31</v>
      </c>
      <c r="K281" s="48" t="s">
        <v>32</v>
      </c>
      <c r="M281" s="126">
        <v>120</v>
      </c>
    </row>
    <row r="282" spans="1:13" ht="15.75" customHeight="1">
      <c r="A282" s="50">
        <v>18</v>
      </c>
      <c r="B282" s="151" t="s">
        <v>1880</v>
      </c>
      <c r="C282" s="48" t="s">
        <v>27</v>
      </c>
      <c r="D282" s="48" t="s">
        <v>934</v>
      </c>
      <c r="E282" s="48" t="s">
        <v>44</v>
      </c>
      <c r="F282" s="48"/>
      <c r="G282" s="48" t="s">
        <v>30</v>
      </c>
      <c r="H282" s="51">
        <v>1000</v>
      </c>
      <c r="I282" s="49">
        <v>200</v>
      </c>
      <c r="J282" s="48" t="s">
        <v>31</v>
      </c>
      <c r="K282" s="48" t="s">
        <v>32</v>
      </c>
      <c r="M282" s="126">
        <v>200</v>
      </c>
    </row>
    <row r="283" spans="1:13" ht="15.75" customHeight="1">
      <c r="A283" s="50">
        <v>18</v>
      </c>
      <c r="B283" s="151" t="s">
        <v>2875</v>
      </c>
      <c r="C283" s="48" t="s">
        <v>27</v>
      </c>
      <c r="D283" s="48" t="s">
        <v>88</v>
      </c>
      <c r="E283" s="48" t="s">
        <v>89</v>
      </c>
      <c r="F283" s="48"/>
      <c r="G283" s="48" t="s">
        <v>30</v>
      </c>
      <c r="H283" s="51">
        <v>500</v>
      </c>
      <c r="I283" s="49" t="s">
        <v>1586</v>
      </c>
      <c r="J283" s="48" t="s">
        <v>31</v>
      </c>
      <c r="K283" s="48" t="s">
        <v>32</v>
      </c>
      <c r="M283" s="126">
        <v>225</v>
      </c>
    </row>
    <row r="284" spans="1:13" ht="15.75" customHeight="1">
      <c r="A284" s="50">
        <v>18</v>
      </c>
      <c r="B284" s="151" t="s">
        <v>2875</v>
      </c>
      <c r="C284" s="48" t="s">
        <v>27</v>
      </c>
      <c r="D284" s="48" t="s">
        <v>88</v>
      </c>
      <c r="E284" s="48" t="s">
        <v>89</v>
      </c>
      <c r="F284" s="48"/>
      <c r="G284" s="48" t="s">
        <v>30</v>
      </c>
      <c r="H284" s="51">
        <v>500</v>
      </c>
      <c r="I284" s="49">
        <v>100</v>
      </c>
      <c r="J284" s="48" t="s">
        <v>31</v>
      </c>
      <c r="K284" s="48" t="s">
        <v>32</v>
      </c>
    </row>
    <row r="285" spans="1:13" ht="15.75" customHeight="1">
      <c r="A285" s="50">
        <v>18</v>
      </c>
      <c r="B285" s="151" t="s">
        <v>2876</v>
      </c>
      <c r="C285" s="48" t="s">
        <v>39</v>
      </c>
      <c r="D285" s="48" t="s">
        <v>88</v>
      </c>
      <c r="E285" s="48" t="s">
        <v>89</v>
      </c>
      <c r="F285" s="48"/>
      <c r="G285" s="48" t="s">
        <v>30</v>
      </c>
      <c r="H285" s="51">
        <v>500</v>
      </c>
      <c r="I285" s="49" t="s">
        <v>1586</v>
      </c>
      <c r="J285" s="48" t="s">
        <v>31</v>
      </c>
      <c r="K285" s="48" t="s">
        <v>32</v>
      </c>
      <c r="M285" s="126">
        <v>150</v>
      </c>
    </row>
    <row r="286" spans="1:13" ht="15.75" customHeight="1">
      <c r="A286" s="50">
        <v>18</v>
      </c>
      <c r="B286" s="151" t="s">
        <v>2876</v>
      </c>
      <c r="C286" s="48" t="s">
        <v>39</v>
      </c>
      <c r="D286" s="48" t="s">
        <v>88</v>
      </c>
      <c r="E286" s="48" t="s">
        <v>89</v>
      </c>
      <c r="F286" s="48"/>
      <c r="G286" s="48" t="s">
        <v>30</v>
      </c>
      <c r="H286" s="51">
        <v>500</v>
      </c>
      <c r="I286" s="49">
        <v>100</v>
      </c>
      <c r="J286" s="48" t="s">
        <v>31</v>
      </c>
      <c r="K286" s="48" t="s">
        <v>32</v>
      </c>
    </row>
    <row r="287" spans="1:13" ht="15.75" customHeight="1">
      <c r="A287" s="50">
        <v>18</v>
      </c>
      <c r="B287" s="151" t="s">
        <v>2877</v>
      </c>
      <c r="C287" s="48" t="s">
        <v>27</v>
      </c>
      <c r="D287" s="48" t="s">
        <v>191</v>
      </c>
      <c r="E287" s="48" t="s">
        <v>36</v>
      </c>
      <c r="F287" s="48"/>
      <c r="G287" s="48" t="s">
        <v>30</v>
      </c>
      <c r="H287" s="51">
        <v>1000</v>
      </c>
      <c r="I287" s="49">
        <v>200</v>
      </c>
      <c r="J287" s="48" t="s">
        <v>31</v>
      </c>
      <c r="K287" s="48" t="s">
        <v>32</v>
      </c>
      <c r="M287" s="126">
        <v>200</v>
      </c>
    </row>
    <row r="288" spans="1:13" ht="15.75" customHeight="1">
      <c r="A288" s="50">
        <v>18</v>
      </c>
      <c r="B288" s="151" t="s">
        <v>2878</v>
      </c>
      <c r="C288" s="48" t="s">
        <v>27</v>
      </c>
      <c r="D288" s="48" t="s">
        <v>2879</v>
      </c>
      <c r="E288" s="48" t="s">
        <v>86</v>
      </c>
      <c r="F288" s="48"/>
      <c r="G288" s="48" t="s">
        <v>30</v>
      </c>
      <c r="H288" s="51">
        <v>1000</v>
      </c>
      <c r="I288" s="49">
        <v>200</v>
      </c>
      <c r="J288" s="48" t="s">
        <v>31</v>
      </c>
      <c r="K288" s="48" t="s">
        <v>32</v>
      </c>
      <c r="M288" s="126">
        <v>300</v>
      </c>
    </row>
    <row r="289" spans="1:13" ht="15.75" customHeight="1">
      <c r="A289" s="50">
        <v>18</v>
      </c>
      <c r="B289" s="151" t="s">
        <v>2880</v>
      </c>
      <c r="C289" s="48" t="s">
        <v>39</v>
      </c>
      <c r="D289" s="48" t="s">
        <v>193</v>
      </c>
      <c r="E289" s="48" t="s">
        <v>36</v>
      </c>
      <c r="F289" s="48"/>
      <c r="G289" s="48" t="s">
        <v>30</v>
      </c>
      <c r="H289" s="51">
        <v>1000</v>
      </c>
      <c r="I289" s="49">
        <v>200</v>
      </c>
      <c r="J289" s="48" t="s">
        <v>31</v>
      </c>
      <c r="K289" s="48" t="s">
        <v>32</v>
      </c>
      <c r="M289" s="126">
        <v>800</v>
      </c>
    </row>
    <row r="290" spans="1:13" ht="15.75" customHeight="1">
      <c r="A290" s="50">
        <v>18</v>
      </c>
      <c r="B290" s="151" t="s">
        <v>2881</v>
      </c>
      <c r="C290" s="408" t="s">
        <v>27</v>
      </c>
      <c r="D290" s="408" t="s">
        <v>193</v>
      </c>
      <c r="E290" s="408" t="s">
        <v>36</v>
      </c>
      <c r="F290" s="48"/>
      <c r="G290" s="48" t="s">
        <v>30</v>
      </c>
      <c r="H290" s="51">
        <v>1000</v>
      </c>
      <c r="I290" s="49">
        <v>200</v>
      </c>
      <c r="J290" s="48" t="s">
        <v>31</v>
      </c>
      <c r="K290" s="48" t="s">
        <v>32</v>
      </c>
      <c r="M290" s="126">
        <v>800</v>
      </c>
    </row>
    <row r="291" spans="1:13" ht="15.75" customHeight="1">
      <c r="A291" s="50">
        <v>18</v>
      </c>
      <c r="B291" s="151" t="s">
        <v>2882</v>
      </c>
      <c r="C291" s="48" t="s">
        <v>27</v>
      </c>
      <c r="D291" s="48" t="s">
        <v>495</v>
      </c>
      <c r="E291" s="48" t="s">
        <v>245</v>
      </c>
      <c r="F291" s="48"/>
      <c r="G291" s="48" t="s">
        <v>30</v>
      </c>
      <c r="H291" s="51">
        <v>100</v>
      </c>
      <c r="I291" s="49">
        <v>40</v>
      </c>
      <c r="J291" s="48" t="s">
        <v>31</v>
      </c>
      <c r="K291" s="48" t="s">
        <v>32</v>
      </c>
      <c r="M291" s="126">
        <v>50</v>
      </c>
    </row>
    <row r="292" spans="1:13" ht="15.75" customHeight="1">
      <c r="A292" s="65">
        <v>18</v>
      </c>
      <c r="B292" s="175" t="s">
        <v>2883</v>
      </c>
      <c r="C292" s="58" t="s">
        <v>27</v>
      </c>
      <c r="D292" s="58" t="s">
        <v>1219</v>
      </c>
      <c r="E292" s="58" t="s">
        <v>44</v>
      </c>
      <c r="F292" s="58"/>
      <c r="G292" s="58" t="s">
        <v>30</v>
      </c>
      <c r="H292" s="59">
        <v>250</v>
      </c>
      <c r="I292" s="60">
        <v>50</v>
      </c>
      <c r="J292" s="58" t="s">
        <v>31</v>
      </c>
      <c r="K292" s="58" t="s">
        <v>32</v>
      </c>
      <c r="M292" s="126">
        <v>50</v>
      </c>
    </row>
    <row r="293" spans="1:13" ht="15.75" customHeight="1">
      <c r="A293" s="61">
        <v>19</v>
      </c>
      <c r="B293" s="292" t="s">
        <v>2884</v>
      </c>
      <c r="C293" s="62" t="s">
        <v>27</v>
      </c>
      <c r="D293" s="62" t="s">
        <v>1337</v>
      </c>
      <c r="E293" s="62" t="s">
        <v>36</v>
      </c>
      <c r="F293" s="62"/>
      <c r="G293" s="62" t="s">
        <v>30</v>
      </c>
      <c r="H293" s="63">
        <v>1000</v>
      </c>
      <c r="I293" s="64">
        <v>200</v>
      </c>
      <c r="J293" s="62" t="s">
        <v>31</v>
      </c>
      <c r="K293" s="62" t="s">
        <v>32</v>
      </c>
      <c r="M293" s="126">
        <v>250</v>
      </c>
    </row>
    <row r="294" spans="1:13" ht="15.75" customHeight="1">
      <c r="A294" s="50">
        <v>19</v>
      </c>
      <c r="B294" s="151" t="s">
        <v>2885</v>
      </c>
      <c r="C294" s="48" t="s">
        <v>27</v>
      </c>
      <c r="D294" s="48" t="s">
        <v>266</v>
      </c>
      <c r="E294" s="48" t="s">
        <v>68</v>
      </c>
      <c r="F294" s="48"/>
      <c r="G294" s="48" t="s">
        <v>30</v>
      </c>
      <c r="H294" s="51">
        <v>1000</v>
      </c>
      <c r="I294" s="49">
        <v>200</v>
      </c>
      <c r="J294" s="48" t="s">
        <v>31</v>
      </c>
      <c r="K294" s="48" t="s">
        <v>32</v>
      </c>
      <c r="M294" s="126">
        <v>800</v>
      </c>
    </row>
    <row r="295" spans="1:13" ht="15.75" customHeight="1">
      <c r="A295" s="50">
        <v>19</v>
      </c>
      <c r="B295" s="151" t="s">
        <v>2886</v>
      </c>
      <c r="C295" s="48" t="s">
        <v>39</v>
      </c>
      <c r="D295" s="48" t="s">
        <v>180</v>
      </c>
      <c r="E295" s="48" t="s">
        <v>36</v>
      </c>
      <c r="F295" s="48"/>
      <c r="G295" s="48" t="s">
        <v>30</v>
      </c>
      <c r="H295" s="51">
        <v>1000</v>
      </c>
      <c r="I295" s="49">
        <v>200</v>
      </c>
      <c r="J295" s="48" t="s">
        <v>31</v>
      </c>
      <c r="K295" s="48" t="s">
        <v>32</v>
      </c>
      <c r="M295" s="126">
        <v>300</v>
      </c>
    </row>
    <row r="296" spans="1:13" ht="15.75" customHeight="1">
      <c r="A296" s="50">
        <v>19</v>
      </c>
      <c r="B296" s="151" t="s">
        <v>235</v>
      </c>
      <c r="C296" s="48" t="s">
        <v>27</v>
      </c>
      <c r="D296" s="48" t="s">
        <v>180</v>
      </c>
      <c r="E296" s="48" t="s">
        <v>36</v>
      </c>
      <c r="F296" s="48"/>
      <c r="G296" s="48" t="s">
        <v>30</v>
      </c>
      <c r="H296" s="51">
        <v>1000</v>
      </c>
      <c r="I296" s="49">
        <v>200</v>
      </c>
      <c r="J296" s="48" t="s">
        <v>31</v>
      </c>
      <c r="K296" s="48" t="s">
        <v>32</v>
      </c>
      <c r="M296" s="126">
        <v>200</v>
      </c>
    </row>
    <row r="297" spans="1:13" ht="15.75" customHeight="1">
      <c r="A297" s="50">
        <v>19</v>
      </c>
      <c r="B297" s="151" t="s">
        <v>2887</v>
      </c>
      <c r="C297" s="48" t="s">
        <v>27</v>
      </c>
      <c r="D297" s="48" t="s">
        <v>1656</v>
      </c>
      <c r="E297" s="48" t="s">
        <v>237</v>
      </c>
      <c r="F297" s="48"/>
      <c r="G297" s="48" t="s">
        <v>30</v>
      </c>
      <c r="H297" s="51">
        <v>1000</v>
      </c>
      <c r="I297" s="49">
        <v>200</v>
      </c>
      <c r="J297" s="48" t="s">
        <v>31</v>
      </c>
      <c r="K297" s="48" t="s">
        <v>32</v>
      </c>
      <c r="M297" s="126">
        <v>300</v>
      </c>
    </row>
    <row r="298" spans="1:13" ht="15.75" customHeight="1">
      <c r="A298" s="50">
        <v>19</v>
      </c>
      <c r="B298" s="151" t="s">
        <v>2888</v>
      </c>
      <c r="C298" s="48" t="s">
        <v>27</v>
      </c>
      <c r="D298" s="48" t="s">
        <v>1656</v>
      </c>
      <c r="E298" s="48" t="s">
        <v>237</v>
      </c>
      <c r="F298" s="48"/>
      <c r="G298" s="48" t="s">
        <v>30</v>
      </c>
      <c r="H298" s="51">
        <v>1000</v>
      </c>
      <c r="I298" s="49">
        <v>200</v>
      </c>
      <c r="J298" s="48" t="s">
        <v>31</v>
      </c>
      <c r="K298" s="48" t="s">
        <v>32</v>
      </c>
      <c r="M298" s="126">
        <v>200</v>
      </c>
    </row>
    <row r="299" spans="1:13" ht="15.75" customHeight="1">
      <c r="A299" s="50">
        <v>19</v>
      </c>
      <c r="B299" s="151" t="s">
        <v>2889</v>
      </c>
      <c r="C299" s="48" t="s">
        <v>39</v>
      </c>
      <c r="D299" s="48" t="s">
        <v>317</v>
      </c>
      <c r="E299" s="48" t="s">
        <v>86</v>
      </c>
      <c r="F299" s="48"/>
      <c r="G299" s="48" t="s">
        <v>30</v>
      </c>
      <c r="H299" s="51">
        <v>1000</v>
      </c>
      <c r="I299" s="49">
        <v>200</v>
      </c>
      <c r="J299" s="48" t="s">
        <v>31</v>
      </c>
      <c r="K299" s="48" t="s">
        <v>32</v>
      </c>
      <c r="M299" s="126">
        <v>200</v>
      </c>
    </row>
    <row r="300" spans="1:13" ht="15.75" customHeight="1">
      <c r="A300" s="50">
        <v>19</v>
      </c>
      <c r="B300" s="151" t="s">
        <v>2890</v>
      </c>
      <c r="C300" s="48" t="s">
        <v>39</v>
      </c>
      <c r="D300" s="48" t="s">
        <v>150</v>
      </c>
      <c r="E300" s="48" t="s">
        <v>151</v>
      </c>
      <c r="F300" s="48"/>
      <c r="G300" s="48" t="s">
        <v>30</v>
      </c>
      <c r="H300" s="51">
        <v>1000</v>
      </c>
      <c r="I300" s="49">
        <v>200</v>
      </c>
      <c r="J300" s="48" t="s">
        <v>31</v>
      </c>
      <c r="K300" s="48" t="s">
        <v>32</v>
      </c>
      <c r="M300" s="126">
        <v>1000</v>
      </c>
    </row>
    <row r="301" spans="1:13" ht="15.75" customHeight="1">
      <c r="A301" s="50">
        <v>19</v>
      </c>
      <c r="B301" s="151" t="s">
        <v>2891</v>
      </c>
      <c r="C301" s="48" t="s">
        <v>27</v>
      </c>
      <c r="D301" s="48" t="s">
        <v>130</v>
      </c>
      <c r="E301" s="48" t="s">
        <v>51</v>
      </c>
      <c r="F301" s="48"/>
      <c r="G301" s="48" t="s">
        <v>30</v>
      </c>
      <c r="H301" s="51">
        <v>1000</v>
      </c>
      <c r="I301" s="49">
        <v>200</v>
      </c>
      <c r="J301" s="48" t="s">
        <v>31</v>
      </c>
      <c r="K301" s="48" t="s">
        <v>32</v>
      </c>
      <c r="M301" s="126">
        <v>200</v>
      </c>
    </row>
    <row r="302" spans="1:13" ht="15.75" customHeight="1">
      <c r="A302" s="50">
        <v>19</v>
      </c>
      <c r="B302" s="151" t="s">
        <v>2892</v>
      </c>
      <c r="C302" s="48" t="s">
        <v>39</v>
      </c>
      <c r="D302" s="48" t="s">
        <v>1219</v>
      </c>
      <c r="E302" s="48" t="s">
        <v>44</v>
      </c>
      <c r="F302" s="48"/>
      <c r="G302" s="48" t="s">
        <v>30</v>
      </c>
      <c r="H302" s="51">
        <v>5000</v>
      </c>
      <c r="I302" s="49">
        <v>1000</v>
      </c>
      <c r="J302" s="48" t="s">
        <v>31</v>
      </c>
      <c r="K302" s="48" t="s">
        <v>32</v>
      </c>
      <c r="M302" s="126">
        <v>800</v>
      </c>
    </row>
    <row r="303" spans="1:13" ht="15.75" customHeight="1">
      <c r="A303" s="50">
        <v>19</v>
      </c>
      <c r="B303" s="151" t="s">
        <v>2893</v>
      </c>
      <c r="C303" s="48" t="s">
        <v>27</v>
      </c>
      <c r="D303" s="48" t="s">
        <v>110</v>
      </c>
      <c r="E303" s="48" t="s">
        <v>36</v>
      </c>
      <c r="F303" s="48"/>
      <c r="G303" s="48" t="s">
        <v>30</v>
      </c>
      <c r="H303" s="51">
        <v>5000</v>
      </c>
      <c r="I303" s="49">
        <v>1000</v>
      </c>
      <c r="J303" s="48" t="s">
        <v>31</v>
      </c>
      <c r="K303" s="48" t="s">
        <v>32</v>
      </c>
      <c r="M303" s="126">
        <v>900</v>
      </c>
    </row>
    <row r="304" spans="1:13" ht="15.75" customHeight="1">
      <c r="A304" s="50">
        <v>19</v>
      </c>
      <c r="B304" s="151" t="s">
        <v>2894</v>
      </c>
      <c r="C304" s="48" t="s">
        <v>39</v>
      </c>
      <c r="D304" s="48" t="s">
        <v>2895</v>
      </c>
      <c r="E304" s="48" t="s">
        <v>191</v>
      </c>
      <c r="F304" s="48"/>
      <c r="G304" s="48" t="s">
        <v>30</v>
      </c>
      <c r="H304" s="51">
        <v>2000</v>
      </c>
      <c r="I304" s="49">
        <v>400</v>
      </c>
      <c r="J304" s="48" t="s">
        <v>31</v>
      </c>
      <c r="K304" s="48" t="s">
        <v>32</v>
      </c>
      <c r="M304" s="126">
        <v>400</v>
      </c>
    </row>
    <row r="305" spans="1:19" ht="15.75" customHeight="1">
      <c r="A305" s="65">
        <v>19</v>
      </c>
      <c r="B305" s="175" t="s">
        <v>2896</v>
      </c>
      <c r="C305" s="58" t="s">
        <v>27</v>
      </c>
      <c r="D305" s="58" t="s">
        <v>59</v>
      </c>
      <c r="E305" s="58" t="s">
        <v>84</v>
      </c>
      <c r="F305" s="58"/>
      <c r="G305" s="58" t="s">
        <v>30</v>
      </c>
      <c r="H305" s="59">
        <v>300</v>
      </c>
      <c r="I305" s="60">
        <v>60</v>
      </c>
      <c r="J305" s="58" t="s">
        <v>31</v>
      </c>
      <c r="K305" s="58" t="s">
        <v>32</v>
      </c>
      <c r="M305" s="126">
        <v>50</v>
      </c>
    </row>
    <row r="306" spans="1:19" ht="15.75" customHeight="1">
      <c r="A306" s="61">
        <v>20</v>
      </c>
      <c r="B306" s="292" t="s">
        <v>2897</v>
      </c>
      <c r="C306" s="62" t="s">
        <v>27</v>
      </c>
      <c r="D306" s="62" t="s">
        <v>912</v>
      </c>
      <c r="E306" s="62" t="s">
        <v>79</v>
      </c>
      <c r="F306" s="62"/>
      <c r="G306" s="62" t="s">
        <v>30</v>
      </c>
      <c r="H306" s="63">
        <v>500</v>
      </c>
      <c r="I306" s="64">
        <v>100</v>
      </c>
      <c r="J306" s="62" t="s">
        <v>31</v>
      </c>
      <c r="K306" s="62" t="s">
        <v>32</v>
      </c>
      <c r="M306" s="126">
        <v>100</v>
      </c>
    </row>
    <row r="307" spans="1:19" ht="15.75" customHeight="1">
      <c r="A307" s="50">
        <v>20</v>
      </c>
      <c r="B307" s="151" t="s">
        <v>2898</v>
      </c>
      <c r="C307" s="48" t="s">
        <v>27</v>
      </c>
      <c r="D307" s="48" t="s">
        <v>211</v>
      </c>
      <c r="E307" s="48" t="s">
        <v>245</v>
      </c>
      <c r="F307" s="48"/>
      <c r="G307" s="48" t="s">
        <v>30</v>
      </c>
      <c r="H307" s="51">
        <v>600</v>
      </c>
      <c r="I307" s="49">
        <v>120</v>
      </c>
      <c r="J307" s="48" t="s">
        <v>31</v>
      </c>
      <c r="K307" s="48" t="s">
        <v>32</v>
      </c>
      <c r="M307" s="126">
        <v>120</v>
      </c>
      <c r="P307" s="794" t="s">
        <v>2899</v>
      </c>
      <c r="Q307" s="719"/>
    </row>
    <row r="308" spans="1:19" ht="15.75" customHeight="1">
      <c r="A308" s="50">
        <v>20</v>
      </c>
      <c r="B308" s="151" t="s">
        <v>2900</v>
      </c>
      <c r="C308" s="48" t="s">
        <v>27</v>
      </c>
      <c r="D308" s="48" t="s">
        <v>2901</v>
      </c>
      <c r="E308" s="48" t="s">
        <v>102</v>
      </c>
      <c r="F308" s="48"/>
      <c r="G308" s="48" t="s">
        <v>30</v>
      </c>
      <c r="H308" s="51">
        <v>500</v>
      </c>
      <c r="I308" s="49">
        <v>100</v>
      </c>
      <c r="J308" s="48" t="s">
        <v>31</v>
      </c>
      <c r="K308" s="48" t="s">
        <v>32</v>
      </c>
      <c r="M308" s="126">
        <v>100</v>
      </c>
      <c r="O308" s="55"/>
      <c r="P308" s="723" t="s">
        <v>25</v>
      </c>
      <c r="Q308" s="719"/>
    </row>
    <row r="309" spans="1:19" ht="15.75" customHeight="1">
      <c r="A309" s="50">
        <v>20</v>
      </c>
      <c r="B309" s="48" t="s">
        <v>1682</v>
      </c>
      <c r="C309" s="48" t="s">
        <v>27</v>
      </c>
      <c r="D309" s="48" t="s">
        <v>1683</v>
      </c>
      <c r="E309" s="48" t="s">
        <v>223</v>
      </c>
      <c r="F309" s="48"/>
      <c r="G309" s="48" t="s">
        <v>30</v>
      </c>
      <c r="H309" s="51">
        <v>200</v>
      </c>
      <c r="I309" s="49" t="s">
        <v>1586</v>
      </c>
      <c r="J309" s="48" t="s">
        <v>31</v>
      </c>
      <c r="K309" s="48" t="s">
        <v>32</v>
      </c>
      <c r="M309" s="126">
        <v>100</v>
      </c>
      <c r="P309" s="48" t="s">
        <v>33</v>
      </c>
      <c r="Q309" s="51">
        <v>143250</v>
      </c>
      <c r="S309" s="55"/>
    </row>
    <row r="310" spans="1:19" ht="15.75" customHeight="1">
      <c r="A310" s="50">
        <v>20</v>
      </c>
      <c r="B310" s="48" t="s">
        <v>1682</v>
      </c>
      <c r="C310" s="48" t="s">
        <v>27</v>
      </c>
      <c r="D310" s="48" t="s">
        <v>1683</v>
      </c>
      <c r="E310" s="48" t="s">
        <v>223</v>
      </c>
      <c r="F310" s="48"/>
      <c r="G310" s="48" t="s">
        <v>30</v>
      </c>
      <c r="H310" s="51">
        <v>200</v>
      </c>
      <c r="I310" s="49">
        <v>40</v>
      </c>
      <c r="J310" s="48" t="s">
        <v>31</v>
      </c>
      <c r="K310" s="48" t="s">
        <v>32</v>
      </c>
      <c r="O310" s="55"/>
      <c r="P310" s="48" t="s">
        <v>37</v>
      </c>
      <c r="Q310" s="51">
        <v>11750</v>
      </c>
      <c r="S310" s="55"/>
    </row>
    <row r="311" spans="1:19" ht="15.75" customHeight="1">
      <c r="A311" s="50">
        <v>20</v>
      </c>
      <c r="B311" s="151" t="s">
        <v>1909</v>
      </c>
      <c r="C311" s="48" t="s">
        <v>27</v>
      </c>
      <c r="D311" s="48" t="s">
        <v>1674</v>
      </c>
      <c r="E311" s="48" t="s">
        <v>36</v>
      </c>
      <c r="F311" s="48"/>
      <c r="G311" s="48" t="s">
        <v>30</v>
      </c>
      <c r="H311" s="51">
        <v>2000</v>
      </c>
      <c r="I311" s="49">
        <v>400</v>
      </c>
      <c r="J311" s="48" t="s">
        <v>31</v>
      </c>
      <c r="K311" s="48" t="s">
        <v>32</v>
      </c>
      <c r="M311" s="126">
        <v>600</v>
      </c>
      <c r="O311" s="55"/>
      <c r="P311" s="48" t="s">
        <v>282</v>
      </c>
      <c r="Q311" s="51">
        <v>109000</v>
      </c>
    </row>
    <row r="312" spans="1:19" ht="15.75" customHeight="1">
      <c r="A312" s="50">
        <v>20</v>
      </c>
      <c r="B312" s="151" t="s">
        <v>2902</v>
      </c>
      <c r="C312" s="48" t="s">
        <v>27</v>
      </c>
      <c r="D312" s="48" t="s">
        <v>191</v>
      </c>
      <c r="E312" s="48" t="s">
        <v>36</v>
      </c>
      <c r="F312" s="48"/>
      <c r="G312" s="48" t="s">
        <v>30</v>
      </c>
      <c r="H312" s="51">
        <v>2000</v>
      </c>
      <c r="I312" s="49">
        <v>400</v>
      </c>
      <c r="J312" s="48" t="s">
        <v>31</v>
      </c>
      <c r="K312" s="48" t="s">
        <v>32</v>
      </c>
      <c r="M312" s="126">
        <v>400</v>
      </c>
      <c r="P312" s="723" t="s">
        <v>1751</v>
      </c>
      <c r="Q312" s="719"/>
    </row>
    <row r="313" spans="1:19" ht="15.75" customHeight="1">
      <c r="A313" s="50">
        <v>20</v>
      </c>
      <c r="B313" s="151" t="s">
        <v>1372</v>
      </c>
      <c r="C313" s="48" t="s">
        <v>27</v>
      </c>
      <c r="D313" s="48" t="s">
        <v>1373</v>
      </c>
      <c r="E313" s="48" t="s">
        <v>56</v>
      </c>
      <c r="F313" s="48"/>
      <c r="G313" s="48" t="s">
        <v>30</v>
      </c>
      <c r="H313" s="51">
        <v>5000</v>
      </c>
      <c r="I313" s="49">
        <v>1000</v>
      </c>
      <c r="J313" s="48" t="s">
        <v>31</v>
      </c>
      <c r="K313" s="48" t="s">
        <v>32</v>
      </c>
      <c r="M313" s="126">
        <v>1000</v>
      </c>
      <c r="P313" s="48" t="s">
        <v>33</v>
      </c>
      <c r="Q313" s="48">
        <v>100</v>
      </c>
    </row>
    <row r="314" spans="1:19" ht="15.75" customHeight="1">
      <c r="A314" s="50">
        <v>20</v>
      </c>
      <c r="B314" s="151" t="s">
        <v>1067</v>
      </c>
      <c r="C314" s="48" t="s">
        <v>27</v>
      </c>
      <c r="D314" s="48" t="s">
        <v>100</v>
      </c>
      <c r="E314" s="48" t="s">
        <v>84</v>
      </c>
      <c r="F314" s="48"/>
      <c r="G314" s="48" t="s">
        <v>30</v>
      </c>
      <c r="H314" s="51">
        <v>3000</v>
      </c>
      <c r="I314" s="49">
        <v>600</v>
      </c>
      <c r="J314" s="48" t="s">
        <v>31</v>
      </c>
      <c r="K314" s="48" t="s">
        <v>32</v>
      </c>
      <c r="M314" s="126">
        <v>600</v>
      </c>
      <c r="P314" s="723" t="s">
        <v>586</v>
      </c>
      <c r="Q314" s="719"/>
    </row>
    <row r="315" spans="1:19" ht="15.75" customHeight="1">
      <c r="A315" s="50">
        <v>20</v>
      </c>
      <c r="B315" s="151" t="s">
        <v>2903</v>
      </c>
      <c r="C315" s="48" t="s">
        <v>39</v>
      </c>
      <c r="D315" s="48" t="s">
        <v>2904</v>
      </c>
      <c r="E315" s="48" t="s">
        <v>102</v>
      </c>
      <c r="F315" s="48"/>
      <c r="G315" s="48" t="s">
        <v>30</v>
      </c>
      <c r="H315" s="51">
        <v>1000</v>
      </c>
      <c r="I315" s="49">
        <v>200</v>
      </c>
      <c r="J315" s="48" t="s">
        <v>31</v>
      </c>
      <c r="K315" s="48" t="s">
        <v>32</v>
      </c>
      <c r="M315" s="126">
        <v>300</v>
      </c>
      <c r="P315" s="48" t="s">
        <v>37</v>
      </c>
      <c r="Q315" s="51">
        <v>5000</v>
      </c>
    </row>
    <row r="316" spans="1:19" ht="15.75" customHeight="1">
      <c r="A316" s="50">
        <v>20</v>
      </c>
      <c r="B316" s="151" t="s">
        <v>1353</v>
      </c>
      <c r="C316" s="48" t="s">
        <v>39</v>
      </c>
      <c r="D316" s="48" t="s">
        <v>108</v>
      </c>
      <c r="E316" s="48" t="s">
        <v>44</v>
      </c>
      <c r="F316" s="48"/>
      <c r="G316" s="48" t="s">
        <v>30</v>
      </c>
      <c r="H316" s="51">
        <v>1000</v>
      </c>
      <c r="I316" s="49">
        <v>200</v>
      </c>
      <c r="J316" s="48" t="s">
        <v>31</v>
      </c>
      <c r="K316" s="48" t="s">
        <v>32</v>
      </c>
      <c r="M316" s="126">
        <v>300</v>
      </c>
    </row>
    <row r="317" spans="1:19" ht="15.75" customHeight="1">
      <c r="A317" s="50">
        <v>20</v>
      </c>
      <c r="B317" s="151" t="s">
        <v>2905</v>
      </c>
      <c r="C317" s="48" t="s">
        <v>27</v>
      </c>
      <c r="D317" s="48" t="s">
        <v>256</v>
      </c>
      <c r="E317" s="48" t="s">
        <v>245</v>
      </c>
      <c r="F317" s="48"/>
      <c r="G317" s="48" t="s">
        <v>30</v>
      </c>
      <c r="H317" s="51">
        <v>200</v>
      </c>
      <c r="I317" s="49">
        <v>40</v>
      </c>
      <c r="J317" s="48" t="s">
        <v>31</v>
      </c>
      <c r="K317" s="48" t="s">
        <v>32</v>
      </c>
      <c r="M317" s="126">
        <v>40</v>
      </c>
    </row>
    <row r="318" spans="1:19" ht="15.75" customHeight="1">
      <c r="A318" s="50">
        <v>20</v>
      </c>
      <c r="B318" s="151" t="s">
        <v>1236</v>
      </c>
      <c r="C318" s="48" t="s">
        <v>27</v>
      </c>
      <c r="D318" s="48" t="s">
        <v>934</v>
      </c>
      <c r="E318" s="48" t="s">
        <v>44</v>
      </c>
      <c r="F318" s="48"/>
      <c r="G318" s="151" t="s">
        <v>30</v>
      </c>
      <c r="H318" s="152">
        <v>4000</v>
      </c>
      <c r="I318" s="49">
        <v>800</v>
      </c>
      <c r="J318" s="48" t="s">
        <v>31</v>
      </c>
      <c r="K318" s="48" t="s">
        <v>32</v>
      </c>
      <c r="M318" s="126">
        <v>800</v>
      </c>
    </row>
    <row r="319" spans="1:19" ht="15.75" customHeight="1">
      <c r="A319" s="65">
        <v>20</v>
      </c>
      <c r="B319" s="58" t="s">
        <v>71</v>
      </c>
      <c r="C319" s="58" t="s">
        <v>27</v>
      </c>
      <c r="D319" s="58" t="s">
        <v>72</v>
      </c>
      <c r="E319" s="58" t="s">
        <v>73</v>
      </c>
      <c r="F319" s="58"/>
      <c r="G319" s="58" t="s">
        <v>30</v>
      </c>
      <c r="H319" s="59">
        <v>1500</v>
      </c>
      <c r="I319" s="60">
        <v>300</v>
      </c>
      <c r="J319" s="58" t="s">
        <v>31</v>
      </c>
      <c r="K319" s="58" t="s">
        <v>32</v>
      </c>
      <c r="M319" s="126">
        <v>300</v>
      </c>
    </row>
    <row r="320" spans="1:19" ht="15.75" customHeight="1">
      <c r="A320" s="61">
        <v>21</v>
      </c>
      <c r="B320" s="292" t="s">
        <v>2906</v>
      </c>
      <c r="C320" s="62" t="s">
        <v>27</v>
      </c>
      <c r="D320" s="62" t="s">
        <v>2907</v>
      </c>
      <c r="E320" s="62" t="s">
        <v>2908</v>
      </c>
      <c r="F320" s="62"/>
      <c r="G320" s="62" t="s">
        <v>30</v>
      </c>
      <c r="H320" s="63">
        <v>2000</v>
      </c>
      <c r="I320" s="64">
        <v>400</v>
      </c>
      <c r="J320" s="62" t="s">
        <v>31</v>
      </c>
      <c r="K320" s="62" t="s">
        <v>32</v>
      </c>
      <c r="M320" s="126">
        <v>500</v>
      </c>
    </row>
    <row r="321" spans="1:16" ht="15.75" customHeight="1">
      <c r="A321" s="50">
        <v>21</v>
      </c>
      <c r="B321" s="151" t="s">
        <v>2909</v>
      </c>
      <c r="C321" s="48" t="s">
        <v>27</v>
      </c>
      <c r="D321" s="48" t="s">
        <v>98</v>
      </c>
      <c r="E321" s="48" t="s">
        <v>36</v>
      </c>
      <c r="F321" s="48"/>
      <c r="G321" s="48" t="s">
        <v>30</v>
      </c>
      <c r="H321" s="51">
        <v>500</v>
      </c>
      <c r="I321" s="49" t="s">
        <v>1586</v>
      </c>
      <c r="J321" s="48" t="s">
        <v>31</v>
      </c>
      <c r="K321" s="48" t="s">
        <v>32</v>
      </c>
      <c r="M321" s="126">
        <v>300</v>
      </c>
      <c r="P321" s="55">
        <f>SUM(H320,H322:H325,H327:H332)</f>
        <v>34300</v>
      </c>
    </row>
    <row r="322" spans="1:16" ht="15.75" customHeight="1">
      <c r="A322" s="50">
        <v>21</v>
      </c>
      <c r="B322" s="151" t="s">
        <v>2909</v>
      </c>
      <c r="C322" s="48" t="s">
        <v>27</v>
      </c>
      <c r="D322" s="48" t="s">
        <v>98</v>
      </c>
      <c r="E322" s="48" t="s">
        <v>36</v>
      </c>
      <c r="F322" s="48"/>
      <c r="G322" s="48" t="s">
        <v>30</v>
      </c>
      <c r="H322" s="51">
        <v>1000</v>
      </c>
      <c r="I322" s="49">
        <v>200</v>
      </c>
      <c r="J322" s="48" t="s">
        <v>31</v>
      </c>
      <c r="K322" s="48" t="s">
        <v>32</v>
      </c>
    </row>
    <row r="323" spans="1:16" ht="15.75" customHeight="1">
      <c r="A323" s="50">
        <v>21</v>
      </c>
      <c r="B323" s="151" t="s">
        <v>2910</v>
      </c>
      <c r="C323" s="48" t="s">
        <v>27</v>
      </c>
      <c r="D323" s="48" t="s">
        <v>916</v>
      </c>
      <c r="E323" s="48" t="s">
        <v>36</v>
      </c>
      <c r="F323" s="48"/>
      <c r="G323" s="48" t="s">
        <v>30</v>
      </c>
      <c r="H323" s="51">
        <v>800</v>
      </c>
      <c r="I323" s="49">
        <v>160</v>
      </c>
      <c r="J323" s="48" t="s">
        <v>31</v>
      </c>
      <c r="K323" s="48" t="s">
        <v>32</v>
      </c>
      <c r="M323" s="126">
        <v>150</v>
      </c>
    </row>
    <row r="324" spans="1:16" ht="15.75" customHeight="1">
      <c r="A324" s="50">
        <v>21</v>
      </c>
      <c r="B324" s="151" t="s">
        <v>2911</v>
      </c>
      <c r="C324" s="48" t="s">
        <v>27</v>
      </c>
      <c r="D324" s="48" t="s">
        <v>256</v>
      </c>
      <c r="E324" s="48" t="s">
        <v>245</v>
      </c>
      <c r="F324" s="48"/>
      <c r="G324" s="48" t="s">
        <v>30</v>
      </c>
      <c r="H324" s="51">
        <v>500</v>
      </c>
      <c r="I324" s="49">
        <v>100</v>
      </c>
      <c r="J324" s="48" t="s">
        <v>31</v>
      </c>
      <c r="K324" s="48" t="s">
        <v>32</v>
      </c>
      <c r="M324" s="126">
        <v>300</v>
      </c>
    </row>
    <row r="325" spans="1:16" ht="15.75" customHeight="1">
      <c r="A325" s="50">
        <v>21</v>
      </c>
      <c r="B325" s="151" t="s">
        <v>1128</v>
      </c>
      <c r="C325" s="48" t="s">
        <v>27</v>
      </c>
      <c r="D325" s="48" t="s">
        <v>1129</v>
      </c>
      <c r="E325" s="48" t="s">
        <v>29</v>
      </c>
      <c r="F325" s="48"/>
      <c r="G325" s="48" t="s">
        <v>30</v>
      </c>
      <c r="H325" s="51">
        <v>20000</v>
      </c>
      <c r="I325" s="49">
        <v>4000</v>
      </c>
      <c r="J325" s="48" t="s">
        <v>31</v>
      </c>
      <c r="K325" s="48" t="s">
        <v>32</v>
      </c>
      <c r="M325" s="126">
        <v>4000</v>
      </c>
    </row>
    <row r="326" spans="1:16" ht="15.75" customHeight="1">
      <c r="A326" s="382">
        <v>21</v>
      </c>
      <c r="B326" s="151" t="s">
        <v>2912</v>
      </c>
      <c r="C326" s="151" t="s">
        <v>27</v>
      </c>
      <c r="D326" s="151" t="s">
        <v>2913</v>
      </c>
      <c r="E326" s="151" t="s">
        <v>191</v>
      </c>
      <c r="F326" s="151"/>
      <c r="G326" s="151" t="s">
        <v>30</v>
      </c>
      <c r="H326" s="152">
        <v>500</v>
      </c>
      <c r="I326" s="438" t="s">
        <v>1586</v>
      </c>
      <c r="J326" s="151" t="s">
        <v>31</v>
      </c>
      <c r="K326" s="151" t="s">
        <v>32</v>
      </c>
      <c r="M326" s="126">
        <v>300</v>
      </c>
    </row>
    <row r="327" spans="1:16" ht="15.75" customHeight="1">
      <c r="A327" s="382">
        <v>21</v>
      </c>
      <c r="B327" s="151" t="s">
        <v>2912</v>
      </c>
      <c r="C327" s="151" t="s">
        <v>27</v>
      </c>
      <c r="D327" s="151" t="s">
        <v>2913</v>
      </c>
      <c r="E327" s="151" t="s">
        <v>191</v>
      </c>
      <c r="F327" s="151"/>
      <c r="G327" s="151" t="s">
        <v>30</v>
      </c>
      <c r="H327" s="152">
        <v>500</v>
      </c>
      <c r="I327" s="438">
        <v>100</v>
      </c>
      <c r="J327" s="151" t="s">
        <v>31</v>
      </c>
      <c r="K327" s="151" t="s">
        <v>32</v>
      </c>
    </row>
    <row r="328" spans="1:16" ht="15.75" customHeight="1">
      <c r="A328" s="50">
        <v>21</v>
      </c>
      <c r="B328" s="151" t="s">
        <v>2914</v>
      </c>
      <c r="C328" s="48" t="s">
        <v>27</v>
      </c>
      <c r="D328" s="48" t="s">
        <v>2915</v>
      </c>
      <c r="E328" s="48" t="s">
        <v>84</v>
      </c>
      <c r="F328" s="48"/>
      <c r="G328" s="48" t="s">
        <v>30</v>
      </c>
      <c r="H328" s="51">
        <v>4500</v>
      </c>
      <c r="I328" s="49">
        <v>900</v>
      </c>
      <c r="J328" s="48" t="s">
        <v>31</v>
      </c>
      <c r="K328" s="48" t="s">
        <v>32</v>
      </c>
      <c r="M328" s="126">
        <v>800</v>
      </c>
    </row>
    <row r="329" spans="1:16" ht="15.75" customHeight="1">
      <c r="A329" s="50">
        <v>21</v>
      </c>
      <c r="B329" s="48" t="s">
        <v>2916</v>
      </c>
      <c r="C329" s="48" t="s">
        <v>27</v>
      </c>
      <c r="D329" s="48" t="s">
        <v>666</v>
      </c>
      <c r="E329" s="48" t="s">
        <v>86</v>
      </c>
      <c r="F329" s="48"/>
      <c r="G329" s="48" t="s">
        <v>30</v>
      </c>
      <c r="H329" s="51">
        <v>1500</v>
      </c>
      <c r="I329" s="49">
        <v>300</v>
      </c>
      <c r="J329" s="48" t="s">
        <v>31</v>
      </c>
      <c r="K329" s="48" t="s">
        <v>32</v>
      </c>
      <c r="M329" s="126">
        <v>300</v>
      </c>
    </row>
    <row r="330" spans="1:16" ht="15.75" customHeight="1">
      <c r="A330" s="50">
        <v>21</v>
      </c>
      <c r="B330" s="151" t="s">
        <v>2917</v>
      </c>
      <c r="C330" s="48" t="s">
        <v>27</v>
      </c>
      <c r="D330" s="48" t="s">
        <v>153</v>
      </c>
      <c r="E330" s="48" t="s">
        <v>36</v>
      </c>
      <c r="F330" s="48"/>
      <c r="G330" s="48" t="s">
        <v>30</v>
      </c>
      <c r="H330" s="51">
        <v>1500</v>
      </c>
      <c r="I330" s="49">
        <v>300</v>
      </c>
      <c r="J330" s="48" t="s">
        <v>31</v>
      </c>
      <c r="K330" s="48" t="s">
        <v>32</v>
      </c>
      <c r="M330" s="126">
        <v>200</v>
      </c>
    </row>
    <row r="331" spans="1:16" ht="15.75" customHeight="1">
      <c r="A331" s="50">
        <v>21</v>
      </c>
      <c r="B331" s="151" t="s">
        <v>2918</v>
      </c>
      <c r="C331" s="48" t="s">
        <v>27</v>
      </c>
      <c r="D331" s="48" t="s">
        <v>1813</v>
      </c>
      <c r="E331" s="48" t="s">
        <v>145</v>
      </c>
      <c r="F331" s="48"/>
      <c r="G331" s="48" t="s">
        <v>30</v>
      </c>
      <c r="H331" s="51">
        <v>1000</v>
      </c>
      <c r="I331" s="49">
        <v>200</v>
      </c>
      <c r="J331" s="48" t="s">
        <v>31</v>
      </c>
      <c r="K331" s="48" t="s">
        <v>32</v>
      </c>
      <c r="M331" s="126">
        <v>200</v>
      </c>
    </row>
    <row r="332" spans="1:16" ht="15.75" customHeight="1">
      <c r="A332" s="50">
        <v>21</v>
      </c>
      <c r="B332" s="151" t="s">
        <v>2919</v>
      </c>
      <c r="C332" s="48" t="s">
        <v>27</v>
      </c>
      <c r="D332" s="48" t="s">
        <v>1219</v>
      </c>
      <c r="E332" s="48" t="s">
        <v>44</v>
      </c>
      <c r="F332" s="48"/>
      <c r="G332" s="48" t="s">
        <v>30</v>
      </c>
      <c r="H332" s="51">
        <v>1000</v>
      </c>
      <c r="I332" s="49">
        <v>200</v>
      </c>
      <c r="J332" s="48" t="s">
        <v>31</v>
      </c>
      <c r="K332" s="48" t="s">
        <v>32</v>
      </c>
      <c r="M332" s="126">
        <v>300</v>
      </c>
    </row>
    <row r="333" spans="1:16" ht="15.75" customHeight="1">
      <c r="A333" s="50">
        <v>21</v>
      </c>
      <c r="B333" s="385" t="s">
        <v>2920</v>
      </c>
      <c r="C333" s="385" t="s">
        <v>27</v>
      </c>
      <c r="D333" s="385" t="s">
        <v>2921</v>
      </c>
      <c r="E333" s="385" t="s">
        <v>89</v>
      </c>
      <c r="F333" s="385"/>
      <c r="G333" s="385" t="s">
        <v>30</v>
      </c>
      <c r="H333" s="439">
        <v>500</v>
      </c>
      <c r="I333" s="440" t="s">
        <v>1586</v>
      </c>
      <c r="J333" s="385" t="s">
        <v>31</v>
      </c>
      <c r="K333" s="385" t="s">
        <v>32</v>
      </c>
      <c r="M333" s="126">
        <v>100</v>
      </c>
    </row>
    <row r="334" spans="1:16" ht="15.75" customHeight="1">
      <c r="A334" s="65">
        <v>21</v>
      </c>
      <c r="B334" s="415" t="s">
        <v>2142</v>
      </c>
      <c r="C334" s="415" t="s">
        <v>27</v>
      </c>
      <c r="D334" s="415" t="s">
        <v>100</v>
      </c>
      <c r="E334" s="415" t="s">
        <v>89</v>
      </c>
      <c r="F334" s="415"/>
      <c r="G334" s="415" t="s">
        <v>30</v>
      </c>
      <c r="H334" s="441">
        <v>500</v>
      </c>
      <c r="I334" s="442" t="s">
        <v>1586</v>
      </c>
      <c r="J334" s="415" t="s">
        <v>31</v>
      </c>
      <c r="K334" s="415" t="s">
        <v>32</v>
      </c>
      <c r="M334" s="126">
        <v>100</v>
      </c>
    </row>
    <row r="335" spans="1:16" ht="15.75" customHeight="1">
      <c r="A335" s="61">
        <v>22</v>
      </c>
      <c r="B335" s="292" t="s">
        <v>1126</v>
      </c>
      <c r="C335" s="62" t="s">
        <v>27</v>
      </c>
      <c r="D335" s="62" t="s">
        <v>806</v>
      </c>
      <c r="E335" s="62" t="s">
        <v>86</v>
      </c>
      <c r="F335" s="62"/>
      <c r="G335" s="62" t="s">
        <v>30</v>
      </c>
      <c r="H335" s="63">
        <v>1000</v>
      </c>
      <c r="I335" s="64">
        <v>200</v>
      </c>
      <c r="J335" s="62" t="s">
        <v>31</v>
      </c>
      <c r="K335" s="62" t="s">
        <v>32</v>
      </c>
      <c r="M335" s="126">
        <v>200</v>
      </c>
    </row>
    <row r="336" spans="1:16" ht="15.75" customHeight="1">
      <c r="A336" s="50">
        <v>22</v>
      </c>
      <c r="B336" s="151" t="s">
        <v>2922</v>
      </c>
      <c r="C336" s="48" t="s">
        <v>27</v>
      </c>
      <c r="D336" s="48" t="s">
        <v>1099</v>
      </c>
      <c r="E336" s="48" t="s">
        <v>68</v>
      </c>
      <c r="F336" s="48"/>
      <c r="G336" s="48" t="s">
        <v>30</v>
      </c>
      <c r="H336" s="51">
        <v>1000</v>
      </c>
      <c r="I336" s="49">
        <v>200</v>
      </c>
      <c r="J336" s="48" t="s">
        <v>31</v>
      </c>
      <c r="K336" s="48" t="s">
        <v>32</v>
      </c>
      <c r="M336" s="126">
        <v>900</v>
      </c>
    </row>
    <row r="337" spans="1:16" ht="15.75" customHeight="1">
      <c r="A337" s="50">
        <v>22</v>
      </c>
      <c r="B337" s="386" t="s">
        <v>2923</v>
      </c>
      <c r="C337" s="48" t="s">
        <v>27</v>
      </c>
      <c r="D337" s="48" t="s">
        <v>234</v>
      </c>
      <c r="E337" s="48" t="s">
        <v>68</v>
      </c>
      <c r="F337" s="48"/>
      <c r="G337" s="48" t="s">
        <v>30</v>
      </c>
      <c r="H337" s="51">
        <v>1000</v>
      </c>
      <c r="I337" s="49">
        <v>200</v>
      </c>
      <c r="J337" s="48" t="s">
        <v>31</v>
      </c>
      <c r="K337" s="48" t="s">
        <v>32</v>
      </c>
      <c r="M337" s="126">
        <v>1200</v>
      </c>
    </row>
    <row r="338" spans="1:16" ht="15.75" customHeight="1">
      <c r="A338" s="50">
        <v>22</v>
      </c>
      <c r="B338" s="151" t="s">
        <v>2924</v>
      </c>
      <c r="C338" s="48" t="s">
        <v>27</v>
      </c>
      <c r="D338" s="48" t="s">
        <v>234</v>
      </c>
      <c r="E338" s="48" t="s">
        <v>68</v>
      </c>
      <c r="F338" s="48"/>
      <c r="G338" s="48" t="s">
        <v>30</v>
      </c>
      <c r="H338" s="51">
        <v>1000</v>
      </c>
      <c r="I338" s="49">
        <v>200</v>
      </c>
      <c r="J338" s="48" t="s">
        <v>31</v>
      </c>
      <c r="K338" s="48" t="s">
        <v>32</v>
      </c>
      <c r="M338" s="126">
        <v>1200</v>
      </c>
    </row>
    <row r="339" spans="1:16" ht="15.75" customHeight="1">
      <c r="A339" s="50">
        <v>22</v>
      </c>
      <c r="B339" s="151" t="s">
        <v>2925</v>
      </c>
      <c r="C339" s="48" t="s">
        <v>27</v>
      </c>
      <c r="D339" s="48" t="s">
        <v>234</v>
      </c>
      <c r="E339" s="48" t="s">
        <v>68</v>
      </c>
      <c r="F339" s="48"/>
      <c r="G339" s="48" t="s">
        <v>30</v>
      </c>
      <c r="H339" s="51">
        <v>1000</v>
      </c>
      <c r="I339" s="49">
        <v>200</v>
      </c>
      <c r="J339" s="48" t="s">
        <v>31</v>
      </c>
      <c r="K339" s="48" t="s">
        <v>32</v>
      </c>
      <c r="M339" s="126">
        <v>900</v>
      </c>
    </row>
    <row r="340" spans="1:16" ht="15.75" customHeight="1">
      <c r="A340" s="50">
        <v>22</v>
      </c>
      <c r="B340" s="151" t="s">
        <v>2390</v>
      </c>
      <c r="C340" s="48" t="s">
        <v>27</v>
      </c>
      <c r="D340" s="48" t="s">
        <v>2391</v>
      </c>
      <c r="E340" s="48" t="s">
        <v>89</v>
      </c>
      <c r="F340" s="48"/>
      <c r="G340" s="48" t="s">
        <v>30</v>
      </c>
      <c r="H340" s="51">
        <v>4000</v>
      </c>
      <c r="I340" s="49">
        <v>800</v>
      </c>
      <c r="J340" s="48" t="s">
        <v>31</v>
      </c>
      <c r="K340" s="48" t="s">
        <v>32</v>
      </c>
      <c r="M340" s="126">
        <v>900</v>
      </c>
      <c r="P340" s="55">
        <f>SUM(H335:H342,H344:H348)</f>
        <v>21600</v>
      </c>
    </row>
    <row r="341" spans="1:16" ht="15.75" customHeight="1">
      <c r="A341" s="50">
        <v>22</v>
      </c>
      <c r="B341" s="151" t="s">
        <v>2926</v>
      </c>
      <c r="C341" s="48" t="s">
        <v>27</v>
      </c>
      <c r="D341" s="48" t="s">
        <v>882</v>
      </c>
      <c r="E341" s="48" t="s">
        <v>51</v>
      </c>
      <c r="F341" s="48"/>
      <c r="G341" s="48" t="s">
        <v>30</v>
      </c>
      <c r="H341" s="51">
        <v>5700</v>
      </c>
      <c r="I341" s="49">
        <v>1140</v>
      </c>
      <c r="J341" s="48" t="s">
        <v>31</v>
      </c>
      <c r="K341" s="48" t="s">
        <v>32</v>
      </c>
      <c r="M341" s="126">
        <v>1000</v>
      </c>
    </row>
    <row r="342" spans="1:16" ht="15.75" customHeight="1">
      <c r="A342" s="50">
        <v>22</v>
      </c>
      <c r="B342" s="151" t="s">
        <v>2927</v>
      </c>
      <c r="C342" s="48" t="s">
        <v>39</v>
      </c>
      <c r="D342" s="48" t="s">
        <v>2248</v>
      </c>
      <c r="E342" s="48" t="s">
        <v>44</v>
      </c>
      <c r="F342" s="48"/>
      <c r="G342" s="48" t="s">
        <v>30</v>
      </c>
      <c r="H342" s="51">
        <v>2000</v>
      </c>
      <c r="I342" s="49">
        <v>400</v>
      </c>
      <c r="J342" s="48" t="s">
        <v>31</v>
      </c>
      <c r="K342" s="48" t="s">
        <v>32</v>
      </c>
      <c r="M342" s="126">
        <v>600</v>
      </c>
    </row>
    <row r="343" spans="1:16" ht="15.75" customHeight="1">
      <c r="A343" s="50">
        <v>22</v>
      </c>
      <c r="B343" s="151" t="s">
        <v>2928</v>
      </c>
      <c r="C343" s="48" t="s">
        <v>27</v>
      </c>
      <c r="D343" s="48" t="s">
        <v>1315</v>
      </c>
      <c r="E343" s="48" t="s">
        <v>54</v>
      </c>
      <c r="F343" s="48"/>
      <c r="G343" s="48" t="s">
        <v>30</v>
      </c>
      <c r="H343" s="51">
        <v>500</v>
      </c>
      <c r="I343" s="49" t="s">
        <v>1586</v>
      </c>
      <c r="J343" s="48" t="s">
        <v>31</v>
      </c>
      <c r="K343" s="48" t="s">
        <v>32</v>
      </c>
      <c r="M343" s="126">
        <v>500</v>
      </c>
    </row>
    <row r="344" spans="1:16" ht="15.75" customHeight="1">
      <c r="A344" s="50">
        <v>22</v>
      </c>
      <c r="B344" s="151" t="s">
        <v>2928</v>
      </c>
      <c r="C344" s="48" t="s">
        <v>27</v>
      </c>
      <c r="D344" s="48" t="s">
        <v>1315</v>
      </c>
      <c r="E344" s="48" t="s">
        <v>54</v>
      </c>
      <c r="F344" s="48"/>
      <c r="G344" s="48" t="s">
        <v>30</v>
      </c>
      <c r="H344" s="51">
        <v>1000</v>
      </c>
      <c r="I344" s="49">
        <v>200</v>
      </c>
      <c r="J344" s="48" t="s">
        <v>31</v>
      </c>
      <c r="K344" s="48" t="s">
        <v>32</v>
      </c>
    </row>
    <row r="345" spans="1:16" ht="15.75" customHeight="1">
      <c r="A345" s="50">
        <v>22</v>
      </c>
      <c r="B345" s="151" t="s">
        <v>2929</v>
      </c>
      <c r="C345" s="48" t="s">
        <v>27</v>
      </c>
      <c r="D345" s="48" t="s">
        <v>2930</v>
      </c>
      <c r="E345" s="48" t="s">
        <v>102</v>
      </c>
      <c r="F345" s="48"/>
      <c r="G345" s="48" t="s">
        <v>30</v>
      </c>
      <c r="H345" s="51">
        <v>1000</v>
      </c>
      <c r="I345" s="49">
        <v>200</v>
      </c>
      <c r="J345" s="48" t="s">
        <v>31</v>
      </c>
      <c r="K345" s="48" t="s">
        <v>32</v>
      </c>
      <c r="M345" s="126">
        <v>200</v>
      </c>
    </row>
    <row r="346" spans="1:16" ht="15.75" customHeight="1">
      <c r="A346" s="50">
        <v>22</v>
      </c>
      <c r="B346" s="151" t="s">
        <v>2931</v>
      </c>
      <c r="C346" s="48" t="s">
        <v>27</v>
      </c>
      <c r="D346" s="48" t="s">
        <v>2930</v>
      </c>
      <c r="E346" s="48" t="s">
        <v>102</v>
      </c>
      <c r="F346" s="48"/>
      <c r="G346" s="48" t="s">
        <v>30</v>
      </c>
      <c r="H346" s="51">
        <v>1000</v>
      </c>
      <c r="I346" s="49">
        <v>200</v>
      </c>
      <c r="J346" s="48" t="s">
        <v>31</v>
      </c>
      <c r="K346" s="48" t="s">
        <v>32</v>
      </c>
      <c r="M346" s="126">
        <v>200</v>
      </c>
    </row>
    <row r="347" spans="1:16" ht="15.75" customHeight="1">
      <c r="A347" s="50">
        <v>22</v>
      </c>
      <c r="B347" s="151" t="s">
        <v>2932</v>
      </c>
      <c r="C347" s="48" t="s">
        <v>27</v>
      </c>
      <c r="D347" s="48" t="s">
        <v>2930</v>
      </c>
      <c r="E347" s="48" t="s">
        <v>102</v>
      </c>
      <c r="F347" s="48"/>
      <c r="G347" s="48" t="s">
        <v>30</v>
      </c>
      <c r="H347" s="51">
        <v>1000</v>
      </c>
      <c r="I347" s="49">
        <v>2000</v>
      </c>
      <c r="J347" s="48" t="s">
        <v>31</v>
      </c>
      <c r="K347" s="48" t="s">
        <v>32</v>
      </c>
      <c r="M347" s="126">
        <v>200</v>
      </c>
    </row>
    <row r="348" spans="1:16" ht="15.75" customHeight="1">
      <c r="A348" s="50">
        <v>22</v>
      </c>
      <c r="B348" s="151" t="s">
        <v>2933</v>
      </c>
      <c r="C348" s="48" t="s">
        <v>39</v>
      </c>
      <c r="D348" s="48" t="s">
        <v>434</v>
      </c>
      <c r="E348" s="48" t="s">
        <v>36</v>
      </c>
      <c r="F348" s="48"/>
      <c r="G348" s="48" t="s">
        <v>30</v>
      </c>
      <c r="H348" s="51">
        <v>900</v>
      </c>
      <c r="I348" s="49">
        <v>180</v>
      </c>
      <c r="J348" s="48" t="s">
        <v>31</v>
      </c>
      <c r="K348" s="48" t="s">
        <v>32</v>
      </c>
      <c r="M348" s="126">
        <v>180</v>
      </c>
    </row>
    <row r="349" spans="1:16" ht="15.75" customHeight="1">
      <c r="A349" s="50">
        <v>22</v>
      </c>
      <c r="B349" s="151" t="s">
        <v>2920</v>
      </c>
      <c r="C349" s="48" t="s">
        <v>27</v>
      </c>
      <c r="D349" s="48" t="s">
        <v>2921</v>
      </c>
      <c r="E349" s="48" t="s">
        <v>89</v>
      </c>
      <c r="F349" s="48"/>
      <c r="G349" s="48" t="s">
        <v>30</v>
      </c>
      <c r="H349" s="51">
        <v>500</v>
      </c>
      <c r="I349" s="49" t="s">
        <v>1586</v>
      </c>
      <c r="J349" s="48" t="s">
        <v>31</v>
      </c>
      <c r="K349" s="48" t="s">
        <v>32</v>
      </c>
      <c r="M349" s="126">
        <v>100</v>
      </c>
    </row>
    <row r="350" spans="1:16" ht="15.75" customHeight="1">
      <c r="A350" s="65">
        <v>22</v>
      </c>
      <c r="B350" s="175" t="s">
        <v>2142</v>
      </c>
      <c r="C350" s="58" t="s">
        <v>27</v>
      </c>
      <c r="D350" s="58" t="s">
        <v>100</v>
      </c>
      <c r="E350" s="58" t="s">
        <v>89</v>
      </c>
      <c r="F350" s="58"/>
      <c r="G350" s="58" t="s">
        <v>30</v>
      </c>
      <c r="H350" s="59">
        <v>500</v>
      </c>
      <c r="I350" s="60" t="s">
        <v>1586</v>
      </c>
      <c r="J350" s="58" t="s">
        <v>31</v>
      </c>
      <c r="K350" s="58" t="s">
        <v>32</v>
      </c>
      <c r="M350" s="126">
        <v>100</v>
      </c>
    </row>
    <row r="351" spans="1:16" ht="15.75" customHeight="1">
      <c r="A351" s="61">
        <v>23</v>
      </c>
      <c r="B351" s="292" t="s">
        <v>2934</v>
      </c>
      <c r="C351" s="62" t="s">
        <v>27</v>
      </c>
      <c r="D351" s="62" t="s">
        <v>2764</v>
      </c>
      <c r="E351" s="62" t="s">
        <v>41</v>
      </c>
      <c r="F351" s="62"/>
      <c r="G351" s="62" t="s">
        <v>30</v>
      </c>
      <c r="H351" s="63">
        <v>1000</v>
      </c>
      <c r="I351" s="64">
        <v>200</v>
      </c>
      <c r="J351" s="62" t="s">
        <v>31</v>
      </c>
      <c r="K351" s="62" t="s">
        <v>32</v>
      </c>
      <c r="M351" s="126">
        <v>200</v>
      </c>
    </row>
    <row r="352" spans="1:16" ht="15.75" customHeight="1">
      <c r="A352" s="50">
        <v>23</v>
      </c>
      <c r="B352" s="146" t="s">
        <v>2935</v>
      </c>
      <c r="C352" s="146" t="s">
        <v>27</v>
      </c>
      <c r="D352" s="146" t="s">
        <v>100</v>
      </c>
      <c r="E352" s="146" t="s">
        <v>145</v>
      </c>
      <c r="F352" s="146"/>
      <c r="G352" s="146" t="s">
        <v>30</v>
      </c>
      <c r="H352" s="147">
        <v>500</v>
      </c>
      <c r="I352" s="443" t="s">
        <v>1586</v>
      </c>
      <c r="J352" s="146" t="s">
        <v>31</v>
      </c>
      <c r="K352" s="146" t="s">
        <v>32</v>
      </c>
      <c r="M352" s="126">
        <v>200</v>
      </c>
    </row>
    <row r="353" spans="1:16" ht="15.75" customHeight="1">
      <c r="A353" s="50">
        <v>23</v>
      </c>
      <c r="B353" s="151" t="s">
        <v>2936</v>
      </c>
      <c r="C353" s="48" t="s">
        <v>27</v>
      </c>
      <c r="D353" s="48" t="s">
        <v>363</v>
      </c>
      <c r="E353" s="48" t="s">
        <v>102</v>
      </c>
      <c r="F353" s="48"/>
      <c r="G353" s="48" t="s">
        <v>30</v>
      </c>
      <c r="H353" s="51">
        <v>1000</v>
      </c>
      <c r="I353" s="49">
        <v>200</v>
      </c>
      <c r="J353" s="48" t="s">
        <v>31</v>
      </c>
      <c r="K353" s="48" t="s">
        <v>32</v>
      </c>
      <c r="M353" s="126">
        <v>600</v>
      </c>
    </row>
    <row r="354" spans="1:16" ht="15.75" customHeight="1">
      <c r="A354" s="50">
        <v>23</v>
      </c>
      <c r="B354" s="151" t="s">
        <v>2937</v>
      </c>
      <c r="C354" s="48" t="s">
        <v>27</v>
      </c>
      <c r="D354" s="48" t="s">
        <v>114</v>
      </c>
      <c r="E354" s="48" t="s">
        <v>44</v>
      </c>
      <c r="F354" s="48"/>
      <c r="G354" s="48" t="s">
        <v>30</v>
      </c>
      <c r="H354" s="51">
        <v>1000</v>
      </c>
      <c r="I354" s="49">
        <v>200</v>
      </c>
      <c r="J354" s="48" t="s">
        <v>31</v>
      </c>
      <c r="K354" s="48" t="s">
        <v>32</v>
      </c>
      <c r="M354" s="126">
        <v>200</v>
      </c>
    </row>
    <row r="355" spans="1:16" ht="15.75" customHeight="1">
      <c r="A355" s="50">
        <v>23</v>
      </c>
      <c r="B355" s="151" t="s">
        <v>2938</v>
      </c>
      <c r="C355" s="48" t="s">
        <v>27</v>
      </c>
      <c r="D355" s="48" t="s">
        <v>2939</v>
      </c>
      <c r="E355" s="48" t="s">
        <v>102</v>
      </c>
      <c r="F355" s="48"/>
      <c r="G355" s="48" t="s">
        <v>30</v>
      </c>
      <c r="H355" s="51">
        <v>1500</v>
      </c>
      <c r="I355" s="49">
        <v>300</v>
      </c>
      <c r="J355" s="48" t="s">
        <v>31</v>
      </c>
      <c r="K355" s="48" t="s">
        <v>32</v>
      </c>
      <c r="M355" s="126">
        <v>300</v>
      </c>
    </row>
    <row r="356" spans="1:16" ht="15.75" customHeight="1">
      <c r="A356" s="50">
        <v>23</v>
      </c>
      <c r="B356" s="151" t="s">
        <v>2940</v>
      </c>
      <c r="C356" s="48" t="s">
        <v>27</v>
      </c>
      <c r="D356" s="48" t="s">
        <v>205</v>
      </c>
      <c r="E356" s="48" t="s">
        <v>191</v>
      </c>
      <c r="F356" s="48"/>
      <c r="G356" s="48" t="s">
        <v>30</v>
      </c>
      <c r="H356" s="51">
        <v>1500</v>
      </c>
      <c r="I356" s="49">
        <v>300</v>
      </c>
      <c r="J356" s="48" t="s">
        <v>31</v>
      </c>
      <c r="K356" s="48" t="s">
        <v>32</v>
      </c>
      <c r="M356" s="126">
        <v>300</v>
      </c>
      <c r="P356" s="55">
        <f>SUM(H351,H353:H360)</f>
        <v>9800</v>
      </c>
    </row>
    <row r="357" spans="1:16" ht="15.75" customHeight="1">
      <c r="A357" s="50">
        <v>23</v>
      </c>
      <c r="B357" s="151" t="s">
        <v>2941</v>
      </c>
      <c r="C357" s="48" t="s">
        <v>27</v>
      </c>
      <c r="D357" s="48" t="s">
        <v>434</v>
      </c>
      <c r="E357" s="48" t="s">
        <v>36</v>
      </c>
      <c r="F357" s="48"/>
      <c r="G357" s="48" t="s">
        <v>30</v>
      </c>
      <c r="H357" s="51">
        <v>2500</v>
      </c>
      <c r="I357" s="49">
        <v>500</v>
      </c>
      <c r="J357" s="48" t="s">
        <v>31</v>
      </c>
      <c r="K357" s="48" t="s">
        <v>32</v>
      </c>
      <c r="M357" s="126">
        <v>500</v>
      </c>
    </row>
    <row r="358" spans="1:16" ht="15.75" customHeight="1">
      <c r="A358" s="50">
        <v>23</v>
      </c>
      <c r="B358" s="151" t="s">
        <v>911</v>
      </c>
      <c r="C358" s="48" t="s">
        <v>27</v>
      </c>
      <c r="D358" s="48" t="s">
        <v>2942</v>
      </c>
      <c r="E358" s="48" t="s">
        <v>79</v>
      </c>
      <c r="F358" s="48"/>
      <c r="G358" s="48" t="s">
        <v>30</v>
      </c>
      <c r="H358" s="51">
        <v>700</v>
      </c>
      <c r="I358" s="49">
        <v>140</v>
      </c>
      <c r="J358" s="48" t="s">
        <v>31</v>
      </c>
      <c r="K358" s="48" t="s">
        <v>32</v>
      </c>
      <c r="M358" s="126">
        <v>150</v>
      </c>
    </row>
    <row r="359" spans="1:16" ht="15.75" customHeight="1">
      <c r="A359" s="50">
        <v>23</v>
      </c>
      <c r="B359" s="151" t="s">
        <v>2943</v>
      </c>
      <c r="C359" s="48" t="s">
        <v>27</v>
      </c>
      <c r="D359" s="48" t="s">
        <v>88</v>
      </c>
      <c r="E359" s="48" t="s">
        <v>84</v>
      </c>
      <c r="F359" s="48"/>
      <c r="G359" s="48" t="s">
        <v>30</v>
      </c>
      <c r="H359" s="51">
        <v>300</v>
      </c>
      <c r="I359" s="49">
        <v>60</v>
      </c>
      <c r="J359" s="48" t="s">
        <v>31</v>
      </c>
      <c r="K359" s="48" t="s">
        <v>32</v>
      </c>
      <c r="M359" s="126">
        <v>60</v>
      </c>
    </row>
    <row r="360" spans="1:16" ht="15.75" customHeight="1">
      <c r="A360" s="50">
        <v>23</v>
      </c>
      <c r="B360" s="151" t="s">
        <v>2944</v>
      </c>
      <c r="C360" s="48" t="s">
        <v>27</v>
      </c>
      <c r="D360" s="48" t="s">
        <v>114</v>
      </c>
      <c r="E360" s="48" t="s">
        <v>44</v>
      </c>
      <c r="F360" s="48"/>
      <c r="G360" s="48" t="s">
        <v>30</v>
      </c>
      <c r="H360" s="51">
        <v>300</v>
      </c>
      <c r="I360" s="49">
        <v>60</v>
      </c>
      <c r="J360" s="48" t="s">
        <v>31</v>
      </c>
      <c r="K360" s="48" t="s">
        <v>32</v>
      </c>
      <c r="M360" s="126">
        <v>60</v>
      </c>
    </row>
    <row r="361" spans="1:16" ht="15.75" customHeight="1">
      <c r="A361" s="65">
        <v>23</v>
      </c>
      <c r="B361" s="175" t="s">
        <v>1846</v>
      </c>
      <c r="C361" s="58" t="s">
        <v>27</v>
      </c>
      <c r="D361" s="58"/>
      <c r="E361" s="58" t="s">
        <v>44</v>
      </c>
      <c r="F361" s="58"/>
      <c r="G361" s="58" t="s">
        <v>30</v>
      </c>
      <c r="H361" s="59">
        <v>300</v>
      </c>
      <c r="I361" s="60" t="s">
        <v>1586</v>
      </c>
      <c r="J361" s="48" t="s">
        <v>31</v>
      </c>
      <c r="K361" s="48" t="s">
        <v>32</v>
      </c>
    </row>
    <row r="362" spans="1:16" ht="15.75" customHeight="1">
      <c r="A362" s="61">
        <v>24</v>
      </c>
      <c r="B362" s="292" t="s">
        <v>2945</v>
      </c>
      <c r="C362" s="62" t="s">
        <v>27</v>
      </c>
      <c r="D362" s="62" t="s">
        <v>2946</v>
      </c>
      <c r="E362" s="62" t="s">
        <v>36</v>
      </c>
      <c r="F362" s="62"/>
      <c r="G362" s="62" t="s">
        <v>30</v>
      </c>
      <c r="H362" s="63">
        <v>150</v>
      </c>
      <c r="I362" s="64">
        <v>30</v>
      </c>
      <c r="J362" s="62" t="s">
        <v>31</v>
      </c>
      <c r="K362" s="62" t="s">
        <v>32</v>
      </c>
      <c r="M362" s="126">
        <v>50</v>
      </c>
    </row>
    <row r="363" spans="1:16" ht="15.75" customHeight="1">
      <c r="A363" s="50">
        <v>24</v>
      </c>
      <c r="B363" s="146" t="s">
        <v>2935</v>
      </c>
      <c r="C363" s="146" t="s">
        <v>27</v>
      </c>
      <c r="D363" s="146" t="s">
        <v>100</v>
      </c>
      <c r="E363" s="146" t="s">
        <v>145</v>
      </c>
      <c r="F363" s="146"/>
      <c r="G363" s="146" t="s">
        <v>30</v>
      </c>
      <c r="H363" s="147">
        <v>500</v>
      </c>
      <c r="I363" s="443" t="s">
        <v>1586</v>
      </c>
      <c r="J363" s="146" t="s">
        <v>31</v>
      </c>
      <c r="K363" s="146" t="s">
        <v>32</v>
      </c>
      <c r="M363" s="126">
        <v>600</v>
      </c>
    </row>
    <row r="364" spans="1:16" ht="15.75" customHeight="1">
      <c r="A364" s="50">
        <v>24</v>
      </c>
      <c r="B364" s="146" t="s">
        <v>2935</v>
      </c>
      <c r="C364" s="146" t="s">
        <v>27</v>
      </c>
      <c r="D364" s="146" t="s">
        <v>100</v>
      </c>
      <c r="E364" s="146" t="s">
        <v>145</v>
      </c>
      <c r="F364" s="146"/>
      <c r="G364" s="146" t="s">
        <v>30</v>
      </c>
      <c r="H364" s="147">
        <v>500</v>
      </c>
      <c r="I364" s="443">
        <v>100</v>
      </c>
      <c r="J364" s="146" t="s">
        <v>31</v>
      </c>
      <c r="K364" s="146" t="s">
        <v>32</v>
      </c>
    </row>
    <row r="365" spans="1:16" ht="15.75" customHeight="1">
      <c r="A365" s="50">
        <v>24</v>
      </c>
      <c r="B365" s="151" t="s">
        <v>2947</v>
      </c>
      <c r="C365" s="48" t="s">
        <v>27</v>
      </c>
      <c r="D365" s="48" t="s">
        <v>499</v>
      </c>
      <c r="E365" s="48" t="s">
        <v>145</v>
      </c>
      <c r="F365" s="48"/>
      <c r="G365" s="48" t="s">
        <v>30</v>
      </c>
      <c r="H365" s="51">
        <v>500</v>
      </c>
      <c r="I365" s="49" t="s">
        <v>1586</v>
      </c>
      <c r="J365" s="48" t="s">
        <v>31</v>
      </c>
      <c r="K365" s="48" t="s">
        <v>32</v>
      </c>
      <c r="M365" s="126">
        <v>900</v>
      </c>
    </row>
    <row r="366" spans="1:16" ht="15.75" customHeight="1">
      <c r="A366" s="50">
        <v>24</v>
      </c>
      <c r="B366" s="151" t="s">
        <v>2947</v>
      </c>
      <c r="C366" s="48" t="s">
        <v>27</v>
      </c>
      <c r="D366" s="48" t="s">
        <v>499</v>
      </c>
      <c r="E366" s="48" t="s">
        <v>145</v>
      </c>
      <c r="F366" s="48"/>
      <c r="G366" s="48" t="s">
        <v>30</v>
      </c>
      <c r="H366" s="51">
        <v>500</v>
      </c>
      <c r="I366" s="49">
        <v>100</v>
      </c>
      <c r="J366" s="48" t="s">
        <v>31</v>
      </c>
      <c r="K366" s="48" t="s">
        <v>32</v>
      </c>
    </row>
    <row r="367" spans="1:16" ht="15.75" customHeight="1">
      <c r="A367" s="50">
        <v>24</v>
      </c>
      <c r="B367" s="151" t="s">
        <v>2948</v>
      </c>
      <c r="C367" s="48" t="s">
        <v>27</v>
      </c>
      <c r="D367" s="48" t="s">
        <v>1103</v>
      </c>
      <c r="E367" s="48" t="s">
        <v>36</v>
      </c>
      <c r="F367" s="48"/>
      <c r="G367" s="48" t="s">
        <v>30</v>
      </c>
      <c r="H367" s="51">
        <v>500</v>
      </c>
      <c r="I367" s="49" t="s">
        <v>1586</v>
      </c>
      <c r="J367" s="48" t="s">
        <v>31</v>
      </c>
      <c r="K367" s="48" t="s">
        <v>32</v>
      </c>
      <c r="M367" s="126">
        <v>600</v>
      </c>
    </row>
    <row r="368" spans="1:16" ht="15.75" customHeight="1">
      <c r="A368" s="50">
        <v>24</v>
      </c>
      <c r="B368" s="151" t="s">
        <v>2948</v>
      </c>
      <c r="C368" s="48" t="s">
        <v>27</v>
      </c>
      <c r="D368" s="48" t="s">
        <v>1103</v>
      </c>
      <c r="E368" s="48" t="s">
        <v>36</v>
      </c>
      <c r="F368" s="48"/>
      <c r="G368" s="48" t="s">
        <v>30</v>
      </c>
      <c r="H368" s="51">
        <v>500</v>
      </c>
      <c r="I368" s="49">
        <v>100</v>
      </c>
      <c r="J368" s="48" t="s">
        <v>31</v>
      </c>
      <c r="K368" s="48" t="s">
        <v>32</v>
      </c>
    </row>
    <row r="369" spans="1:13" ht="15.75" customHeight="1">
      <c r="A369" s="50">
        <v>24</v>
      </c>
      <c r="B369" s="151" t="s">
        <v>2949</v>
      </c>
      <c r="C369" s="48" t="s">
        <v>27</v>
      </c>
      <c r="D369" s="48" t="s">
        <v>2950</v>
      </c>
      <c r="E369" s="48" t="s">
        <v>86</v>
      </c>
      <c r="F369" s="48"/>
      <c r="G369" s="48" t="s">
        <v>30</v>
      </c>
      <c r="H369" s="51">
        <v>500</v>
      </c>
      <c r="I369" s="49">
        <v>100</v>
      </c>
      <c r="J369" s="48" t="s">
        <v>31</v>
      </c>
      <c r="K369" s="48" t="s">
        <v>32</v>
      </c>
      <c r="M369" s="126">
        <v>100</v>
      </c>
    </row>
    <row r="370" spans="1:13" ht="15.75" customHeight="1">
      <c r="A370" s="50">
        <v>24</v>
      </c>
      <c r="B370" s="151" t="s">
        <v>2951</v>
      </c>
      <c r="C370" s="48" t="s">
        <v>27</v>
      </c>
      <c r="D370" s="48" t="s">
        <v>607</v>
      </c>
      <c r="E370" s="48" t="s">
        <v>36</v>
      </c>
      <c r="F370" s="48"/>
      <c r="G370" s="48" t="s">
        <v>30</v>
      </c>
      <c r="H370" s="51">
        <v>500</v>
      </c>
      <c r="I370" s="49">
        <v>100</v>
      </c>
      <c r="J370" s="48" t="s">
        <v>31</v>
      </c>
      <c r="K370" s="48" t="s">
        <v>32</v>
      </c>
      <c r="M370" s="126">
        <v>100</v>
      </c>
    </row>
    <row r="371" spans="1:13" ht="15.75" customHeight="1">
      <c r="A371" s="50">
        <v>24</v>
      </c>
      <c r="B371" s="151" t="s">
        <v>2952</v>
      </c>
      <c r="C371" s="48" t="s">
        <v>27</v>
      </c>
      <c r="D371" s="48" t="s">
        <v>645</v>
      </c>
      <c r="E371" s="48" t="s">
        <v>86</v>
      </c>
      <c r="F371" s="48"/>
      <c r="G371" s="48" t="s">
        <v>30</v>
      </c>
      <c r="H371" s="51">
        <v>1000</v>
      </c>
      <c r="I371" s="49">
        <v>200</v>
      </c>
      <c r="J371" s="48" t="s">
        <v>31</v>
      </c>
      <c r="K371" s="48" t="s">
        <v>32</v>
      </c>
      <c r="M371" s="126">
        <v>250</v>
      </c>
    </row>
    <row r="372" spans="1:13" ht="15.75" customHeight="1">
      <c r="A372" s="50">
        <v>24</v>
      </c>
      <c r="B372" s="151" t="s">
        <v>2455</v>
      </c>
      <c r="C372" s="48" t="s">
        <v>27</v>
      </c>
      <c r="D372" s="48" t="s">
        <v>651</v>
      </c>
      <c r="E372" s="48" t="s">
        <v>86</v>
      </c>
      <c r="F372" s="48"/>
      <c r="G372" s="48" t="s">
        <v>30</v>
      </c>
      <c r="H372" s="51">
        <v>700</v>
      </c>
      <c r="I372" s="49">
        <v>140</v>
      </c>
      <c r="J372" s="48" t="s">
        <v>31</v>
      </c>
      <c r="K372" s="48" t="s">
        <v>32</v>
      </c>
      <c r="M372" s="126">
        <v>200</v>
      </c>
    </row>
    <row r="373" spans="1:13" ht="15.75" customHeight="1">
      <c r="A373" s="50">
        <v>24</v>
      </c>
      <c r="B373" s="151" t="s">
        <v>1433</v>
      </c>
      <c r="C373" s="48" t="s">
        <v>27</v>
      </c>
      <c r="D373" s="48" t="s">
        <v>98</v>
      </c>
      <c r="E373" s="48" t="s">
        <v>36</v>
      </c>
      <c r="F373" s="48"/>
      <c r="G373" s="48" t="s">
        <v>30</v>
      </c>
      <c r="H373" s="51">
        <v>3000</v>
      </c>
      <c r="I373" s="49">
        <v>600</v>
      </c>
      <c r="J373" s="48" t="s">
        <v>31</v>
      </c>
      <c r="K373" s="48" t="s">
        <v>32</v>
      </c>
      <c r="M373" s="126">
        <v>500</v>
      </c>
    </row>
    <row r="374" spans="1:13" ht="15.75" customHeight="1">
      <c r="A374" s="50">
        <v>24</v>
      </c>
      <c r="B374" s="151" t="s">
        <v>2953</v>
      </c>
      <c r="C374" s="48" t="s">
        <v>27</v>
      </c>
      <c r="D374" s="48" t="s">
        <v>347</v>
      </c>
      <c r="E374" s="48" t="s">
        <v>245</v>
      </c>
      <c r="F374" s="48"/>
      <c r="G374" s="48" t="s">
        <v>30</v>
      </c>
      <c r="H374" s="51">
        <v>800</v>
      </c>
      <c r="I374" s="49">
        <v>160</v>
      </c>
      <c r="J374" s="48" t="s">
        <v>31</v>
      </c>
      <c r="K374" s="48" t="s">
        <v>32</v>
      </c>
      <c r="M374" s="126">
        <v>150</v>
      </c>
    </row>
    <row r="375" spans="1:13" ht="15.75" customHeight="1">
      <c r="A375" s="50">
        <v>24</v>
      </c>
      <c r="B375" s="151" t="s">
        <v>2954</v>
      </c>
      <c r="C375" s="48" t="s">
        <v>27</v>
      </c>
      <c r="D375" s="48" t="s">
        <v>165</v>
      </c>
      <c r="E375" s="48" t="s">
        <v>84</v>
      </c>
      <c r="F375" s="48"/>
      <c r="G375" s="48" t="s">
        <v>30</v>
      </c>
      <c r="H375" s="51">
        <v>300</v>
      </c>
      <c r="I375" s="49">
        <v>60</v>
      </c>
      <c r="J375" s="48" t="s">
        <v>31</v>
      </c>
      <c r="K375" s="48" t="s">
        <v>32</v>
      </c>
      <c r="M375" s="126">
        <v>60</v>
      </c>
    </row>
    <row r="376" spans="1:13" ht="15.75" customHeight="1">
      <c r="A376" s="50">
        <v>24</v>
      </c>
      <c r="B376" s="151" t="s">
        <v>2431</v>
      </c>
      <c r="C376" s="48" t="s">
        <v>27</v>
      </c>
      <c r="D376" s="48" t="s">
        <v>200</v>
      </c>
      <c r="E376" s="48" t="s">
        <v>273</v>
      </c>
      <c r="F376" s="48"/>
      <c r="G376" s="48" t="s">
        <v>30</v>
      </c>
      <c r="H376" s="51">
        <v>250</v>
      </c>
      <c r="I376" s="49">
        <v>50</v>
      </c>
      <c r="J376" s="48" t="s">
        <v>31</v>
      </c>
      <c r="K376" s="48" t="s">
        <v>32</v>
      </c>
      <c r="M376" s="126">
        <v>49</v>
      </c>
    </row>
    <row r="377" spans="1:13" ht="15.75" customHeight="1">
      <c r="A377" s="50">
        <v>24</v>
      </c>
      <c r="B377" s="151" t="s">
        <v>2955</v>
      </c>
      <c r="C377" s="48" t="s">
        <v>27</v>
      </c>
      <c r="D377" s="48" t="s">
        <v>878</v>
      </c>
      <c r="E377" s="48" t="s">
        <v>51</v>
      </c>
      <c r="F377" s="48"/>
      <c r="G377" s="48" t="s">
        <v>30</v>
      </c>
      <c r="H377" s="51">
        <v>1000</v>
      </c>
      <c r="I377" s="49">
        <v>200</v>
      </c>
      <c r="J377" s="48" t="s">
        <v>31</v>
      </c>
      <c r="K377" s="48" t="s">
        <v>32</v>
      </c>
      <c r="M377" s="126">
        <v>600</v>
      </c>
    </row>
    <row r="378" spans="1:13" ht="15.75" customHeight="1">
      <c r="A378" s="50">
        <v>24</v>
      </c>
      <c r="B378" s="151" t="s">
        <v>877</v>
      </c>
      <c r="C378" s="48" t="s">
        <v>27</v>
      </c>
      <c r="D378" s="48" t="s">
        <v>878</v>
      </c>
      <c r="E378" s="48" t="s">
        <v>51</v>
      </c>
      <c r="F378" s="48"/>
      <c r="G378" s="48" t="s">
        <v>30</v>
      </c>
      <c r="H378" s="51">
        <v>1000</v>
      </c>
      <c r="I378" s="49">
        <v>200</v>
      </c>
      <c r="J378" s="48" t="s">
        <v>31</v>
      </c>
      <c r="K378" s="48" t="s">
        <v>32</v>
      </c>
      <c r="M378" s="126">
        <v>200</v>
      </c>
    </row>
    <row r="379" spans="1:13" ht="15.75" customHeight="1">
      <c r="A379" s="396">
        <v>24</v>
      </c>
      <c r="B379" s="166" t="s">
        <v>2956</v>
      </c>
      <c r="C379" s="166" t="s">
        <v>27</v>
      </c>
      <c r="D379" s="166" t="s">
        <v>910</v>
      </c>
      <c r="E379" s="166" t="s">
        <v>36</v>
      </c>
      <c r="F379" s="166"/>
      <c r="G379" s="166" t="s">
        <v>30</v>
      </c>
      <c r="H379" s="167">
        <v>2000</v>
      </c>
      <c r="I379" s="397" t="s">
        <v>1586</v>
      </c>
      <c r="J379" s="166" t="s">
        <v>31</v>
      </c>
      <c r="K379" s="48" t="s">
        <v>32</v>
      </c>
      <c r="M379" s="126">
        <v>400</v>
      </c>
    </row>
    <row r="380" spans="1:13" ht="15.75" customHeight="1">
      <c r="A380" s="396">
        <v>24</v>
      </c>
      <c r="B380" s="166" t="s">
        <v>2956</v>
      </c>
      <c r="C380" s="166" t="s">
        <v>27</v>
      </c>
      <c r="D380" s="166" t="s">
        <v>910</v>
      </c>
      <c r="E380" s="166" t="s">
        <v>36</v>
      </c>
      <c r="F380" s="48"/>
      <c r="G380" s="48" t="s">
        <v>30</v>
      </c>
      <c r="H380" s="51">
        <v>500</v>
      </c>
      <c r="I380" s="49">
        <v>100</v>
      </c>
      <c r="J380" s="166" t="s">
        <v>31</v>
      </c>
      <c r="K380" s="48" t="s">
        <v>32</v>
      </c>
    </row>
    <row r="381" spans="1:13" ht="15.75" customHeight="1">
      <c r="A381" s="396">
        <v>24</v>
      </c>
      <c r="B381" s="166" t="s">
        <v>1012</v>
      </c>
      <c r="C381" s="166" t="s">
        <v>39</v>
      </c>
      <c r="D381" s="166" t="s">
        <v>889</v>
      </c>
      <c r="E381" s="166" t="s">
        <v>36</v>
      </c>
      <c r="F381" s="166"/>
      <c r="G381" s="166" t="s">
        <v>30</v>
      </c>
      <c r="H381" s="167">
        <v>2000</v>
      </c>
      <c r="I381" s="397" t="s">
        <v>1586</v>
      </c>
      <c r="J381" s="166" t="s">
        <v>31</v>
      </c>
      <c r="K381" s="48" t="s">
        <v>32</v>
      </c>
      <c r="M381" s="126">
        <v>500</v>
      </c>
    </row>
    <row r="382" spans="1:13" ht="15.75" customHeight="1">
      <c r="A382" s="396">
        <v>24</v>
      </c>
      <c r="B382" s="166" t="s">
        <v>1012</v>
      </c>
      <c r="C382" s="166" t="s">
        <v>39</v>
      </c>
      <c r="D382" s="166" t="s">
        <v>889</v>
      </c>
      <c r="E382" s="166" t="s">
        <v>36</v>
      </c>
      <c r="F382" s="48"/>
      <c r="G382" s="48" t="s">
        <v>30</v>
      </c>
      <c r="H382" s="51">
        <v>1000</v>
      </c>
      <c r="I382" s="49">
        <v>200</v>
      </c>
      <c r="J382" s="166" t="s">
        <v>31</v>
      </c>
      <c r="K382" s="48" t="s">
        <v>32</v>
      </c>
    </row>
    <row r="383" spans="1:13" ht="15.75" customHeight="1">
      <c r="A383" s="396">
        <v>24</v>
      </c>
      <c r="B383" s="166" t="s">
        <v>474</v>
      </c>
      <c r="C383" s="166" t="s">
        <v>27</v>
      </c>
      <c r="D383" s="166" t="s">
        <v>889</v>
      </c>
      <c r="E383" s="166" t="s">
        <v>36</v>
      </c>
      <c r="F383" s="166"/>
      <c r="G383" s="166" t="s">
        <v>30</v>
      </c>
      <c r="H383" s="167">
        <v>1500</v>
      </c>
      <c r="I383" s="397" t="s">
        <v>1586</v>
      </c>
      <c r="J383" s="166" t="s">
        <v>31</v>
      </c>
      <c r="K383" s="48" t="s">
        <v>32</v>
      </c>
      <c r="M383" s="126">
        <v>400</v>
      </c>
    </row>
    <row r="384" spans="1:13" ht="15.75" customHeight="1">
      <c r="A384" s="396">
        <v>24</v>
      </c>
      <c r="B384" s="166" t="s">
        <v>474</v>
      </c>
      <c r="C384" s="166" t="s">
        <v>27</v>
      </c>
      <c r="D384" s="166" t="s">
        <v>889</v>
      </c>
      <c r="E384" s="166" t="s">
        <v>36</v>
      </c>
      <c r="F384" s="48"/>
      <c r="G384" s="48" t="s">
        <v>30</v>
      </c>
      <c r="H384" s="51">
        <v>500</v>
      </c>
      <c r="I384" s="49">
        <v>100</v>
      </c>
      <c r="J384" s="166" t="s">
        <v>31</v>
      </c>
      <c r="K384" s="48" t="s">
        <v>32</v>
      </c>
    </row>
    <row r="385" spans="1:16" ht="15.75" customHeight="1">
      <c r="A385" s="396">
        <v>24</v>
      </c>
      <c r="B385" s="166" t="s">
        <v>2957</v>
      </c>
      <c r="C385" s="166" t="s">
        <v>27</v>
      </c>
      <c r="D385" s="166" t="s">
        <v>108</v>
      </c>
      <c r="E385" s="166" t="s">
        <v>36</v>
      </c>
      <c r="F385" s="166"/>
      <c r="G385" s="166" t="s">
        <v>30</v>
      </c>
      <c r="H385" s="167">
        <v>1500</v>
      </c>
      <c r="I385" s="397" t="s">
        <v>1586</v>
      </c>
      <c r="J385" s="166" t="s">
        <v>31</v>
      </c>
      <c r="K385" s="48" t="s">
        <v>32</v>
      </c>
      <c r="M385" s="126">
        <v>500</v>
      </c>
    </row>
    <row r="386" spans="1:16" ht="15.75" customHeight="1">
      <c r="A386" s="396">
        <v>24</v>
      </c>
      <c r="B386" s="166" t="s">
        <v>2957</v>
      </c>
      <c r="C386" s="166" t="s">
        <v>27</v>
      </c>
      <c r="D386" s="166" t="s">
        <v>108</v>
      </c>
      <c r="E386" s="166" t="s">
        <v>36</v>
      </c>
      <c r="F386" s="48"/>
      <c r="G386" s="48" t="s">
        <v>30</v>
      </c>
      <c r="H386" s="51">
        <v>500</v>
      </c>
      <c r="I386" s="49">
        <v>100</v>
      </c>
      <c r="J386" s="166" t="s">
        <v>31</v>
      </c>
      <c r="K386" s="48" t="s">
        <v>32</v>
      </c>
    </row>
    <row r="387" spans="1:16" ht="15.75" customHeight="1">
      <c r="A387" s="396">
        <v>24</v>
      </c>
      <c r="B387" s="166" t="s">
        <v>2958</v>
      </c>
      <c r="C387" s="166" t="s">
        <v>27</v>
      </c>
      <c r="D387" s="166" t="s">
        <v>110</v>
      </c>
      <c r="E387" s="166" t="s">
        <v>36</v>
      </c>
      <c r="F387" s="166"/>
      <c r="G387" s="166" t="s">
        <v>30</v>
      </c>
      <c r="H387" s="167">
        <v>1500</v>
      </c>
      <c r="I387" s="397" t="s">
        <v>1586</v>
      </c>
      <c r="J387" s="166" t="s">
        <v>31</v>
      </c>
      <c r="K387" s="48" t="s">
        <v>32</v>
      </c>
      <c r="P387" s="55">
        <f>SUM(H392:H396,H387,H385,H383,H381,H379,H367,H365,H363)</f>
        <v>17000</v>
      </c>
    </row>
    <row r="388" spans="1:16" ht="15.75" customHeight="1">
      <c r="A388" s="396">
        <v>24</v>
      </c>
      <c r="B388" s="166" t="s">
        <v>2958</v>
      </c>
      <c r="C388" s="166" t="s">
        <v>27</v>
      </c>
      <c r="D388" s="166" t="s">
        <v>110</v>
      </c>
      <c r="E388" s="166" t="s">
        <v>36</v>
      </c>
      <c r="F388" s="48"/>
      <c r="G388" s="48" t="s">
        <v>30</v>
      </c>
      <c r="H388" s="51">
        <v>1500</v>
      </c>
      <c r="I388" s="49">
        <v>300</v>
      </c>
      <c r="J388" s="48" t="s">
        <v>31</v>
      </c>
      <c r="K388" s="48" t="s">
        <v>32</v>
      </c>
      <c r="P388" s="55">
        <f>SUM(H362,H364,H366,H368:H378,H380,H382,H384,H386,H388:H391)</f>
        <v>32700</v>
      </c>
    </row>
    <row r="389" spans="1:16" ht="15.75" customHeight="1">
      <c r="A389" s="50">
        <v>24</v>
      </c>
      <c r="B389" s="151" t="s">
        <v>2959</v>
      </c>
      <c r="C389" s="48" t="s">
        <v>27</v>
      </c>
      <c r="D389" s="48" t="s">
        <v>2960</v>
      </c>
      <c r="E389" s="48" t="s">
        <v>41</v>
      </c>
      <c r="F389" s="48"/>
      <c r="G389" s="48" t="s">
        <v>30</v>
      </c>
      <c r="H389" s="51">
        <v>15000</v>
      </c>
      <c r="I389" s="49">
        <v>3000</v>
      </c>
      <c r="J389" s="48" t="s">
        <v>31</v>
      </c>
      <c r="K389" s="48" t="s">
        <v>32</v>
      </c>
      <c r="M389" s="126">
        <v>2900</v>
      </c>
    </row>
    <row r="390" spans="1:16" ht="15.75" customHeight="1">
      <c r="A390" s="50">
        <v>24</v>
      </c>
      <c r="B390" s="151" t="s">
        <v>2961</v>
      </c>
      <c r="C390" s="48" t="s">
        <v>39</v>
      </c>
      <c r="D390" s="48" t="s">
        <v>1406</v>
      </c>
      <c r="E390" s="48" t="s">
        <v>84</v>
      </c>
      <c r="F390" s="48"/>
      <c r="G390" s="48" t="s">
        <v>30</v>
      </c>
      <c r="H390" s="51">
        <v>1000</v>
      </c>
      <c r="I390" s="49">
        <v>200</v>
      </c>
      <c r="J390" s="48" t="s">
        <v>31</v>
      </c>
      <c r="K390" s="48" t="s">
        <v>32</v>
      </c>
      <c r="M390" s="126">
        <v>200</v>
      </c>
    </row>
    <row r="391" spans="1:16" ht="15.75" customHeight="1">
      <c r="A391" s="50">
        <v>24</v>
      </c>
      <c r="B391" s="151" t="s">
        <v>734</v>
      </c>
      <c r="C391" s="48" t="s">
        <v>27</v>
      </c>
      <c r="D391" s="48" t="s">
        <v>666</v>
      </c>
      <c r="E391" s="48" t="s">
        <v>36</v>
      </c>
      <c r="F391" s="48"/>
      <c r="G391" s="48" t="s">
        <v>30</v>
      </c>
      <c r="H391" s="51">
        <v>2000</v>
      </c>
      <c r="I391" s="49">
        <v>400</v>
      </c>
      <c r="J391" s="48" t="s">
        <v>31</v>
      </c>
      <c r="K391" s="48" t="s">
        <v>32</v>
      </c>
      <c r="M391" s="126">
        <v>600</v>
      </c>
    </row>
    <row r="392" spans="1:16" ht="15.75" customHeight="1">
      <c r="A392" s="50">
        <v>24</v>
      </c>
      <c r="B392" s="151" t="s">
        <v>2962</v>
      </c>
      <c r="C392" s="48" t="s">
        <v>39</v>
      </c>
      <c r="D392" s="48" t="s">
        <v>56</v>
      </c>
      <c r="E392" s="48" t="s">
        <v>51</v>
      </c>
      <c r="F392" s="48"/>
      <c r="G392" s="48" t="s">
        <v>30</v>
      </c>
      <c r="H392" s="51">
        <v>2000</v>
      </c>
      <c r="I392" s="49" t="s">
        <v>1586</v>
      </c>
      <c r="J392" s="48" t="s">
        <v>31</v>
      </c>
      <c r="K392" s="48" t="s">
        <v>32</v>
      </c>
      <c r="M392" s="126">
        <v>400</v>
      </c>
    </row>
    <row r="393" spans="1:16" ht="15.75" customHeight="1">
      <c r="A393" s="50">
        <v>24</v>
      </c>
      <c r="B393" s="151" t="s">
        <v>1171</v>
      </c>
      <c r="C393" s="48" t="s">
        <v>27</v>
      </c>
      <c r="D393" s="48" t="s">
        <v>100</v>
      </c>
      <c r="E393" s="48" t="s">
        <v>89</v>
      </c>
      <c r="F393" s="48"/>
      <c r="G393" s="48" t="s">
        <v>30</v>
      </c>
      <c r="H393" s="51">
        <v>500</v>
      </c>
      <c r="I393" s="49" t="s">
        <v>1586</v>
      </c>
      <c r="J393" s="48" t="s">
        <v>31</v>
      </c>
      <c r="K393" s="48" t="s">
        <v>32</v>
      </c>
      <c r="M393" s="126">
        <v>110</v>
      </c>
    </row>
    <row r="394" spans="1:16" ht="15.75" customHeight="1">
      <c r="A394" s="50">
        <v>24</v>
      </c>
      <c r="B394" s="151" t="s">
        <v>1162</v>
      </c>
      <c r="C394" s="48" t="s">
        <v>27</v>
      </c>
      <c r="D394" s="48" t="s">
        <v>100</v>
      </c>
      <c r="E394" s="48" t="s">
        <v>89</v>
      </c>
      <c r="F394" s="48"/>
      <c r="G394" s="48" t="s">
        <v>30</v>
      </c>
      <c r="H394" s="51">
        <v>500</v>
      </c>
      <c r="I394" s="49" t="s">
        <v>1586</v>
      </c>
      <c r="J394" s="48" t="s">
        <v>31</v>
      </c>
      <c r="K394" s="48" t="s">
        <v>32</v>
      </c>
      <c r="M394" s="126">
        <v>115</v>
      </c>
    </row>
    <row r="395" spans="1:16" ht="15.75" customHeight="1">
      <c r="A395" s="396">
        <v>24</v>
      </c>
      <c r="B395" s="166" t="s">
        <v>2963</v>
      </c>
      <c r="C395" s="166" t="s">
        <v>27</v>
      </c>
      <c r="D395" s="166" t="s">
        <v>108</v>
      </c>
      <c r="E395" s="166" t="s">
        <v>36</v>
      </c>
      <c r="F395" s="166"/>
      <c r="G395" s="166" t="s">
        <v>30</v>
      </c>
      <c r="H395" s="167">
        <v>2000</v>
      </c>
      <c r="I395" s="397" t="s">
        <v>1586</v>
      </c>
      <c r="J395" s="166" t="s">
        <v>31</v>
      </c>
      <c r="K395" s="48" t="s">
        <v>32</v>
      </c>
      <c r="M395" s="126">
        <v>400</v>
      </c>
    </row>
    <row r="396" spans="1:16" ht="15.75" customHeight="1">
      <c r="A396" s="444">
        <v>24</v>
      </c>
      <c r="B396" s="445" t="s">
        <v>2964</v>
      </c>
      <c r="C396" s="445" t="s">
        <v>27</v>
      </c>
      <c r="D396" s="445" t="s">
        <v>104</v>
      </c>
      <c r="E396" s="445" t="s">
        <v>36</v>
      </c>
      <c r="F396" s="445"/>
      <c r="G396" s="445" t="s">
        <v>30</v>
      </c>
      <c r="H396" s="446">
        <v>2000</v>
      </c>
      <c r="I396" s="447" t="s">
        <v>1586</v>
      </c>
      <c r="J396" s="445" t="s">
        <v>31</v>
      </c>
      <c r="K396" s="58" t="s">
        <v>32</v>
      </c>
      <c r="M396" s="126">
        <v>400</v>
      </c>
    </row>
    <row r="397" spans="1:16" ht="15.75" customHeight="1">
      <c r="A397" s="61">
        <v>25</v>
      </c>
      <c r="B397" s="292" t="s">
        <v>2965</v>
      </c>
      <c r="C397" s="62" t="s">
        <v>27</v>
      </c>
      <c r="D397" s="62" t="s">
        <v>100</v>
      </c>
      <c r="E397" s="62" t="s">
        <v>36</v>
      </c>
      <c r="F397" s="62"/>
      <c r="G397" s="62" t="s">
        <v>30</v>
      </c>
      <c r="H397" s="63">
        <v>500</v>
      </c>
      <c r="I397" s="64">
        <v>100</v>
      </c>
      <c r="J397" s="62" t="s">
        <v>31</v>
      </c>
      <c r="K397" s="62" t="s">
        <v>32</v>
      </c>
      <c r="M397" s="126">
        <v>150</v>
      </c>
    </row>
    <row r="398" spans="1:16" ht="15.75" customHeight="1">
      <c r="A398" s="50">
        <v>25</v>
      </c>
      <c r="B398" s="151" t="s">
        <v>2966</v>
      </c>
      <c r="C398" s="48" t="s">
        <v>27</v>
      </c>
      <c r="D398" s="48" t="s">
        <v>2359</v>
      </c>
      <c r="E398" s="48" t="s">
        <v>44</v>
      </c>
      <c r="F398" s="48"/>
      <c r="G398" s="48" t="s">
        <v>30</v>
      </c>
      <c r="H398" s="51">
        <v>400</v>
      </c>
      <c r="I398" s="49">
        <v>80</v>
      </c>
      <c r="J398" s="48" t="s">
        <v>31</v>
      </c>
      <c r="K398" s="48" t="s">
        <v>32</v>
      </c>
      <c r="M398" s="126">
        <v>150</v>
      </c>
    </row>
    <row r="399" spans="1:16" ht="15.75" customHeight="1">
      <c r="A399" s="50">
        <v>25</v>
      </c>
      <c r="B399" s="48" t="s">
        <v>2440</v>
      </c>
      <c r="C399" s="48" t="s">
        <v>27</v>
      </c>
      <c r="D399" s="48" t="s">
        <v>2293</v>
      </c>
      <c r="E399" s="48" t="s">
        <v>484</v>
      </c>
      <c r="F399" s="48"/>
      <c r="G399" s="48" t="s">
        <v>30</v>
      </c>
      <c r="H399" s="51">
        <v>500</v>
      </c>
      <c r="I399" s="49">
        <v>100</v>
      </c>
      <c r="J399" s="48" t="s">
        <v>31</v>
      </c>
      <c r="K399" s="48" t="s">
        <v>32</v>
      </c>
      <c r="M399" s="126">
        <v>60</v>
      </c>
    </row>
    <row r="400" spans="1:16" ht="15.75" customHeight="1">
      <c r="A400" s="50">
        <v>25</v>
      </c>
      <c r="B400" s="151" t="s">
        <v>2967</v>
      </c>
      <c r="C400" s="48" t="s">
        <v>27</v>
      </c>
      <c r="D400" s="48" t="s">
        <v>67</v>
      </c>
      <c r="E400" s="48" t="s">
        <v>68</v>
      </c>
      <c r="F400" s="48"/>
      <c r="G400" s="48" t="s">
        <v>30</v>
      </c>
      <c r="H400" s="51">
        <v>500</v>
      </c>
      <c r="I400" s="49">
        <v>100</v>
      </c>
      <c r="J400" s="48" t="s">
        <v>31</v>
      </c>
      <c r="K400" s="48" t="s">
        <v>32</v>
      </c>
      <c r="M400" s="126">
        <v>100</v>
      </c>
    </row>
    <row r="401" spans="1:13" ht="15.75" customHeight="1">
      <c r="A401" s="50">
        <v>25</v>
      </c>
      <c r="B401" s="151" t="s">
        <v>2968</v>
      </c>
      <c r="C401" s="48" t="s">
        <v>27</v>
      </c>
      <c r="D401" s="48" t="s">
        <v>898</v>
      </c>
      <c r="E401" s="48" t="s">
        <v>484</v>
      </c>
      <c r="F401" s="48"/>
      <c r="G401" s="48" t="s">
        <v>30</v>
      </c>
      <c r="H401" s="51">
        <v>300</v>
      </c>
      <c r="I401" s="49">
        <v>90</v>
      </c>
      <c r="J401" s="48" t="s">
        <v>31</v>
      </c>
      <c r="K401" s="48" t="s">
        <v>32</v>
      </c>
      <c r="M401" s="126">
        <v>100</v>
      </c>
    </row>
    <row r="402" spans="1:13" ht="15.75" customHeight="1">
      <c r="A402" s="50">
        <v>25</v>
      </c>
      <c r="B402" s="151" t="s">
        <v>2969</v>
      </c>
      <c r="C402" s="48" t="s">
        <v>27</v>
      </c>
      <c r="D402" s="48" t="s">
        <v>2053</v>
      </c>
      <c r="E402" s="48" t="s">
        <v>86</v>
      </c>
      <c r="F402" s="48"/>
      <c r="G402" s="48" t="s">
        <v>30</v>
      </c>
      <c r="H402" s="51">
        <v>500</v>
      </c>
      <c r="I402" s="49">
        <v>150</v>
      </c>
      <c r="J402" s="48" t="s">
        <v>31</v>
      </c>
      <c r="K402" s="48" t="s">
        <v>32</v>
      </c>
      <c r="M402" s="126">
        <v>24</v>
      </c>
    </row>
    <row r="403" spans="1:13" ht="15.75" customHeight="1">
      <c r="A403" s="50">
        <v>25</v>
      </c>
      <c r="B403" s="151" t="s">
        <v>2970</v>
      </c>
      <c r="C403" s="48" t="s">
        <v>27</v>
      </c>
      <c r="D403" s="48" t="s">
        <v>347</v>
      </c>
      <c r="E403" s="48" t="s">
        <v>245</v>
      </c>
      <c r="F403" s="48"/>
      <c r="G403" s="48" t="s">
        <v>30</v>
      </c>
      <c r="H403" s="51">
        <v>500</v>
      </c>
      <c r="I403" s="49">
        <v>150</v>
      </c>
      <c r="J403" s="48" t="s">
        <v>31</v>
      </c>
      <c r="K403" s="48" t="s">
        <v>32</v>
      </c>
      <c r="M403" s="126">
        <v>375</v>
      </c>
    </row>
    <row r="404" spans="1:13" ht="15.75" customHeight="1">
      <c r="A404" s="50">
        <v>25</v>
      </c>
      <c r="B404" s="151" t="s">
        <v>2971</v>
      </c>
      <c r="C404" s="48" t="s">
        <v>27</v>
      </c>
      <c r="D404" s="48" t="s">
        <v>347</v>
      </c>
      <c r="E404" s="48" t="s">
        <v>245</v>
      </c>
      <c r="F404" s="48"/>
      <c r="G404" s="48" t="s">
        <v>30</v>
      </c>
      <c r="H404" s="51">
        <v>500</v>
      </c>
      <c r="I404" s="49">
        <v>150</v>
      </c>
      <c r="J404" s="48" t="s">
        <v>31</v>
      </c>
      <c r="K404" s="48" t="s">
        <v>32</v>
      </c>
      <c r="M404" s="126">
        <v>150</v>
      </c>
    </row>
    <row r="405" spans="1:13" ht="15.75" customHeight="1">
      <c r="A405" s="50">
        <v>25</v>
      </c>
      <c r="B405" s="151" t="s">
        <v>2972</v>
      </c>
      <c r="C405" s="48" t="s">
        <v>27</v>
      </c>
      <c r="D405" s="48" t="s">
        <v>2973</v>
      </c>
      <c r="E405" s="48" t="s">
        <v>36</v>
      </c>
      <c r="F405" s="48"/>
      <c r="G405" s="48" t="s">
        <v>30</v>
      </c>
      <c r="H405" s="51">
        <v>500</v>
      </c>
      <c r="I405" s="49">
        <v>150</v>
      </c>
      <c r="J405" s="48" t="s">
        <v>31</v>
      </c>
      <c r="K405" s="48" t="s">
        <v>32</v>
      </c>
      <c r="M405" s="126">
        <v>50</v>
      </c>
    </row>
    <row r="406" spans="1:13" ht="15.75" customHeight="1">
      <c r="A406" s="50">
        <v>25</v>
      </c>
      <c r="B406" s="151" t="s">
        <v>2974</v>
      </c>
      <c r="C406" s="48" t="s">
        <v>27</v>
      </c>
      <c r="D406" s="48" t="s">
        <v>1191</v>
      </c>
      <c r="E406" s="48" t="s">
        <v>41</v>
      </c>
      <c r="F406" s="48"/>
      <c r="G406" s="48" t="s">
        <v>30</v>
      </c>
      <c r="H406" s="51">
        <v>1000</v>
      </c>
      <c r="I406" s="49">
        <v>200</v>
      </c>
      <c r="J406" s="48" t="s">
        <v>31</v>
      </c>
      <c r="K406" s="48" t="s">
        <v>32</v>
      </c>
      <c r="M406" s="126">
        <v>200</v>
      </c>
    </row>
    <row r="407" spans="1:13" ht="15.75" customHeight="1">
      <c r="A407" s="50">
        <v>25</v>
      </c>
      <c r="B407" s="151" t="s">
        <v>2975</v>
      </c>
      <c r="C407" s="48" t="s">
        <v>27</v>
      </c>
      <c r="D407" s="48" t="s">
        <v>2764</v>
      </c>
      <c r="E407" s="48" t="s">
        <v>41</v>
      </c>
      <c r="F407" s="48"/>
      <c r="G407" s="48" t="s">
        <v>30</v>
      </c>
      <c r="H407" s="51">
        <v>1000</v>
      </c>
      <c r="I407" s="49">
        <v>200</v>
      </c>
      <c r="J407" s="48" t="s">
        <v>31</v>
      </c>
      <c r="K407" s="48" t="s">
        <v>32</v>
      </c>
      <c r="M407" s="126">
        <v>300</v>
      </c>
    </row>
    <row r="408" spans="1:13" ht="15.75" customHeight="1">
      <c r="A408" s="50">
        <v>25</v>
      </c>
      <c r="B408" s="151" t="s">
        <v>2976</v>
      </c>
      <c r="C408" s="48" t="s">
        <v>27</v>
      </c>
      <c r="D408" s="48" t="s">
        <v>434</v>
      </c>
      <c r="E408" s="48" t="s">
        <v>36</v>
      </c>
      <c r="F408" s="48"/>
      <c r="G408" s="48" t="s">
        <v>30</v>
      </c>
      <c r="H408" s="51">
        <v>1000</v>
      </c>
      <c r="I408" s="49">
        <v>200</v>
      </c>
      <c r="J408" s="48" t="s">
        <v>31</v>
      </c>
      <c r="K408" s="48" t="s">
        <v>32</v>
      </c>
      <c r="M408" s="126">
        <v>300</v>
      </c>
    </row>
    <row r="409" spans="1:13" ht="15.75" customHeight="1">
      <c r="A409" s="50">
        <v>25</v>
      </c>
      <c r="B409" s="151" t="s">
        <v>2977</v>
      </c>
      <c r="C409" s="48" t="s">
        <v>27</v>
      </c>
      <c r="D409" s="48" t="s">
        <v>1219</v>
      </c>
      <c r="E409" s="48" t="s">
        <v>44</v>
      </c>
      <c r="F409" s="48"/>
      <c r="G409" s="48" t="s">
        <v>30</v>
      </c>
      <c r="H409" s="51">
        <v>1000</v>
      </c>
      <c r="I409" s="49">
        <v>200</v>
      </c>
      <c r="J409" s="48" t="s">
        <v>31</v>
      </c>
      <c r="K409" s="48" t="s">
        <v>32</v>
      </c>
      <c r="M409" s="126">
        <v>250</v>
      </c>
    </row>
    <row r="410" spans="1:13" ht="15.75" customHeight="1">
      <c r="A410" s="50">
        <v>25</v>
      </c>
      <c r="B410" s="151" t="s">
        <v>2978</v>
      </c>
      <c r="C410" s="48" t="s">
        <v>27</v>
      </c>
      <c r="D410" s="48" t="s">
        <v>2391</v>
      </c>
      <c r="E410" s="48" t="s">
        <v>89</v>
      </c>
      <c r="F410" s="48"/>
      <c r="G410" s="48" t="s">
        <v>30</v>
      </c>
      <c r="H410" s="51">
        <v>1500</v>
      </c>
      <c r="I410" s="49">
        <v>300</v>
      </c>
      <c r="J410" s="48" t="s">
        <v>31</v>
      </c>
      <c r="K410" s="48" t="s">
        <v>32</v>
      </c>
      <c r="M410" s="126">
        <v>300</v>
      </c>
    </row>
    <row r="411" spans="1:13" ht="15.75" customHeight="1">
      <c r="A411" s="50">
        <v>25</v>
      </c>
      <c r="B411" s="151" t="s">
        <v>2979</v>
      </c>
      <c r="C411" s="48" t="s">
        <v>27</v>
      </c>
      <c r="D411" s="48" t="s">
        <v>200</v>
      </c>
      <c r="E411" s="48" t="s">
        <v>89</v>
      </c>
      <c r="F411" s="48"/>
      <c r="G411" s="48" t="s">
        <v>30</v>
      </c>
      <c r="H411" s="51">
        <v>1500</v>
      </c>
      <c r="I411" s="49">
        <v>300</v>
      </c>
      <c r="J411" s="48" t="s">
        <v>31</v>
      </c>
      <c r="K411" s="48" t="s">
        <v>32</v>
      </c>
      <c r="M411" s="126">
        <v>300</v>
      </c>
    </row>
    <row r="412" spans="1:13" ht="15.75" customHeight="1">
      <c r="A412" s="50">
        <v>25</v>
      </c>
      <c r="B412" s="151" t="s">
        <v>2980</v>
      </c>
      <c r="C412" s="48" t="s">
        <v>27</v>
      </c>
      <c r="D412" s="48" t="s">
        <v>200</v>
      </c>
      <c r="E412" s="48" t="s">
        <v>89</v>
      </c>
      <c r="F412" s="48"/>
      <c r="G412" s="48" t="s">
        <v>30</v>
      </c>
      <c r="H412" s="51">
        <v>1500</v>
      </c>
      <c r="I412" s="49">
        <v>300</v>
      </c>
      <c r="J412" s="48" t="s">
        <v>31</v>
      </c>
      <c r="K412" s="48" t="s">
        <v>32</v>
      </c>
      <c r="M412" s="126">
        <v>300</v>
      </c>
    </row>
    <row r="413" spans="1:13" ht="15.75" customHeight="1">
      <c r="A413" s="50">
        <v>25</v>
      </c>
      <c r="B413" s="48" t="s">
        <v>2981</v>
      </c>
      <c r="C413" s="48" t="s">
        <v>27</v>
      </c>
      <c r="D413" s="48" t="s">
        <v>200</v>
      </c>
      <c r="E413" s="48" t="s">
        <v>89</v>
      </c>
      <c r="F413" s="48"/>
      <c r="G413" s="48" t="s">
        <v>30</v>
      </c>
      <c r="H413" s="51">
        <v>1500</v>
      </c>
      <c r="I413" s="49">
        <v>3000</v>
      </c>
      <c r="J413" s="48" t="s">
        <v>31</v>
      </c>
      <c r="K413" s="48" t="s">
        <v>32</v>
      </c>
      <c r="M413" s="126">
        <v>300</v>
      </c>
    </row>
    <row r="414" spans="1:13" ht="15.75" customHeight="1">
      <c r="A414" s="50">
        <v>25</v>
      </c>
      <c r="B414" s="48" t="s">
        <v>2982</v>
      </c>
      <c r="C414" s="48" t="s">
        <v>27</v>
      </c>
      <c r="D414" s="48" t="s">
        <v>363</v>
      </c>
      <c r="E414" s="48" t="s">
        <v>102</v>
      </c>
      <c r="F414" s="48"/>
      <c r="G414" s="48" t="s">
        <v>30</v>
      </c>
      <c r="H414" s="51">
        <v>700</v>
      </c>
      <c r="I414" s="49">
        <v>140</v>
      </c>
      <c r="J414" s="48" t="s">
        <v>31</v>
      </c>
      <c r="K414" s="48" t="s">
        <v>32</v>
      </c>
      <c r="M414" s="126">
        <v>150</v>
      </c>
    </row>
    <row r="415" spans="1:13" ht="16.5" customHeight="1">
      <c r="A415" s="50">
        <v>25</v>
      </c>
      <c r="B415" s="48" t="s">
        <v>2983</v>
      </c>
      <c r="C415" s="48" t="s">
        <v>39</v>
      </c>
      <c r="D415" s="48" t="s">
        <v>1040</v>
      </c>
      <c r="E415" s="48" t="s">
        <v>73</v>
      </c>
      <c r="F415" s="48"/>
      <c r="G415" s="48" t="s">
        <v>30</v>
      </c>
      <c r="H415" s="51">
        <v>700</v>
      </c>
      <c r="I415" s="49">
        <v>140</v>
      </c>
      <c r="J415" s="48" t="s">
        <v>31</v>
      </c>
      <c r="K415" s="48" t="s">
        <v>32</v>
      </c>
      <c r="M415" s="126">
        <v>100</v>
      </c>
    </row>
    <row r="416" spans="1:13" ht="16.5" customHeight="1">
      <c r="A416" s="50">
        <v>25</v>
      </c>
      <c r="B416" s="151" t="s">
        <v>2984</v>
      </c>
      <c r="C416" s="48" t="s">
        <v>39</v>
      </c>
      <c r="D416" s="48" t="s">
        <v>2084</v>
      </c>
      <c r="E416" s="48" t="s">
        <v>73</v>
      </c>
      <c r="F416" s="48"/>
      <c r="G416" s="48" t="s">
        <v>30</v>
      </c>
      <c r="H416" s="51">
        <v>200</v>
      </c>
      <c r="I416" s="49">
        <v>40</v>
      </c>
      <c r="J416" s="48" t="s">
        <v>31</v>
      </c>
      <c r="K416" s="48" t="s">
        <v>32</v>
      </c>
      <c r="M416" s="126">
        <v>50</v>
      </c>
    </row>
    <row r="417" spans="1:26" ht="16.5" customHeight="1">
      <c r="A417" s="50"/>
      <c r="B417" s="48"/>
      <c r="C417" s="48"/>
      <c r="D417" s="48"/>
      <c r="E417" s="48"/>
      <c r="F417" s="48"/>
      <c r="G417" s="48"/>
      <c r="H417" s="51"/>
      <c r="I417" s="49"/>
      <c r="J417" s="48"/>
      <c r="K417" s="48"/>
    </row>
    <row r="418" spans="1:26" ht="15.7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26" ht="15.75" customHeight="1">
      <c r="A419" s="4"/>
      <c r="B419" s="2"/>
      <c r="C419" s="2"/>
      <c r="D419" s="2"/>
      <c r="E419" s="2"/>
      <c r="F419" s="2"/>
      <c r="G419" s="2"/>
      <c r="H419" s="2"/>
      <c r="I419" s="137" t="s">
        <v>508</v>
      </c>
      <c r="J419" s="8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4"/>
      <c r="B420" s="2" t="s">
        <v>509</v>
      </c>
      <c r="C420" s="2"/>
      <c r="D420" s="2"/>
      <c r="E420" s="2" t="s">
        <v>510</v>
      </c>
      <c r="F420" s="2"/>
      <c r="G420" s="2"/>
      <c r="H420" s="2"/>
      <c r="I420" s="83" t="s">
        <v>942</v>
      </c>
      <c r="J420" s="8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4"/>
      <c r="B421" s="2"/>
      <c r="C421" s="2"/>
      <c r="D421" s="2"/>
      <c r="E421" s="2"/>
      <c r="F421" s="2"/>
      <c r="G421" s="2"/>
      <c r="H421" s="2"/>
      <c r="I421" s="83" t="s">
        <v>944</v>
      </c>
      <c r="J421" s="8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4"/>
      <c r="B422" s="2"/>
      <c r="C422" s="2"/>
      <c r="D422" s="2"/>
      <c r="E422" s="2"/>
      <c r="F422" s="2"/>
      <c r="G422" s="2"/>
      <c r="H422" s="2"/>
      <c r="I422" s="83" t="s">
        <v>946</v>
      </c>
      <c r="J422" s="8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4"/>
      <c r="B423" s="86" t="s">
        <v>516</v>
      </c>
      <c r="C423" s="2"/>
      <c r="D423" s="2"/>
      <c r="E423" s="731" t="s">
        <v>517</v>
      </c>
      <c r="F423" s="711"/>
      <c r="G423" s="711"/>
      <c r="H423" s="2"/>
      <c r="I423" s="83" t="s">
        <v>947</v>
      </c>
      <c r="J423" s="8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4"/>
      <c r="B424" s="4" t="s">
        <v>949</v>
      </c>
      <c r="C424" s="2"/>
      <c r="D424" s="2"/>
      <c r="E424" s="732" t="s">
        <v>521</v>
      </c>
      <c r="F424" s="711"/>
      <c r="G424" s="711"/>
      <c r="H424" s="711"/>
      <c r="I424" s="83" t="s">
        <v>950</v>
      </c>
      <c r="J424" s="8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4"/>
      <c r="B425" s="2"/>
      <c r="C425" s="2"/>
      <c r="D425" s="2"/>
      <c r="E425" s="2"/>
      <c r="F425" s="2"/>
      <c r="G425" s="2"/>
      <c r="H425" s="2"/>
      <c r="I425" s="83" t="s">
        <v>564</v>
      </c>
      <c r="J425" s="8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4"/>
      <c r="B426" s="2"/>
      <c r="C426" s="2"/>
      <c r="D426" s="2"/>
      <c r="E426" s="2"/>
      <c r="F426" s="2"/>
      <c r="G426" s="2"/>
      <c r="H426" s="2"/>
      <c r="I426" s="83" t="s">
        <v>525</v>
      </c>
      <c r="J426" s="8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4"/>
      <c r="B427" s="2"/>
      <c r="C427" s="2"/>
      <c r="D427" s="2"/>
      <c r="E427" s="2"/>
      <c r="F427" s="2"/>
      <c r="G427" s="2"/>
      <c r="H427" s="2"/>
      <c r="I427" s="10" t="s">
        <v>565</v>
      </c>
      <c r="J427" s="90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4"/>
      <c r="B428" s="2"/>
      <c r="C428" s="2"/>
      <c r="D428" s="2"/>
      <c r="E428" s="2"/>
      <c r="F428" s="2"/>
      <c r="G428" s="2"/>
      <c r="H428" s="2"/>
      <c r="I428" s="10" t="s">
        <v>953</v>
      </c>
      <c r="J428" s="90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4"/>
      <c r="G446" s="2"/>
      <c r="H446" s="2"/>
      <c r="I446" s="2"/>
      <c r="J446" s="2"/>
      <c r="K446" s="253"/>
    </row>
    <row r="447" spans="1:26" ht="15.75" customHeight="1">
      <c r="A447" s="4"/>
      <c r="G447" s="2"/>
      <c r="H447" s="2"/>
      <c r="I447" s="2"/>
      <c r="J447" s="2"/>
      <c r="K447" s="253"/>
    </row>
    <row r="448" spans="1:26" ht="15.75" customHeight="1">
      <c r="A448" s="4"/>
      <c r="G448" s="2"/>
      <c r="H448" s="2"/>
      <c r="I448" s="2"/>
      <c r="J448" s="2"/>
      <c r="K448" s="253"/>
    </row>
    <row r="449" spans="1:11" ht="15.75" customHeight="1">
      <c r="A449" s="4"/>
      <c r="G449" s="2"/>
      <c r="H449" s="2"/>
      <c r="I449" s="2"/>
      <c r="J449" s="2"/>
      <c r="K449" s="253"/>
    </row>
    <row r="450" spans="1:11" ht="15.75" customHeight="1">
      <c r="A450" s="4"/>
      <c r="G450" s="2"/>
      <c r="H450" s="2"/>
      <c r="I450" s="2"/>
      <c r="J450" s="2"/>
      <c r="K450" s="253"/>
    </row>
    <row r="451" spans="1:11" ht="15.75" customHeight="1">
      <c r="A451" s="4"/>
      <c r="G451" s="2"/>
      <c r="H451" s="2"/>
      <c r="I451" s="2"/>
      <c r="J451" s="2"/>
      <c r="K451" s="253"/>
    </row>
    <row r="452" spans="1:11" ht="15.75" customHeight="1">
      <c r="A452" s="4"/>
      <c r="G452" s="2"/>
      <c r="H452" s="2"/>
      <c r="I452" s="2"/>
      <c r="J452" s="2"/>
      <c r="K452" s="253"/>
    </row>
    <row r="453" spans="1:11" ht="15.75" customHeight="1">
      <c r="A453" s="4"/>
      <c r="G453" s="2"/>
      <c r="H453" s="2"/>
      <c r="I453" s="2"/>
      <c r="J453" s="2"/>
      <c r="K453" s="253"/>
    </row>
    <row r="454" spans="1:11" ht="15.75" customHeight="1">
      <c r="A454" s="4"/>
      <c r="G454" s="2"/>
      <c r="H454" s="2"/>
      <c r="I454" s="2"/>
      <c r="J454" s="2"/>
      <c r="K454" s="253"/>
    </row>
    <row r="455" spans="1:11" ht="15.75" customHeight="1">
      <c r="A455" s="4"/>
      <c r="G455" s="2"/>
      <c r="H455" s="2"/>
      <c r="I455" s="2"/>
      <c r="J455" s="2"/>
      <c r="K455" s="253"/>
    </row>
    <row r="456" spans="1:11" ht="15.75" customHeight="1">
      <c r="A456" s="4"/>
      <c r="G456" s="2"/>
      <c r="H456" s="2"/>
      <c r="I456" s="2"/>
      <c r="J456" s="2"/>
      <c r="K456" s="253"/>
    </row>
    <row r="457" spans="1:11" ht="15.75" customHeight="1">
      <c r="A457" s="4"/>
      <c r="G457" s="2"/>
      <c r="H457" s="2"/>
      <c r="I457" s="2"/>
      <c r="J457" s="2"/>
      <c r="K457" s="253"/>
    </row>
    <row r="458" spans="1:11" ht="15.75" customHeight="1">
      <c r="A458" s="4"/>
      <c r="G458" s="2"/>
      <c r="H458" s="2"/>
      <c r="I458" s="2"/>
      <c r="J458" s="2"/>
      <c r="K458" s="253"/>
    </row>
    <row r="459" spans="1:11" ht="15.75" customHeight="1">
      <c r="A459" s="4"/>
      <c r="G459" s="2"/>
      <c r="H459" s="2"/>
      <c r="I459" s="2"/>
      <c r="J459" s="2"/>
      <c r="K459" s="253"/>
    </row>
    <row r="460" spans="1:11" ht="15.75" customHeight="1">
      <c r="A460" s="4"/>
      <c r="G460" s="2"/>
      <c r="H460" s="2"/>
      <c r="I460" s="2"/>
      <c r="J460" s="2"/>
      <c r="K460" s="253"/>
    </row>
    <row r="461" spans="1:11" ht="15.75" customHeight="1">
      <c r="A461" s="4"/>
      <c r="G461" s="2"/>
      <c r="H461" s="2"/>
      <c r="I461" s="2"/>
      <c r="J461" s="2"/>
      <c r="K461" s="253"/>
    </row>
    <row r="462" spans="1:11" ht="15.75" customHeight="1">
      <c r="A462" s="4"/>
      <c r="G462" s="2"/>
      <c r="H462" s="2"/>
      <c r="I462" s="2"/>
      <c r="J462" s="2"/>
      <c r="K462" s="253"/>
    </row>
    <row r="463" spans="1:11" ht="15.75" customHeight="1">
      <c r="A463" s="4"/>
      <c r="G463" s="2"/>
      <c r="H463" s="2"/>
      <c r="I463" s="2"/>
      <c r="J463" s="2"/>
      <c r="K463" s="253"/>
    </row>
    <row r="464" spans="1:11" ht="15.75" customHeight="1">
      <c r="A464" s="4"/>
      <c r="G464" s="2"/>
      <c r="H464" s="2"/>
      <c r="I464" s="2"/>
      <c r="J464" s="2"/>
      <c r="K464" s="253"/>
    </row>
    <row r="465" spans="1:11" ht="15.75" customHeight="1">
      <c r="A465" s="4"/>
      <c r="G465" s="2"/>
      <c r="H465" s="2"/>
      <c r="I465" s="2"/>
      <c r="J465" s="2"/>
      <c r="K465" s="253"/>
    </row>
    <row r="466" spans="1:11" ht="15.75" customHeight="1">
      <c r="A466" s="4"/>
      <c r="G466" s="2"/>
      <c r="H466" s="2"/>
      <c r="I466" s="2"/>
      <c r="J466" s="2"/>
      <c r="K466" s="253"/>
    </row>
    <row r="467" spans="1:11" ht="15.75" customHeight="1">
      <c r="A467" s="4"/>
      <c r="G467" s="2"/>
      <c r="H467" s="2"/>
      <c r="I467" s="2"/>
      <c r="J467" s="2"/>
      <c r="K467" s="253"/>
    </row>
    <row r="468" spans="1:11" ht="15.75" customHeight="1">
      <c r="A468" s="4"/>
      <c r="G468" s="2"/>
      <c r="H468" s="2"/>
      <c r="I468" s="2"/>
      <c r="J468" s="2"/>
      <c r="K468" s="253"/>
    </row>
    <row r="469" spans="1:11" ht="15.75" customHeight="1">
      <c r="A469" s="4"/>
      <c r="G469" s="2"/>
      <c r="H469" s="2"/>
      <c r="I469" s="2"/>
      <c r="J469" s="2"/>
      <c r="K469" s="253"/>
    </row>
    <row r="470" spans="1:11" ht="15.75" customHeight="1">
      <c r="A470" s="4"/>
      <c r="G470" s="2"/>
      <c r="H470" s="2"/>
      <c r="I470" s="2"/>
      <c r="J470" s="2"/>
      <c r="K470" s="253"/>
    </row>
    <row r="471" spans="1:11" ht="15.75" customHeight="1">
      <c r="A471" s="4"/>
      <c r="G471" s="2"/>
      <c r="H471" s="2"/>
      <c r="I471" s="2"/>
      <c r="J471" s="2"/>
      <c r="K471" s="253"/>
    </row>
    <row r="472" spans="1:11" ht="15.75" customHeight="1">
      <c r="A472" s="4"/>
      <c r="G472" s="2"/>
      <c r="H472" s="2"/>
      <c r="I472" s="2"/>
      <c r="J472" s="2"/>
      <c r="K472" s="253"/>
    </row>
    <row r="473" spans="1:11" ht="15.75" customHeight="1">
      <c r="A473" s="4"/>
      <c r="G473" s="2"/>
      <c r="H473" s="2"/>
      <c r="I473" s="2"/>
      <c r="J473" s="2"/>
      <c r="K473" s="253"/>
    </row>
    <row r="474" spans="1:11" ht="15.75" customHeight="1">
      <c r="A474" s="4"/>
      <c r="G474" s="2"/>
      <c r="H474" s="2"/>
      <c r="I474" s="2"/>
      <c r="J474" s="2"/>
      <c r="K474" s="253"/>
    </row>
    <row r="475" spans="1:11" ht="15.75" customHeight="1">
      <c r="A475" s="4"/>
      <c r="G475" s="2"/>
      <c r="H475" s="2"/>
      <c r="I475" s="2"/>
      <c r="J475" s="2"/>
      <c r="K475" s="253"/>
    </row>
    <row r="476" spans="1:11" ht="15.75" customHeight="1">
      <c r="A476" s="4"/>
      <c r="G476" s="2"/>
      <c r="H476" s="2"/>
      <c r="I476" s="2"/>
      <c r="J476" s="2"/>
      <c r="K476" s="253"/>
    </row>
    <row r="477" spans="1:11" ht="15.75" customHeight="1">
      <c r="A477" s="4"/>
      <c r="G477" s="2"/>
      <c r="H477" s="2"/>
      <c r="I477" s="2"/>
      <c r="J477" s="2"/>
      <c r="K477" s="253"/>
    </row>
    <row r="478" spans="1:11" ht="15.75" customHeight="1">
      <c r="A478" s="4"/>
      <c r="G478" s="2"/>
      <c r="H478" s="2"/>
      <c r="I478" s="2"/>
      <c r="J478" s="2"/>
      <c r="K478" s="253"/>
    </row>
    <row r="479" spans="1:11" ht="15.75" customHeight="1">
      <c r="A479" s="4"/>
      <c r="G479" s="2"/>
      <c r="H479" s="2"/>
      <c r="I479" s="2"/>
      <c r="J479" s="2"/>
      <c r="K479" s="253"/>
    </row>
    <row r="480" spans="1:11" ht="15.75" customHeight="1">
      <c r="A480" s="4"/>
      <c r="G480" s="2"/>
      <c r="H480" s="2"/>
      <c r="I480" s="2"/>
      <c r="J480" s="2"/>
      <c r="K480" s="253"/>
    </row>
    <row r="481" spans="1:11" ht="15.75" customHeight="1">
      <c r="A481" s="4"/>
      <c r="G481" s="2"/>
      <c r="H481" s="2"/>
      <c r="I481" s="2"/>
      <c r="J481" s="2"/>
      <c r="K481" s="253"/>
    </row>
    <row r="482" spans="1:11" ht="15.75" customHeight="1">
      <c r="A482" s="4"/>
      <c r="G482" s="2"/>
      <c r="H482" s="2"/>
      <c r="I482" s="2"/>
      <c r="J482" s="2"/>
      <c r="K482" s="253"/>
    </row>
    <row r="483" spans="1:11" ht="15.75" customHeight="1">
      <c r="A483" s="4"/>
      <c r="G483" s="2"/>
      <c r="H483" s="2"/>
      <c r="I483" s="2"/>
      <c r="J483" s="2"/>
      <c r="K483" s="253"/>
    </row>
    <row r="484" spans="1:11" ht="15.75" customHeight="1">
      <c r="A484" s="4"/>
      <c r="G484" s="2"/>
      <c r="H484" s="2"/>
      <c r="I484" s="2"/>
      <c r="J484" s="2"/>
      <c r="K484" s="253"/>
    </row>
    <row r="485" spans="1:11" ht="15.75" customHeight="1">
      <c r="A485" s="4"/>
      <c r="G485" s="2"/>
      <c r="H485" s="2"/>
      <c r="I485" s="2"/>
      <c r="J485" s="2"/>
      <c r="K485" s="253"/>
    </row>
    <row r="486" spans="1:11" ht="15.75" customHeight="1">
      <c r="A486" s="4"/>
      <c r="G486" s="2"/>
      <c r="H486" s="2"/>
      <c r="I486" s="2"/>
      <c r="J486" s="2"/>
      <c r="K486" s="253"/>
    </row>
    <row r="487" spans="1:11" ht="15.75" customHeight="1">
      <c r="A487" s="4"/>
      <c r="G487" s="2"/>
      <c r="H487" s="2"/>
      <c r="I487" s="2"/>
      <c r="J487" s="2"/>
      <c r="K487" s="253"/>
    </row>
    <row r="488" spans="1:11" ht="15.75" customHeight="1">
      <c r="A488" s="4"/>
      <c r="G488" s="2"/>
      <c r="H488" s="2"/>
      <c r="I488" s="2"/>
      <c r="J488" s="2"/>
      <c r="K488" s="253"/>
    </row>
    <row r="489" spans="1:11" ht="15.75" customHeight="1">
      <c r="A489" s="4"/>
      <c r="G489" s="2"/>
      <c r="H489" s="2"/>
      <c r="I489" s="2"/>
      <c r="J489" s="2"/>
      <c r="K489" s="253"/>
    </row>
    <row r="490" spans="1:11" ht="15.75" customHeight="1">
      <c r="A490" s="4"/>
      <c r="G490" s="2"/>
      <c r="H490" s="2"/>
      <c r="I490" s="2"/>
      <c r="J490" s="2"/>
      <c r="K490" s="253"/>
    </row>
    <row r="491" spans="1:11" ht="15.75" customHeight="1">
      <c r="A491" s="4"/>
      <c r="G491" s="2"/>
      <c r="H491" s="2"/>
      <c r="I491" s="2"/>
      <c r="J491" s="2"/>
      <c r="K491" s="253"/>
    </row>
    <row r="492" spans="1:11" ht="15.75" customHeight="1">
      <c r="A492" s="4"/>
      <c r="G492" s="2"/>
      <c r="H492" s="2"/>
      <c r="I492" s="2"/>
      <c r="J492" s="2"/>
      <c r="K492" s="253"/>
    </row>
    <row r="493" spans="1:11" ht="15.75" customHeight="1">
      <c r="A493" s="4"/>
      <c r="G493" s="2"/>
      <c r="H493" s="2"/>
      <c r="I493" s="2"/>
      <c r="J493" s="2"/>
      <c r="K493" s="253"/>
    </row>
    <row r="494" spans="1:11" ht="15.75" customHeight="1">
      <c r="A494" s="4"/>
      <c r="G494" s="2"/>
      <c r="H494" s="2"/>
      <c r="I494" s="2"/>
      <c r="J494" s="2"/>
      <c r="K494" s="253"/>
    </row>
    <row r="495" spans="1:11" ht="15.75" customHeight="1">
      <c r="A495" s="4"/>
      <c r="G495" s="2"/>
      <c r="H495" s="2"/>
      <c r="I495" s="2"/>
      <c r="J495" s="2"/>
      <c r="K495" s="253"/>
    </row>
    <row r="496" spans="1:11" ht="15.75" customHeight="1">
      <c r="A496" s="4"/>
      <c r="G496" s="2"/>
      <c r="H496" s="2"/>
      <c r="I496" s="2"/>
      <c r="J496" s="2"/>
      <c r="K496" s="253"/>
    </row>
    <row r="497" spans="1:11" ht="15.75" customHeight="1">
      <c r="A497" s="4"/>
      <c r="G497" s="2"/>
      <c r="H497" s="2"/>
      <c r="I497" s="2"/>
      <c r="J497" s="2"/>
      <c r="K497" s="253"/>
    </row>
    <row r="498" spans="1:11" ht="15.75" customHeight="1">
      <c r="A498" s="4"/>
      <c r="G498" s="2"/>
      <c r="H498" s="2"/>
      <c r="I498" s="2"/>
      <c r="J498" s="2"/>
      <c r="K498" s="253"/>
    </row>
    <row r="499" spans="1:11" ht="15.75" customHeight="1">
      <c r="A499" s="4"/>
      <c r="G499" s="2"/>
      <c r="H499" s="2"/>
      <c r="I499" s="2"/>
      <c r="J499" s="2"/>
      <c r="K499" s="253"/>
    </row>
    <row r="500" spans="1:11" ht="15.75" customHeight="1">
      <c r="A500" s="4"/>
      <c r="G500" s="2"/>
      <c r="H500" s="2"/>
      <c r="I500" s="2"/>
      <c r="J500" s="2"/>
      <c r="K500" s="253"/>
    </row>
    <row r="501" spans="1:11" ht="15.75" customHeight="1">
      <c r="A501" s="4"/>
      <c r="G501" s="2"/>
      <c r="H501" s="2"/>
      <c r="I501" s="2"/>
      <c r="J501" s="2"/>
      <c r="K501" s="253"/>
    </row>
    <row r="502" spans="1:11" ht="15.75" customHeight="1">
      <c r="A502" s="4"/>
      <c r="G502" s="2"/>
      <c r="H502" s="2"/>
      <c r="I502" s="2"/>
      <c r="J502" s="2"/>
      <c r="K502" s="253"/>
    </row>
    <row r="503" spans="1:11" ht="15.75" customHeight="1">
      <c r="A503" s="4"/>
      <c r="G503" s="2"/>
      <c r="H503" s="2"/>
      <c r="I503" s="2"/>
      <c r="J503" s="2"/>
      <c r="K503" s="253"/>
    </row>
    <row r="504" spans="1:11" ht="15.75" customHeight="1">
      <c r="A504" s="4"/>
      <c r="G504" s="2"/>
      <c r="H504" s="2"/>
      <c r="I504" s="2"/>
      <c r="J504" s="2"/>
      <c r="K504" s="253"/>
    </row>
    <row r="505" spans="1:11" ht="15.75" customHeight="1">
      <c r="A505" s="4"/>
      <c r="G505" s="2"/>
      <c r="H505" s="2"/>
      <c r="I505" s="2"/>
      <c r="J505" s="2"/>
      <c r="K505" s="253"/>
    </row>
    <row r="506" spans="1:11" ht="15.75" customHeight="1">
      <c r="A506" s="4"/>
      <c r="G506" s="2"/>
      <c r="H506" s="2"/>
      <c r="I506" s="2"/>
      <c r="J506" s="2"/>
      <c r="K506" s="253"/>
    </row>
    <row r="507" spans="1:11" ht="15.75" customHeight="1">
      <c r="A507" s="4"/>
      <c r="G507" s="2"/>
      <c r="H507" s="2"/>
      <c r="I507" s="2"/>
      <c r="J507" s="2"/>
      <c r="K507" s="253"/>
    </row>
    <row r="508" spans="1:11" ht="15.75" customHeight="1">
      <c r="A508" s="4"/>
      <c r="G508" s="2"/>
      <c r="H508" s="2"/>
      <c r="I508" s="2"/>
      <c r="J508" s="2"/>
      <c r="K508" s="253"/>
    </row>
    <row r="509" spans="1:11" ht="15.75" customHeight="1">
      <c r="A509" s="4"/>
      <c r="G509" s="2"/>
      <c r="H509" s="2"/>
      <c r="I509" s="2"/>
      <c r="J509" s="2"/>
      <c r="K509" s="253"/>
    </row>
    <row r="510" spans="1:11" ht="15.75" customHeight="1">
      <c r="A510" s="4"/>
      <c r="G510" s="2"/>
      <c r="H510" s="2"/>
      <c r="I510" s="2"/>
      <c r="J510" s="2"/>
      <c r="K510" s="253"/>
    </row>
    <row r="511" spans="1:11" ht="15.75" customHeight="1">
      <c r="A511" s="4"/>
      <c r="G511" s="2"/>
      <c r="H511" s="2"/>
      <c r="I511" s="2"/>
      <c r="J511" s="2"/>
      <c r="K511" s="253"/>
    </row>
    <row r="512" spans="1:11" ht="15.75" customHeight="1">
      <c r="A512" s="4"/>
      <c r="G512" s="2"/>
      <c r="H512" s="2"/>
      <c r="I512" s="2"/>
      <c r="J512" s="2"/>
      <c r="K512" s="253"/>
    </row>
    <row r="513" spans="1:11" ht="15.75" customHeight="1">
      <c r="A513" s="4"/>
      <c r="G513" s="2"/>
      <c r="H513" s="2"/>
      <c r="I513" s="2"/>
      <c r="J513" s="2"/>
      <c r="K513" s="253"/>
    </row>
    <row r="514" spans="1:11" ht="15.75" customHeight="1">
      <c r="A514" s="4"/>
      <c r="G514" s="2"/>
      <c r="H514" s="2"/>
      <c r="I514" s="2"/>
      <c r="J514" s="2"/>
      <c r="K514" s="253"/>
    </row>
    <row r="515" spans="1:11" ht="15.75" customHeight="1">
      <c r="A515" s="4"/>
      <c r="G515" s="2"/>
      <c r="H515" s="2"/>
      <c r="I515" s="2"/>
      <c r="J515" s="2"/>
      <c r="K515" s="253"/>
    </row>
    <row r="516" spans="1:11" ht="15.75" customHeight="1">
      <c r="A516" s="4"/>
      <c r="G516" s="2"/>
      <c r="H516" s="2"/>
      <c r="I516" s="2"/>
      <c r="J516" s="2"/>
      <c r="K516" s="253"/>
    </row>
    <row r="517" spans="1:11" ht="15.75" customHeight="1">
      <c r="A517" s="4"/>
      <c r="G517" s="2"/>
      <c r="H517" s="2"/>
      <c r="I517" s="2"/>
      <c r="J517" s="2"/>
      <c r="K517" s="253"/>
    </row>
    <row r="518" spans="1:11" ht="15.75" customHeight="1">
      <c r="A518" s="4"/>
      <c r="G518" s="2"/>
      <c r="H518" s="2"/>
      <c r="I518" s="2"/>
      <c r="J518" s="2"/>
      <c r="K518" s="253"/>
    </row>
    <row r="519" spans="1:11" ht="15.75" customHeight="1">
      <c r="A519" s="4"/>
      <c r="G519" s="2"/>
      <c r="H519" s="2"/>
      <c r="I519" s="2"/>
      <c r="J519" s="2"/>
      <c r="K519" s="253"/>
    </row>
    <row r="520" spans="1:11" ht="15.75" customHeight="1">
      <c r="A520" s="4"/>
      <c r="G520" s="2"/>
      <c r="H520" s="2"/>
      <c r="I520" s="2"/>
      <c r="J520" s="2"/>
      <c r="K520" s="253"/>
    </row>
    <row r="521" spans="1:11" ht="15.75" customHeight="1">
      <c r="A521" s="4"/>
      <c r="G521" s="2"/>
      <c r="H521" s="2"/>
      <c r="I521" s="2"/>
      <c r="J521" s="2"/>
      <c r="K521" s="253"/>
    </row>
    <row r="522" spans="1:11" ht="15.75" customHeight="1">
      <c r="A522" s="4"/>
      <c r="G522" s="2"/>
      <c r="H522" s="2"/>
      <c r="I522" s="2"/>
      <c r="J522" s="2"/>
      <c r="K522" s="253"/>
    </row>
    <row r="523" spans="1:11" ht="15.75" customHeight="1">
      <c r="A523" s="4"/>
      <c r="G523" s="2"/>
      <c r="H523" s="2"/>
      <c r="I523" s="2"/>
      <c r="J523" s="2"/>
      <c r="K523" s="253"/>
    </row>
    <row r="524" spans="1:11" ht="15.75" customHeight="1">
      <c r="A524" s="4"/>
      <c r="G524" s="2"/>
      <c r="H524" s="2"/>
      <c r="I524" s="2"/>
      <c r="J524" s="2"/>
      <c r="K524" s="253"/>
    </row>
    <row r="525" spans="1:11" ht="15.75" customHeight="1">
      <c r="A525" s="4"/>
      <c r="G525" s="2"/>
      <c r="H525" s="2"/>
      <c r="I525" s="2"/>
      <c r="J525" s="2"/>
      <c r="K525" s="253"/>
    </row>
    <row r="526" spans="1:11" ht="15.75" customHeight="1">
      <c r="A526" s="4"/>
      <c r="G526" s="2"/>
      <c r="H526" s="2"/>
      <c r="I526" s="2"/>
      <c r="J526" s="2"/>
      <c r="K526" s="253"/>
    </row>
    <row r="527" spans="1:11" ht="15.75" customHeight="1">
      <c r="A527" s="4"/>
      <c r="G527" s="2"/>
      <c r="H527" s="2"/>
      <c r="I527" s="2"/>
      <c r="J527" s="2"/>
      <c r="K527" s="253"/>
    </row>
    <row r="528" spans="1:11" ht="15.75" customHeight="1">
      <c r="A528" s="4"/>
      <c r="G528" s="2"/>
      <c r="H528" s="2"/>
      <c r="I528" s="2"/>
      <c r="J528" s="2"/>
      <c r="K528" s="253"/>
    </row>
    <row r="529" spans="1:11" ht="15.75" customHeight="1">
      <c r="A529" s="4"/>
      <c r="G529" s="2"/>
      <c r="H529" s="2"/>
      <c r="I529" s="2"/>
      <c r="J529" s="2"/>
      <c r="K529" s="253"/>
    </row>
    <row r="530" spans="1:11" ht="15.75" customHeight="1">
      <c r="A530" s="4"/>
      <c r="G530" s="2"/>
      <c r="H530" s="2"/>
      <c r="I530" s="2"/>
      <c r="J530" s="2"/>
      <c r="K530" s="253"/>
    </row>
    <row r="531" spans="1:11" ht="15.75" customHeight="1">
      <c r="A531" s="4"/>
      <c r="G531" s="2"/>
      <c r="H531" s="2"/>
      <c r="I531" s="2"/>
      <c r="J531" s="2"/>
      <c r="K531" s="253"/>
    </row>
    <row r="532" spans="1:11" ht="15.75" customHeight="1">
      <c r="A532" s="4"/>
      <c r="G532" s="2"/>
      <c r="H532" s="2"/>
      <c r="I532" s="2"/>
      <c r="J532" s="2"/>
      <c r="K532" s="253"/>
    </row>
    <row r="533" spans="1:11" ht="15.75" customHeight="1">
      <c r="A533" s="4"/>
      <c r="G533" s="2"/>
      <c r="H533" s="2"/>
      <c r="I533" s="2"/>
      <c r="J533" s="2"/>
      <c r="K533" s="253"/>
    </row>
    <row r="534" spans="1:11" ht="15.75" customHeight="1">
      <c r="A534" s="4"/>
      <c r="G534" s="2"/>
      <c r="H534" s="2"/>
      <c r="I534" s="2"/>
      <c r="J534" s="2"/>
      <c r="K534" s="253"/>
    </row>
    <row r="535" spans="1:11" ht="15.75" customHeight="1">
      <c r="A535" s="4"/>
      <c r="G535" s="2"/>
      <c r="H535" s="2"/>
      <c r="I535" s="2"/>
      <c r="J535" s="2"/>
      <c r="K535" s="253"/>
    </row>
    <row r="536" spans="1:11" ht="15.75" customHeight="1">
      <c r="A536" s="4"/>
      <c r="G536" s="2"/>
      <c r="H536" s="2"/>
      <c r="I536" s="2"/>
      <c r="J536" s="2"/>
      <c r="K536" s="253"/>
    </row>
    <row r="537" spans="1:11" ht="15.75" customHeight="1">
      <c r="A537" s="4"/>
      <c r="G537" s="2"/>
      <c r="H537" s="2"/>
      <c r="I537" s="2"/>
      <c r="J537" s="2"/>
      <c r="K537" s="253"/>
    </row>
    <row r="538" spans="1:11" ht="15.75" customHeight="1">
      <c r="A538" s="4"/>
      <c r="G538" s="2"/>
      <c r="H538" s="2"/>
      <c r="I538" s="2"/>
      <c r="J538" s="2"/>
      <c r="K538" s="253"/>
    </row>
    <row r="539" spans="1:11" ht="15.75" customHeight="1">
      <c r="A539" s="4"/>
      <c r="G539" s="2"/>
      <c r="H539" s="2"/>
      <c r="I539" s="2"/>
      <c r="J539" s="2"/>
      <c r="K539" s="253"/>
    </row>
    <row r="540" spans="1:11" ht="15.75" customHeight="1">
      <c r="A540" s="4"/>
      <c r="G540" s="2"/>
      <c r="H540" s="2"/>
      <c r="I540" s="2"/>
      <c r="J540" s="2"/>
      <c r="K540" s="253"/>
    </row>
    <row r="541" spans="1:11" ht="15.75" customHeight="1">
      <c r="A541" s="4"/>
      <c r="G541" s="2"/>
      <c r="H541" s="2"/>
      <c r="I541" s="2"/>
      <c r="J541" s="2"/>
      <c r="K541" s="253"/>
    </row>
    <row r="542" spans="1:11" ht="15.75" customHeight="1">
      <c r="A542" s="4"/>
      <c r="G542" s="2"/>
      <c r="H542" s="2"/>
      <c r="I542" s="2"/>
      <c r="J542" s="2"/>
      <c r="K542" s="253"/>
    </row>
    <row r="543" spans="1:11" ht="15.75" customHeight="1">
      <c r="A543" s="4"/>
      <c r="G543" s="2"/>
      <c r="H543" s="2"/>
      <c r="I543" s="2"/>
      <c r="J543" s="2"/>
      <c r="K543" s="253"/>
    </row>
    <row r="544" spans="1:11" ht="15.75" customHeight="1">
      <c r="A544" s="4"/>
      <c r="G544" s="2"/>
      <c r="H544" s="2"/>
      <c r="I544" s="2"/>
      <c r="J544" s="2"/>
      <c r="K544" s="253"/>
    </row>
    <row r="545" spans="1:11" ht="15.75" customHeight="1">
      <c r="A545" s="4"/>
      <c r="G545" s="2"/>
      <c r="H545" s="2"/>
      <c r="I545" s="2"/>
      <c r="J545" s="2"/>
      <c r="K545" s="253"/>
    </row>
    <row r="546" spans="1:11" ht="15.75" customHeight="1">
      <c r="A546" s="4"/>
      <c r="G546" s="2"/>
      <c r="H546" s="2"/>
      <c r="I546" s="2"/>
      <c r="J546" s="2"/>
      <c r="K546" s="253"/>
    </row>
    <row r="547" spans="1:11" ht="15.75" customHeight="1">
      <c r="A547" s="4"/>
      <c r="G547" s="2"/>
      <c r="H547" s="2"/>
      <c r="I547" s="2"/>
      <c r="J547" s="2"/>
      <c r="K547" s="253"/>
    </row>
    <row r="548" spans="1:11" ht="15.75" customHeight="1">
      <c r="A548" s="4"/>
      <c r="G548" s="2"/>
      <c r="H548" s="2"/>
      <c r="I548" s="2"/>
      <c r="J548" s="2"/>
      <c r="K548" s="253"/>
    </row>
    <row r="549" spans="1:11" ht="15.75" customHeight="1">
      <c r="A549" s="4"/>
      <c r="G549" s="2"/>
      <c r="H549" s="2"/>
      <c r="I549" s="2"/>
      <c r="J549" s="2"/>
      <c r="K549" s="253"/>
    </row>
    <row r="550" spans="1:11" ht="15.75" customHeight="1">
      <c r="A550" s="4"/>
      <c r="G550" s="2"/>
      <c r="H550" s="2"/>
      <c r="I550" s="2"/>
      <c r="J550" s="2"/>
      <c r="K550" s="253"/>
    </row>
    <row r="551" spans="1:11" ht="15.75" customHeight="1">
      <c r="A551" s="4"/>
      <c r="G551" s="2"/>
      <c r="H551" s="2"/>
      <c r="I551" s="2"/>
      <c r="J551" s="2"/>
      <c r="K551" s="253"/>
    </row>
    <row r="552" spans="1:11" ht="15.75" customHeight="1">
      <c r="A552" s="4"/>
      <c r="G552" s="2"/>
      <c r="H552" s="2"/>
      <c r="I552" s="2"/>
      <c r="J552" s="2"/>
      <c r="K552" s="253"/>
    </row>
    <row r="553" spans="1:11" ht="15.75" customHeight="1">
      <c r="A553" s="4"/>
      <c r="G553" s="2"/>
      <c r="H553" s="2"/>
      <c r="I553" s="2"/>
      <c r="J553" s="2"/>
      <c r="K553" s="253"/>
    </row>
    <row r="554" spans="1:11" ht="15.75" customHeight="1">
      <c r="A554" s="4"/>
      <c r="G554" s="2"/>
      <c r="H554" s="2"/>
      <c r="I554" s="2"/>
      <c r="J554" s="2"/>
      <c r="K554" s="253"/>
    </row>
    <row r="555" spans="1:11" ht="15.75" customHeight="1">
      <c r="A555" s="4"/>
      <c r="G555" s="2"/>
      <c r="H555" s="2"/>
      <c r="I555" s="2"/>
      <c r="J555" s="2"/>
      <c r="K555" s="253"/>
    </row>
    <row r="556" spans="1:11" ht="15.75" customHeight="1">
      <c r="A556" s="4"/>
      <c r="G556" s="2"/>
      <c r="H556" s="2"/>
      <c r="I556" s="2"/>
      <c r="J556" s="2"/>
      <c r="K556" s="253"/>
    </row>
    <row r="557" spans="1:11" ht="15.75" customHeight="1">
      <c r="A557" s="4"/>
      <c r="G557" s="2"/>
      <c r="H557" s="2"/>
      <c r="I557" s="2"/>
      <c r="J557" s="2"/>
      <c r="K557" s="253"/>
    </row>
    <row r="558" spans="1:11" ht="15.75" customHeight="1">
      <c r="A558" s="4"/>
      <c r="G558" s="2"/>
      <c r="H558" s="2"/>
      <c r="I558" s="2"/>
      <c r="J558" s="2"/>
      <c r="K558" s="253"/>
    </row>
    <row r="559" spans="1:11" ht="15.75" customHeight="1">
      <c r="A559" s="4"/>
      <c r="G559" s="2"/>
      <c r="H559" s="2"/>
      <c r="I559" s="2"/>
      <c r="J559" s="2"/>
      <c r="K559" s="253"/>
    </row>
    <row r="560" spans="1:11" ht="15.75" customHeight="1">
      <c r="A560" s="4"/>
      <c r="G560" s="2"/>
      <c r="H560" s="2"/>
      <c r="I560" s="2"/>
      <c r="J560" s="2"/>
      <c r="K560" s="253"/>
    </row>
    <row r="561" spans="1:11" ht="15.75" customHeight="1">
      <c r="A561" s="4"/>
      <c r="G561" s="2"/>
      <c r="H561" s="2"/>
      <c r="I561" s="2"/>
      <c r="J561" s="2"/>
      <c r="K561" s="253"/>
    </row>
    <row r="562" spans="1:11" ht="15.75" customHeight="1">
      <c r="A562" s="4"/>
      <c r="G562" s="2"/>
      <c r="H562" s="2"/>
      <c r="I562" s="2"/>
      <c r="J562" s="2"/>
      <c r="K562" s="253"/>
    </row>
    <row r="563" spans="1:11" ht="15.75" customHeight="1">
      <c r="A563" s="4"/>
      <c r="G563" s="2"/>
      <c r="H563" s="2"/>
      <c r="I563" s="2"/>
      <c r="J563" s="2"/>
      <c r="K563" s="253"/>
    </row>
    <row r="564" spans="1:11" ht="15.75" customHeight="1">
      <c r="A564" s="4"/>
      <c r="G564" s="2"/>
      <c r="H564" s="2"/>
      <c r="I564" s="2"/>
      <c r="J564" s="2"/>
      <c r="K564" s="253"/>
    </row>
    <row r="565" spans="1:11" ht="15.75" customHeight="1">
      <c r="A565" s="4"/>
      <c r="G565" s="2"/>
      <c r="H565" s="2"/>
      <c r="I565" s="2"/>
      <c r="J565" s="2"/>
      <c r="K565" s="253"/>
    </row>
    <row r="566" spans="1:11" ht="15.75" customHeight="1">
      <c r="A566" s="4"/>
      <c r="G566" s="2"/>
      <c r="H566" s="2"/>
      <c r="I566" s="2"/>
      <c r="J566" s="2"/>
      <c r="K566" s="253"/>
    </row>
    <row r="567" spans="1:11" ht="15.75" customHeight="1">
      <c r="A567" s="4"/>
      <c r="G567" s="2"/>
      <c r="H567" s="2"/>
      <c r="I567" s="2"/>
      <c r="J567" s="2"/>
      <c r="K567" s="253"/>
    </row>
    <row r="568" spans="1:11" ht="15.75" customHeight="1">
      <c r="A568" s="4"/>
      <c r="G568" s="2"/>
      <c r="H568" s="2"/>
      <c r="I568" s="2"/>
      <c r="J568" s="2"/>
      <c r="K568" s="253"/>
    </row>
    <row r="569" spans="1:11" ht="15.75" customHeight="1">
      <c r="A569" s="4"/>
      <c r="G569" s="2"/>
      <c r="H569" s="2"/>
      <c r="I569" s="2"/>
      <c r="J569" s="2"/>
      <c r="K569" s="253"/>
    </row>
    <row r="570" spans="1:11" ht="15.75" customHeight="1">
      <c r="A570" s="4"/>
      <c r="G570" s="2"/>
      <c r="H570" s="2"/>
      <c r="I570" s="2"/>
      <c r="J570" s="2"/>
      <c r="K570" s="253"/>
    </row>
    <row r="571" spans="1:11" ht="15.75" customHeight="1">
      <c r="A571" s="4"/>
      <c r="G571" s="2"/>
      <c r="H571" s="2"/>
      <c r="I571" s="2"/>
      <c r="J571" s="2"/>
      <c r="K571" s="253"/>
    </row>
    <row r="572" spans="1:11" ht="15.75" customHeight="1">
      <c r="A572" s="4"/>
      <c r="G572" s="2"/>
      <c r="H572" s="2"/>
      <c r="I572" s="2"/>
      <c r="J572" s="2"/>
      <c r="K572" s="253"/>
    </row>
    <row r="573" spans="1:11" ht="15.75" customHeight="1">
      <c r="A573" s="4"/>
      <c r="G573" s="2"/>
      <c r="H573" s="2"/>
      <c r="I573" s="2"/>
      <c r="J573" s="2"/>
      <c r="K573" s="253"/>
    </row>
    <row r="574" spans="1:11" ht="15.75" customHeight="1">
      <c r="A574" s="4"/>
      <c r="G574" s="2"/>
      <c r="H574" s="2"/>
      <c r="I574" s="2"/>
      <c r="J574" s="2"/>
      <c r="K574" s="253"/>
    </row>
    <row r="575" spans="1:11" ht="15.75" customHeight="1">
      <c r="A575" s="4"/>
      <c r="G575" s="2"/>
      <c r="H575" s="2"/>
      <c r="I575" s="2"/>
      <c r="J575" s="2"/>
      <c r="K575" s="253"/>
    </row>
    <row r="576" spans="1:11" ht="15.75" customHeight="1">
      <c r="A576" s="4"/>
      <c r="G576" s="2"/>
      <c r="H576" s="2"/>
      <c r="I576" s="2"/>
      <c r="J576" s="2"/>
      <c r="K576" s="253"/>
    </row>
    <row r="577" spans="1:11" ht="15.75" customHeight="1">
      <c r="A577" s="4"/>
      <c r="G577" s="2"/>
      <c r="H577" s="2"/>
      <c r="I577" s="2"/>
      <c r="J577" s="2"/>
      <c r="K577" s="253"/>
    </row>
    <row r="578" spans="1:11" ht="15.75" customHeight="1">
      <c r="A578" s="4"/>
      <c r="G578" s="2"/>
      <c r="H578" s="2"/>
      <c r="I578" s="2"/>
      <c r="J578" s="2"/>
      <c r="K578" s="253"/>
    </row>
    <row r="579" spans="1:11" ht="15.75" customHeight="1">
      <c r="A579" s="4"/>
      <c r="G579" s="2"/>
      <c r="H579" s="2"/>
      <c r="I579" s="2"/>
      <c r="J579" s="2"/>
      <c r="K579" s="253"/>
    </row>
    <row r="580" spans="1:11" ht="15.75" customHeight="1">
      <c r="A580" s="4"/>
      <c r="G580" s="2"/>
      <c r="H580" s="2"/>
      <c r="I580" s="2"/>
      <c r="J580" s="2"/>
      <c r="K580" s="253"/>
    </row>
    <row r="581" spans="1:11" ht="15.75" customHeight="1">
      <c r="A581" s="4"/>
      <c r="G581" s="2"/>
      <c r="H581" s="2"/>
      <c r="I581" s="2"/>
      <c r="J581" s="2"/>
      <c r="K581" s="253"/>
    </row>
    <row r="582" spans="1:11" ht="15.75" customHeight="1">
      <c r="A582" s="4"/>
      <c r="G582" s="2"/>
      <c r="H582" s="2"/>
      <c r="I582" s="2"/>
      <c r="J582" s="2"/>
      <c r="K582" s="253"/>
    </row>
    <row r="583" spans="1:11" ht="15.75" customHeight="1">
      <c r="A583" s="4"/>
      <c r="G583" s="2"/>
      <c r="H583" s="2"/>
      <c r="I583" s="2"/>
      <c r="J583" s="2"/>
      <c r="K583" s="253"/>
    </row>
    <row r="584" spans="1:11" ht="15.75" customHeight="1">
      <c r="A584" s="4"/>
      <c r="G584" s="2"/>
      <c r="H584" s="2"/>
      <c r="I584" s="2"/>
      <c r="J584" s="2"/>
      <c r="K584" s="253"/>
    </row>
    <row r="585" spans="1:11" ht="15.75" customHeight="1">
      <c r="A585" s="4"/>
      <c r="G585" s="2"/>
      <c r="H585" s="2"/>
      <c r="I585" s="2"/>
      <c r="J585" s="2"/>
      <c r="K585" s="253"/>
    </row>
    <row r="586" spans="1:11" ht="15.75" customHeight="1">
      <c r="A586" s="4"/>
      <c r="G586" s="2"/>
      <c r="H586" s="2"/>
      <c r="I586" s="2"/>
      <c r="J586" s="2"/>
      <c r="K586" s="253"/>
    </row>
    <row r="587" spans="1:11" ht="15.75" customHeight="1">
      <c r="A587" s="4"/>
      <c r="G587" s="2"/>
      <c r="H587" s="2"/>
      <c r="I587" s="2"/>
      <c r="J587" s="2"/>
      <c r="K587" s="253"/>
    </row>
    <row r="588" spans="1:11" ht="15.75" customHeight="1">
      <c r="A588" s="4"/>
      <c r="G588" s="2"/>
      <c r="H588" s="2"/>
      <c r="I588" s="2"/>
      <c r="J588" s="2"/>
      <c r="K588" s="253"/>
    </row>
    <row r="589" spans="1:11" ht="15.75" customHeight="1">
      <c r="A589" s="4"/>
      <c r="G589" s="2"/>
      <c r="H589" s="2"/>
      <c r="I589" s="2"/>
      <c r="J589" s="2"/>
      <c r="K589" s="253"/>
    </row>
    <row r="590" spans="1:11" ht="15.75" customHeight="1">
      <c r="A590" s="4"/>
      <c r="G590" s="2"/>
      <c r="H590" s="2"/>
      <c r="I590" s="2"/>
      <c r="J590" s="2"/>
      <c r="K590" s="253"/>
    </row>
    <row r="591" spans="1:11" ht="15.75" customHeight="1">
      <c r="A591" s="4"/>
      <c r="G591" s="2"/>
      <c r="H591" s="2"/>
      <c r="I591" s="2"/>
      <c r="J591" s="2"/>
      <c r="K591" s="253"/>
    </row>
    <row r="592" spans="1:11" ht="15.75" customHeight="1">
      <c r="A592" s="4"/>
      <c r="G592" s="2"/>
      <c r="H592" s="2"/>
      <c r="I592" s="2"/>
      <c r="J592" s="2"/>
      <c r="K592" s="253"/>
    </row>
    <row r="593" spans="1:11" ht="15.75" customHeight="1">
      <c r="A593" s="4"/>
      <c r="G593" s="2"/>
      <c r="H593" s="2"/>
      <c r="I593" s="2"/>
      <c r="J593" s="2"/>
      <c r="K593" s="253"/>
    </row>
    <row r="594" spans="1:11" ht="15.75" customHeight="1">
      <c r="A594" s="4"/>
      <c r="G594" s="2"/>
      <c r="H594" s="2"/>
      <c r="I594" s="2"/>
      <c r="J594" s="2"/>
      <c r="K594" s="253"/>
    </row>
    <row r="595" spans="1:11" ht="15.75" customHeight="1">
      <c r="A595" s="4"/>
      <c r="G595" s="2"/>
      <c r="H595" s="2"/>
      <c r="I595" s="2"/>
      <c r="J595" s="2"/>
      <c r="K595" s="253"/>
    </row>
    <row r="596" spans="1:11" ht="15.75" customHeight="1">
      <c r="A596" s="4"/>
      <c r="G596" s="2"/>
      <c r="H596" s="2"/>
      <c r="I596" s="2"/>
      <c r="J596" s="2"/>
      <c r="K596" s="253"/>
    </row>
    <row r="597" spans="1:11" ht="15.75" customHeight="1">
      <c r="A597" s="4"/>
      <c r="G597" s="2"/>
      <c r="H597" s="2"/>
      <c r="I597" s="2"/>
      <c r="J597" s="2"/>
      <c r="K597" s="253"/>
    </row>
    <row r="598" spans="1:11" ht="15.75" customHeight="1">
      <c r="A598" s="4"/>
      <c r="G598" s="2"/>
      <c r="H598" s="2"/>
      <c r="I598" s="2"/>
      <c r="J598" s="2"/>
      <c r="K598" s="253"/>
    </row>
    <row r="599" spans="1:11" ht="15.75" customHeight="1">
      <c r="A599" s="4"/>
      <c r="G599" s="2"/>
      <c r="H599" s="2"/>
      <c r="I599" s="2"/>
      <c r="J599" s="2"/>
      <c r="K599" s="253"/>
    </row>
    <row r="600" spans="1:11" ht="15.75" customHeight="1">
      <c r="A600" s="4"/>
      <c r="G600" s="2"/>
      <c r="H600" s="2"/>
      <c r="I600" s="2"/>
      <c r="J600" s="2"/>
      <c r="K600" s="253"/>
    </row>
    <row r="601" spans="1:11" ht="15.75" customHeight="1">
      <c r="A601" s="4"/>
      <c r="G601" s="2"/>
      <c r="H601" s="2"/>
      <c r="I601" s="2"/>
      <c r="J601" s="2"/>
      <c r="K601" s="253"/>
    </row>
    <row r="602" spans="1:11" ht="15.75" customHeight="1">
      <c r="A602" s="4"/>
      <c r="G602" s="2"/>
      <c r="H602" s="2"/>
      <c r="I602" s="2"/>
      <c r="J602" s="2"/>
      <c r="K602" s="253"/>
    </row>
    <row r="603" spans="1:11" ht="15.75" customHeight="1">
      <c r="A603" s="4"/>
      <c r="G603" s="2"/>
      <c r="H603" s="2"/>
      <c r="I603" s="2"/>
      <c r="J603" s="2"/>
      <c r="K603" s="253"/>
    </row>
    <row r="604" spans="1:11" ht="15.75" customHeight="1">
      <c r="A604" s="4"/>
      <c r="G604" s="2"/>
      <c r="H604" s="2"/>
      <c r="I604" s="2"/>
      <c r="J604" s="2"/>
      <c r="K604" s="253"/>
    </row>
    <row r="605" spans="1:11" ht="15.75" customHeight="1">
      <c r="A605" s="4"/>
      <c r="G605" s="2"/>
      <c r="H605" s="2"/>
      <c r="I605" s="2"/>
      <c r="J605" s="2"/>
      <c r="K605" s="253"/>
    </row>
    <row r="606" spans="1:11" ht="15.75" customHeight="1">
      <c r="A606" s="4"/>
      <c r="G606" s="2"/>
      <c r="H606" s="2"/>
      <c r="I606" s="2"/>
      <c r="J606" s="2"/>
      <c r="K606" s="253"/>
    </row>
    <row r="607" spans="1:11" ht="15.75" customHeight="1">
      <c r="A607" s="4"/>
      <c r="G607" s="2"/>
      <c r="H607" s="2"/>
      <c r="I607" s="2"/>
      <c r="J607" s="2"/>
      <c r="K607" s="253"/>
    </row>
    <row r="608" spans="1:11" ht="15.75" customHeight="1">
      <c r="A608" s="4"/>
      <c r="G608" s="2"/>
      <c r="H608" s="2"/>
      <c r="I608" s="2"/>
      <c r="J608" s="2"/>
      <c r="K608" s="253"/>
    </row>
    <row r="609" spans="1:11" ht="15.75" customHeight="1">
      <c r="A609" s="4"/>
      <c r="G609" s="2"/>
      <c r="H609" s="2"/>
      <c r="I609" s="2"/>
      <c r="J609" s="2"/>
      <c r="K609" s="253"/>
    </row>
    <row r="610" spans="1:11" ht="15.75" customHeight="1">
      <c r="A610" s="4"/>
      <c r="G610" s="2"/>
      <c r="H610" s="2"/>
      <c r="I610" s="2"/>
      <c r="J610" s="2"/>
      <c r="K610" s="253"/>
    </row>
    <row r="611" spans="1:11" ht="15.75" customHeight="1">
      <c r="A611" s="4"/>
      <c r="G611" s="2"/>
      <c r="H611" s="2"/>
      <c r="I611" s="2"/>
      <c r="J611" s="2"/>
      <c r="K611" s="253"/>
    </row>
    <row r="612" spans="1:11" ht="15.75" customHeight="1">
      <c r="A612" s="4"/>
      <c r="G612" s="2"/>
      <c r="H612" s="2"/>
      <c r="I612" s="2"/>
      <c r="J612" s="2"/>
      <c r="K612" s="253"/>
    </row>
    <row r="613" spans="1:11" ht="15.75" customHeight="1">
      <c r="A613" s="4"/>
      <c r="G613" s="2"/>
      <c r="H613" s="2"/>
      <c r="I613" s="2"/>
      <c r="J613" s="2"/>
      <c r="K613" s="253"/>
    </row>
    <row r="614" spans="1:11" ht="15.75" customHeight="1">
      <c r="A614" s="4"/>
      <c r="G614" s="2"/>
      <c r="H614" s="2"/>
      <c r="I614" s="2"/>
      <c r="J614" s="2"/>
      <c r="K614" s="253"/>
    </row>
    <row r="615" spans="1:11" ht="15.75" customHeight="1">
      <c r="A615" s="4"/>
      <c r="G615" s="2"/>
      <c r="H615" s="2"/>
      <c r="I615" s="2"/>
      <c r="J615" s="2"/>
      <c r="K615" s="253"/>
    </row>
    <row r="616" spans="1:11" ht="15.75" customHeight="1">
      <c r="A616" s="4"/>
      <c r="G616" s="2"/>
      <c r="H616" s="2"/>
      <c r="I616" s="2"/>
      <c r="J616" s="2"/>
      <c r="K616" s="253"/>
    </row>
    <row r="617" spans="1:11" ht="15.75" customHeight="1">
      <c r="A617" s="4"/>
      <c r="G617" s="2"/>
      <c r="H617" s="2"/>
      <c r="I617" s="2"/>
      <c r="J617" s="2"/>
      <c r="K617" s="253"/>
    </row>
    <row r="618" spans="1:11" ht="15.75" customHeight="1">
      <c r="A618" s="4"/>
      <c r="G618" s="2"/>
      <c r="H618" s="2"/>
      <c r="I618" s="2"/>
      <c r="J618" s="2"/>
      <c r="K618" s="253"/>
    </row>
    <row r="619" spans="1:11" ht="15.75" customHeight="1">
      <c r="A619" s="4"/>
      <c r="G619" s="2"/>
      <c r="H619" s="2"/>
      <c r="I619" s="2"/>
      <c r="J619" s="2"/>
      <c r="K619" s="253"/>
    </row>
    <row r="620" spans="1:11" ht="15.75" customHeight="1">
      <c r="A620" s="4"/>
      <c r="G620" s="2"/>
      <c r="H620" s="2"/>
      <c r="I620" s="2"/>
      <c r="J620" s="2"/>
      <c r="K620" s="253"/>
    </row>
    <row r="621" spans="1:11" ht="15.75" customHeight="1">
      <c r="A621" s="4"/>
      <c r="G621" s="2"/>
      <c r="H621" s="2"/>
      <c r="I621" s="2"/>
      <c r="J621" s="2"/>
      <c r="K621" s="253"/>
    </row>
    <row r="622" spans="1:11" ht="15.75" customHeight="1">
      <c r="A622" s="4"/>
      <c r="G622" s="2"/>
      <c r="H622" s="2"/>
      <c r="I622" s="2"/>
      <c r="J622" s="2"/>
      <c r="K622" s="253"/>
    </row>
    <row r="623" spans="1:11" ht="15.75" customHeight="1">
      <c r="A623" s="4"/>
      <c r="G623" s="2"/>
      <c r="H623" s="2"/>
      <c r="I623" s="2"/>
      <c r="J623" s="2"/>
      <c r="K623" s="253"/>
    </row>
    <row r="624" spans="1:11" ht="15.75" customHeight="1">
      <c r="A624" s="4"/>
      <c r="G624" s="2"/>
      <c r="H624" s="2"/>
      <c r="I624" s="2"/>
      <c r="J624" s="2"/>
      <c r="K624" s="253"/>
    </row>
    <row r="625" spans="1:11" ht="15.75" customHeight="1">
      <c r="A625" s="4"/>
      <c r="G625" s="2"/>
      <c r="H625" s="2"/>
      <c r="I625" s="2"/>
      <c r="J625" s="2"/>
      <c r="K625" s="253"/>
    </row>
    <row r="626" spans="1:11" ht="15.75" customHeight="1">
      <c r="A626" s="4"/>
      <c r="G626" s="2"/>
      <c r="H626" s="2"/>
      <c r="I626" s="2"/>
      <c r="J626" s="2"/>
      <c r="K626" s="253"/>
    </row>
    <row r="627" spans="1:11" ht="15.75" customHeight="1">
      <c r="A627" s="4"/>
      <c r="G627" s="2"/>
      <c r="H627" s="2"/>
      <c r="I627" s="2"/>
      <c r="J627" s="2"/>
      <c r="K627" s="253"/>
    </row>
    <row r="628" spans="1:11" ht="15.75" customHeight="1">
      <c r="A628" s="4"/>
      <c r="G628" s="2"/>
      <c r="H628" s="2"/>
      <c r="I628" s="2"/>
      <c r="J628" s="2"/>
      <c r="K628" s="253"/>
    </row>
    <row r="629" spans="1:11" ht="15.75" customHeight="1">
      <c r="A629" s="4"/>
      <c r="G629" s="2"/>
      <c r="H629" s="2"/>
      <c r="I629" s="2"/>
      <c r="J629" s="2"/>
      <c r="K629" s="253"/>
    </row>
    <row r="630" spans="1:11" ht="15.75" customHeight="1">
      <c r="A630" s="4"/>
      <c r="G630" s="2"/>
      <c r="H630" s="2"/>
      <c r="I630" s="2"/>
      <c r="J630" s="2"/>
      <c r="K630" s="253"/>
    </row>
    <row r="631" spans="1:11" ht="15.75" customHeight="1">
      <c r="A631" s="4"/>
      <c r="G631" s="2"/>
      <c r="H631" s="2"/>
      <c r="I631" s="2"/>
      <c r="J631" s="2"/>
      <c r="K631" s="253"/>
    </row>
    <row r="632" spans="1:11" ht="15.75" customHeight="1">
      <c r="A632" s="4"/>
      <c r="G632" s="2"/>
      <c r="H632" s="2"/>
      <c r="I632" s="2"/>
      <c r="J632" s="2"/>
      <c r="K632" s="253"/>
    </row>
    <row r="633" spans="1:11" ht="15.75" customHeight="1">
      <c r="A633" s="4"/>
      <c r="G633" s="2"/>
      <c r="H633" s="2"/>
      <c r="I633" s="2"/>
      <c r="J633" s="2"/>
      <c r="K633" s="253"/>
    </row>
    <row r="634" spans="1:11" ht="15.75" customHeight="1">
      <c r="A634" s="4"/>
      <c r="G634" s="2"/>
      <c r="H634" s="2"/>
      <c r="I634" s="2"/>
      <c r="J634" s="2"/>
      <c r="K634" s="253"/>
    </row>
    <row r="635" spans="1:11" ht="15.75" customHeight="1">
      <c r="A635" s="4"/>
      <c r="G635" s="2"/>
      <c r="H635" s="2"/>
      <c r="I635" s="2"/>
      <c r="J635" s="2"/>
      <c r="K635" s="253"/>
    </row>
    <row r="636" spans="1:11" ht="15.75" customHeight="1">
      <c r="A636" s="4"/>
      <c r="G636" s="2"/>
      <c r="H636" s="2"/>
      <c r="I636" s="2"/>
      <c r="J636" s="2"/>
      <c r="K636" s="253"/>
    </row>
    <row r="637" spans="1:11" ht="15.75" customHeight="1">
      <c r="A637" s="4"/>
      <c r="G637" s="2"/>
      <c r="H637" s="2"/>
      <c r="I637" s="2"/>
      <c r="J637" s="2"/>
      <c r="K637" s="253"/>
    </row>
    <row r="638" spans="1:11" ht="15.75" customHeight="1">
      <c r="A638" s="4"/>
      <c r="G638" s="2"/>
      <c r="H638" s="2"/>
      <c r="I638" s="2"/>
      <c r="J638" s="2"/>
      <c r="K638" s="253"/>
    </row>
    <row r="639" spans="1:11" ht="15.75" customHeight="1">
      <c r="A639" s="4"/>
      <c r="G639" s="2"/>
      <c r="H639" s="2"/>
      <c r="I639" s="2"/>
      <c r="J639" s="2"/>
      <c r="K639" s="253"/>
    </row>
    <row r="640" spans="1:11" ht="15.75" customHeight="1">
      <c r="A640" s="4"/>
      <c r="G640" s="2"/>
      <c r="H640" s="2"/>
      <c r="I640" s="2"/>
      <c r="J640" s="2"/>
      <c r="K640" s="253"/>
    </row>
    <row r="641" spans="1:11" ht="15.75" customHeight="1">
      <c r="A641" s="4"/>
      <c r="G641" s="2"/>
      <c r="H641" s="2"/>
      <c r="I641" s="2"/>
      <c r="J641" s="2"/>
      <c r="K641" s="253"/>
    </row>
    <row r="642" spans="1:11" ht="15.75" customHeight="1">
      <c r="A642" s="4"/>
      <c r="G642" s="2"/>
      <c r="H642" s="2"/>
      <c r="I642" s="2"/>
      <c r="J642" s="2"/>
      <c r="K642" s="253"/>
    </row>
    <row r="643" spans="1:11" ht="15.75" customHeight="1">
      <c r="A643" s="4"/>
      <c r="G643" s="2"/>
      <c r="H643" s="2"/>
      <c r="I643" s="2"/>
      <c r="J643" s="2"/>
      <c r="K643" s="253"/>
    </row>
    <row r="644" spans="1:11" ht="15.75" customHeight="1">
      <c r="A644" s="4"/>
      <c r="G644" s="2"/>
      <c r="H644" s="2"/>
      <c r="I644" s="2"/>
      <c r="J644" s="2"/>
      <c r="K644" s="253"/>
    </row>
    <row r="645" spans="1:11" ht="15.75" customHeight="1">
      <c r="A645" s="4"/>
      <c r="G645" s="2"/>
      <c r="H645" s="2"/>
      <c r="I645" s="2"/>
      <c r="J645" s="2"/>
      <c r="K645" s="253"/>
    </row>
    <row r="646" spans="1:11" ht="15.75" customHeight="1">
      <c r="A646" s="4"/>
      <c r="G646" s="2"/>
      <c r="H646" s="2"/>
      <c r="I646" s="2"/>
      <c r="J646" s="2"/>
      <c r="K646" s="253"/>
    </row>
    <row r="647" spans="1:11" ht="15.75" customHeight="1">
      <c r="A647" s="4"/>
      <c r="G647" s="2"/>
      <c r="H647" s="2"/>
      <c r="I647" s="2"/>
      <c r="J647" s="2"/>
      <c r="K647" s="253"/>
    </row>
    <row r="648" spans="1:11" ht="15.75" customHeight="1">
      <c r="A648" s="4"/>
      <c r="G648" s="2"/>
      <c r="H648" s="2"/>
      <c r="I648" s="2"/>
      <c r="J648" s="2"/>
      <c r="K648" s="253"/>
    </row>
    <row r="649" spans="1:11" ht="15.75" customHeight="1">
      <c r="A649" s="4"/>
      <c r="G649" s="2"/>
      <c r="H649" s="2"/>
      <c r="I649" s="2"/>
      <c r="J649" s="2"/>
      <c r="K649" s="253"/>
    </row>
    <row r="650" spans="1:11" ht="15.75" customHeight="1">
      <c r="A650" s="4"/>
      <c r="G650" s="2"/>
      <c r="H650" s="2"/>
      <c r="I650" s="2"/>
      <c r="J650" s="2"/>
      <c r="K650" s="253"/>
    </row>
    <row r="651" spans="1:11" ht="15.75" customHeight="1">
      <c r="A651" s="4"/>
      <c r="G651" s="2"/>
      <c r="H651" s="2"/>
      <c r="I651" s="2"/>
      <c r="J651" s="2"/>
      <c r="K651" s="253"/>
    </row>
    <row r="652" spans="1:11" ht="15.75" customHeight="1">
      <c r="A652" s="4"/>
      <c r="G652" s="2"/>
      <c r="H652" s="2"/>
      <c r="I652" s="2"/>
      <c r="J652" s="2"/>
      <c r="K652" s="253"/>
    </row>
    <row r="653" spans="1:11" ht="15.75" customHeight="1">
      <c r="A653" s="4"/>
      <c r="G653" s="2"/>
      <c r="H653" s="2"/>
      <c r="I653" s="2"/>
      <c r="J653" s="2"/>
      <c r="K653" s="253"/>
    </row>
    <row r="654" spans="1:11" ht="15.75" customHeight="1">
      <c r="A654" s="4"/>
      <c r="G654" s="2"/>
      <c r="H654" s="2"/>
      <c r="I654" s="2"/>
      <c r="J654" s="2"/>
      <c r="K654" s="253"/>
    </row>
    <row r="655" spans="1:11" ht="15.75" customHeight="1">
      <c r="A655" s="4"/>
      <c r="G655" s="2"/>
      <c r="H655" s="2"/>
      <c r="I655" s="2"/>
      <c r="J655" s="2"/>
      <c r="K655" s="253"/>
    </row>
    <row r="656" spans="1:11" ht="15.75" customHeight="1">
      <c r="A656" s="4"/>
      <c r="G656" s="2"/>
      <c r="H656" s="2"/>
      <c r="I656" s="2"/>
      <c r="J656" s="2"/>
      <c r="K656" s="253"/>
    </row>
    <row r="657" spans="1:11" ht="15.75" customHeight="1">
      <c r="A657" s="4"/>
      <c r="G657" s="2"/>
      <c r="H657" s="2"/>
      <c r="I657" s="2"/>
      <c r="J657" s="2"/>
      <c r="K657" s="253"/>
    </row>
    <row r="658" spans="1:11" ht="15.75" customHeight="1">
      <c r="A658" s="4"/>
      <c r="G658" s="2"/>
      <c r="H658" s="2"/>
      <c r="I658" s="2"/>
      <c r="J658" s="2"/>
      <c r="K658" s="253"/>
    </row>
    <row r="659" spans="1:11" ht="15.75" customHeight="1">
      <c r="A659" s="4"/>
      <c r="G659" s="2"/>
      <c r="H659" s="2"/>
      <c r="I659" s="2"/>
      <c r="J659" s="2"/>
      <c r="K659" s="253"/>
    </row>
    <row r="660" spans="1:11" ht="15.75" customHeight="1">
      <c r="A660" s="4"/>
      <c r="G660" s="2"/>
      <c r="H660" s="2"/>
      <c r="I660" s="2"/>
      <c r="J660" s="2"/>
      <c r="K660" s="253"/>
    </row>
    <row r="661" spans="1:11" ht="15.75" customHeight="1">
      <c r="A661" s="4"/>
      <c r="G661" s="2"/>
      <c r="H661" s="2"/>
      <c r="I661" s="2"/>
      <c r="J661" s="2"/>
      <c r="K661" s="253"/>
    </row>
    <row r="662" spans="1:11" ht="15.75" customHeight="1">
      <c r="A662" s="4"/>
      <c r="G662" s="2"/>
      <c r="H662" s="2"/>
      <c r="I662" s="2"/>
      <c r="J662" s="2"/>
      <c r="K662" s="253"/>
    </row>
    <row r="663" spans="1:11" ht="15.75" customHeight="1">
      <c r="A663" s="4"/>
      <c r="G663" s="2"/>
      <c r="H663" s="2"/>
      <c r="I663" s="2"/>
      <c r="J663" s="2"/>
      <c r="K663" s="253"/>
    </row>
    <row r="664" spans="1:11" ht="15.75" customHeight="1">
      <c r="A664" s="4"/>
      <c r="G664" s="2"/>
      <c r="H664" s="2"/>
      <c r="I664" s="2"/>
      <c r="J664" s="2"/>
      <c r="K664" s="253"/>
    </row>
    <row r="665" spans="1:11" ht="15.75" customHeight="1">
      <c r="A665" s="4"/>
      <c r="G665" s="2"/>
      <c r="H665" s="2"/>
      <c r="I665" s="2"/>
      <c r="J665" s="2"/>
      <c r="K665" s="253"/>
    </row>
    <row r="666" spans="1:11" ht="15.75" customHeight="1">
      <c r="A666" s="4"/>
      <c r="G666" s="2"/>
      <c r="H666" s="2"/>
      <c r="I666" s="2"/>
      <c r="J666" s="2"/>
      <c r="K666" s="253"/>
    </row>
    <row r="667" spans="1:11" ht="15.75" customHeight="1">
      <c r="A667" s="4"/>
      <c r="G667" s="2"/>
      <c r="H667" s="2"/>
      <c r="I667" s="2"/>
      <c r="J667" s="2"/>
      <c r="K667" s="253"/>
    </row>
    <row r="668" spans="1:11" ht="15.75" customHeight="1">
      <c r="A668" s="4"/>
      <c r="G668" s="2"/>
      <c r="H668" s="2"/>
      <c r="I668" s="2"/>
      <c r="J668" s="2"/>
      <c r="K668" s="253"/>
    </row>
    <row r="669" spans="1:11" ht="15.75" customHeight="1">
      <c r="A669" s="4"/>
      <c r="G669" s="2"/>
      <c r="H669" s="2"/>
      <c r="I669" s="2"/>
      <c r="J669" s="2"/>
      <c r="K669" s="253"/>
    </row>
    <row r="670" spans="1:11" ht="15.75" customHeight="1">
      <c r="A670" s="4"/>
      <c r="G670" s="2"/>
      <c r="H670" s="2"/>
      <c r="I670" s="2"/>
      <c r="J670" s="2"/>
      <c r="K670" s="253"/>
    </row>
    <row r="671" spans="1:11" ht="15.75" customHeight="1">
      <c r="A671" s="4"/>
      <c r="G671" s="2"/>
      <c r="H671" s="2"/>
      <c r="I671" s="2"/>
      <c r="J671" s="2"/>
      <c r="K671" s="253"/>
    </row>
    <row r="672" spans="1:11" ht="15.75" customHeight="1">
      <c r="A672" s="4"/>
      <c r="G672" s="2"/>
      <c r="H672" s="2"/>
      <c r="I672" s="2"/>
      <c r="J672" s="2"/>
      <c r="K672" s="253"/>
    </row>
    <row r="673" spans="1:11" ht="15.75" customHeight="1">
      <c r="A673" s="4"/>
      <c r="G673" s="2"/>
      <c r="H673" s="2"/>
      <c r="I673" s="2"/>
      <c r="J673" s="2"/>
      <c r="K673" s="253"/>
    </row>
    <row r="674" spans="1:11" ht="15.75" customHeight="1">
      <c r="A674" s="4"/>
      <c r="G674" s="2"/>
      <c r="H674" s="2"/>
      <c r="I674" s="2"/>
      <c r="J674" s="2"/>
      <c r="K674" s="253"/>
    </row>
    <row r="675" spans="1:11" ht="15.75" customHeight="1">
      <c r="A675" s="4"/>
      <c r="G675" s="2"/>
      <c r="H675" s="2"/>
      <c r="I675" s="2"/>
      <c r="J675" s="2"/>
      <c r="K675" s="253"/>
    </row>
    <row r="676" spans="1:11" ht="15.75" customHeight="1">
      <c r="A676" s="4"/>
      <c r="G676" s="2"/>
      <c r="H676" s="2"/>
      <c r="I676" s="2"/>
      <c r="J676" s="2"/>
      <c r="K676" s="253"/>
    </row>
    <row r="677" spans="1:11" ht="15.75" customHeight="1">
      <c r="A677" s="4"/>
      <c r="G677" s="2"/>
      <c r="H677" s="2"/>
      <c r="I677" s="2"/>
      <c r="J677" s="2"/>
      <c r="K677" s="253"/>
    </row>
    <row r="678" spans="1:11" ht="15.75" customHeight="1">
      <c r="A678" s="4"/>
      <c r="G678" s="2"/>
      <c r="H678" s="2"/>
      <c r="I678" s="2"/>
      <c r="J678" s="2"/>
      <c r="K678" s="253"/>
    </row>
    <row r="679" spans="1:11" ht="15.75" customHeight="1">
      <c r="A679" s="4"/>
      <c r="G679" s="2"/>
      <c r="H679" s="2"/>
      <c r="I679" s="2"/>
      <c r="J679" s="2"/>
      <c r="K679" s="253"/>
    </row>
    <row r="680" spans="1:11" ht="15.75" customHeight="1">
      <c r="A680" s="4"/>
      <c r="G680" s="2"/>
      <c r="H680" s="2"/>
      <c r="I680" s="2"/>
      <c r="J680" s="2"/>
      <c r="K680" s="253"/>
    </row>
    <row r="681" spans="1:11" ht="15.75" customHeight="1">
      <c r="A681" s="4"/>
      <c r="G681" s="2"/>
      <c r="H681" s="2"/>
      <c r="I681" s="2"/>
      <c r="J681" s="2"/>
      <c r="K681" s="253"/>
    </row>
    <row r="682" spans="1:11" ht="15.75" customHeight="1">
      <c r="A682" s="4"/>
      <c r="G682" s="2"/>
      <c r="H682" s="2"/>
      <c r="I682" s="2"/>
      <c r="J682" s="2"/>
      <c r="K682" s="253"/>
    </row>
    <row r="683" spans="1:11" ht="15.75" customHeight="1">
      <c r="A683" s="4"/>
      <c r="G683" s="2"/>
      <c r="H683" s="2"/>
      <c r="I683" s="2"/>
      <c r="J683" s="2"/>
      <c r="K683" s="253"/>
    </row>
    <row r="684" spans="1:11" ht="15.75" customHeight="1">
      <c r="A684" s="4"/>
      <c r="G684" s="2"/>
      <c r="H684" s="2"/>
      <c r="I684" s="2"/>
      <c r="J684" s="2"/>
      <c r="K684" s="253"/>
    </row>
    <row r="685" spans="1:11" ht="15.75" customHeight="1">
      <c r="A685" s="4"/>
      <c r="G685" s="2"/>
      <c r="H685" s="2"/>
      <c r="I685" s="2"/>
      <c r="J685" s="2"/>
      <c r="K685" s="253"/>
    </row>
    <row r="686" spans="1:11" ht="15.75" customHeight="1">
      <c r="A686" s="4"/>
      <c r="G686" s="2"/>
      <c r="H686" s="2"/>
      <c r="I686" s="2"/>
      <c r="J686" s="2"/>
      <c r="K686" s="253"/>
    </row>
    <row r="687" spans="1:11" ht="15.75" customHeight="1">
      <c r="A687" s="4"/>
      <c r="G687" s="2"/>
      <c r="H687" s="2"/>
      <c r="I687" s="2"/>
      <c r="J687" s="2"/>
      <c r="K687" s="253"/>
    </row>
    <row r="688" spans="1:11" ht="15.75" customHeight="1">
      <c r="A688" s="4"/>
      <c r="G688" s="2"/>
      <c r="H688" s="2"/>
      <c r="I688" s="2"/>
      <c r="J688" s="2"/>
      <c r="K688" s="253"/>
    </row>
    <row r="689" spans="1:11" ht="15.75" customHeight="1">
      <c r="A689" s="4"/>
      <c r="G689" s="2"/>
      <c r="H689" s="2"/>
      <c r="I689" s="2"/>
      <c r="J689" s="2"/>
      <c r="K689" s="253"/>
    </row>
    <row r="690" spans="1:11" ht="15.75" customHeight="1">
      <c r="A690" s="4"/>
      <c r="G690" s="2"/>
      <c r="H690" s="2"/>
      <c r="I690" s="2"/>
      <c r="J690" s="2"/>
      <c r="K690" s="253"/>
    </row>
    <row r="691" spans="1:11" ht="15.75" customHeight="1">
      <c r="A691" s="4"/>
      <c r="G691" s="2"/>
      <c r="H691" s="2"/>
      <c r="I691" s="2"/>
      <c r="J691" s="2"/>
      <c r="K691" s="253"/>
    </row>
    <row r="692" spans="1:11" ht="15.75" customHeight="1">
      <c r="A692" s="4"/>
      <c r="G692" s="2"/>
      <c r="H692" s="2"/>
      <c r="I692" s="2"/>
      <c r="J692" s="2"/>
      <c r="K692" s="253"/>
    </row>
    <row r="693" spans="1:11" ht="15.75" customHeight="1">
      <c r="A693" s="4"/>
      <c r="G693" s="2"/>
      <c r="H693" s="2"/>
      <c r="I693" s="2"/>
      <c r="J693" s="2"/>
      <c r="K693" s="253"/>
    </row>
    <row r="694" spans="1:11" ht="15.75" customHeight="1">
      <c r="A694" s="4"/>
      <c r="G694" s="2"/>
      <c r="H694" s="2"/>
      <c r="I694" s="2"/>
      <c r="J694" s="2"/>
      <c r="K694" s="253"/>
    </row>
    <row r="695" spans="1:11" ht="15.75" customHeight="1">
      <c r="A695" s="4"/>
      <c r="G695" s="2"/>
      <c r="H695" s="2"/>
      <c r="I695" s="2"/>
      <c r="J695" s="2"/>
      <c r="K695" s="253"/>
    </row>
    <row r="696" spans="1:11" ht="15.75" customHeight="1">
      <c r="A696" s="4"/>
      <c r="G696" s="2"/>
      <c r="H696" s="2"/>
      <c r="I696" s="2"/>
      <c r="J696" s="2"/>
      <c r="K696" s="253"/>
    </row>
    <row r="697" spans="1:11" ht="15.75" customHeight="1">
      <c r="A697" s="4"/>
      <c r="G697" s="2"/>
      <c r="H697" s="2"/>
      <c r="I697" s="2"/>
      <c r="J697" s="2"/>
      <c r="K697" s="253"/>
    </row>
    <row r="698" spans="1:11" ht="15.75" customHeight="1">
      <c r="A698" s="4"/>
      <c r="G698" s="2"/>
      <c r="H698" s="2"/>
      <c r="I698" s="2"/>
      <c r="J698" s="2"/>
      <c r="K698" s="253"/>
    </row>
    <row r="699" spans="1:11" ht="15.75" customHeight="1">
      <c r="A699" s="4"/>
      <c r="G699" s="2"/>
      <c r="H699" s="2"/>
      <c r="I699" s="2"/>
      <c r="J699" s="2"/>
      <c r="K699" s="253"/>
    </row>
    <row r="700" spans="1:11" ht="15.75" customHeight="1">
      <c r="A700" s="4"/>
      <c r="G700" s="2"/>
      <c r="H700" s="2"/>
      <c r="I700" s="2"/>
      <c r="J700" s="2"/>
      <c r="K700" s="253"/>
    </row>
    <row r="701" spans="1:11" ht="15.75" customHeight="1">
      <c r="A701" s="4"/>
      <c r="G701" s="2"/>
      <c r="H701" s="2"/>
      <c r="I701" s="2"/>
      <c r="J701" s="2"/>
      <c r="K701" s="253"/>
    </row>
    <row r="702" spans="1:11" ht="15.75" customHeight="1">
      <c r="A702" s="4"/>
      <c r="G702" s="2"/>
      <c r="H702" s="2"/>
      <c r="I702" s="2"/>
      <c r="J702" s="2"/>
      <c r="K702" s="253"/>
    </row>
    <row r="703" spans="1:11" ht="15.75" customHeight="1">
      <c r="A703" s="4"/>
      <c r="G703" s="2"/>
      <c r="H703" s="2"/>
      <c r="I703" s="2"/>
      <c r="J703" s="2"/>
      <c r="K703" s="253"/>
    </row>
    <row r="704" spans="1:11" ht="15.75" customHeight="1">
      <c r="A704" s="4"/>
      <c r="G704" s="2"/>
      <c r="H704" s="2"/>
      <c r="I704" s="2"/>
      <c r="J704" s="2"/>
      <c r="K704" s="253"/>
    </row>
    <row r="705" spans="1:11" ht="15.75" customHeight="1">
      <c r="A705" s="4"/>
      <c r="G705" s="2"/>
      <c r="H705" s="2"/>
      <c r="I705" s="2"/>
      <c r="J705" s="2"/>
      <c r="K705" s="253"/>
    </row>
    <row r="706" spans="1:11" ht="15.75" customHeight="1">
      <c r="A706" s="4"/>
      <c r="G706" s="2"/>
      <c r="H706" s="2"/>
      <c r="I706" s="2"/>
      <c r="J706" s="2"/>
      <c r="K706" s="253"/>
    </row>
    <row r="707" spans="1:11" ht="15.75" customHeight="1">
      <c r="A707" s="4"/>
      <c r="G707" s="2"/>
      <c r="H707" s="2"/>
      <c r="I707" s="2"/>
      <c r="J707" s="2"/>
      <c r="K707" s="253"/>
    </row>
    <row r="708" spans="1:11" ht="15.75" customHeight="1">
      <c r="A708" s="4"/>
      <c r="G708" s="2"/>
      <c r="H708" s="2"/>
      <c r="I708" s="2"/>
      <c r="J708" s="2"/>
      <c r="K708" s="253"/>
    </row>
    <row r="709" spans="1:11" ht="15.75" customHeight="1">
      <c r="A709" s="4"/>
      <c r="G709" s="2"/>
      <c r="H709" s="2"/>
      <c r="I709" s="2"/>
      <c r="J709" s="2"/>
      <c r="K709" s="253"/>
    </row>
    <row r="710" spans="1:11" ht="15.75" customHeight="1">
      <c r="A710" s="4"/>
      <c r="G710" s="2"/>
      <c r="H710" s="2"/>
      <c r="I710" s="2"/>
      <c r="J710" s="2"/>
      <c r="K710" s="253"/>
    </row>
    <row r="711" spans="1:11" ht="15.75" customHeight="1">
      <c r="A711" s="4"/>
      <c r="G711" s="2"/>
      <c r="H711" s="2"/>
      <c r="I711" s="2"/>
      <c r="J711" s="2"/>
      <c r="K711" s="253"/>
    </row>
    <row r="712" spans="1:11" ht="15.75" customHeight="1">
      <c r="A712" s="4"/>
      <c r="G712" s="2"/>
      <c r="H712" s="2"/>
      <c r="I712" s="2"/>
      <c r="J712" s="2"/>
      <c r="K712" s="253"/>
    </row>
    <row r="713" spans="1:11" ht="15.75" customHeight="1">
      <c r="A713" s="4"/>
      <c r="G713" s="2"/>
      <c r="H713" s="2"/>
      <c r="I713" s="2"/>
      <c r="J713" s="2"/>
      <c r="K713" s="253"/>
    </row>
    <row r="714" spans="1:11" ht="15.75" customHeight="1">
      <c r="A714" s="4"/>
      <c r="G714" s="2"/>
      <c r="H714" s="2"/>
      <c r="I714" s="2"/>
      <c r="J714" s="2"/>
      <c r="K714" s="253"/>
    </row>
    <row r="715" spans="1:11" ht="15.75" customHeight="1">
      <c r="A715" s="4"/>
      <c r="G715" s="2"/>
      <c r="H715" s="2"/>
      <c r="I715" s="2"/>
      <c r="J715" s="2"/>
      <c r="K715" s="253"/>
    </row>
    <row r="716" spans="1:11" ht="15.75" customHeight="1">
      <c r="A716" s="4"/>
      <c r="G716" s="2"/>
      <c r="H716" s="2"/>
      <c r="I716" s="2"/>
      <c r="J716" s="2"/>
      <c r="K716" s="253"/>
    </row>
    <row r="717" spans="1:11" ht="15.75" customHeight="1">
      <c r="A717" s="4"/>
      <c r="G717" s="2"/>
      <c r="H717" s="2"/>
      <c r="I717" s="2"/>
      <c r="J717" s="2"/>
      <c r="K717" s="253"/>
    </row>
    <row r="718" spans="1:11" ht="15.75" customHeight="1">
      <c r="A718" s="4"/>
      <c r="G718" s="2"/>
      <c r="H718" s="2"/>
      <c r="I718" s="2"/>
      <c r="J718" s="2"/>
      <c r="K718" s="253"/>
    </row>
    <row r="719" spans="1:11" ht="15.75" customHeight="1">
      <c r="A719" s="4"/>
      <c r="G719" s="2"/>
      <c r="H719" s="2"/>
      <c r="I719" s="2"/>
      <c r="J719" s="2"/>
      <c r="K719" s="253"/>
    </row>
    <row r="720" spans="1:11" ht="15.75" customHeight="1">
      <c r="A720" s="4"/>
      <c r="G720" s="2"/>
      <c r="H720" s="2"/>
      <c r="I720" s="2"/>
      <c r="J720" s="2"/>
      <c r="K720" s="253"/>
    </row>
    <row r="721" spans="1:11" ht="15.75" customHeight="1">
      <c r="A721" s="4"/>
      <c r="G721" s="2"/>
      <c r="H721" s="2"/>
      <c r="I721" s="2"/>
      <c r="J721" s="2"/>
      <c r="K721" s="253"/>
    </row>
    <row r="722" spans="1:11" ht="15.75" customHeight="1">
      <c r="A722" s="4"/>
      <c r="G722" s="2"/>
      <c r="H722" s="2"/>
      <c r="I722" s="2"/>
      <c r="J722" s="2"/>
      <c r="K722" s="253"/>
    </row>
    <row r="723" spans="1:11" ht="15.75" customHeight="1">
      <c r="A723" s="4"/>
      <c r="G723" s="2"/>
      <c r="H723" s="2"/>
      <c r="I723" s="2"/>
      <c r="J723" s="2"/>
      <c r="K723" s="253"/>
    </row>
    <row r="724" spans="1:11" ht="15.75" customHeight="1">
      <c r="A724" s="4"/>
      <c r="G724" s="2"/>
      <c r="H724" s="2"/>
      <c r="I724" s="2"/>
      <c r="J724" s="2"/>
      <c r="K724" s="253"/>
    </row>
    <row r="725" spans="1:11" ht="15.75" customHeight="1">
      <c r="A725" s="4"/>
      <c r="G725" s="2"/>
      <c r="H725" s="2"/>
      <c r="I725" s="2"/>
      <c r="J725" s="2"/>
      <c r="K725" s="253"/>
    </row>
    <row r="726" spans="1:11" ht="15.75" customHeight="1">
      <c r="A726" s="4"/>
      <c r="G726" s="2"/>
      <c r="H726" s="2"/>
      <c r="I726" s="2"/>
      <c r="J726" s="2"/>
      <c r="K726" s="253"/>
    </row>
    <row r="727" spans="1:11" ht="15.75" customHeight="1">
      <c r="A727" s="4"/>
      <c r="G727" s="2"/>
      <c r="H727" s="2"/>
      <c r="I727" s="2"/>
      <c r="J727" s="2"/>
      <c r="K727" s="253"/>
    </row>
    <row r="728" spans="1:11" ht="15.75" customHeight="1">
      <c r="A728" s="4"/>
      <c r="G728" s="2"/>
      <c r="H728" s="2"/>
      <c r="I728" s="2"/>
      <c r="J728" s="2"/>
      <c r="K728" s="253"/>
    </row>
    <row r="729" spans="1:11" ht="15.75" customHeight="1">
      <c r="A729" s="4"/>
      <c r="G729" s="2"/>
      <c r="H729" s="2"/>
      <c r="I729" s="2"/>
      <c r="J729" s="2"/>
      <c r="K729" s="253"/>
    </row>
    <row r="730" spans="1:11" ht="15.75" customHeight="1">
      <c r="A730" s="4"/>
      <c r="G730" s="2"/>
      <c r="H730" s="2"/>
      <c r="I730" s="2"/>
      <c r="J730" s="2"/>
      <c r="K730" s="253"/>
    </row>
    <row r="731" spans="1:11" ht="15.75" customHeight="1">
      <c r="A731" s="4"/>
      <c r="G731" s="2"/>
      <c r="H731" s="2"/>
      <c r="I731" s="2"/>
      <c r="J731" s="2"/>
      <c r="K731" s="253"/>
    </row>
    <row r="732" spans="1:11" ht="15.75" customHeight="1">
      <c r="A732" s="4"/>
      <c r="G732" s="2"/>
      <c r="H732" s="2"/>
      <c r="I732" s="2"/>
      <c r="J732" s="2"/>
      <c r="K732" s="253"/>
    </row>
    <row r="733" spans="1:11" ht="15.75" customHeight="1">
      <c r="A733" s="4"/>
      <c r="G733" s="2"/>
      <c r="H733" s="2"/>
      <c r="I733" s="2"/>
      <c r="J733" s="2"/>
      <c r="K733" s="253"/>
    </row>
    <row r="734" spans="1:11" ht="15.75" customHeight="1">
      <c r="A734" s="4"/>
      <c r="G734" s="2"/>
      <c r="H734" s="2"/>
      <c r="I734" s="2"/>
      <c r="J734" s="2"/>
      <c r="K734" s="253"/>
    </row>
    <row r="735" spans="1:11" ht="15.75" customHeight="1">
      <c r="A735" s="4"/>
      <c r="G735" s="2"/>
      <c r="H735" s="2"/>
      <c r="I735" s="2"/>
      <c r="J735" s="2"/>
      <c r="K735" s="253"/>
    </row>
    <row r="736" spans="1:11" ht="15.75" customHeight="1">
      <c r="A736" s="4"/>
      <c r="G736" s="2"/>
      <c r="H736" s="2"/>
      <c r="I736" s="2"/>
      <c r="J736" s="2"/>
      <c r="K736" s="253"/>
    </row>
    <row r="737" spans="1:11" ht="15.75" customHeight="1">
      <c r="A737" s="4"/>
      <c r="G737" s="2"/>
      <c r="H737" s="2"/>
      <c r="I737" s="2"/>
      <c r="J737" s="2"/>
      <c r="K737" s="253"/>
    </row>
    <row r="738" spans="1:11" ht="15.75" customHeight="1">
      <c r="A738" s="4"/>
      <c r="G738" s="2"/>
      <c r="H738" s="2"/>
      <c r="I738" s="2"/>
      <c r="J738" s="2"/>
      <c r="K738" s="253"/>
    </row>
    <row r="739" spans="1:11" ht="15.75" customHeight="1">
      <c r="A739" s="4"/>
      <c r="G739" s="2"/>
      <c r="H739" s="2"/>
      <c r="I739" s="2"/>
      <c r="J739" s="2"/>
      <c r="K739" s="253"/>
    </row>
    <row r="740" spans="1:11" ht="15.75" customHeight="1">
      <c r="A740" s="4"/>
      <c r="G740" s="2"/>
      <c r="H740" s="2"/>
      <c r="I740" s="2"/>
      <c r="J740" s="2"/>
      <c r="K740" s="253"/>
    </row>
    <row r="741" spans="1:11" ht="15.75" customHeight="1">
      <c r="A741" s="4"/>
      <c r="G741" s="2"/>
      <c r="H741" s="2"/>
      <c r="I741" s="2"/>
      <c r="J741" s="2"/>
      <c r="K741" s="253"/>
    </row>
    <row r="742" spans="1:11" ht="15.75" customHeight="1">
      <c r="A742" s="4"/>
      <c r="G742" s="2"/>
      <c r="H742" s="2"/>
      <c r="I742" s="2"/>
      <c r="J742" s="2"/>
      <c r="K742" s="253"/>
    </row>
    <row r="743" spans="1:11" ht="15.75" customHeight="1">
      <c r="A743" s="4"/>
      <c r="G743" s="2"/>
      <c r="H743" s="2"/>
      <c r="I743" s="2"/>
      <c r="J743" s="2"/>
      <c r="K743" s="253"/>
    </row>
    <row r="744" spans="1:11" ht="15.75" customHeight="1">
      <c r="A744" s="4"/>
      <c r="G744" s="2"/>
      <c r="H744" s="2"/>
      <c r="I744" s="2"/>
      <c r="J744" s="2"/>
      <c r="K744" s="253"/>
    </row>
    <row r="745" spans="1:11" ht="15.75" customHeight="1">
      <c r="A745" s="4"/>
      <c r="G745" s="2"/>
      <c r="H745" s="2"/>
      <c r="I745" s="2"/>
      <c r="J745" s="2"/>
      <c r="K745" s="253"/>
    </row>
    <row r="746" spans="1:11" ht="15.75" customHeight="1">
      <c r="A746" s="4"/>
      <c r="G746" s="2"/>
      <c r="H746" s="2"/>
      <c r="I746" s="2"/>
      <c r="J746" s="2"/>
      <c r="K746" s="253"/>
    </row>
    <row r="747" spans="1:11" ht="15.75" customHeight="1">
      <c r="A747" s="4"/>
      <c r="G747" s="2"/>
      <c r="H747" s="2"/>
      <c r="I747" s="2"/>
      <c r="J747" s="2"/>
      <c r="K747" s="253"/>
    </row>
    <row r="748" spans="1:11" ht="15.75" customHeight="1">
      <c r="A748" s="4"/>
      <c r="G748" s="2"/>
      <c r="H748" s="2"/>
      <c r="I748" s="2"/>
      <c r="J748" s="2"/>
      <c r="K748" s="253"/>
    </row>
    <row r="749" spans="1:11" ht="15.75" customHeight="1">
      <c r="A749" s="4"/>
      <c r="G749" s="2"/>
      <c r="H749" s="2"/>
      <c r="I749" s="2"/>
      <c r="J749" s="2"/>
      <c r="K749" s="253"/>
    </row>
    <row r="750" spans="1:11" ht="15.75" customHeight="1">
      <c r="A750" s="4"/>
      <c r="G750" s="2"/>
      <c r="H750" s="2"/>
      <c r="I750" s="2"/>
      <c r="J750" s="2"/>
      <c r="K750" s="253"/>
    </row>
    <row r="751" spans="1:11" ht="15.75" customHeight="1">
      <c r="A751" s="4"/>
      <c r="G751" s="2"/>
      <c r="H751" s="2"/>
      <c r="I751" s="2"/>
      <c r="J751" s="2"/>
      <c r="K751" s="253"/>
    </row>
    <row r="752" spans="1:11" ht="15.75" customHeight="1">
      <c r="A752" s="4"/>
      <c r="G752" s="2"/>
      <c r="H752" s="2"/>
      <c r="I752" s="2"/>
      <c r="J752" s="2"/>
      <c r="K752" s="253"/>
    </row>
    <row r="753" spans="1:11" ht="15.75" customHeight="1">
      <c r="A753" s="4"/>
      <c r="G753" s="2"/>
      <c r="H753" s="2"/>
      <c r="I753" s="2"/>
      <c r="J753" s="2"/>
      <c r="K753" s="253"/>
    </row>
    <row r="754" spans="1:11" ht="15.75" customHeight="1">
      <c r="A754" s="4"/>
      <c r="G754" s="2"/>
      <c r="H754" s="2"/>
      <c r="I754" s="2"/>
      <c r="J754" s="2"/>
      <c r="K754" s="253"/>
    </row>
    <row r="755" spans="1:11" ht="15.75" customHeight="1">
      <c r="A755" s="4"/>
      <c r="G755" s="2"/>
      <c r="H755" s="2"/>
      <c r="I755" s="2"/>
      <c r="J755" s="2"/>
      <c r="K755" s="253"/>
    </row>
    <row r="756" spans="1:11" ht="15.75" customHeight="1">
      <c r="A756" s="4"/>
      <c r="G756" s="2"/>
      <c r="H756" s="2"/>
      <c r="I756" s="2"/>
      <c r="J756" s="2"/>
      <c r="K756" s="253"/>
    </row>
    <row r="757" spans="1:11" ht="15.75" customHeight="1">
      <c r="A757" s="4"/>
      <c r="G757" s="2"/>
      <c r="H757" s="2"/>
      <c r="I757" s="2"/>
      <c r="J757" s="2"/>
      <c r="K757" s="253"/>
    </row>
    <row r="758" spans="1:11" ht="15.75" customHeight="1">
      <c r="A758" s="4"/>
      <c r="G758" s="2"/>
      <c r="H758" s="2"/>
      <c r="I758" s="2"/>
      <c r="J758" s="2"/>
      <c r="K758" s="253"/>
    </row>
    <row r="759" spans="1:11" ht="15.75" customHeight="1">
      <c r="A759" s="4"/>
      <c r="G759" s="2"/>
      <c r="H759" s="2"/>
      <c r="I759" s="2"/>
      <c r="J759" s="2"/>
      <c r="K759" s="253"/>
    </row>
    <row r="760" spans="1:11" ht="15.75" customHeight="1">
      <c r="A760" s="4"/>
      <c r="G760" s="2"/>
      <c r="H760" s="2"/>
      <c r="I760" s="2"/>
      <c r="J760" s="2"/>
      <c r="K760" s="253"/>
    </row>
    <row r="761" spans="1:11" ht="15.75" customHeight="1">
      <c r="A761" s="4"/>
      <c r="G761" s="2"/>
      <c r="H761" s="2"/>
      <c r="I761" s="2"/>
      <c r="J761" s="2"/>
      <c r="K761" s="253"/>
    </row>
    <row r="762" spans="1:11" ht="15.75" customHeight="1">
      <c r="A762" s="4"/>
      <c r="G762" s="2"/>
      <c r="H762" s="2"/>
      <c r="I762" s="2"/>
      <c r="J762" s="2"/>
      <c r="K762" s="253"/>
    </row>
    <row r="763" spans="1:11" ht="15.75" customHeight="1">
      <c r="A763" s="4"/>
      <c r="G763" s="2"/>
      <c r="H763" s="2"/>
      <c r="I763" s="2"/>
      <c r="J763" s="2"/>
      <c r="K763" s="253"/>
    </row>
    <row r="764" spans="1:11" ht="15.75" customHeight="1">
      <c r="A764" s="4"/>
      <c r="G764" s="2"/>
      <c r="H764" s="2"/>
      <c r="I764" s="2"/>
      <c r="J764" s="2"/>
      <c r="K764" s="253"/>
    </row>
    <row r="765" spans="1:11" ht="15.75" customHeight="1">
      <c r="A765" s="4"/>
      <c r="G765" s="2"/>
      <c r="H765" s="2"/>
      <c r="I765" s="2"/>
      <c r="J765" s="2"/>
      <c r="K765" s="253"/>
    </row>
    <row r="766" spans="1:11" ht="15.75" customHeight="1">
      <c r="A766" s="4"/>
      <c r="G766" s="2"/>
      <c r="H766" s="2"/>
      <c r="I766" s="2"/>
      <c r="J766" s="2"/>
      <c r="K766" s="253"/>
    </row>
    <row r="767" spans="1:11" ht="15.75" customHeight="1">
      <c r="A767" s="4"/>
      <c r="G767" s="2"/>
      <c r="H767" s="2"/>
      <c r="I767" s="2"/>
      <c r="J767" s="2"/>
      <c r="K767" s="253"/>
    </row>
    <row r="768" spans="1:11" ht="15.75" customHeight="1">
      <c r="A768" s="4"/>
      <c r="G768" s="2"/>
      <c r="H768" s="2"/>
      <c r="I768" s="2"/>
      <c r="J768" s="2"/>
      <c r="K768" s="253"/>
    </row>
    <row r="769" spans="1:11" ht="15.75" customHeight="1">
      <c r="A769" s="4"/>
      <c r="G769" s="2"/>
      <c r="H769" s="2"/>
      <c r="I769" s="2"/>
      <c r="J769" s="2"/>
      <c r="K769" s="253"/>
    </row>
    <row r="770" spans="1:11" ht="15.75" customHeight="1">
      <c r="A770" s="4"/>
      <c r="G770" s="2"/>
      <c r="H770" s="2"/>
      <c r="I770" s="2"/>
      <c r="J770" s="2"/>
      <c r="K770" s="253"/>
    </row>
    <row r="771" spans="1:11" ht="15.75" customHeight="1">
      <c r="A771" s="4"/>
      <c r="G771" s="2"/>
      <c r="H771" s="2"/>
      <c r="I771" s="2"/>
      <c r="J771" s="2"/>
      <c r="K771" s="253"/>
    </row>
    <row r="772" spans="1:11" ht="15.75" customHeight="1">
      <c r="A772" s="4"/>
      <c r="G772" s="2"/>
      <c r="H772" s="2"/>
      <c r="I772" s="2"/>
      <c r="J772" s="2"/>
      <c r="K772" s="253"/>
    </row>
    <row r="773" spans="1:11" ht="15.75" customHeight="1">
      <c r="A773" s="4"/>
      <c r="G773" s="2"/>
      <c r="H773" s="2"/>
      <c r="I773" s="2"/>
      <c r="J773" s="2"/>
      <c r="K773" s="253"/>
    </row>
    <row r="774" spans="1:11" ht="15.75" customHeight="1">
      <c r="A774" s="4"/>
      <c r="G774" s="2"/>
      <c r="H774" s="2"/>
      <c r="I774" s="2"/>
      <c r="J774" s="2"/>
      <c r="K774" s="253"/>
    </row>
    <row r="775" spans="1:11" ht="15.75" customHeight="1">
      <c r="A775" s="4"/>
      <c r="G775" s="2"/>
      <c r="H775" s="2"/>
      <c r="I775" s="2"/>
      <c r="J775" s="2"/>
      <c r="K775" s="253"/>
    </row>
    <row r="776" spans="1:11" ht="15.75" customHeight="1">
      <c r="A776" s="4"/>
      <c r="G776" s="2"/>
      <c r="H776" s="2"/>
      <c r="I776" s="2"/>
      <c r="J776" s="2"/>
      <c r="K776" s="253"/>
    </row>
    <row r="777" spans="1:11" ht="15.75" customHeight="1">
      <c r="A777" s="4"/>
      <c r="G777" s="2"/>
      <c r="H777" s="2"/>
      <c r="I777" s="2"/>
      <c r="J777" s="2"/>
      <c r="K777" s="253"/>
    </row>
    <row r="778" spans="1:11" ht="15.75" customHeight="1">
      <c r="A778" s="4"/>
      <c r="G778" s="2"/>
      <c r="H778" s="2"/>
      <c r="I778" s="2"/>
      <c r="J778" s="2"/>
      <c r="K778" s="253"/>
    </row>
    <row r="779" spans="1:11" ht="15.75" customHeight="1">
      <c r="A779" s="4"/>
      <c r="G779" s="2"/>
      <c r="H779" s="2"/>
      <c r="I779" s="2"/>
      <c r="J779" s="2"/>
      <c r="K779" s="253"/>
    </row>
    <row r="780" spans="1:11" ht="15.75" customHeight="1">
      <c r="A780" s="4"/>
      <c r="G780" s="2"/>
      <c r="H780" s="2"/>
      <c r="I780" s="2"/>
      <c r="J780" s="2"/>
      <c r="K780" s="253"/>
    </row>
    <row r="781" spans="1:11" ht="15.75" customHeight="1">
      <c r="A781" s="4"/>
      <c r="G781" s="2"/>
      <c r="H781" s="2"/>
      <c r="I781" s="2"/>
      <c r="J781" s="2"/>
      <c r="K781" s="253"/>
    </row>
    <row r="782" spans="1:11" ht="15.75" customHeight="1">
      <c r="A782" s="4"/>
      <c r="G782" s="2"/>
      <c r="H782" s="2"/>
      <c r="I782" s="2"/>
      <c r="J782" s="2"/>
      <c r="K782" s="253"/>
    </row>
    <row r="783" spans="1:11" ht="15.75" customHeight="1">
      <c r="A783" s="4"/>
      <c r="G783" s="2"/>
      <c r="H783" s="2"/>
      <c r="I783" s="2"/>
      <c r="J783" s="2"/>
      <c r="K783" s="253"/>
    </row>
    <row r="784" spans="1:11" ht="15.75" customHeight="1">
      <c r="A784" s="4"/>
      <c r="G784" s="2"/>
      <c r="H784" s="2"/>
      <c r="I784" s="2"/>
      <c r="J784" s="2"/>
      <c r="K784" s="253"/>
    </row>
    <row r="785" spans="1:11" ht="15.75" customHeight="1">
      <c r="A785" s="4"/>
      <c r="G785" s="2"/>
      <c r="H785" s="2"/>
      <c r="I785" s="2"/>
      <c r="J785" s="2"/>
      <c r="K785" s="253"/>
    </row>
    <row r="786" spans="1:11" ht="15.75" customHeight="1">
      <c r="A786" s="4"/>
      <c r="G786" s="2"/>
      <c r="H786" s="2"/>
      <c r="I786" s="2"/>
      <c r="J786" s="2"/>
      <c r="K786" s="253"/>
    </row>
    <row r="787" spans="1:11" ht="15.75" customHeight="1">
      <c r="A787" s="4"/>
      <c r="G787" s="2"/>
      <c r="H787" s="2"/>
      <c r="I787" s="2"/>
      <c r="J787" s="2"/>
      <c r="K787" s="253"/>
    </row>
    <row r="788" spans="1:11" ht="15.75" customHeight="1">
      <c r="A788" s="4"/>
      <c r="G788" s="2"/>
      <c r="H788" s="2"/>
      <c r="I788" s="2"/>
      <c r="J788" s="2"/>
      <c r="K788" s="253"/>
    </row>
    <row r="789" spans="1:11" ht="15.75" customHeight="1">
      <c r="A789" s="4"/>
      <c r="G789" s="2"/>
      <c r="H789" s="2"/>
      <c r="I789" s="2"/>
      <c r="J789" s="2"/>
      <c r="K789" s="253"/>
    </row>
    <row r="790" spans="1:11" ht="15.75" customHeight="1">
      <c r="A790" s="4"/>
      <c r="G790" s="2"/>
      <c r="H790" s="2"/>
      <c r="I790" s="2"/>
      <c r="J790" s="2"/>
      <c r="K790" s="253"/>
    </row>
    <row r="791" spans="1:11" ht="15.75" customHeight="1">
      <c r="A791" s="4"/>
      <c r="G791" s="2"/>
      <c r="H791" s="2"/>
      <c r="I791" s="2"/>
      <c r="J791" s="2"/>
      <c r="K791" s="253"/>
    </row>
    <row r="792" spans="1:11" ht="15.75" customHeight="1">
      <c r="A792" s="4"/>
      <c r="G792" s="2"/>
      <c r="H792" s="2"/>
      <c r="I792" s="2"/>
      <c r="J792" s="2"/>
      <c r="K792" s="253"/>
    </row>
    <row r="793" spans="1:11" ht="15.75" customHeight="1">
      <c r="A793" s="4"/>
      <c r="G793" s="2"/>
      <c r="H793" s="2"/>
      <c r="I793" s="2"/>
      <c r="J793" s="2"/>
      <c r="K793" s="253"/>
    </row>
    <row r="794" spans="1:11" ht="15.75" customHeight="1">
      <c r="A794" s="4"/>
      <c r="G794" s="2"/>
      <c r="H794" s="2"/>
      <c r="I794" s="2"/>
      <c r="J794" s="2"/>
      <c r="K794" s="253"/>
    </row>
    <row r="795" spans="1:11" ht="15.75" customHeight="1">
      <c r="A795" s="4"/>
      <c r="G795" s="2"/>
      <c r="H795" s="2"/>
      <c r="I795" s="2"/>
      <c r="J795" s="2"/>
      <c r="K795" s="253"/>
    </row>
    <row r="796" spans="1:11" ht="15.75" customHeight="1">
      <c r="A796" s="4"/>
      <c r="G796" s="2"/>
      <c r="H796" s="2"/>
      <c r="I796" s="2"/>
      <c r="J796" s="2"/>
      <c r="K796" s="253"/>
    </row>
    <row r="797" spans="1:11" ht="15.75" customHeight="1">
      <c r="A797" s="4"/>
      <c r="G797" s="2"/>
      <c r="H797" s="2"/>
      <c r="I797" s="2"/>
      <c r="J797" s="2"/>
      <c r="K797" s="253"/>
    </row>
    <row r="798" spans="1:11" ht="15.75" customHeight="1">
      <c r="A798" s="4"/>
      <c r="G798" s="2"/>
      <c r="H798" s="2"/>
      <c r="I798" s="2"/>
      <c r="J798" s="2"/>
      <c r="K798" s="253"/>
    </row>
    <row r="799" spans="1:11" ht="15.75" customHeight="1">
      <c r="A799" s="4"/>
      <c r="G799" s="2"/>
      <c r="H799" s="2"/>
      <c r="I799" s="2"/>
      <c r="J799" s="2"/>
      <c r="K799" s="253"/>
    </row>
    <row r="800" spans="1:11" ht="15.75" customHeight="1">
      <c r="A800" s="4"/>
      <c r="G800" s="2"/>
      <c r="H800" s="2"/>
      <c r="I800" s="2"/>
      <c r="J800" s="2"/>
      <c r="K800" s="253"/>
    </row>
    <row r="801" spans="1:11" ht="15.75" customHeight="1">
      <c r="A801" s="4"/>
      <c r="G801" s="2"/>
      <c r="H801" s="2"/>
      <c r="I801" s="2"/>
      <c r="J801" s="2"/>
      <c r="K801" s="253"/>
    </row>
    <row r="802" spans="1:11" ht="15.75" customHeight="1">
      <c r="A802" s="4"/>
      <c r="G802" s="2"/>
      <c r="H802" s="2"/>
      <c r="I802" s="2"/>
      <c r="J802" s="2"/>
      <c r="K802" s="253"/>
    </row>
    <row r="803" spans="1:11" ht="15.75" customHeight="1">
      <c r="A803" s="4"/>
      <c r="G803" s="2"/>
      <c r="H803" s="2"/>
      <c r="I803" s="2"/>
      <c r="J803" s="2"/>
      <c r="K803" s="253"/>
    </row>
    <row r="804" spans="1:11" ht="15.75" customHeight="1">
      <c r="A804" s="4"/>
      <c r="G804" s="2"/>
      <c r="H804" s="2"/>
      <c r="I804" s="2"/>
      <c r="J804" s="2"/>
      <c r="K804" s="253"/>
    </row>
    <row r="805" spans="1:11" ht="15.75" customHeight="1">
      <c r="A805" s="4"/>
      <c r="G805" s="2"/>
      <c r="H805" s="2"/>
      <c r="I805" s="2"/>
      <c r="J805" s="2"/>
      <c r="K805" s="253"/>
    </row>
    <row r="806" spans="1:11" ht="15.75" customHeight="1">
      <c r="A806" s="4"/>
      <c r="G806" s="2"/>
      <c r="H806" s="2"/>
      <c r="I806" s="2"/>
      <c r="J806" s="2"/>
      <c r="K806" s="253"/>
    </row>
    <row r="807" spans="1:11" ht="15.75" customHeight="1">
      <c r="A807" s="4"/>
      <c r="G807" s="2"/>
      <c r="H807" s="2"/>
      <c r="I807" s="2"/>
      <c r="J807" s="2"/>
      <c r="K807" s="253"/>
    </row>
    <row r="808" spans="1:11" ht="15.75" customHeight="1">
      <c r="A808" s="4"/>
      <c r="G808" s="2"/>
      <c r="H808" s="2"/>
      <c r="I808" s="2"/>
      <c r="J808" s="2"/>
      <c r="K808" s="253"/>
    </row>
    <row r="809" spans="1:11" ht="15.75" customHeight="1">
      <c r="A809" s="4"/>
      <c r="G809" s="2"/>
      <c r="H809" s="2"/>
      <c r="I809" s="2"/>
      <c r="J809" s="2"/>
      <c r="K809" s="253"/>
    </row>
    <row r="810" spans="1:11" ht="15.75" customHeight="1">
      <c r="A810" s="4"/>
      <c r="G810" s="2"/>
      <c r="H810" s="2"/>
      <c r="I810" s="2"/>
      <c r="J810" s="2"/>
      <c r="K810" s="253"/>
    </row>
    <row r="811" spans="1:11" ht="15.75" customHeight="1">
      <c r="A811" s="4"/>
      <c r="G811" s="2"/>
      <c r="H811" s="2"/>
      <c r="I811" s="2"/>
      <c r="J811" s="2"/>
      <c r="K811" s="253"/>
    </row>
    <row r="812" spans="1:11" ht="15.75" customHeight="1">
      <c r="A812" s="4"/>
      <c r="G812" s="2"/>
      <c r="H812" s="2"/>
      <c r="I812" s="2"/>
      <c r="J812" s="2"/>
      <c r="K812" s="253"/>
    </row>
    <row r="813" spans="1:11" ht="15.75" customHeight="1">
      <c r="A813" s="4"/>
      <c r="G813" s="2"/>
      <c r="H813" s="2"/>
      <c r="I813" s="2"/>
      <c r="J813" s="2"/>
      <c r="K813" s="253"/>
    </row>
    <row r="814" spans="1:11" ht="15.75" customHeight="1">
      <c r="A814" s="4"/>
      <c r="G814" s="2"/>
      <c r="H814" s="2"/>
      <c r="I814" s="2"/>
      <c r="J814" s="2"/>
      <c r="K814" s="253"/>
    </row>
    <row r="815" spans="1:11" ht="15.75" customHeight="1">
      <c r="A815" s="4"/>
      <c r="G815" s="2"/>
      <c r="H815" s="2"/>
      <c r="I815" s="2"/>
      <c r="J815" s="2"/>
      <c r="K815" s="253"/>
    </row>
    <row r="816" spans="1:11" ht="15.75" customHeight="1">
      <c r="A816" s="4"/>
      <c r="G816" s="2"/>
      <c r="H816" s="2"/>
      <c r="I816" s="2"/>
      <c r="J816" s="2"/>
      <c r="K816" s="253"/>
    </row>
    <row r="817" spans="1:11" ht="15.75" customHeight="1">
      <c r="A817" s="4"/>
      <c r="G817" s="2"/>
      <c r="H817" s="2"/>
      <c r="I817" s="2"/>
      <c r="J817" s="2"/>
      <c r="K817" s="253"/>
    </row>
    <row r="818" spans="1:11" ht="15.75" customHeight="1">
      <c r="A818" s="4"/>
      <c r="G818" s="2"/>
      <c r="H818" s="2"/>
      <c r="I818" s="2"/>
      <c r="J818" s="2"/>
      <c r="K818" s="253"/>
    </row>
    <row r="819" spans="1:11" ht="15.75" customHeight="1">
      <c r="A819" s="4"/>
      <c r="G819" s="2"/>
      <c r="H819" s="2"/>
      <c r="I819" s="2"/>
      <c r="J819" s="2"/>
      <c r="K819" s="253"/>
    </row>
    <row r="820" spans="1:11" ht="15.75" customHeight="1">
      <c r="A820" s="4"/>
      <c r="G820" s="2"/>
      <c r="H820" s="2"/>
      <c r="I820" s="2"/>
      <c r="J820" s="2"/>
      <c r="K820" s="253"/>
    </row>
    <row r="821" spans="1:11" ht="15.75" customHeight="1">
      <c r="A821" s="4"/>
      <c r="G821" s="2"/>
      <c r="H821" s="2"/>
      <c r="I821" s="2"/>
      <c r="J821" s="2"/>
      <c r="K821" s="253"/>
    </row>
    <row r="822" spans="1:11" ht="15.75" customHeight="1">
      <c r="A822" s="4"/>
      <c r="G822" s="2"/>
      <c r="H822" s="2"/>
      <c r="I822" s="2"/>
      <c r="J822" s="2"/>
      <c r="K822" s="253"/>
    </row>
    <row r="823" spans="1:11" ht="15.75" customHeight="1">
      <c r="A823" s="4"/>
      <c r="G823" s="2"/>
      <c r="H823" s="2"/>
      <c r="I823" s="2"/>
      <c r="J823" s="2"/>
      <c r="K823" s="253"/>
    </row>
    <row r="824" spans="1:11" ht="15.75" customHeight="1">
      <c r="A824" s="4"/>
      <c r="G824" s="2"/>
      <c r="H824" s="2"/>
      <c r="I824" s="2"/>
      <c r="J824" s="2"/>
      <c r="K824" s="253"/>
    </row>
    <row r="825" spans="1:11" ht="15.75" customHeight="1">
      <c r="A825" s="4"/>
      <c r="G825" s="2"/>
      <c r="H825" s="2"/>
      <c r="I825" s="2"/>
      <c r="J825" s="2"/>
      <c r="K825" s="253"/>
    </row>
    <row r="826" spans="1:11" ht="15.75" customHeight="1">
      <c r="A826" s="4"/>
      <c r="G826" s="2"/>
      <c r="H826" s="2"/>
      <c r="I826" s="2"/>
      <c r="J826" s="2"/>
      <c r="K826" s="253"/>
    </row>
    <row r="827" spans="1:11" ht="15.75" customHeight="1">
      <c r="A827" s="4"/>
      <c r="G827" s="2"/>
      <c r="H827" s="2"/>
      <c r="I827" s="2"/>
      <c r="J827" s="2"/>
      <c r="K827" s="253"/>
    </row>
    <row r="828" spans="1:11" ht="15.75" customHeight="1">
      <c r="A828" s="4"/>
      <c r="G828" s="2"/>
      <c r="H828" s="2"/>
      <c r="I828" s="2"/>
      <c r="J828" s="2"/>
      <c r="K828" s="253"/>
    </row>
    <row r="829" spans="1:11" ht="15.75" customHeight="1">
      <c r="A829" s="4"/>
      <c r="G829" s="2"/>
      <c r="H829" s="2"/>
      <c r="I829" s="2"/>
      <c r="J829" s="2"/>
      <c r="K829" s="253"/>
    </row>
    <row r="830" spans="1:11" ht="15.75" customHeight="1">
      <c r="A830" s="4"/>
      <c r="G830" s="2"/>
      <c r="H830" s="2"/>
      <c r="I830" s="2"/>
      <c r="J830" s="2"/>
      <c r="K830" s="253"/>
    </row>
    <row r="831" spans="1:11" ht="15.75" customHeight="1">
      <c r="A831" s="4"/>
      <c r="G831" s="2"/>
      <c r="H831" s="2"/>
      <c r="I831" s="2"/>
      <c r="J831" s="2"/>
      <c r="K831" s="253"/>
    </row>
    <row r="832" spans="1:11" ht="15.75" customHeight="1">
      <c r="A832" s="4"/>
      <c r="G832" s="2"/>
      <c r="H832" s="2"/>
      <c r="I832" s="2"/>
      <c r="J832" s="2"/>
      <c r="K832" s="253"/>
    </row>
    <row r="833" spans="1:11" ht="15.75" customHeight="1">
      <c r="A833" s="4"/>
      <c r="G833" s="2"/>
      <c r="H833" s="2"/>
      <c r="I833" s="2"/>
      <c r="J833" s="2"/>
      <c r="K833" s="253"/>
    </row>
    <row r="834" spans="1:11" ht="15.75" customHeight="1">
      <c r="A834" s="4"/>
      <c r="G834" s="2"/>
      <c r="H834" s="2"/>
      <c r="I834" s="2"/>
      <c r="J834" s="2"/>
      <c r="K834" s="253"/>
    </row>
    <row r="835" spans="1:11" ht="15.75" customHeight="1">
      <c r="A835" s="4"/>
      <c r="G835" s="2"/>
      <c r="H835" s="2"/>
      <c r="I835" s="2"/>
      <c r="J835" s="2"/>
      <c r="K835" s="253"/>
    </row>
    <row r="836" spans="1:11" ht="15.75" customHeight="1">
      <c r="A836" s="4"/>
      <c r="G836" s="2"/>
      <c r="H836" s="2"/>
      <c r="I836" s="2"/>
      <c r="J836" s="2"/>
      <c r="K836" s="253"/>
    </row>
    <row r="837" spans="1:11" ht="15.75" customHeight="1">
      <c r="A837" s="4"/>
      <c r="G837" s="2"/>
      <c r="H837" s="2"/>
      <c r="I837" s="2"/>
      <c r="J837" s="2"/>
      <c r="K837" s="253"/>
    </row>
    <row r="838" spans="1:11" ht="15.75" customHeight="1">
      <c r="A838" s="4"/>
      <c r="G838" s="2"/>
      <c r="H838" s="2"/>
      <c r="I838" s="2"/>
      <c r="J838" s="2"/>
      <c r="K838" s="253"/>
    </row>
    <row r="839" spans="1:11" ht="15.75" customHeight="1">
      <c r="A839" s="4"/>
      <c r="G839" s="2"/>
      <c r="H839" s="2"/>
      <c r="I839" s="2"/>
      <c r="J839" s="2"/>
      <c r="K839" s="253"/>
    </row>
    <row r="840" spans="1:11" ht="15.75" customHeight="1">
      <c r="A840" s="4"/>
      <c r="G840" s="2"/>
      <c r="H840" s="2"/>
      <c r="I840" s="2"/>
      <c r="J840" s="2"/>
      <c r="K840" s="253"/>
    </row>
    <row r="841" spans="1:11" ht="15.75" customHeight="1">
      <c r="A841" s="4"/>
      <c r="G841" s="2"/>
      <c r="H841" s="2"/>
      <c r="I841" s="2"/>
      <c r="J841" s="2"/>
      <c r="K841" s="253"/>
    </row>
    <row r="842" spans="1:11" ht="15.75" customHeight="1">
      <c r="A842" s="4"/>
      <c r="G842" s="2"/>
      <c r="H842" s="2"/>
      <c r="I842" s="2"/>
      <c r="J842" s="2"/>
      <c r="K842" s="253"/>
    </row>
    <row r="843" spans="1:11" ht="15.75" customHeight="1">
      <c r="A843" s="4"/>
      <c r="G843" s="2"/>
      <c r="H843" s="2"/>
      <c r="I843" s="2"/>
      <c r="J843" s="2"/>
      <c r="K843" s="253"/>
    </row>
    <row r="844" spans="1:11" ht="15.75" customHeight="1">
      <c r="A844" s="4"/>
      <c r="G844" s="2"/>
      <c r="H844" s="2"/>
      <c r="I844" s="2"/>
      <c r="J844" s="2"/>
      <c r="K844" s="253"/>
    </row>
    <row r="845" spans="1:11" ht="15.75" customHeight="1">
      <c r="A845" s="4"/>
      <c r="G845" s="2"/>
      <c r="H845" s="2"/>
      <c r="I845" s="2"/>
      <c r="J845" s="2"/>
      <c r="K845" s="253"/>
    </row>
    <row r="846" spans="1:11" ht="15.75" customHeight="1">
      <c r="A846" s="4"/>
      <c r="G846" s="2"/>
      <c r="H846" s="2"/>
      <c r="I846" s="2"/>
      <c r="J846" s="2"/>
      <c r="K846" s="253"/>
    </row>
    <row r="847" spans="1:11" ht="15.75" customHeight="1">
      <c r="A847" s="4"/>
      <c r="G847" s="2"/>
      <c r="H847" s="2"/>
      <c r="I847" s="2"/>
      <c r="J847" s="2"/>
      <c r="K847" s="253"/>
    </row>
    <row r="848" spans="1:11" ht="15.75" customHeight="1">
      <c r="A848" s="4"/>
      <c r="G848" s="2"/>
      <c r="H848" s="2"/>
      <c r="I848" s="2"/>
      <c r="J848" s="2"/>
      <c r="K848" s="253"/>
    </row>
    <row r="849" spans="1:11" ht="15.75" customHeight="1">
      <c r="A849" s="4"/>
      <c r="G849" s="2"/>
      <c r="H849" s="2"/>
      <c r="I849" s="2"/>
      <c r="J849" s="2"/>
      <c r="K849" s="253"/>
    </row>
    <row r="850" spans="1:11" ht="15.75" customHeight="1">
      <c r="A850" s="4"/>
      <c r="G850" s="2"/>
      <c r="H850" s="2"/>
      <c r="I850" s="2"/>
      <c r="J850" s="2"/>
      <c r="K850" s="253"/>
    </row>
    <row r="851" spans="1:11" ht="15.75" customHeight="1">
      <c r="A851" s="4"/>
      <c r="G851" s="2"/>
      <c r="H851" s="2"/>
      <c r="I851" s="2"/>
      <c r="J851" s="2"/>
      <c r="K851" s="253"/>
    </row>
    <row r="852" spans="1:11" ht="15.75" customHeight="1">
      <c r="A852" s="4"/>
      <c r="G852" s="2"/>
      <c r="H852" s="2"/>
      <c r="I852" s="2"/>
      <c r="J852" s="2"/>
      <c r="K852" s="253"/>
    </row>
    <row r="853" spans="1:11" ht="15.75" customHeight="1">
      <c r="A853" s="4"/>
      <c r="G853" s="2"/>
      <c r="H853" s="2"/>
      <c r="I853" s="2"/>
      <c r="J853" s="2"/>
      <c r="K853" s="253"/>
    </row>
    <row r="854" spans="1:11" ht="15.75" customHeight="1">
      <c r="A854" s="4"/>
      <c r="G854" s="2"/>
      <c r="H854" s="2"/>
      <c r="I854" s="2"/>
      <c r="J854" s="2"/>
      <c r="K854" s="253"/>
    </row>
    <row r="855" spans="1:11" ht="15.75" customHeight="1">
      <c r="A855" s="4"/>
      <c r="G855" s="2"/>
      <c r="H855" s="2"/>
      <c r="I855" s="2"/>
      <c r="J855" s="2"/>
      <c r="K855" s="253"/>
    </row>
    <row r="856" spans="1:11" ht="15.75" customHeight="1">
      <c r="A856" s="4"/>
      <c r="G856" s="2"/>
      <c r="H856" s="2"/>
      <c r="I856" s="2"/>
      <c r="J856" s="2"/>
      <c r="K856" s="253"/>
    </row>
    <row r="857" spans="1:11" ht="15.75" customHeight="1">
      <c r="A857" s="4"/>
      <c r="G857" s="2"/>
      <c r="H857" s="2"/>
      <c r="I857" s="2"/>
      <c r="J857" s="2"/>
      <c r="K857" s="253"/>
    </row>
    <row r="858" spans="1:11" ht="15.75" customHeight="1">
      <c r="A858" s="4"/>
      <c r="G858" s="2"/>
      <c r="H858" s="2"/>
      <c r="I858" s="2"/>
      <c r="J858" s="2"/>
      <c r="K858" s="253"/>
    </row>
    <row r="859" spans="1:11" ht="15.75" customHeight="1">
      <c r="A859" s="4"/>
      <c r="G859" s="2"/>
      <c r="H859" s="2"/>
      <c r="I859" s="2"/>
      <c r="J859" s="2"/>
      <c r="K859" s="253"/>
    </row>
    <row r="860" spans="1:11" ht="15.75" customHeight="1">
      <c r="A860" s="4"/>
      <c r="G860" s="2"/>
      <c r="H860" s="2"/>
      <c r="I860" s="2"/>
      <c r="J860" s="2"/>
      <c r="K860" s="253"/>
    </row>
    <row r="861" spans="1:11" ht="15.75" customHeight="1">
      <c r="A861" s="4"/>
      <c r="G861" s="2"/>
      <c r="H861" s="2"/>
      <c r="I861" s="2"/>
      <c r="J861" s="2"/>
      <c r="K861" s="253"/>
    </row>
    <row r="862" spans="1:11" ht="15.75" customHeight="1">
      <c r="A862" s="4"/>
      <c r="G862" s="2"/>
      <c r="H862" s="2"/>
      <c r="I862" s="2"/>
      <c r="J862" s="2"/>
      <c r="K862" s="253"/>
    </row>
    <row r="863" spans="1:11" ht="15.75" customHeight="1">
      <c r="A863" s="4"/>
      <c r="G863" s="2"/>
      <c r="H863" s="2"/>
      <c r="I863" s="2"/>
      <c r="J863" s="2"/>
      <c r="K863" s="253"/>
    </row>
    <row r="864" spans="1:11" ht="15.75" customHeight="1">
      <c r="A864" s="4"/>
      <c r="G864" s="2"/>
      <c r="H864" s="2"/>
      <c r="I864" s="2"/>
      <c r="J864" s="2"/>
      <c r="K864" s="253"/>
    </row>
    <row r="865" spans="1:11" ht="15.75" customHeight="1">
      <c r="A865" s="4"/>
      <c r="G865" s="2"/>
      <c r="H865" s="2"/>
      <c r="I865" s="2"/>
      <c r="J865" s="2"/>
      <c r="K865" s="253"/>
    </row>
    <row r="866" spans="1:11" ht="15.75" customHeight="1">
      <c r="A866" s="4"/>
      <c r="G866" s="2"/>
      <c r="H866" s="2"/>
      <c r="I866" s="2"/>
      <c r="J866" s="2"/>
      <c r="K866" s="253"/>
    </row>
    <row r="867" spans="1:11" ht="15.75" customHeight="1">
      <c r="A867" s="4"/>
      <c r="G867" s="2"/>
      <c r="H867" s="2"/>
      <c r="I867" s="2"/>
      <c r="J867" s="2"/>
      <c r="K867" s="253"/>
    </row>
    <row r="868" spans="1:11" ht="15.75" customHeight="1">
      <c r="A868" s="4"/>
      <c r="G868" s="2"/>
      <c r="H868" s="2"/>
      <c r="I868" s="2"/>
      <c r="J868" s="2"/>
      <c r="K868" s="253"/>
    </row>
    <row r="869" spans="1:11" ht="15.75" customHeight="1">
      <c r="A869" s="4"/>
      <c r="G869" s="2"/>
      <c r="H869" s="2"/>
      <c r="I869" s="2"/>
      <c r="J869" s="2"/>
      <c r="K869" s="253"/>
    </row>
    <row r="870" spans="1:11" ht="15.75" customHeight="1">
      <c r="A870" s="4"/>
      <c r="G870" s="2"/>
      <c r="H870" s="2"/>
      <c r="I870" s="2"/>
      <c r="J870" s="2"/>
      <c r="K870" s="253"/>
    </row>
    <row r="871" spans="1:11" ht="15.75" customHeight="1">
      <c r="A871" s="4"/>
      <c r="G871" s="2"/>
      <c r="H871" s="2"/>
      <c r="I871" s="2"/>
      <c r="J871" s="2"/>
      <c r="K871" s="253"/>
    </row>
    <row r="872" spans="1:11" ht="15.75" customHeight="1">
      <c r="A872" s="4"/>
      <c r="G872" s="2"/>
      <c r="H872" s="2"/>
      <c r="I872" s="2"/>
      <c r="J872" s="2"/>
      <c r="K872" s="253"/>
    </row>
    <row r="873" spans="1:11" ht="15.75" customHeight="1">
      <c r="A873" s="4"/>
      <c r="G873" s="2"/>
      <c r="H873" s="2"/>
      <c r="I873" s="2"/>
      <c r="J873" s="2"/>
      <c r="K873" s="253"/>
    </row>
    <row r="874" spans="1:11" ht="15.75" customHeight="1">
      <c r="A874" s="4"/>
      <c r="G874" s="2"/>
      <c r="H874" s="2"/>
      <c r="I874" s="2"/>
      <c r="J874" s="2"/>
      <c r="K874" s="253"/>
    </row>
    <row r="875" spans="1:11" ht="15.75" customHeight="1">
      <c r="A875" s="4"/>
      <c r="G875" s="2"/>
      <c r="H875" s="2"/>
      <c r="I875" s="2"/>
      <c r="J875" s="2"/>
      <c r="K875" s="253"/>
    </row>
    <row r="876" spans="1:11" ht="15.75" customHeight="1">
      <c r="A876" s="4"/>
      <c r="G876" s="2"/>
      <c r="H876" s="2"/>
      <c r="I876" s="2"/>
      <c r="J876" s="2"/>
      <c r="K876" s="253"/>
    </row>
    <row r="877" spans="1:11" ht="15.75" customHeight="1">
      <c r="A877" s="4"/>
      <c r="G877" s="2"/>
      <c r="H877" s="2"/>
      <c r="I877" s="2"/>
      <c r="J877" s="2"/>
      <c r="K877" s="253"/>
    </row>
    <row r="878" spans="1:11" ht="15.75" customHeight="1">
      <c r="A878" s="4"/>
      <c r="G878" s="2"/>
      <c r="H878" s="2"/>
      <c r="I878" s="2"/>
      <c r="J878" s="2"/>
      <c r="K878" s="253"/>
    </row>
    <row r="879" spans="1:11" ht="15.75" customHeight="1">
      <c r="A879" s="4"/>
      <c r="G879" s="2"/>
      <c r="H879" s="2"/>
      <c r="I879" s="2"/>
      <c r="J879" s="2"/>
      <c r="K879" s="253"/>
    </row>
    <row r="880" spans="1:11" ht="15.75" customHeight="1">
      <c r="A880" s="4"/>
      <c r="G880" s="2"/>
      <c r="H880" s="2"/>
      <c r="I880" s="2"/>
      <c r="J880" s="2"/>
      <c r="K880" s="253"/>
    </row>
    <row r="881" spans="1:11" ht="15.75" customHeight="1">
      <c r="A881" s="4"/>
      <c r="G881" s="2"/>
      <c r="H881" s="2"/>
      <c r="I881" s="2"/>
      <c r="J881" s="2"/>
      <c r="K881" s="253"/>
    </row>
    <row r="882" spans="1:11" ht="15.75" customHeight="1">
      <c r="A882" s="4"/>
      <c r="G882" s="2"/>
      <c r="H882" s="2"/>
      <c r="I882" s="2"/>
      <c r="J882" s="2"/>
      <c r="K882" s="253"/>
    </row>
    <row r="883" spans="1:11" ht="15.75" customHeight="1">
      <c r="A883" s="4"/>
      <c r="G883" s="2"/>
      <c r="H883" s="2"/>
      <c r="I883" s="2"/>
      <c r="J883" s="2"/>
      <c r="K883" s="253"/>
    </row>
    <row r="884" spans="1:11" ht="15.75" customHeight="1">
      <c r="A884" s="4"/>
      <c r="G884" s="2"/>
      <c r="H884" s="2"/>
      <c r="I884" s="2"/>
      <c r="J884" s="2"/>
      <c r="K884" s="253"/>
    </row>
    <row r="885" spans="1:11" ht="15.75" customHeight="1">
      <c r="A885" s="4"/>
      <c r="G885" s="2"/>
      <c r="H885" s="2"/>
      <c r="I885" s="2"/>
      <c r="J885" s="2"/>
      <c r="K885" s="253"/>
    </row>
    <row r="886" spans="1:11" ht="15.75" customHeight="1">
      <c r="A886" s="4"/>
      <c r="G886" s="2"/>
      <c r="H886" s="2"/>
      <c r="I886" s="2"/>
      <c r="J886" s="2"/>
      <c r="K886" s="253"/>
    </row>
    <row r="887" spans="1:11" ht="15.75" customHeight="1">
      <c r="A887" s="4"/>
      <c r="G887" s="2"/>
      <c r="H887" s="2"/>
      <c r="I887" s="2"/>
      <c r="J887" s="2"/>
      <c r="K887" s="253"/>
    </row>
    <row r="888" spans="1:11" ht="15.75" customHeight="1">
      <c r="A888" s="4"/>
      <c r="G888" s="2"/>
      <c r="H888" s="2"/>
      <c r="I888" s="2"/>
      <c r="J888" s="2"/>
      <c r="K888" s="253"/>
    </row>
    <row r="889" spans="1:11" ht="15.75" customHeight="1">
      <c r="A889" s="4"/>
      <c r="G889" s="2"/>
      <c r="H889" s="2"/>
      <c r="I889" s="2"/>
      <c r="J889" s="2"/>
      <c r="K889" s="253"/>
    </row>
    <row r="890" spans="1:11" ht="15.75" customHeight="1">
      <c r="A890" s="4"/>
      <c r="G890" s="2"/>
      <c r="H890" s="2"/>
      <c r="I890" s="2"/>
      <c r="J890" s="2"/>
      <c r="K890" s="253"/>
    </row>
    <row r="891" spans="1:11" ht="15.75" customHeight="1">
      <c r="A891" s="4"/>
      <c r="G891" s="2"/>
      <c r="H891" s="2"/>
      <c r="I891" s="2"/>
      <c r="J891" s="2"/>
      <c r="K891" s="253"/>
    </row>
    <row r="892" spans="1:11" ht="15.75" customHeight="1">
      <c r="A892" s="4"/>
      <c r="G892" s="2"/>
      <c r="H892" s="2"/>
      <c r="I892" s="2"/>
      <c r="J892" s="2"/>
      <c r="K892" s="253"/>
    </row>
    <row r="893" spans="1:11" ht="15.75" customHeight="1">
      <c r="A893" s="4"/>
      <c r="G893" s="2"/>
      <c r="H893" s="2"/>
      <c r="I893" s="2"/>
      <c r="J893" s="2"/>
      <c r="K893" s="253"/>
    </row>
    <row r="894" spans="1:11" ht="15.75" customHeight="1">
      <c r="A894" s="4"/>
      <c r="G894" s="2"/>
      <c r="H894" s="2"/>
      <c r="I894" s="2"/>
      <c r="J894" s="2"/>
      <c r="K894" s="253"/>
    </row>
    <row r="895" spans="1:11" ht="15.75" customHeight="1">
      <c r="A895" s="4"/>
      <c r="G895" s="2"/>
      <c r="H895" s="2"/>
      <c r="I895" s="2"/>
      <c r="J895" s="2"/>
      <c r="K895" s="253"/>
    </row>
    <row r="896" spans="1:11" ht="15.75" customHeight="1">
      <c r="A896" s="4"/>
      <c r="G896" s="2"/>
      <c r="H896" s="2"/>
      <c r="I896" s="2"/>
      <c r="J896" s="2"/>
      <c r="K896" s="253"/>
    </row>
    <row r="897" spans="1:11" ht="15.75" customHeight="1">
      <c r="A897" s="4"/>
      <c r="G897" s="2"/>
      <c r="H897" s="2"/>
      <c r="I897" s="2"/>
      <c r="J897" s="2"/>
      <c r="K897" s="253"/>
    </row>
    <row r="898" spans="1:11" ht="15.75" customHeight="1">
      <c r="A898" s="4"/>
      <c r="G898" s="2"/>
      <c r="H898" s="2"/>
      <c r="I898" s="2"/>
      <c r="J898" s="2"/>
      <c r="K898" s="253"/>
    </row>
    <row r="899" spans="1:11" ht="15.75" customHeight="1">
      <c r="A899" s="4"/>
      <c r="G899" s="2"/>
      <c r="H899" s="2"/>
      <c r="I899" s="2"/>
      <c r="J899" s="2"/>
      <c r="K899" s="253"/>
    </row>
    <row r="900" spans="1:11" ht="15.75" customHeight="1">
      <c r="A900" s="4"/>
      <c r="G900" s="2"/>
      <c r="H900" s="2"/>
      <c r="I900" s="2"/>
      <c r="J900" s="2"/>
      <c r="K900" s="253"/>
    </row>
    <row r="901" spans="1:11" ht="15.75" customHeight="1">
      <c r="A901" s="4"/>
      <c r="G901" s="2"/>
      <c r="H901" s="2"/>
      <c r="I901" s="2"/>
      <c r="J901" s="2"/>
      <c r="K901" s="253"/>
    </row>
    <row r="902" spans="1:11" ht="15.75" customHeight="1">
      <c r="A902" s="4"/>
      <c r="G902" s="2"/>
      <c r="H902" s="2"/>
      <c r="I902" s="2"/>
      <c r="J902" s="2"/>
      <c r="K902" s="253"/>
    </row>
    <row r="903" spans="1:11" ht="15.75" customHeight="1">
      <c r="A903" s="4"/>
      <c r="G903" s="2"/>
      <c r="H903" s="2"/>
      <c r="I903" s="2"/>
      <c r="J903" s="2"/>
      <c r="K903" s="253"/>
    </row>
    <row r="904" spans="1:11" ht="15.75" customHeight="1">
      <c r="A904" s="4"/>
      <c r="G904" s="2"/>
      <c r="H904" s="2"/>
      <c r="I904" s="2"/>
      <c r="J904" s="2"/>
      <c r="K904" s="253"/>
    </row>
    <row r="905" spans="1:11" ht="15.75" customHeight="1">
      <c r="A905" s="4"/>
      <c r="G905" s="2"/>
      <c r="H905" s="2"/>
      <c r="I905" s="2"/>
      <c r="J905" s="2"/>
      <c r="K905" s="253"/>
    </row>
    <row r="906" spans="1:11" ht="15.75" customHeight="1">
      <c r="A906" s="4"/>
      <c r="G906" s="2"/>
      <c r="H906" s="2"/>
      <c r="I906" s="2"/>
      <c r="J906" s="2"/>
      <c r="K906" s="253"/>
    </row>
    <row r="907" spans="1:11" ht="15.75" customHeight="1">
      <c r="A907" s="4"/>
      <c r="G907" s="2"/>
      <c r="H907" s="2"/>
      <c r="I907" s="2"/>
      <c r="J907" s="2"/>
      <c r="K907" s="253"/>
    </row>
    <row r="908" spans="1:11" ht="15.75" customHeight="1">
      <c r="A908" s="4"/>
      <c r="G908" s="2"/>
      <c r="H908" s="2"/>
      <c r="I908" s="2"/>
      <c r="J908" s="2"/>
      <c r="K908" s="253"/>
    </row>
    <row r="909" spans="1:11" ht="15.75" customHeight="1">
      <c r="A909" s="4"/>
      <c r="G909" s="2"/>
      <c r="H909" s="2"/>
      <c r="I909" s="2"/>
      <c r="J909" s="2"/>
      <c r="K909" s="253"/>
    </row>
    <row r="910" spans="1:11" ht="15.75" customHeight="1">
      <c r="A910" s="4"/>
      <c r="G910" s="2"/>
      <c r="H910" s="2"/>
      <c r="I910" s="2"/>
      <c r="J910" s="2"/>
      <c r="K910" s="253"/>
    </row>
    <row r="911" spans="1:11" ht="15.75" customHeight="1">
      <c r="A911" s="4"/>
      <c r="G911" s="2"/>
      <c r="H911" s="2"/>
      <c r="I911" s="2"/>
      <c r="J911" s="2"/>
      <c r="K911" s="253"/>
    </row>
    <row r="912" spans="1:11" ht="15.75" customHeight="1">
      <c r="A912" s="4"/>
      <c r="G912" s="2"/>
      <c r="H912" s="2"/>
      <c r="I912" s="2"/>
      <c r="J912" s="2"/>
      <c r="K912" s="253"/>
    </row>
    <row r="913" spans="1:11" ht="15.75" customHeight="1">
      <c r="A913" s="4"/>
      <c r="G913" s="2"/>
      <c r="H913" s="2"/>
      <c r="I913" s="2"/>
      <c r="J913" s="2"/>
      <c r="K913" s="253"/>
    </row>
    <row r="914" spans="1:11" ht="15.75" customHeight="1">
      <c r="A914" s="4"/>
      <c r="G914" s="2"/>
      <c r="H914" s="2"/>
      <c r="I914" s="2"/>
      <c r="J914" s="2"/>
      <c r="K914" s="253"/>
    </row>
    <row r="915" spans="1:11" ht="15.75" customHeight="1">
      <c r="A915" s="4"/>
      <c r="G915" s="2"/>
      <c r="H915" s="2"/>
      <c r="I915" s="2"/>
      <c r="J915" s="2"/>
      <c r="K915" s="253"/>
    </row>
    <row r="916" spans="1:11" ht="15.75" customHeight="1">
      <c r="A916" s="4"/>
      <c r="G916" s="2"/>
      <c r="H916" s="2"/>
      <c r="I916" s="2"/>
      <c r="J916" s="2"/>
      <c r="K916" s="253"/>
    </row>
    <row r="917" spans="1:11" ht="15.75" customHeight="1">
      <c r="A917" s="4"/>
      <c r="G917" s="2"/>
      <c r="H917" s="2"/>
      <c r="I917" s="2"/>
      <c r="J917" s="2"/>
      <c r="K917" s="253"/>
    </row>
    <row r="918" spans="1:11" ht="15.75" customHeight="1">
      <c r="A918" s="4"/>
      <c r="G918" s="2"/>
      <c r="H918" s="2"/>
      <c r="I918" s="2"/>
      <c r="J918" s="2"/>
      <c r="K918" s="253"/>
    </row>
    <row r="919" spans="1:11" ht="15.75" customHeight="1">
      <c r="A919" s="4"/>
      <c r="G919" s="2"/>
      <c r="H919" s="2"/>
      <c r="I919" s="2"/>
      <c r="J919" s="2"/>
      <c r="K919" s="253"/>
    </row>
    <row r="920" spans="1:11" ht="15.75" customHeight="1">
      <c r="A920" s="4"/>
      <c r="G920" s="2"/>
      <c r="H920" s="2"/>
      <c r="I920" s="2"/>
      <c r="J920" s="2"/>
      <c r="K920" s="253"/>
    </row>
    <row r="921" spans="1:11" ht="15.75" customHeight="1">
      <c r="A921" s="4"/>
      <c r="G921" s="2"/>
      <c r="H921" s="2"/>
      <c r="I921" s="2"/>
      <c r="J921" s="2"/>
      <c r="K921" s="253"/>
    </row>
    <row r="922" spans="1:11" ht="15.75" customHeight="1">
      <c r="A922" s="4"/>
      <c r="G922" s="2"/>
      <c r="H922" s="2"/>
      <c r="I922" s="2"/>
      <c r="J922" s="2"/>
      <c r="K922" s="253"/>
    </row>
    <row r="923" spans="1:11" ht="15.75" customHeight="1">
      <c r="A923" s="4"/>
      <c r="G923" s="2"/>
      <c r="H923" s="2"/>
      <c r="I923" s="2"/>
      <c r="J923" s="2"/>
      <c r="K923" s="253"/>
    </row>
    <row r="924" spans="1:11" ht="15.75" customHeight="1">
      <c r="A924" s="4"/>
      <c r="G924" s="2"/>
      <c r="H924" s="2"/>
      <c r="I924" s="2"/>
      <c r="J924" s="2"/>
      <c r="K924" s="253"/>
    </row>
    <row r="925" spans="1:11" ht="15.75" customHeight="1">
      <c r="A925" s="4"/>
      <c r="G925" s="2"/>
      <c r="H925" s="2"/>
      <c r="I925" s="2"/>
      <c r="J925" s="2"/>
      <c r="K925" s="253"/>
    </row>
    <row r="926" spans="1:11" ht="15.75" customHeight="1">
      <c r="A926" s="4"/>
      <c r="G926" s="2"/>
      <c r="H926" s="2"/>
      <c r="I926" s="2"/>
      <c r="J926" s="2"/>
      <c r="K926" s="253"/>
    </row>
    <row r="927" spans="1:11" ht="15.75" customHeight="1">
      <c r="A927" s="4"/>
      <c r="G927" s="2"/>
      <c r="H927" s="2"/>
      <c r="I927" s="2"/>
      <c r="J927" s="2"/>
      <c r="K927" s="253"/>
    </row>
    <row r="928" spans="1:11" ht="15.75" customHeight="1">
      <c r="A928" s="4"/>
      <c r="G928" s="2"/>
      <c r="H928" s="2"/>
      <c r="I928" s="2"/>
      <c r="J928" s="2"/>
      <c r="K928" s="253"/>
    </row>
    <row r="929" spans="1:11" ht="15.75" customHeight="1">
      <c r="A929" s="4"/>
      <c r="G929" s="2"/>
      <c r="H929" s="2"/>
      <c r="I929" s="2"/>
      <c r="J929" s="2"/>
      <c r="K929" s="253"/>
    </row>
    <row r="930" spans="1:11" ht="15.75" customHeight="1">
      <c r="A930" s="4"/>
      <c r="G930" s="2"/>
      <c r="H930" s="2"/>
      <c r="I930" s="2"/>
      <c r="J930" s="2"/>
      <c r="K930" s="253"/>
    </row>
    <row r="931" spans="1:11" ht="15.75" customHeight="1">
      <c r="A931" s="4"/>
      <c r="G931" s="2"/>
      <c r="H931" s="2"/>
      <c r="I931" s="2"/>
      <c r="J931" s="2"/>
      <c r="K931" s="253"/>
    </row>
    <row r="932" spans="1:11" ht="15.75" customHeight="1">
      <c r="A932" s="4"/>
      <c r="G932" s="2"/>
      <c r="H932" s="2"/>
      <c r="I932" s="2"/>
      <c r="J932" s="2"/>
      <c r="K932" s="253"/>
    </row>
    <row r="933" spans="1:11" ht="15.75" customHeight="1">
      <c r="A933" s="4"/>
      <c r="G933" s="2"/>
      <c r="H933" s="2"/>
      <c r="I933" s="2"/>
      <c r="J933" s="2"/>
      <c r="K933" s="253"/>
    </row>
    <row r="934" spans="1:11" ht="15.75" customHeight="1">
      <c r="A934" s="4"/>
      <c r="G934" s="2"/>
      <c r="H934" s="2"/>
      <c r="I934" s="2"/>
      <c r="J934" s="2"/>
      <c r="K934" s="253"/>
    </row>
    <row r="935" spans="1:11" ht="15.75" customHeight="1">
      <c r="A935" s="4"/>
      <c r="G935" s="2"/>
      <c r="H935" s="2"/>
      <c r="I935" s="2"/>
      <c r="J935" s="2"/>
      <c r="K935" s="253"/>
    </row>
    <row r="936" spans="1:11" ht="15.75" customHeight="1">
      <c r="A936" s="4"/>
      <c r="G936" s="2"/>
      <c r="H936" s="2"/>
      <c r="I936" s="2"/>
      <c r="J936" s="2"/>
      <c r="K936" s="253"/>
    </row>
    <row r="937" spans="1:11" ht="15.75" customHeight="1">
      <c r="A937" s="4"/>
      <c r="G937" s="2"/>
      <c r="H937" s="2"/>
      <c r="I937" s="2"/>
      <c r="J937" s="2"/>
      <c r="K937" s="253"/>
    </row>
    <row r="938" spans="1:11" ht="15.75" customHeight="1">
      <c r="A938" s="4"/>
      <c r="G938" s="2"/>
      <c r="H938" s="2"/>
      <c r="I938" s="2"/>
      <c r="J938" s="2"/>
      <c r="K938" s="253"/>
    </row>
    <row r="939" spans="1:11" ht="15.75" customHeight="1">
      <c r="A939" s="4"/>
      <c r="G939" s="2"/>
      <c r="H939" s="2"/>
      <c r="I939" s="2"/>
      <c r="J939" s="2"/>
      <c r="K939" s="253"/>
    </row>
    <row r="940" spans="1:11" ht="15.75" customHeight="1">
      <c r="A940" s="4"/>
      <c r="G940" s="2"/>
      <c r="H940" s="2"/>
      <c r="I940" s="2"/>
      <c r="J940" s="2"/>
      <c r="K940" s="253"/>
    </row>
    <row r="941" spans="1:11" ht="15.75" customHeight="1">
      <c r="A941" s="4"/>
      <c r="G941" s="2"/>
      <c r="H941" s="2"/>
      <c r="I941" s="2"/>
      <c r="J941" s="2"/>
      <c r="K941" s="253"/>
    </row>
    <row r="942" spans="1:11" ht="15.75" customHeight="1">
      <c r="A942" s="4"/>
      <c r="G942" s="2"/>
      <c r="H942" s="2"/>
      <c r="I942" s="2"/>
      <c r="J942" s="2"/>
      <c r="K942" s="253"/>
    </row>
    <row r="943" spans="1:11" ht="15.75" customHeight="1">
      <c r="A943" s="4"/>
      <c r="G943" s="2"/>
      <c r="H943" s="2"/>
      <c r="I943" s="2"/>
      <c r="J943" s="2"/>
      <c r="K943" s="253"/>
    </row>
    <row r="944" spans="1:11" ht="15.75" customHeight="1">
      <c r="A944" s="4"/>
      <c r="G944" s="2"/>
      <c r="H944" s="2"/>
      <c r="I944" s="2"/>
      <c r="J944" s="2"/>
      <c r="K944" s="253"/>
    </row>
    <row r="945" spans="1:11" ht="15.75" customHeight="1">
      <c r="A945" s="4"/>
      <c r="G945" s="2"/>
      <c r="H945" s="2"/>
      <c r="I945" s="2"/>
      <c r="J945" s="2"/>
      <c r="K945" s="253"/>
    </row>
    <row r="946" spans="1:11" ht="15.75" customHeight="1">
      <c r="A946" s="4"/>
      <c r="G946" s="2"/>
      <c r="H946" s="2"/>
      <c r="I946" s="2"/>
      <c r="J946" s="2"/>
      <c r="K946" s="253"/>
    </row>
    <row r="947" spans="1:11" ht="15.75" customHeight="1">
      <c r="A947" s="4"/>
      <c r="G947" s="2"/>
      <c r="H947" s="2"/>
      <c r="I947" s="2"/>
      <c r="J947" s="2"/>
      <c r="K947" s="253"/>
    </row>
    <row r="948" spans="1:11" ht="15.75" customHeight="1">
      <c r="A948" s="4"/>
      <c r="G948" s="2"/>
      <c r="H948" s="2"/>
      <c r="I948" s="2"/>
      <c r="J948" s="2"/>
      <c r="K948" s="253"/>
    </row>
    <row r="949" spans="1:11" ht="15.75" customHeight="1">
      <c r="A949" s="4"/>
      <c r="G949" s="2"/>
      <c r="H949" s="2"/>
      <c r="I949" s="2"/>
      <c r="J949" s="2"/>
      <c r="K949" s="253"/>
    </row>
    <row r="950" spans="1:11" ht="15.75" customHeight="1">
      <c r="A950" s="4"/>
      <c r="G950" s="2"/>
      <c r="H950" s="2"/>
      <c r="I950" s="2"/>
      <c r="J950" s="2"/>
      <c r="K950" s="253"/>
    </row>
    <row r="951" spans="1:11" ht="15.75" customHeight="1">
      <c r="A951" s="4"/>
      <c r="G951" s="2"/>
      <c r="H951" s="2"/>
      <c r="I951" s="2"/>
      <c r="J951" s="2"/>
      <c r="K951" s="253"/>
    </row>
    <row r="952" spans="1:11" ht="15.75" customHeight="1">
      <c r="A952" s="4"/>
      <c r="G952" s="2"/>
      <c r="H952" s="2"/>
      <c r="I952" s="2"/>
      <c r="J952" s="2"/>
      <c r="K952" s="253"/>
    </row>
    <row r="953" spans="1:11" ht="15.75" customHeight="1">
      <c r="A953" s="4"/>
      <c r="G953" s="2"/>
      <c r="H953" s="2"/>
      <c r="I953" s="2"/>
      <c r="J953" s="2"/>
      <c r="K953" s="253"/>
    </row>
    <row r="954" spans="1:11" ht="15.75" customHeight="1">
      <c r="A954" s="4"/>
      <c r="G954" s="2"/>
      <c r="H954" s="2"/>
      <c r="I954" s="2"/>
      <c r="J954" s="2"/>
      <c r="K954" s="253"/>
    </row>
    <row r="955" spans="1:11" ht="15.75" customHeight="1">
      <c r="A955" s="4"/>
      <c r="G955" s="2"/>
      <c r="H955" s="2"/>
      <c r="I955" s="2"/>
      <c r="J955" s="2"/>
      <c r="K955" s="253"/>
    </row>
    <row r="956" spans="1:11" ht="15.75" customHeight="1">
      <c r="A956" s="4"/>
      <c r="G956" s="2"/>
      <c r="H956" s="2"/>
      <c r="I956" s="2"/>
      <c r="J956" s="2"/>
      <c r="K956" s="253"/>
    </row>
    <row r="957" spans="1:11" ht="15.75" customHeight="1">
      <c r="A957" s="4"/>
      <c r="G957" s="2"/>
      <c r="H957" s="2"/>
      <c r="I957" s="2"/>
      <c r="J957" s="2"/>
      <c r="K957" s="253"/>
    </row>
    <row r="958" spans="1:11" ht="15.75" customHeight="1">
      <c r="A958" s="4"/>
      <c r="G958" s="2"/>
      <c r="H958" s="2"/>
      <c r="I958" s="2"/>
      <c r="J958" s="2"/>
      <c r="K958" s="253"/>
    </row>
    <row r="959" spans="1:11" ht="15.75" customHeight="1">
      <c r="A959" s="4"/>
      <c r="G959" s="2"/>
      <c r="H959" s="2"/>
      <c r="I959" s="2"/>
      <c r="J959" s="2"/>
      <c r="K959" s="253"/>
    </row>
    <row r="960" spans="1:11" ht="15.75" customHeight="1">
      <c r="A960" s="4"/>
      <c r="G960" s="2"/>
      <c r="H960" s="2"/>
      <c r="I960" s="2"/>
      <c r="J960" s="2"/>
      <c r="K960" s="253"/>
    </row>
    <row r="961" spans="1:11" ht="15.75" customHeight="1">
      <c r="A961" s="4"/>
      <c r="G961" s="2"/>
      <c r="H961" s="2"/>
      <c r="I961" s="2"/>
      <c r="J961" s="2"/>
      <c r="K961" s="253"/>
    </row>
    <row r="962" spans="1:11" ht="15.75" customHeight="1">
      <c r="A962" s="4"/>
      <c r="G962" s="2"/>
      <c r="H962" s="2"/>
      <c r="I962" s="2"/>
      <c r="J962" s="2"/>
      <c r="K962" s="253"/>
    </row>
    <row r="963" spans="1:11" ht="15.75" customHeight="1">
      <c r="A963" s="4"/>
      <c r="G963" s="2"/>
      <c r="H963" s="2"/>
      <c r="I963" s="2"/>
      <c r="J963" s="2"/>
      <c r="K963" s="253"/>
    </row>
    <row r="964" spans="1:11" ht="15.75" customHeight="1">
      <c r="A964" s="4"/>
      <c r="G964" s="2"/>
      <c r="H964" s="2"/>
      <c r="I964" s="2"/>
      <c r="J964" s="2"/>
      <c r="K964" s="253"/>
    </row>
    <row r="965" spans="1:11" ht="15.75" customHeight="1">
      <c r="A965" s="4"/>
      <c r="G965" s="2"/>
      <c r="H965" s="2"/>
      <c r="I965" s="2"/>
      <c r="J965" s="2"/>
      <c r="K965" s="253"/>
    </row>
    <row r="966" spans="1:11" ht="15.75" customHeight="1">
      <c r="A966" s="4"/>
      <c r="G966" s="2"/>
      <c r="H966" s="2"/>
      <c r="I966" s="2"/>
      <c r="J966" s="2"/>
      <c r="K966" s="253"/>
    </row>
    <row r="967" spans="1:11" ht="15.75" customHeight="1">
      <c r="A967" s="4"/>
      <c r="G967" s="2"/>
      <c r="H967" s="2"/>
      <c r="I967" s="2"/>
      <c r="J967" s="2"/>
      <c r="K967" s="253"/>
    </row>
    <row r="968" spans="1:11" ht="15.75" customHeight="1">
      <c r="A968" s="4"/>
      <c r="G968" s="2"/>
      <c r="H968" s="2"/>
      <c r="I968" s="2"/>
      <c r="J968" s="2"/>
      <c r="K968" s="253"/>
    </row>
    <row r="969" spans="1:11" ht="15.75" customHeight="1">
      <c r="A969" s="4"/>
      <c r="G969" s="2"/>
      <c r="H969" s="2"/>
      <c r="I969" s="2"/>
      <c r="J969" s="2"/>
      <c r="K969" s="253"/>
    </row>
    <row r="970" spans="1:11" ht="15.75" customHeight="1">
      <c r="A970" s="4"/>
      <c r="G970" s="2"/>
      <c r="H970" s="2"/>
      <c r="I970" s="2"/>
      <c r="J970" s="2"/>
      <c r="K970" s="253"/>
    </row>
    <row r="971" spans="1:11" ht="15.75" customHeight="1">
      <c r="A971" s="4"/>
      <c r="G971" s="2"/>
      <c r="H971" s="2"/>
      <c r="I971" s="2"/>
      <c r="J971" s="2"/>
      <c r="K971" s="253"/>
    </row>
    <row r="972" spans="1:11" ht="15.75" customHeight="1">
      <c r="A972" s="4"/>
      <c r="G972" s="2"/>
      <c r="H972" s="2"/>
      <c r="I972" s="2"/>
      <c r="J972" s="2"/>
      <c r="K972" s="253"/>
    </row>
    <row r="973" spans="1:11" ht="15.75" customHeight="1">
      <c r="A973" s="4"/>
      <c r="G973" s="2"/>
      <c r="H973" s="2"/>
      <c r="I973" s="2"/>
      <c r="J973" s="2"/>
      <c r="K973" s="253"/>
    </row>
    <row r="974" spans="1:11" ht="15.75" customHeight="1">
      <c r="A974" s="4"/>
      <c r="G974" s="2"/>
      <c r="H974" s="2"/>
      <c r="I974" s="2"/>
      <c r="J974" s="2"/>
      <c r="K974" s="253"/>
    </row>
    <row r="975" spans="1:11" ht="15.75" customHeight="1">
      <c r="A975" s="4"/>
      <c r="G975" s="2"/>
      <c r="H975" s="2"/>
      <c r="I975" s="2"/>
      <c r="J975" s="2"/>
      <c r="K975" s="253"/>
    </row>
    <row r="976" spans="1:11" ht="15.75" customHeight="1">
      <c r="A976" s="4"/>
      <c r="G976" s="2"/>
      <c r="H976" s="2"/>
      <c r="I976" s="2"/>
      <c r="J976" s="2"/>
      <c r="K976" s="253"/>
    </row>
    <row r="977" spans="1:11" ht="15.75" customHeight="1">
      <c r="A977" s="4"/>
      <c r="G977" s="2"/>
      <c r="H977" s="2"/>
      <c r="I977" s="2"/>
      <c r="J977" s="2"/>
      <c r="K977" s="253"/>
    </row>
    <row r="978" spans="1:11" ht="15.75" customHeight="1">
      <c r="A978" s="4"/>
      <c r="G978" s="2"/>
      <c r="H978" s="2"/>
      <c r="I978" s="2"/>
      <c r="J978" s="2"/>
      <c r="K978" s="253"/>
    </row>
    <row r="979" spans="1:11" ht="15.75" customHeight="1">
      <c r="A979" s="4"/>
      <c r="G979" s="2"/>
      <c r="H979" s="2"/>
      <c r="I979" s="2"/>
      <c r="J979" s="2"/>
      <c r="K979" s="253"/>
    </row>
    <row r="980" spans="1:11" ht="15.75" customHeight="1">
      <c r="A980" s="4"/>
      <c r="G980" s="2"/>
      <c r="H980" s="2"/>
      <c r="I980" s="2"/>
      <c r="J980" s="2"/>
      <c r="K980" s="253"/>
    </row>
    <row r="981" spans="1:11" ht="15.75" customHeight="1">
      <c r="A981" s="4"/>
      <c r="G981" s="2"/>
      <c r="H981" s="2"/>
      <c r="I981" s="2"/>
      <c r="J981" s="2"/>
      <c r="K981" s="253"/>
    </row>
    <row r="982" spans="1:11" ht="15.75" customHeight="1">
      <c r="A982" s="4"/>
      <c r="G982" s="2"/>
      <c r="H982" s="2"/>
      <c r="I982" s="2"/>
      <c r="J982" s="2"/>
      <c r="K982" s="253"/>
    </row>
    <row r="983" spans="1:11" ht="15.75" customHeight="1">
      <c r="A983" s="4"/>
      <c r="G983" s="2"/>
      <c r="H983" s="2"/>
      <c r="I983" s="2"/>
      <c r="J983" s="2"/>
      <c r="K983" s="253"/>
    </row>
    <row r="984" spans="1:11" ht="15.75" customHeight="1">
      <c r="A984" s="4"/>
      <c r="G984" s="2"/>
      <c r="H984" s="2"/>
      <c r="I984" s="2"/>
      <c r="J984" s="2"/>
      <c r="K984" s="253"/>
    </row>
    <row r="985" spans="1:11" ht="15.75" customHeight="1">
      <c r="A985" s="4"/>
      <c r="G985" s="2"/>
      <c r="H985" s="2"/>
      <c r="I985" s="2"/>
      <c r="J985" s="2"/>
      <c r="K985" s="253"/>
    </row>
    <row r="986" spans="1:11" ht="15.75" customHeight="1">
      <c r="A986" s="4"/>
      <c r="G986" s="2"/>
      <c r="H986" s="2"/>
      <c r="I986" s="2"/>
      <c r="J986" s="2"/>
      <c r="K986" s="253"/>
    </row>
    <row r="987" spans="1:11" ht="15.75" customHeight="1">
      <c r="A987" s="4"/>
      <c r="G987" s="2"/>
      <c r="H987" s="2"/>
      <c r="I987" s="2"/>
      <c r="J987" s="2"/>
      <c r="K987" s="253"/>
    </row>
    <row r="988" spans="1:11" ht="15.75" customHeight="1">
      <c r="A988" s="4"/>
      <c r="G988" s="2"/>
      <c r="H988" s="2"/>
      <c r="I988" s="2"/>
      <c r="J988" s="2"/>
      <c r="K988" s="253"/>
    </row>
    <row r="989" spans="1:11" ht="15.75" customHeight="1">
      <c r="A989" s="4"/>
      <c r="G989" s="2"/>
      <c r="H989" s="2"/>
      <c r="I989" s="2"/>
      <c r="J989" s="2"/>
      <c r="K989" s="253"/>
    </row>
    <row r="990" spans="1:11" ht="15.75" customHeight="1">
      <c r="A990" s="4"/>
      <c r="G990" s="2"/>
      <c r="H990" s="2"/>
      <c r="I990" s="2"/>
      <c r="J990" s="2"/>
      <c r="K990" s="253"/>
    </row>
    <row r="991" spans="1:11" ht="15.75" customHeight="1">
      <c r="A991" s="4"/>
      <c r="G991" s="2"/>
      <c r="H991" s="2"/>
      <c r="I991" s="2"/>
      <c r="J991" s="2"/>
      <c r="K991" s="253"/>
    </row>
    <row r="992" spans="1:11" ht="15.75" customHeight="1">
      <c r="A992" s="4"/>
      <c r="G992" s="2"/>
      <c r="H992" s="2"/>
      <c r="I992" s="2"/>
      <c r="J992" s="2"/>
      <c r="K992" s="253"/>
    </row>
    <row r="993" spans="1:11" ht="15.75" customHeight="1">
      <c r="A993" s="4"/>
      <c r="G993" s="2"/>
      <c r="H993" s="2"/>
      <c r="I993" s="2"/>
      <c r="J993" s="2"/>
      <c r="K993" s="253"/>
    </row>
    <row r="994" spans="1:11" ht="15.75" customHeight="1">
      <c r="A994" s="4"/>
      <c r="G994" s="2"/>
      <c r="H994" s="2"/>
      <c r="I994" s="2"/>
      <c r="J994" s="2"/>
      <c r="K994" s="253"/>
    </row>
    <row r="995" spans="1:11" ht="15.75" customHeight="1">
      <c r="A995" s="4"/>
      <c r="G995" s="2"/>
      <c r="H995" s="2"/>
      <c r="I995" s="2"/>
      <c r="J995" s="2"/>
      <c r="K995" s="253"/>
    </row>
    <row r="996" spans="1:11" ht="15.75" customHeight="1">
      <c r="A996" s="4"/>
      <c r="G996" s="2"/>
      <c r="H996" s="2"/>
      <c r="I996" s="2"/>
      <c r="J996" s="2"/>
      <c r="K996" s="253"/>
    </row>
    <row r="997" spans="1:11" ht="15.75" customHeight="1">
      <c r="A997" s="4"/>
      <c r="G997" s="2"/>
      <c r="H997" s="2"/>
      <c r="I997" s="2"/>
      <c r="J997" s="2"/>
      <c r="K997" s="253"/>
    </row>
    <row r="998" spans="1:11" ht="15.75" customHeight="1">
      <c r="A998" s="4"/>
      <c r="G998" s="2"/>
      <c r="H998" s="2"/>
      <c r="I998" s="2"/>
      <c r="J998" s="2"/>
      <c r="K998" s="253"/>
    </row>
    <row r="999" spans="1:11" ht="15.75" customHeight="1">
      <c r="A999" s="4"/>
      <c r="G999" s="2"/>
      <c r="H999" s="2"/>
      <c r="I999" s="2"/>
      <c r="J999" s="2"/>
      <c r="K999" s="253"/>
    </row>
    <row r="1000" spans="1:11" ht="15.75" customHeight="1">
      <c r="A1000" s="4"/>
      <c r="G1000" s="2"/>
      <c r="H1000" s="2"/>
      <c r="I1000" s="2"/>
      <c r="J1000" s="2"/>
      <c r="K1000" s="253"/>
    </row>
  </sheetData>
  <mergeCells count="28">
    <mergeCell ref="E424:H424"/>
    <mergeCell ref="P148:Q148"/>
    <mergeCell ref="P149:Q149"/>
    <mergeCell ref="P152:Q152"/>
    <mergeCell ref="P223:Q223"/>
    <mergeCell ref="P224:Q224"/>
    <mergeCell ref="P227:Q227"/>
    <mergeCell ref="P230:Q230"/>
    <mergeCell ref="P307:Q307"/>
    <mergeCell ref="P308:Q308"/>
    <mergeCell ref="P312:Q312"/>
    <mergeCell ref="P314:Q314"/>
    <mergeCell ref="E423:G423"/>
    <mergeCell ref="P90:Q90"/>
    <mergeCell ref="P105:Q105"/>
    <mergeCell ref="P106:Q106"/>
    <mergeCell ref="P108:Q108"/>
    <mergeCell ref="P233:Q233"/>
    <mergeCell ref="A8:B8"/>
    <mergeCell ref="P82:Q82"/>
    <mergeCell ref="P83:Q83"/>
    <mergeCell ref="P86:Q86"/>
    <mergeCell ref="P88:Q88"/>
    <mergeCell ref="A1:I1"/>
    <mergeCell ref="B2:I2"/>
    <mergeCell ref="J3:K3"/>
    <mergeCell ref="F7:H7"/>
    <mergeCell ref="J7:K7"/>
  </mergeCells>
  <pageMargins left="0.7" right="0.7" top="0.75" bottom="0.75" header="0" footer="0"/>
  <pageSetup paperSize="5" scale="90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O1000"/>
  <sheetViews>
    <sheetView topLeftCell="A7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6.28515625" customWidth="1"/>
    <col min="10" max="10" width="11.85546875" customWidth="1"/>
    <col min="11" max="11" width="13.7109375" customWidth="1"/>
    <col min="12" max="12" width="17.28515625" customWidth="1"/>
    <col min="13" max="14" width="8.7109375" customWidth="1"/>
    <col min="15" max="15" width="10.5703125" customWidth="1"/>
    <col min="16" max="26" width="8.7109375" customWidth="1"/>
  </cols>
  <sheetData>
    <row r="1" spans="1:15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5" ht="18">
      <c r="A2" s="4"/>
      <c r="B2" s="5"/>
      <c r="C2" s="755" t="s">
        <v>2629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5">
      <c r="A3" s="4"/>
      <c r="B3" s="5"/>
      <c r="C3" s="93"/>
      <c r="D3" s="5"/>
      <c r="E3" s="5"/>
      <c r="G3" s="5"/>
      <c r="H3" s="93"/>
      <c r="I3" s="55"/>
      <c r="J3" s="92"/>
      <c r="K3" s="11" t="s">
        <v>2985</v>
      </c>
      <c r="L3" s="104"/>
    </row>
    <row r="4" spans="1:15">
      <c r="A4" s="4"/>
      <c r="B4" s="5"/>
      <c r="C4" s="93"/>
      <c r="D4" s="5"/>
      <c r="E4" s="5"/>
      <c r="G4" s="5"/>
      <c r="H4" s="93"/>
      <c r="I4" s="55"/>
      <c r="J4" s="92"/>
      <c r="K4" s="94" t="s">
        <v>2986</v>
      </c>
      <c r="L4" s="253"/>
    </row>
    <row r="5" spans="1:15">
      <c r="A5" s="4"/>
      <c r="B5" s="5"/>
      <c r="C5" s="93"/>
      <c r="D5" s="5"/>
      <c r="E5" s="5"/>
      <c r="G5" s="5"/>
      <c r="H5" s="93"/>
      <c r="I5" s="55"/>
      <c r="J5" s="92"/>
      <c r="K5" s="94" t="s">
        <v>2987</v>
      </c>
      <c r="L5" s="253"/>
    </row>
    <row r="6" spans="1:15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2988</v>
      </c>
      <c r="L6" s="62"/>
    </row>
    <row r="7" spans="1:15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5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5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98" t="s">
        <v>17</v>
      </c>
      <c r="I9" s="102" t="s">
        <v>18</v>
      </c>
      <c r="J9" s="106"/>
      <c r="K9" s="25" t="s">
        <v>19</v>
      </c>
      <c r="L9" s="25" t="s">
        <v>20</v>
      </c>
    </row>
    <row r="10" spans="1:15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5">
      <c r="A11" s="112" t="s">
        <v>24</v>
      </c>
      <c r="B11" s="113"/>
      <c r="C11" s="50"/>
      <c r="D11" s="113"/>
      <c r="E11" s="113"/>
      <c r="F11" s="48"/>
      <c r="G11" s="113"/>
      <c r="H11" s="114"/>
      <c r="I11" s="51"/>
      <c r="J11" s="115"/>
      <c r="K11" s="48"/>
      <c r="L11" s="48"/>
    </row>
    <row r="12" spans="1:15">
      <c r="A12" s="48">
        <v>17</v>
      </c>
      <c r="B12" s="151" t="s">
        <v>2989</v>
      </c>
      <c r="C12" s="50"/>
      <c r="D12" s="48"/>
      <c r="E12" s="48" t="s">
        <v>68</v>
      </c>
      <c r="F12" s="48"/>
      <c r="G12" s="117"/>
      <c r="H12" s="349" t="s">
        <v>30</v>
      </c>
      <c r="I12" s="74">
        <v>6000</v>
      </c>
      <c r="J12" s="417" t="s">
        <v>1586</v>
      </c>
      <c r="K12" s="324" t="s">
        <v>31</v>
      </c>
      <c r="L12" s="113" t="s">
        <v>32</v>
      </c>
      <c r="N12" s="3"/>
      <c r="O12" s="3"/>
    </row>
    <row r="13" spans="1:15">
      <c r="A13" s="48">
        <v>17</v>
      </c>
      <c r="B13" s="151" t="s">
        <v>2989</v>
      </c>
      <c r="C13" s="50"/>
      <c r="D13" s="48"/>
      <c r="E13" s="48" t="s">
        <v>68</v>
      </c>
      <c r="F13" s="58"/>
      <c r="G13" s="122"/>
      <c r="H13" s="350" t="s">
        <v>30</v>
      </c>
      <c r="I13" s="75">
        <v>40000</v>
      </c>
      <c r="J13" s="347">
        <v>8000</v>
      </c>
      <c r="K13" s="324" t="s">
        <v>31</v>
      </c>
      <c r="L13" s="113" t="s">
        <v>32</v>
      </c>
    </row>
    <row r="14" spans="1:15">
      <c r="A14" s="62">
        <v>23</v>
      </c>
      <c r="B14" s="352" t="s">
        <v>2619</v>
      </c>
      <c r="C14" s="194"/>
      <c r="D14" s="16"/>
      <c r="E14" s="16" t="s">
        <v>245</v>
      </c>
      <c r="F14" s="62"/>
      <c r="G14" s="16"/>
      <c r="H14" s="448" t="s">
        <v>30</v>
      </c>
      <c r="I14" s="63">
        <v>3075</v>
      </c>
      <c r="J14" s="449" t="s">
        <v>1586</v>
      </c>
      <c r="K14" s="324" t="s">
        <v>31</v>
      </c>
      <c r="L14" s="113" t="s">
        <v>32</v>
      </c>
      <c r="O14" s="55">
        <f>I14+I16+I17+I18</f>
        <v>25075</v>
      </c>
    </row>
    <row r="15" spans="1:15">
      <c r="A15" s="62">
        <v>23</v>
      </c>
      <c r="B15" s="352" t="s">
        <v>2619</v>
      </c>
      <c r="C15" s="194"/>
      <c r="D15" s="16"/>
      <c r="E15" s="16" t="s">
        <v>245</v>
      </c>
      <c r="F15" s="48"/>
      <c r="G15" s="120"/>
      <c r="H15" s="349" t="s">
        <v>30</v>
      </c>
      <c r="I15" s="51">
        <v>8000</v>
      </c>
      <c r="J15" s="418">
        <v>1600</v>
      </c>
      <c r="K15" s="324" t="s">
        <v>31</v>
      </c>
      <c r="L15" s="113" t="s">
        <v>32</v>
      </c>
    </row>
    <row r="16" spans="1:15">
      <c r="A16" s="166">
        <v>24</v>
      </c>
      <c r="B16" s="450" t="s">
        <v>2990</v>
      </c>
      <c r="C16" s="451">
        <v>7</v>
      </c>
      <c r="D16" s="452"/>
      <c r="E16" s="452" t="s">
        <v>552</v>
      </c>
      <c r="F16" s="166"/>
      <c r="G16" s="452" t="s">
        <v>553</v>
      </c>
      <c r="H16" s="453" t="s">
        <v>30</v>
      </c>
      <c r="I16" s="167">
        <v>11500</v>
      </c>
      <c r="J16" s="454" t="s">
        <v>1586</v>
      </c>
      <c r="K16" s="324" t="s">
        <v>31</v>
      </c>
      <c r="L16" s="113" t="s">
        <v>32</v>
      </c>
    </row>
    <row r="17" spans="1:15">
      <c r="A17" s="166">
        <v>24</v>
      </c>
      <c r="B17" s="450" t="s">
        <v>2991</v>
      </c>
      <c r="C17" s="451">
        <v>5</v>
      </c>
      <c r="D17" s="452"/>
      <c r="E17" s="452" t="s">
        <v>51</v>
      </c>
      <c r="F17" s="166"/>
      <c r="G17" s="452"/>
      <c r="H17" s="453" t="s">
        <v>30</v>
      </c>
      <c r="I17" s="167">
        <v>7500</v>
      </c>
      <c r="J17" s="454" t="s">
        <v>1586</v>
      </c>
      <c r="K17" s="324" t="s">
        <v>31</v>
      </c>
      <c r="L17" s="113" t="s">
        <v>32</v>
      </c>
    </row>
    <row r="18" spans="1:15">
      <c r="A18" s="166">
        <v>25</v>
      </c>
      <c r="B18" s="450" t="s">
        <v>2992</v>
      </c>
      <c r="C18" s="451"/>
      <c r="D18" s="452"/>
      <c r="E18" s="452" t="s">
        <v>484</v>
      </c>
      <c r="F18" s="166"/>
      <c r="G18" s="452" t="s">
        <v>2993</v>
      </c>
      <c r="H18" s="453" t="s">
        <v>30</v>
      </c>
      <c r="I18" s="167">
        <v>3000</v>
      </c>
      <c r="J18" s="454" t="s">
        <v>1586</v>
      </c>
      <c r="K18" s="324" t="s">
        <v>31</v>
      </c>
      <c r="L18" s="113" t="s">
        <v>32</v>
      </c>
    </row>
    <row r="19" spans="1:15">
      <c r="A19" s="48"/>
      <c r="B19" s="255"/>
      <c r="C19" s="79"/>
      <c r="D19" s="120"/>
      <c r="E19" s="120"/>
      <c r="F19" s="48"/>
      <c r="G19" s="120"/>
      <c r="H19" s="455"/>
      <c r="I19" s="456"/>
      <c r="J19" s="457"/>
      <c r="K19" s="324"/>
      <c r="L19" s="358"/>
      <c r="N19" s="126">
        <v>13700</v>
      </c>
      <c r="O19" s="126" t="s">
        <v>2626</v>
      </c>
    </row>
    <row r="20" spans="1:15">
      <c r="A20" s="48"/>
      <c r="B20" s="255"/>
      <c r="C20" s="79"/>
      <c r="D20" s="120"/>
      <c r="E20" s="120"/>
      <c r="F20" s="48"/>
      <c r="G20" s="120"/>
      <c r="H20" s="349"/>
      <c r="I20" s="51"/>
      <c r="J20" s="418"/>
      <c r="K20" s="324"/>
      <c r="L20" s="358"/>
    </row>
    <row r="21" spans="1:15" ht="15.75" customHeight="1">
      <c r="A21" s="48"/>
      <c r="B21" s="255"/>
      <c r="C21" s="79"/>
      <c r="D21" s="120"/>
      <c r="E21" s="120"/>
      <c r="F21" s="48"/>
      <c r="G21" s="120"/>
      <c r="H21" s="349"/>
      <c r="I21" s="51"/>
      <c r="J21" s="418"/>
      <c r="K21" s="324"/>
      <c r="L21" s="358"/>
    </row>
    <row r="22" spans="1:15" ht="15.75" customHeight="1">
      <c r="A22" s="48"/>
      <c r="B22" s="255"/>
      <c r="C22" s="79"/>
      <c r="D22" s="120"/>
      <c r="E22" s="120"/>
      <c r="F22" s="48"/>
      <c r="G22" s="120"/>
      <c r="H22" s="349"/>
      <c r="I22" s="51"/>
      <c r="J22" s="418"/>
      <c r="K22" s="324"/>
      <c r="L22" s="358"/>
    </row>
    <row r="23" spans="1:15" ht="15.75" customHeight="1">
      <c r="A23" s="48"/>
      <c r="B23" s="255"/>
      <c r="C23" s="79"/>
      <c r="D23" s="120"/>
      <c r="E23" s="120"/>
      <c r="F23" s="48"/>
      <c r="G23" s="120"/>
      <c r="H23" s="349"/>
      <c r="I23" s="51"/>
      <c r="J23" s="418"/>
      <c r="K23" s="324"/>
      <c r="L23" s="358"/>
    </row>
    <row r="24" spans="1:15" ht="15.75" customHeight="1">
      <c r="A24" s="48"/>
      <c r="B24" s="255"/>
      <c r="C24" s="120"/>
      <c r="D24" s="120"/>
      <c r="E24" s="120"/>
      <c r="F24" s="48"/>
      <c r="G24" s="120"/>
      <c r="H24" s="349"/>
      <c r="I24" s="51"/>
      <c r="J24" s="418"/>
      <c r="K24" s="324"/>
      <c r="L24" s="358"/>
    </row>
    <row r="25" spans="1:15" ht="15.75" customHeight="1">
      <c r="A25" s="48"/>
      <c r="B25" s="255"/>
      <c r="C25" s="120"/>
      <c r="D25" s="120"/>
      <c r="E25" s="120"/>
      <c r="F25" s="48"/>
      <c r="G25" s="120"/>
      <c r="H25" s="349"/>
      <c r="I25" s="51"/>
      <c r="J25" s="418"/>
      <c r="K25" s="324"/>
      <c r="L25" s="358"/>
    </row>
    <row r="26" spans="1:15" ht="15.75" customHeight="1">
      <c r="A26" s="48"/>
      <c r="B26" s="255"/>
      <c r="C26" s="120"/>
      <c r="D26" s="120"/>
      <c r="E26" s="120"/>
      <c r="F26" s="48"/>
      <c r="G26" s="120"/>
      <c r="H26" s="349"/>
      <c r="I26" s="51"/>
      <c r="J26" s="418"/>
      <c r="K26" s="324"/>
      <c r="L26" s="358"/>
    </row>
    <row r="27" spans="1:15" ht="15.75" customHeight="1">
      <c r="A27" s="48"/>
      <c r="B27" s="48"/>
      <c r="C27" s="48"/>
      <c r="D27" s="48"/>
      <c r="E27" s="48"/>
      <c r="F27" s="48"/>
      <c r="G27" s="48"/>
      <c r="H27" s="120"/>
      <c r="I27" s="51"/>
      <c r="J27" s="296"/>
      <c r="K27" s="324"/>
      <c r="L27" s="358"/>
    </row>
    <row r="28" spans="1:15" ht="15.75" customHeight="1">
      <c r="I28" s="83"/>
      <c r="J28" s="83"/>
    </row>
    <row r="29" spans="1:15" ht="15.75" customHeight="1">
      <c r="J29" s="137" t="s">
        <v>508</v>
      </c>
    </row>
    <row r="30" spans="1:15" ht="15.75" customHeight="1">
      <c r="J30" s="83" t="s">
        <v>511</v>
      </c>
    </row>
    <row r="31" spans="1:15" ht="15.75" customHeight="1">
      <c r="B31" s="126" t="s">
        <v>509</v>
      </c>
      <c r="E31" s="126" t="s">
        <v>510</v>
      </c>
      <c r="J31" s="83" t="s">
        <v>513</v>
      </c>
    </row>
    <row r="32" spans="1:15" ht="15.75" customHeight="1">
      <c r="J32" s="83" t="s">
        <v>946</v>
      </c>
    </row>
    <row r="33" spans="2:11" ht="15.75" customHeight="1">
      <c r="J33" s="83" t="s">
        <v>947</v>
      </c>
    </row>
    <row r="34" spans="2:11" ht="15.75" customHeight="1">
      <c r="B34" s="139" t="s">
        <v>516</v>
      </c>
      <c r="E34" s="737" t="s">
        <v>517</v>
      </c>
      <c r="F34" s="711"/>
      <c r="G34" s="711"/>
      <c r="H34" s="711"/>
      <c r="J34" s="83" t="s">
        <v>950</v>
      </c>
      <c r="K34" s="359"/>
    </row>
    <row r="35" spans="2:11" ht="15.75" customHeight="1">
      <c r="B35" s="4" t="s">
        <v>980</v>
      </c>
      <c r="E35" s="732" t="s">
        <v>521</v>
      </c>
      <c r="F35" s="711"/>
      <c r="G35" s="711"/>
      <c r="H35" s="711"/>
      <c r="J35" s="83" t="s">
        <v>564</v>
      </c>
    </row>
    <row r="36" spans="2:11" ht="15.75" customHeight="1">
      <c r="J36" s="83" t="s">
        <v>525</v>
      </c>
    </row>
    <row r="37" spans="2:11" ht="15.75" customHeight="1">
      <c r="J37" s="10" t="s">
        <v>565</v>
      </c>
    </row>
    <row r="38" spans="2:11" ht="15.75" customHeight="1">
      <c r="J38" s="10" t="s">
        <v>953</v>
      </c>
    </row>
    <row r="39" spans="2:11" ht="15.75" customHeight="1"/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34:H34"/>
    <mergeCell ref="E35:H35"/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Z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3" width="8.7109375" customWidth="1"/>
    <col min="14" max="14" width="6.140625" customWidth="1"/>
    <col min="15" max="15" width="4.7109375" customWidth="1"/>
    <col min="16" max="16" width="13.5703125" customWidth="1"/>
    <col min="17" max="17" width="8.7109375" customWidth="1"/>
    <col min="18" max="18" width="10.42578125" customWidth="1"/>
    <col min="19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</row>
    <row r="2" spans="1:13" ht="18">
      <c r="A2" s="4"/>
      <c r="B2" s="712" t="s">
        <v>2994</v>
      </c>
      <c r="C2" s="711"/>
      <c r="D2" s="711"/>
      <c r="E2" s="711"/>
      <c r="F2" s="711"/>
      <c r="G2" s="711"/>
      <c r="H2" s="711"/>
      <c r="I2" s="711"/>
      <c r="J2" s="8"/>
      <c r="K2" s="285"/>
    </row>
    <row r="3" spans="1:13">
      <c r="A3" s="4"/>
      <c r="B3" s="5"/>
      <c r="C3" s="10"/>
      <c r="D3" s="5"/>
      <c r="E3" s="5"/>
      <c r="F3" s="2"/>
      <c r="G3" s="10"/>
      <c r="H3" s="6"/>
      <c r="I3" s="140"/>
      <c r="J3" s="738" t="s">
        <v>984</v>
      </c>
      <c r="K3" s="717"/>
    </row>
    <row r="4" spans="1:13">
      <c r="A4" s="4"/>
      <c r="B4" s="5"/>
      <c r="C4" s="10"/>
      <c r="D4" s="5"/>
      <c r="E4" s="5"/>
      <c r="F4" s="2"/>
      <c r="G4" s="10"/>
      <c r="H4" s="6"/>
      <c r="I4" s="141"/>
      <c r="J4" s="1" t="s">
        <v>569</v>
      </c>
      <c r="K4" s="214"/>
    </row>
    <row r="5" spans="1:13">
      <c r="A5" s="4"/>
      <c r="B5" s="5"/>
      <c r="C5" s="10"/>
      <c r="D5" s="5"/>
      <c r="E5" s="5"/>
      <c r="F5" s="2"/>
      <c r="G5" s="10"/>
      <c r="H5" s="6"/>
      <c r="I5" s="141"/>
      <c r="J5" s="1" t="s">
        <v>4</v>
      </c>
      <c r="K5" s="214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140"/>
      <c r="J6" s="16" t="s">
        <v>985</v>
      </c>
      <c r="K6" s="17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143"/>
      <c r="J7" s="718" t="s">
        <v>8</v>
      </c>
      <c r="K7" s="719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103" t="s">
        <v>15</v>
      </c>
      <c r="J8" s="31"/>
      <c r="K8" s="3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144"/>
      <c r="J9" s="25" t="s">
        <v>19</v>
      </c>
      <c r="K9" s="25" t="s">
        <v>20</v>
      </c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145"/>
      <c r="J10" s="42"/>
      <c r="K10" s="46" t="s">
        <v>22</v>
      </c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3">
      <c r="A12" s="50">
        <v>1</v>
      </c>
      <c r="B12" s="151" t="s">
        <v>2995</v>
      </c>
      <c r="C12" s="48" t="s">
        <v>27</v>
      </c>
      <c r="D12" s="48" t="s">
        <v>132</v>
      </c>
      <c r="E12" s="48" t="s">
        <v>29</v>
      </c>
      <c r="F12" s="48"/>
      <c r="G12" s="48" t="s">
        <v>30</v>
      </c>
      <c r="H12" s="51">
        <v>4000</v>
      </c>
      <c r="I12" s="119">
        <v>800</v>
      </c>
      <c r="J12" s="48" t="s">
        <v>31</v>
      </c>
      <c r="K12" s="48" t="s">
        <v>32</v>
      </c>
      <c r="M12" s="126">
        <v>5000</v>
      </c>
    </row>
    <row r="13" spans="1:13">
      <c r="A13" s="50">
        <v>1</v>
      </c>
      <c r="B13" s="151" t="s">
        <v>2996</v>
      </c>
      <c r="C13" s="48" t="s">
        <v>27</v>
      </c>
      <c r="D13" s="48" t="s">
        <v>2997</v>
      </c>
      <c r="E13" s="48" t="s">
        <v>44</v>
      </c>
      <c r="F13" s="48"/>
      <c r="G13" s="48" t="s">
        <v>30</v>
      </c>
      <c r="H13" s="51">
        <v>100</v>
      </c>
      <c r="I13" s="119">
        <v>20</v>
      </c>
      <c r="J13" s="48" t="s">
        <v>31</v>
      </c>
      <c r="K13" s="48" t="s">
        <v>32</v>
      </c>
      <c r="M13" s="126">
        <v>20</v>
      </c>
    </row>
    <row r="14" spans="1:13">
      <c r="A14" s="116">
        <v>1</v>
      </c>
      <c r="B14" s="429" t="s">
        <v>1645</v>
      </c>
      <c r="C14" s="256" t="s">
        <v>27</v>
      </c>
      <c r="D14" s="256" t="s">
        <v>499</v>
      </c>
      <c r="E14" s="256" t="s">
        <v>89</v>
      </c>
      <c r="F14" s="48"/>
      <c r="G14" s="48" t="s">
        <v>30</v>
      </c>
      <c r="H14" s="51">
        <v>2000</v>
      </c>
      <c r="I14" s="119">
        <v>400</v>
      </c>
      <c r="J14" s="256" t="s">
        <v>31</v>
      </c>
      <c r="K14" s="256" t="s">
        <v>32</v>
      </c>
      <c r="M14" s="126">
        <v>400</v>
      </c>
    </row>
    <row r="15" spans="1:13">
      <c r="A15" s="116">
        <v>1</v>
      </c>
      <c r="B15" s="429" t="s">
        <v>2998</v>
      </c>
      <c r="C15" s="256" t="s">
        <v>27</v>
      </c>
      <c r="D15" s="256" t="s">
        <v>65</v>
      </c>
      <c r="E15" s="256" t="s">
        <v>36</v>
      </c>
      <c r="F15" s="48"/>
      <c r="G15" s="48" t="s">
        <v>30</v>
      </c>
      <c r="H15" s="51">
        <v>3500</v>
      </c>
      <c r="I15" s="119">
        <v>700</v>
      </c>
      <c r="J15" s="256" t="s">
        <v>31</v>
      </c>
      <c r="K15" s="256" t="s">
        <v>32</v>
      </c>
      <c r="M15" s="126">
        <v>1000</v>
      </c>
    </row>
    <row r="16" spans="1:13">
      <c r="A16" s="116">
        <v>1</v>
      </c>
      <c r="B16" s="429" t="s">
        <v>2999</v>
      </c>
      <c r="C16" s="256" t="s">
        <v>27</v>
      </c>
      <c r="D16" s="256" t="s">
        <v>188</v>
      </c>
      <c r="E16" s="256" t="s">
        <v>36</v>
      </c>
      <c r="F16" s="48"/>
      <c r="G16" s="48" t="s">
        <v>30</v>
      </c>
      <c r="H16" s="51">
        <v>1000</v>
      </c>
      <c r="I16" s="49">
        <v>200</v>
      </c>
      <c r="J16" s="256" t="s">
        <v>31</v>
      </c>
      <c r="K16" s="256" t="s">
        <v>32</v>
      </c>
      <c r="M16" s="126">
        <v>4500</v>
      </c>
    </row>
    <row r="17" spans="1:13">
      <c r="A17" s="116">
        <v>1</v>
      </c>
      <c r="B17" s="429" t="s">
        <v>3000</v>
      </c>
      <c r="C17" s="256" t="s">
        <v>39</v>
      </c>
      <c r="D17" s="256" t="s">
        <v>1774</v>
      </c>
      <c r="E17" s="256" t="s">
        <v>102</v>
      </c>
      <c r="F17" s="48"/>
      <c r="G17" s="48" t="s">
        <v>30</v>
      </c>
      <c r="H17" s="51">
        <v>200</v>
      </c>
      <c r="I17" s="119">
        <v>40</v>
      </c>
      <c r="J17" s="256" t="s">
        <v>31</v>
      </c>
      <c r="K17" s="256" t="s">
        <v>32</v>
      </c>
      <c r="M17" s="126">
        <v>40</v>
      </c>
    </row>
    <row r="18" spans="1:13">
      <c r="A18" s="50">
        <v>1</v>
      </c>
      <c r="B18" s="151" t="s">
        <v>3001</v>
      </c>
      <c r="C18" s="48" t="s">
        <v>27</v>
      </c>
      <c r="D18" s="48" t="s">
        <v>472</v>
      </c>
      <c r="E18" s="48" t="s">
        <v>89</v>
      </c>
      <c r="F18" s="48"/>
      <c r="G18" s="48" t="s">
        <v>30</v>
      </c>
      <c r="H18" s="51">
        <v>500</v>
      </c>
      <c r="I18" s="119">
        <v>100</v>
      </c>
      <c r="J18" s="48" t="s">
        <v>31</v>
      </c>
      <c r="K18" s="48" t="s">
        <v>32</v>
      </c>
      <c r="M18" s="126">
        <v>100</v>
      </c>
    </row>
    <row r="19" spans="1:13">
      <c r="A19" s="116">
        <v>1</v>
      </c>
      <c r="B19" s="429" t="s">
        <v>3002</v>
      </c>
      <c r="C19" s="256" t="s">
        <v>27</v>
      </c>
      <c r="D19" s="256" t="s">
        <v>3003</v>
      </c>
      <c r="E19" s="256" t="s">
        <v>44</v>
      </c>
      <c r="F19" s="48"/>
      <c r="G19" s="48" t="s">
        <v>30</v>
      </c>
      <c r="H19" s="51">
        <v>300</v>
      </c>
      <c r="I19" s="119">
        <v>60</v>
      </c>
      <c r="J19" s="256" t="s">
        <v>31</v>
      </c>
      <c r="K19" s="256" t="s">
        <v>32</v>
      </c>
      <c r="M19" s="126">
        <v>40</v>
      </c>
    </row>
    <row r="20" spans="1:13">
      <c r="A20" s="116">
        <v>1</v>
      </c>
      <c r="B20" s="429" t="s">
        <v>3004</v>
      </c>
      <c r="C20" s="256" t="s">
        <v>27</v>
      </c>
      <c r="D20" s="256" t="s">
        <v>3005</v>
      </c>
      <c r="E20" s="256" t="s">
        <v>245</v>
      </c>
      <c r="F20" s="48"/>
      <c r="G20" s="48" t="s">
        <v>30</v>
      </c>
      <c r="H20" s="51">
        <v>200</v>
      </c>
      <c r="I20" s="119">
        <v>40</v>
      </c>
      <c r="J20" s="256" t="s">
        <v>31</v>
      </c>
      <c r="K20" s="256" t="s">
        <v>32</v>
      </c>
      <c r="M20" s="126">
        <v>20</v>
      </c>
    </row>
    <row r="21" spans="1:13" ht="15.75" customHeight="1">
      <c r="A21" s="116">
        <v>1</v>
      </c>
      <c r="B21" s="429" t="s">
        <v>3006</v>
      </c>
      <c r="C21" s="256" t="s">
        <v>27</v>
      </c>
      <c r="D21" s="256" t="s">
        <v>3007</v>
      </c>
      <c r="E21" s="256" t="s">
        <v>84</v>
      </c>
      <c r="F21" s="48"/>
      <c r="G21" s="48" t="s">
        <v>30</v>
      </c>
      <c r="H21" s="51">
        <v>100</v>
      </c>
      <c r="I21" s="119">
        <v>20</v>
      </c>
      <c r="J21" s="256" t="s">
        <v>31</v>
      </c>
      <c r="K21" s="256" t="s">
        <v>32</v>
      </c>
      <c r="M21" s="126">
        <v>25</v>
      </c>
    </row>
    <row r="22" spans="1:13" ht="15.75" customHeight="1">
      <c r="A22" s="116">
        <v>1</v>
      </c>
      <c r="B22" s="429" t="s">
        <v>1728</v>
      </c>
      <c r="C22" s="256" t="s">
        <v>27</v>
      </c>
      <c r="D22" s="256" t="s">
        <v>108</v>
      </c>
      <c r="E22" s="256" t="s">
        <v>36</v>
      </c>
      <c r="F22" s="48"/>
      <c r="G22" s="48" t="s">
        <v>30</v>
      </c>
      <c r="H22" s="51">
        <v>300</v>
      </c>
      <c r="I22" s="119">
        <v>60</v>
      </c>
      <c r="J22" s="256" t="s">
        <v>31</v>
      </c>
      <c r="K22" s="256" t="s">
        <v>32</v>
      </c>
      <c r="M22" s="126">
        <v>60</v>
      </c>
    </row>
    <row r="23" spans="1:13" ht="15.75" customHeight="1">
      <c r="A23" s="50">
        <v>1</v>
      </c>
      <c r="B23" s="48" t="s">
        <v>3008</v>
      </c>
      <c r="C23" s="48" t="s">
        <v>27</v>
      </c>
      <c r="D23" s="48" t="s">
        <v>607</v>
      </c>
      <c r="E23" s="48" t="s">
        <v>36</v>
      </c>
      <c r="F23" s="48"/>
      <c r="G23" s="48" t="s">
        <v>30</v>
      </c>
      <c r="H23" s="51">
        <v>500</v>
      </c>
      <c r="I23" s="119" t="s">
        <v>1586</v>
      </c>
      <c r="J23" s="48" t="s">
        <v>31</v>
      </c>
      <c r="K23" s="48" t="s">
        <v>32</v>
      </c>
      <c r="M23" s="126">
        <v>200</v>
      </c>
    </row>
    <row r="24" spans="1:13" ht="15.75" customHeight="1">
      <c r="A24" s="50">
        <v>1</v>
      </c>
      <c r="B24" s="48" t="s">
        <v>3008</v>
      </c>
      <c r="C24" s="48" t="s">
        <v>27</v>
      </c>
      <c r="D24" s="48" t="s">
        <v>607</v>
      </c>
      <c r="E24" s="48" t="s">
        <v>36</v>
      </c>
      <c r="F24" s="48"/>
      <c r="G24" s="48" t="s">
        <v>30</v>
      </c>
      <c r="H24" s="51">
        <v>800</v>
      </c>
      <c r="I24" s="119">
        <v>160</v>
      </c>
      <c r="J24" s="48" t="s">
        <v>31</v>
      </c>
      <c r="K24" s="48" t="s">
        <v>32</v>
      </c>
    </row>
    <row r="25" spans="1:13" ht="15.75" customHeight="1">
      <c r="A25" s="65">
        <v>1</v>
      </c>
      <c r="B25" s="58" t="s">
        <v>3009</v>
      </c>
      <c r="C25" s="58" t="s">
        <v>39</v>
      </c>
      <c r="D25" s="58" t="s">
        <v>651</v>
      </c>
      <c r="E25" s="58" t="s">
        <v>86</v>
      </c>
      <c r="F25" s="58"/>
      <c r="G25" s="58" t="s">
        <v>30</v>
      </c>
      <c r="H25" s="59">
        <v>500</v>
      </c>
      <c r="I25" s="160">
        <v>100</v>
      </c>
      <c r="J25" s="58" t="s">
        <v>31</v>
      </c>
      <c r="K25" s="58" t="s">
        <v>32</v>
      </c>
      <c r="M25" s="126">
        <v>100</v>
      </c>
    </row>
    <row r="26" spans="1:13" ht="15.75" customHeight="1">
      <c r="A26" s="61">
        <v>2</v>
      </c>
      <c r="B26" s="292" t="s">
        <v>2258</v>
      </c>
      <c r="C26" s="62" t="s">
        <v>27</v>
      </c>
      <c r="D26" s="62" t="s">
        <v>171</v>
      </c>
      <c r="E26" s="62" t="s">
        <v>145</v>
      </c>
      <c r="F26" s="62"/>
      <c r="G26" s="62" t="s">
        <v>30</v>
      </c>
      <c r="H26" s="63">
        <v>500</v>
      </c>
      <c r="I26" s="159">
        <v>100</v>
      </c>
      <c r="J26" s="62" t="s">
        <v>31</v>
      </c>
      <c r="K26" s="62" t="s">
        <v>32</v>
      </c>
      <c r="M26" s="126">
        <v>150</v>
      </c>
    </row>
    <row r="27" spans="1:13" ht="15.75" customHeight="1">
      <c r="A27" s="50">
        <v>2</v>
      </c>
      <c r="B27" s="151" t="s">
        <v>3010</v>
      </c>
      <c r="C27" s="48" t="s">
        <v>39</v>
      </c>
      <c r="D27" s="48" t="s">
        <v>165</v>
      </c>
      <c r="E27" s="48" t="s">
        <v>84</v>
      </c>
      <c r="F27" s="48"/>
      <c r="G27" s="48" t="s">
        <v>589</v>
      </c>
      <c r="H27" s="51">
        <v>5</v>
      </c>
      <c r="I27" s="119">
        <v>15</v>
      </c>
      <c r="J27" s="48" t="s">
        <v>31</v>
      </c>
      <c r="K27" s="48" t="s">
        <v>32</v>
      </c>
    </row>
    <row r="28" spans="1:13" ht="15.75" customHeight="1">
      <c r="A28" s="50">
        <v>2</v>
      </c>
      <c r="B28" s="151" t="s">
        <v>3011</v>
      </c>
      <c r="C28" s="48" t="s">
        <v>27</v>
      </c>
      <c r="D28" s="48" t="s">
        <v>889</v>
      </c>
      <c r="E28" s="48" t="s">
        <v>44</v>
      </c>
      <c r="F28" s="48"/>
      <c r="G28" s="48" t="s">
        <v>30</v>
      </c>
      <c r="H28" s="51">
        <v>150</v>
      </c>
      <c r="I28" s="119">
        <v>30</v>
      </c>
      <c r="J28" s="48" t="s">
        <v>31</v>
      </c>
      <c r="K28" s="48" t="s">
        <v>32</v>
      </c>
      <c r="M28" s="126">
        <v>30</v>
      </c>
    </row>
    <row r="29" spans="1:13" ht="15.75" customHeight="1">
      <c r="A29" s="50">
        <v>2</v>
      </c>
      <c r="B29" s="48" t="s">
        <v>3012</v>
      </c>
      <c r="C29" s="48" t="s">
        <v>27</v>
      </c>
      <c r="D29" s="48" t="s">
        <v>104</v>
      </c>
      <c r="E29" s="48" t="s">
        <v>36</v>
      </c>
      <c r="F29" s="48"/>
      <c r="G29" s="48" t="s">
        <v>30</v>
      </c>
      <c r="H29" s="51">
        <v>500</v>
      </c>
      <c r="I29" s="119">
        <v>100</v>
      </c>
      <c r="J29" s="48" t="s">
        <v>31</v>
      </c>
      <c r="K29" s="48" t="s">
        <v>32</v>
      </c>
      <c r="M29" s="126">
        <v>100</v>
      </c>
    </row>
    <row r="30" spans="1:13" ht="15.75" customHeight="1">
      <c r="A30" s="50">
        <v>2</v>
      </c>
      <c r="B30" s="48" t="s">
        <v>3013</v>
      </c>
      <c r="C30" s="48" t="s">
        <v>27</v>
      </c>
      <c r="D30" s="48" t="s">
        <v>153</v>
      </c>
      <c r="E30" s="48" t="s">
        <v>36</v>
      </c>
      <c r="F30" s="48"/>
      <c r="G30" s="48" t="s">
        <v>30</v>
      </c>
      <c r="H30" s="51">
        <v>500</v>
      </c>
      <c r="I30" s="119">
        <v>100</v>
      </c>
      <c r="J30" s="48" t="s">
        <v>31</v>
      </c>
      <c r="K30" s="48" t="s">
        <v>32</v>
      </c>
      <c r="M30" s="126">
        <v>150</v>
      </c>
    </row>
    <row r="31" spans="1:13" ht="15.75" customHeight="1">
      <c r="A31" s="50">
        <v>2</v>
      </c>
      <c r="B31" s="48" t="s">
        <v>3014</v>
      </c>
      <c r="C31" s="48" t="s">
        <v>27</v>
      </c>
      <c r="D31" s="48" t="s">
        <v>387</v>
      </c>
      <c r="E31" s="48" t="s">
        <v>41</v>
      </c>
      <c r="F31" s="48"/>
      <c r="G31" s="48" t="s">
        <v>30</v>
      </c>
      <c r="H31" s="51">
        <v>500</v>
      </c>
      <c r="I31" s="119">
        <v>100</v>
      </c>
      <c r="J31" s="48" t="s">
        <v>31</v>
      </c>
      <c r="K31" s="48" t="s">
        <v>32</v>
      </c>
      <c r="M31" s="126">
        <v>100</v>
      </c>
    </row>
    <row r="32" spans="1:13" ht="15.75" customHeight="1">
      <c r="A32" s="50">
        <v>2</v>
      </c>
      <c r="B32" s="48" t="s">
        <v>3015</v>
      </c>
      <c r="C32" s="48" t="s">
        <v>27</v>
      </c>
      <c r="D32" s="48" t="s">
        <v>100</v>
      </c>
      <c r="E32" s="48" t="s">
        <v>84</v>
      </c>
      <c r="F32" s="48"/>
      <c r="G32" s="48" t="s">
        <v>30</v>
      </c>
      <c r="H32" s="51">
        <v>500</v>
      </c>
      <c r="I32" s="119">
        <v>100</v>
      </c>
      <c r="J32" s="48" t="s">
        <v>31</v>
      </c>
      <c r="K32" s="48" t="s">
        <v>32</v>
      </c>
      <c r="M32" s="126">
        <v>150</v>
      </c>
    </row>
    <row r="33" spans="1:13" ht="15.75" customHeight="1">
      <c r="A33" s="50">
        <v>2</v>
      </c>
      <c r="B33" s="48" t="s">
        <v>1218</v>
      </c>
      <c r="C33" s="48" t="s">
        <v>27</v>
      </c>
      <c r="D33" s="48" t="s">
        <v>1219</v>
      </c>
      <c r="E33" s="48" t="s">
        <v>44</v>
      </c>
      <c r="F33" s="48"/>
      <c r="G33" s="48" t="s">
        <v>30</v>
      </c>
      <c r="H33" s="51">
        <v>500</v>
      </c>
      <c r="I33" s="119">
        <v>100</v>
      </c>
      <c r="J33" s="48" t="s">
        <v>31</v>
      </c>
      <c r="K33" s="48" t="s">
        <v>32</v>
      </c>
      <c r="M33" s="126">
        <v>150</v>
      </c>
    </row>
    <row r="34" spans="1:13" ht="15.75" customHeight="1">
      <c r="A34" s="50">
        <v>2</v>
      </c>
      <c r="B34" s="48" t="s">
        <v>2330</v>
      </c>
      <c r="C34" s="48" t="s">
        <v>27</v>
      </c>
      <c r="D34" s="48" t="s">
        <v>2090</v>
      </c>
      <c r="E34" s="48" t="s">
        <v>84</v>
      </c>
      <c r="F34" s="48"/>
      <c r="G34" s="48" t="s">
        <v>30</v>
      </c>
      <c r="H34" s="51">
        <v>500</v>
      </c>
      <c r="I34" s="119">
        <v>100</v>
      </c>
      <c r="J34" s="48" t="s">
        <v>31</v>
      </c>
      <c r="K34" s="48" t="s">
        <v>32</v>
      </c>
      <c r="M34" s="126">
        <v>150</v>
      </c>
    </row>
    <row r="35" spans="1:13" ht="15.75" customHeight="1">
      <c r="A35" s="50">
        <v>2</v>
      </c>
      <c r="B35" s="48" t="s">
        <v>3016</v>
      </c>
      <c r="C35" s="48" t="s">
        <v>27</v>
      </c>
      <c r="D35" s="48" t="s">
        <v>2333</v>
      </c>
      <c r="E35" s="48" t="s">
        <v>68</v>
      </c>
      <c r="F35" s="48"/>
      <c r="G35" s="48" t="s">
        <v>30</v>
      </c>
      <c r="H35" s="51">
        <v>500</v>
      </c>
      <c r="I35" s="119">
        <v>100</v>
      </c>
      <c r="J35" s="48" t="s">
        <v>31</v>
      </c>
      <c r="K35" s="48" t="s">
        <v>32</v>
      </c>
      <c r="M35" s="126">
        <v>150</v>
      </c>
    </row>
    <row r="36" spans="1:13" ht="15.75" customHeight="1">
      <c r="A36" s="50">
        <v>2</v>
      </c>
      <c r="B36" s="151" t="s">
        <v>3017</v>
      </c>
      <c r="C36" s="48" t="s">
        <v>27</v>
      </c>
      <c r="D36" s="48" t="s">
        <v>721</v>
      </c>
      <c r="E36" s="48" t="s">
        <v>51</v>
      </c>
      <c r="F36" s="48"/>
      <c r="G36" s="48" t="s">
        <v>30</v>
      </c>
      <c r="H36" s="51">
        <v>500</v>
      </c>
      <c r="I36" s="119" t="s">
        <v>1586</v>
      </c>
      <c r="J36" s="48" t="s">
        <v>31</v>
      </c>
      <c r="K36" s="48" t="s">
        <v>32</v>
      </c>
      <c r="M36" s="126">
        <v>200</v>
      </c>
    </row>
    <row r="37" spans="1:13" ht="15.75" customHeight="1">
      <c r="A37" s="50">
        <v>2</v>
      </c>
      <c r="B37" s="151" t="s">
        <v>3017</v>
      </c>
      <c r="C37" s="48" t="s">
        <v>27</v>
      </c>
      <c r="D37" s="48" t="s">
        <v>721</v>
      </c>
      <c r="E37" s="48" t="s">
        <v>51</v>
      </c>
      <c r="F37" s="48"/>
      <c r="G37" s="48" t="s">
        <v>30</v>
      </c>
      <c r="H37" s="51">
        <v>500</v>
      </c>
      <c r="I37" s="119">
        <v>100</v>
      </c>
      <c r="J37" s="48" t="s">
        <v>31</v>
      </c>
      <c r="K37" s="48" t="s">
        <v>32</v>
      </c>
    </row>
    <row r="38" spans="1:13" ht="15.75" customHeight="1">
      <c r="A38" s="50">
        <v>2</v>
      </c>
      <c r="B38" s="151" t="s">
        <v>3018</v>
      </c>
      <c r="C38" s="48" t="s">
        <v>27</v>
      </c>
      <c r="D38" s="48" t="s">
        <v>137</v>
      </c>
      <c r="E38" s="48" t="s">
        <v>84</v>
      </c>
      <c r="F38" s="48"/>
      <c r="G38" s="48" t="s">
        <v>30</v>
      </c>
      <c r="H38" s="51">
        <v>500</v>
      </c>
      <c r="I38" s="119">
        <v>100</v>
      </c>
      <c r="J38" s="48" t="s">
        <v>31</v>
      </c>
      <c r="K38" s="48" t="s">
        <v>32</v>
      </c>
      <c r="M38" s="126">
        <v>100</v>
      </c>
    </row>
    <row r="39" spans="1:13" ht="15.75" customHeight="1">
      <c r="A39" s="65">
        <v>2</v>
      </c>
      <c r="B39" s="175" t="s">
        <v>3019</v>
      </c>
      <c r="C39" s="58" t="s">
        <v>27</v>
      </c>
      <c r="D39" s="58" t="s">
        <v>96</v>
      </c>
      <c r="E39" s="58" t="s">
        <v>44</v>
      </c>
      <c r="F39" s="58"/>
      <c r="G39" s="58" t="s">
        <v>30</v>
      </c>
      <c r="H39" s="59">
        <v>500</v>
      </c>
      <c r="I39" s="160">
        <v>100</v>
      </c>
      <c r="J39" s="58" t="s">
        <v>31</v>
      </c>
      <c r="K39" s="58" t="s">
        <v>32</v>
      </c>
      <c r="M39" s="126">
        <v>100</v>
      </c>
    </row>
    <row r="40" spans="1:13" ht="15.75" customHeight="1">
      <c r="A40" s="61">
        <v>3</v>
      </c>
      <c r="B40" s="292" t="s">
        <v>3020</v>
      </c>
      <c r="C40" s="62" t="s">
        <v>27</v>
      </c>
      <c r="D40" s="62" t="s">
        <v>100</v>
      </c>
      <c r="E40" s="62" t="s">
        <v>145</v>
      </c>
      <c r="F40" s="62"/>
      <c r="G40" s="62" t="s">
        <v>30</v>
      </c>
      <c r="H40" s="63">
        <v>1000</v>
      </c>
      <c r="I40" s="159">
        <v>200</v>
      </c>
      <c r="J40" s="62" t="s">
        <v>31</v>
      </c>
      <c r="K40" s="62" t="s">
        <v>32</v>
      </c>
      <c r="M40" s="126">
        <v>220</v>
      </c>
    </row>
    <row r="41" spans="1:13" ht="15.75" customHeight="1">
      <c r="A41" s="50">
        <v>3</v>
      </c>
      <c r="B41" s="151" t="s">
        <v>3021</v>
      </c>
      <c r="C41" s="48" t="s">
        <v>27</v>
      </c>
      <c r="D41" s="48" t="s">
        <v>912</v>
      </c>
      <c r="E41" s="48" t="s">
        <v>79</v>
      </c>
      <c r="F41" s="48"/>
      <c r="G41" s="48" t="s">
        <v>30</v>
      </c>
      <c r="H41" s="51">
        <v>1000</v>
      </c>
      <c r="I41" s="119">
        <v>200</v>
      </c>
      <c r="J41" s="48" t="s">
        <v>31</v>
      </c>
      <c r="K41" s="48" t="s">
        <v>32</v>
      </c>
      <c r="M41" s="126">
        <v>300</v>
      </c>
    </row>
    <row r="42" spans="1:13" ht="15.75" customHeight="1">
      <c r="A42" s="50">
        <v>3</v>
      </c>
      <c r="B42" s="151" t="s">
        <v>3022</v>
      </c>
      <c r="C42" s="48" t="s">
        <v>27</v>
      </c>
      <c r="D42" s="48" t="s">
        <v>100</v>
      </c>
      <c r="E42" s="48" t="s">
        <v>809</v>
      </c>
      <c r="F42" s="48"/>
      <c r="G42" s="48" t="s">
        <v>30</v>
      </c>
      <c r="H42" s="51">
        <v>1000</v>
      </c>
      <c r="I42" s="119">
        <v>200</v>
      </c>
      <c r="J42" s="48" t="s">
        <v>31</v>
      </c>
      <c r="K42" s="48" t="s">
        <v>32</v>
      </c>
      <c r="M42" s="126">
        <v>200</v>
      </c>
    </row>
    <row r="43" spans="1:13" ht="15.75" customHeight="1">
      <c r="A43" s="50">
        <v>3</v>
      </c>
      <c r="B43" s="151" t="s">
        <v>3023</v>
      </c>
      <c r="C43" s="48" t="s">
        <v>27</v>
      </c>
      <c r="D43" s="48" t="s">
        <v>416</v>
      </c>
      <c r="E43" s="48" t="s">
        <v>73</v>
      </c>
      <c r="F43" s="48"/>
      <c r="G43" s="48" t="s">
        <v>30</v>
      </c>
      <c r="H43" s="51">
        <v>1000</v>
      </c>
      <c r="I43" s="119">
        <v>200</v>
      </c>
      <c r="J43" s="48" t="s">
        <v>31</v>
      </c>
      <c r="K43" s="48" t="s">
        <v>32</v>
      </c>
      <c r="M43" s="126">
        <v>100</v>
      </c>
    </row>
    <row r="44" spans="1:13" ht="15.75" customHeight="1">
      <c r="A44" s="50">
        <v>3</v>
      </c>
      <c r="B44" s="151" t="s">
        <v>2806</v>
      </c>
      <c r="C44" s="48" t="s">
        <v>27</v>
      </c>
      <c r="D44" s="48" t="s">
        <v>1616</v>
      </c>
      <c r="E44" s="48" t="s">
        <v>47</v>
      </c>
      <c r="F44" s="48"/>
      <c r="G44" s="48" t="s">
        <v>30</v>
      </c>
      <c r="H44" s="51">
        <v>1000</v>
      </c>
      <c r="I44" s="119">
        <v>200</v>
      </c>
      <c r="J44" s="48" t="s">
        <v>31</v>
      </c>
      <c r="K44" s="48" t="s">
        <v>32</v>
      </c>
      <c r="M44" s="126">
        <v>800</v>
      </c>
    </row>
    <row r="45" spans="1:13" ht="15.75" customHeight="1">
      <c r="A45" s="50">
        <v>3</v>
      </c>
      <c r="B45" s="151" t="s">
        <v>3024</v>
      </c>
      <c r="C45" s="48" t="s">
        <v>27</v>
      </c>
      <c r="D45" s="48" t="s">
        <v>1616</v>
      </c>
      <c r="E45" s="48" t="s">
        <v>47</v>
      </c>
      <c r="F45" s="48"/>
      <c r="G45" s="48" t="s">
        <v>30</v>
      </c>
      <c r="H45" s="51">
        <v>1000</v>
      </c>
      <c r="I45" s="119">
        <v>200</v>
      </c>
      <c r="J45" s="48" t="s">
        <v>31</v>
      </c>
      <c r="K45" s="48" t="s">
        <v>32</v>
      </c>
      <c r="M45" s="126">
        <v>300</v>
      </c>
    </row>
    <row r="46" spans="1:13" ht="15.75" customHeight="1">
      <c r="A46" s="50">
        <v>3</v>
      </c>
      <c r="B46" s="151" t="s">
        <v>3025</v>
      </c>
      <c r="C46" s="48" t="s">
        <v>27</v>
      </c>
      <c r="D46" s="48" t="s">
        <v>2391</v>
      </c>
      <c r="E46" s="48" t="s">
        <v>89</v>
      </c>
      <c r="F46" s="48"/>
      <c r="G46" s="48" t="s">
        <v>30</v>
      </c>
      <c r="H46" s="51">
        <v>1000</v>
      </c>
      <c r="I46" s="119">
        <v>200</v>
      </c>
      <c r="J46" s="48" t="s">
        <v>31</v>
      </c>
      <c r="K46" s="48" t="s">
        <v>32</v>
      </c>
      <c r="M46" s="126">
        <v>300</v>
      </c>
    </row>
    <row r="47" spans="1:13" ht="15.75" customHeight="1">
      <c r="A47" s="50">
        <v>3</v>
      </c>
      <c r="B47" s="151" t="s">
        <v>3026</v>
      </c>
      <c r="C47" s="48" t="s">
        <v>27</v>
      </c>
      <c r="D47" s="48" t="s">
        <v>295</v>
      </c>
      <c r="E47" s="48" t="s">
        <v>51</v>
      </c>
      <c r="F47" s="48"/>
      <c r="G47" s="48" t="s">
        <v>30</v>
      </c>
      <c r="H47" s="51">
        <v>1000</v>
      </c>
      <c r="I47" s="119">
        <v>200</v>
      </c>
      <c r="J47" s="48" t="s">
        <v>31</v>
      </c>
      <c r="K47" s="48" t="s">
        <v>32</v>
      </c>
      <c r="M47" s="126">
        <v>300</v>
      </c>
    </row>
    <row r="48" spans="1:13" ht="15.75" customHeight="1">
      <c r="A48" s="50">
        <v>3</v>
      </c>
      <c r="B48" s="151" t="s">
        <v>3027</v>
      </c>
      <c r="C48" s="48" t="s">
        <v>27</v>
      </c>
      <c r="D48" s="48" t="s">
        <v>1110</v>
      </c>
      <c r="E48" s="48" t="s">
        <v>79</v>
      </c>
      <c r="F48" s="48"/>
      <c r="G48" s="48" t="s">
        <v>30</v>
      </c>
      <c r="H48" s="51">
        <v>1000</v>
      </c>
      <c r="I48" s="119">
        <v>200</v>
      </c>
      <c r="J48" s="48" t="s">
        <v>31</v>
      </c>
      <c r="K48" s="48" t="s">
        <v>32</v>
      </c>
      <c r="M48" s="126">
        <v>300</v>
      </c>
    </row>
    <row r="49" spans="1:16" ht="15.75" customHeight="1">
      <c r="A49" s="50">
        <v>3</v>
      </c>
      <c r="B49" s="151" t="s">
        <v>3028</v>
      </c>
      <c r="C49" s="48" t="s">
        <v>27</v>
      </c>
      <c r="D49" s="48" t="s">
        <v>1365</v>
      </c>
      <c r="E49" s="48" t="s">
        <v>86</v>
      </c>
      <c r="F49" s="48"/>
      <c r="G49" s="48" t="s">
        <v>30</v>
      </c>
      <c r="H49" s="51">
        <v>1000</v>
      </c>
      <c r="I49" s="119">
        <v>200</v>
      </c>
      <c r="J49" s="48" t="s">
        <v>31</v>
      </c>
      <c r="K49" s="48" t="s">
        <v>32</v>
      </c>
      <c r="M49" s="126">
        <v>200</v>
      </c>
    </row>
    <row r="50" spans="1:16" ht="15.75" customHeight="1">
      <c r="A50" s="50">
        <v>3</v>
      </c>
      <c r="B50" s="151" t="s">
        <v>3029</v>
      </c>
      <c r="C50" s="48" t="s">
        <v>27</v>
      </c>
      <c r="D50" s="48" t="s">
        <v>191</v>
      </c>
      <c r="E50" s="48" t="s">
        <v>36</v>
      </c>
      <c r="F50" s="48"/>
      <c r="G50" s="48" t="s">
        <v>30</v>
      </c>
      <c r="H50" s="51">
        <v>1000</v>
      </c>
      <c r="I50" s="119">
        <v>200</v>
      </c>
      <c r="J50" s="48" t="s">
        <v>31</v>
      </c>
      <c r="K50" s="48" t="s">
        <v>32</v>
      </c>
      <c r="M50" s="126">
        <v>200</v>
      </c>
    </row>
    <row r="51" spans="1:16" ht="15.75" customHeight="1">
      <c r="A51" s="50">
        <v>3</v>
      </c>
      <c r="B51" s="151" t="s">
        <v>3030</v>
      </c>
      <c r="C51" s="48" t="s">
        <v>27</v>
      </c>
      <c r="D51" s="48" t="s">
        <v>3031</v>
      </c>
      <c r="E51" s="48" t="s">
        <v>245</v>
      </c>
      <c r="F51" s="48"/>
      <c r="G51" s="48" t="s">
        <v>61</v>
      </c>
      <c r="H51" s="51">
        <v>10</v>
      </c>
      <c r="I51" s="119">
        <v>100</v>
      </c>
      <c r="J51" s="48" t="s">
        <v>31</v>
      </c>
      <c r="K51" s="48" t="s">
        <v>32</v>
      </c>
    </row>
    <row r="52" spans="1:16" ht="15.75" customHeight="1">
      <c r="A52" s="65">
        <v>3</v>
      </c>
      <c r="B52" s="175" t="s">
        <v>3032</v>
      </c>
      <c r="C52" s="58" t="s">
        <v>27</v>
      </c>
      <c r="D52" s="58" t="s">
        <v>108</v>
      </c>
      <c r="E52" s="58" t="s">
        <v>36</v>
      </c>
      <c r="F52" s="58"/>
      <c r="G52" s="58" t="s">
        <v>30</v>
      </c>
      <c r="H52" s="59">
        <v>100</v>
      </c>
      <c r="I52" s="160">
        <v>20</v>
      </c>
      <c r="J52" s="58" t="s">
        <v>31</v>
      </c>
      <c r="K52" s="58" t="s">
        <v>32</v>
      </c>
      <c r="M52" s="126">
        <v>20</v>
      </c>
    </row>
    <row r="53" spans="1:16" ht="15.75" customHeight="1">
      <c r="A53" s="61">
        <v>4</v>
      </c>
      <c r="B53" s="292" t="s">
        <v>1874</v>
      </c>
      <c r="C53" s="62" t="s">
        <v>27</v>
      </c>
      <c r="D53" s="62" t="s">
        <v>79</v>
      </c>
      <c r="E53" s="62" t="s">
        <v>145</v>
      </c>
      <c r="F53" s="62"/>
      <c r="G53" s="62" t="s">
        <v>30</v>
      </c>
      <c r="H53" s="63">
        <v>1000</v>
      </c>
      <c r="I53" s="159">
        <v>200</v>
      </c>
      <c r="J53" s="62" t="s">
        <v>31</v>
      </c>
      <c r="K53" s="62" t="s">
        <v>32</v>
      </c>
      <c r="M53" s="126">
        <v>200</v>
      </c>
      <c r="O53" s="772" t="s">
        <v>3033</v>
      </c>
      <c r="P53" s="719"/>
    </row>
    <row r="54" spans="1:16" ht="15.75" customHeight="1">
      <c r="A54" s="50">
        <v>4</v>
      </c>
      <c r="B54" s="151" t="s">
        <v>3034</v>
      </c>
      <c r="C54" s="48" t="s">
        <v>27</v>
      </c>
      <c r="D54" s="48" t="s">
        <v>104</v>
      </c>
      <c r="E54" s="48" t="s">
        <v>36</v>
      </c>
      <c r="F54" s="48"/>
      <c r="G54" s="48" t="s">
        <v>30</v>
      </c>
      <c r="H54" s="51">
        <v>1000</v>
      </c>
      <c r="I54" s="119">
        <v>200</v>
      </c>
      <c r="J54" s="48" t="s">
        <v>31</v>
      </c>
      <c r="K54" s="48" t="s">
        <v>32</v>
      </c>
      <c r="M54" s="126">
        <v>200</v>
      </c>
      <c r="O54" s="772" t="s">
        <v>25</v>
      </c>
      <c r="P54" s="719"/>
    </row>
    <row r="55" spans="1:16" ht="15.75" customHeight="1">
      <c r="A55" s="50">
        <v>4</v>
      </c>
      <c r="B55" s="151" t="s">
        <v>3035</v>
      </c>
      <c r="C55" s="48" t="s">
        <v>27</v>
      </c>
      <c r="D55" s="48" t="s">
        <v>391</v>
      </c>
      <c r="E55" s="48" t="s">
        <v>73</v>
      </c>
      <c r="F55" s="48"/>
      <c r="G55" s="48" t="s">
        <v>30</v>
      </c>
      <c r="H55" s="51">
        <v>1000</v>
      </c>
      <c r="I55" s="119">
        <v>200</v>
      </c>
      <c r="J55" s="48" t="s">
        <v>31</v>
      </c>
      <c r="K55" s="48" t="s">
        <v>32</v>
      </c>
      <c r="M55" s="126">
        <v>200</v>
      </c>
      <c r="O55" s="48" t="s">
        <v>37</v>
      </c>
      <c r="P55" s="48">
        <v>1000</v>
      </c>
    </row>
    <row r="56" spans="1:16" ht="15.75" customHeight="1">
      <c r="A56" s="50">
        <v>4</v>
      </c>
      <c r="B56" s="151" t="s">
        <v>3036</v>
      </c>
      <c r="C56" s="48" t="s">
        <v>27</v>
      </c>
      <c r="D56" s="48" t="s">
        <v>108</v>
      </c>
      <c r="E56" s="48" t="s">
        <v>36</v>
      </c>
      <c r="F56" s="48"/>
      <c r="G56" s="48" t="s">
        <v>30</v>
      </c>
      <c r="H56" s="51">
        <v>1000</v>
      </c>
      <c r="I56" s="119">
        <v>200</v>
      </c>
      <c r="J56" s="48" t="s">
        <v>31</v>
      </c>
      <c r="K56" s="48" t="s">
        <v>32</v>
      </c>
      <c r="M56" s="126">
        <v>200</v>
      </c>
      <c r="O56" s="48" t="s">
        <v>33</v>
      </c>
      <c r="P56" s="51">
        <v>47450</v>
      </c>
    </row>
    <row r="57" spans="1:16" ht="15.75" customHeight="1">
      <c r="A57" s="50">
        <v>4</v>
      </c>
      <c r="B57" s="151" t="s">
        <v>3037</v>
      </c>
      <c r="C57" s="48" t="s">
        <v>27</v>
      </c>
      <c r="D57" s="48" t="s">
        <v>108</v>
      </c>
      <c r="E57" s="48" t="s">
        <v>36</v>
      </c>
      <c r="F57" s="48"/>
      <c r="G57" s="48" t="s">
        <v>30</v>
      </c>
      <c r="H57" s="51">
        <v>1000</v>
      </c>
      <c r="I57" s="119">
        <v>200</v>
      </c>
      <c r="J57" s="48" t="s">
        <v>31</v>
      </c>
      <c r="K57" s="48" t="s">
        <v>32</v>
      </c>
      <c r="M57" s="126">
        <v>400</v>
      </c>
      <c r="O57" s="772" t="s">
        <v>286</v>
      </c>
      <c r="P57" s="719"/>
    </row>
    <row r="58" spans="1:16" ht="15.75" customHeight="1">
      <c r="A58" s="50">
        <v>4</v>
      </c>
      <c r="B58" s="151" t="s">
        <v>3038</v>
      </c>
      <c r="C58" s="48" t="s">
        <v>27</v>
      </c>
      <c r="D58" s="48" t="s">
        <v>387</v>
      </c>
      <c r="E58" s="48" t="s">
        <v>41</v>
      </c>
      <c r="F58" s="48"/>
      <c r="G58" s="48" t="s">
        <v>30</v>
      </c>
      <c r="H58" s="51">
        <v>1000</v>
      </c>
      <c r="I58" s="119">
        <v>200</v>
      </c>
      <c r="J58" s="48" t="s">
        <v>31</v>
      </c>
      <c r="K58" s="48" t="s">
        <v>32</v>
      </c>
      <c r="M58" s="126">
        <v>400</v>
      </c>
      <c r="O58" s="48" t="s">
        <v>1346</v>
      </c>
      <c r="P58" s="48">
        <v>10</v>
      </c>
    </row>
    <row r="59" spans="1:16" ht="15.75" customHeight="1">
      <c r="A59" s="50">
        <v>4</v>
      </c>
      <c r="B59" s="151" t="s">
        <v>3039</v>
      </c>
      <c r="C59" s="48" t="s">
        <v>27</v>
      </c>
      <c r="D59" s="48" t="s">
        <v>1230</v>
      </c>
      <c r="E59" s="48" t="s">
        <v>44</v>
      </c>
      <c r="F59" s="48"/>
      <c r="G59" s="48" t="s">
        <v>30</v>
      </c>
      <c r="H59" s="51">
        <v>1000</v>
      </c>
      <c r="I59" s="119">
        <v>200</v>
      </c>
      <c r="J59" s="48" t="s">
        <v>31</v>
      </c>
      <c r="K59" s="48" t="s">
        <v>32</v>
      </c>
      <c r="M59" s="126">
        <v>400</v>
      </c>
      <c r="O59" s="48" t="s">
        <v>2325</v>
      </c>
      <c r="P59" s="48">
        <v>5</v>
      </c>
    </row>
    <row r="60" spans="1:16" ht="15.75" customHeight="1">
      <c r="A60" s="50">
        <v>4</v>
      </c>
      <c r="B60" s="151" t="s">
        <v>3040</v>
      </c>
      <c r="C60" s="48" t="s">
        <v>27</v>
      </c>
      <c r="D60" s="48" t="s">
        <v>3041</v>
      </c>
      <c r="E60" s="48" t="s">
        <v>29</v>
      </c>
      <c r="F60" s="48"/>
      <c r="G60" s="48" t="s">
        <v>30</v>
      </c>
      <c r="H60" s="51">
        <v>2000</v>
      </c>
      <c r="I60" s="119">
        <v>400</v>
      </c>
      <c r="J60" s="48" t="s">
        <v>31</v>
      </c>
      <c r="K60" s="48" t="s">
        <v>32</v>
      </c>
      <c r="M60" s="126">
        <v>600</v>
      </c>
    </row>
    <row r="61" spans="1:16" ht="15.75" customHeight="1">
      <c r="A61" s="50">
        <v>4</v>
      </c>
      <c r="B61" s="151" t="s">
        <v>3042</v>
      </c>
      <c r="C61" s="48" t="s">
        <v>27</v>
      </c>
      <c r="D61" s="48" t="s">
        <v>733</v>
      </c>
      <c r="E61" s="48" t="s">
        <v>54</v>
      </c>
      <c r="F61" s="48"/>
      <c r="G61" s="48" t="s">
        <v>30</v>
      </c>
      <c r="H61" s="51">
        <v>2000</v>
      </c>
      <c r="I61" s="119">
        <v>400</v>
      </c>
      <c r="J61" s="48" t="s">
        <v>31</v>
      </c>
      <c r="K61" s="48" t="s">
        <v>32</v>
      </c>
      <c r="M61" s="126">
        <v>400</v>
      </c>
    </row>
    <row r="62" spans="1:16" ht="15.75" customHeight="1">
      <c r="A62" s="50">
        <v>4</v>
      </c>
      <c r="B62" s="151" t="s">
        <v>3043</v>
      </c>
      <c r="C62" s="48" t="s">
        <v>27</v>
      </c>
      <c r="D62" s="48" t="s">
        <v>912</v>
      </c>
      <c r="E62" s="48" t="s">
        <v>79</v>
      </c>
      <c r="F62" s="48"/>
      <c r="G62" s="48" t="s">
        <v>30</v>
      </c>
      <c r="H62" s="51">
        <v>2000</v>
      </c>
      <c r="I62" s="119">
        <v>400</v>
      </c>
      <c r="J62" s="48" t="s">
        <v>31</v>
      </c>
      <c r="K62" s="48" t="s">
        <v>32</v>
      </c>
      <c r="M62" s="126">
        <v>300</v>
      </c>
    </row>
    <row r="63" spans="1:16" ht="15.75" customHeight="1">
      <c r="A63" s="50">
        <v>4</v>
      </c>
      <c r="B63" s="151" t="s">
        <v>3044</v>
      </c>
      <c r="C63" s="48" t="s">
        <v>39</v>
      </c>
      <c r="D63" s="48" t="s">
        <v>108</v>
      </c>
      <c r="E63" s="48" t="s">
        <v>36</v>
      </c>
      <c r="F63" s="48"/>
      <c r="G63" s="48" t="s">
        <v>30</v>
      </c>
      <c r="H63" s="51">
        <v>2000</v>
      </c>
      <c r="I63" s="119">
        <v>400</v>
      </c>
      <c r="J63" s="48" t="s">
        <v>31</v>
      </c>
      <c r="K63" s="48" t="s">
        <v>32</v>
      </c>
      <c r="M63" s="126">
        <v>300</v>
      </c>
    </row>
    <row r="64" spans="1:16" ht="15.75" customHeight="1">
      <c r="A64" s="50">
        <v>4</v>
      </c>
      <c r="B64" s="151" t="s">
        <v>3045</v>
      </c>
      <c r="C64" s="48" t="s">
        <v>27</v>
      </c>
      <c r="D64" s="48" t="s">
        <v>657</v>
      </c>
      <c r="E64" s="48" t="s">
        <v>73</v>
      </c>
      <c r="F64" s="48"/>
      <c r="G64" s="48" t="s">
        <v>30</v>
      </c>
      <c r="H64" s="51">
        <v>1100</v>
      </c>
      <c r="I64" s="119">
        <v>220</v>
      </c>
      <c r="J64" s="48" t="s">
        <v>31</v>
      </c>
      <c r="K64" s="48" t="s">
        <v>32</v>
      </c>
      <c r="M64" s="126">
        <v>200</v>
      </c>
    </row>
    <row r="65" spans="1:13" ht="15.75" customHeight="1">
      <c r="A65" s="65">
        <v>4</v>
      </c>
      <c r="B65" s="175" t="s">
        <v>3046</v>
      </c>
      <c r="C65" s="58" t="s">
        <v>27</v>
      </c>
      <c r="D65" s="58" t="s">
        <v>222</v>
      </c>
      <c r="E65" s="58" t="s">
        <v>223</v>
      </c>
      <c r="F65" s="58"/>
      <c r="G65" s="58" t="s">
        <v>30</v>
      </c>
      <c r="H65" s="59">
        <v>1100</v>
      </c>
      <c r="I65" s="160">
        <v>220</v>
      </c>
      <c r="J65" s="58" t="s">
        <v>31</v>
      </c>
      <c r="K65" s="58" t="s">
        <v>32</v>
      </c>
      <c r="M65" s="126">
        <v>200</v>
      </c>
    </row>
    <row r="66" spans="1:13" ht="15.75" customHeight="1">
      <c r="A66" s="61">
        <v>5</v>
      </c>
      <c r="B66" s="292" t="s">
        <v>3047</v>
      </c>
      <c r="C66" s="62" t="s">
        <v>27</v>
      </c>
      <c r="D66" s="62" t="s">
        <v>1937</v>
      </c>
      <c r="E66" s="62" t="s">
        <v>245</v>
      </c>
      <c r="F66" s="62"/>
      <c r="G66" s="62" t="s">
        <v>30</v>
      </c>
      <c r="H66" s="63">
        <v>100</v>
      </c>
      <c r="I66" s="159">
        <v>20</v>
      </c>
      <c r="J66" s="62" t="s">
        <v>31</v>
      </c>
      <c r="K66" s="62" t="s">
        <v>32</v>
      </c>
      <c r="M66" s="126">
        <v>20</v>
      </c>
    </row>
    <row r="67" spans="1:13" ht="15.75" customHeight="1">
      <c r="A67" s="50">
        <v>5</v>
      </c>
      <c r="B67" s="151" t="s">
        <v>3048</v>
      </c>
      <c r="C67" s="48" t="s">
        <v>27</v>
      </c>
      <c r="D67" s="48" t="s">
        <v>2333</v>
      </c>
      <c r="E67" s="48" t="s">
        <v>68</v>
      </c>
      <c r="F67" s="48"/>
      <c r="G67" s="48" t="s">
        <v>30</v>
      </c>
      <c r="H67" s="51">
        <v>600</v>
      </c>
      <c r="I67" s="119">
        <v>120</v>
      </c>
      <c r="J67" s="48" t="s">
        <v>31</v>
      </c>
      <c r="K67" s="48" t="s">
        <v>32</v>
      </c>
      <c r="M67" s="126">
        <v>100</v>
      </c>
    </row>
    <row r="68" spans="1:13" ht="15.75" customHeight="1">
      <c r="A68" s="50">
        <v>5</v>
      </c>
      <c r="B68" s="151" t="s">
        <v>3049</v>
      </c>
      <c r="C68" s="48" t="s">
        <v>27</v>
      </c>
      <c r="D68" s="48" t="s">
        <v>731</v>
      </c>
      <c r="E68" s="48" t="s">
        <v>245</v>
      </c>
      <c r="F68" s="48"/>
      <c r="G68" s="48" t="s">
        <v>30</v>
      </c>
      <c r="H68" s="51">
        <v>300</v>
      </c>
      <c r="I68" s="119">
        <v>60</v>
      </c>
      <c r="J68" s="48" t="s">
        <v>31</v>
      </c>
      <c r="K68" s="48" t="s">
        <v>32</v>
      </c>
      <c r="M68" s="126">
        <v>100</v>
      </c>
    </row>
    <row r="69" spans="1:13" ht="15.75" customHeight="1">
      <c r="A69" s="50">
        <v>5</v>
      </c>
      <c r="B69" s="151" t="s">
        <v>3050</v>
      </c>
      <c r="C69" s="48" t="s">
        <v>27</v>
      </c>
      <c r="D69" s="48" t="s">
        <v>100</v>
      </c>
      <c r="E69" s="48" t="s">
        <v>86</v>
      </c>
      <c r="F69" s="48"/>
      <c r="G69" s="48" t="s">
        <v>30</v>
      </c>
      <c r="H69" s="51">
        <v>200</v>
      </c>
      <c r="I69" s="119">
        <v>80</v>
      </c>
      <c r="J69" s="48" t="s">
        <v>31</v>
      </c>
      <c r="K69" s="48" t="s">
        <v>32</v>
      </c>
      <c r="M69" s="126">
        <v>40</v>
      </c>
    </row>
    <row r="70" spans="1:13" ht="15.75" customHeight="1">
      <c r="A70" s="50">
        <v>5</v>
      </c>
      <c r="B70" s="151" t="s">
        <v>3051</v>
      </c>
      <c r="C70" s="48" t="s">
        <v>27</v>
      </c>
      <c r="D70" s="48" t="s">
        <v>695</v>
      </c>
      <c r="E70" s="48" t="s">
        <v>102</v>
      </c>
      <c r="F70" s="48"/>
      <c r="G70" s="48" t="s">
        <v>30</v>
      </c>
      <c r="H70" s="51">
        <v>850</v>
      </c>
      <c r="I70" s="119">
        <v>170</v>
      </c>
      <c r="J70" s="48" t="s">
        <v>31</v>
      </c>
      <c r="K70" s="48" t="s">
        <v>32</v>
      </c>
      <c r="M70" s="126">
        <v>200</v>
      </c>
    </row>
    <row r="71" spans="1:13" ht="15.75" customHeight="1">
      <c r="A71" s="50">
        <v>5</v>
      </c>
      <c r="B71" s="151" t="s">
        <v>3052</v>
      </c>
      <c r="C71" s="48" t="s">
        <v>27</v>
      </c>
      <c r="D71" s="48" t="s">
        <v>2053</v>
      </c>
      <c r="E71" s="48" t="s">
        <v>86</v>
      </c>
      <c r="F71" s="48"/>
      <c r="G71" s="48" t="s">
        <v>30</v>
      </c>
      <c r="H71" s="51">
        <v>300</v>
      </c>
      <c r="I71" s="119">
        <v>60</v>
      </c>
      <c r="J71" s="48" t="s">
        <v>31</v>
      </c>
      <c r="K71" s="48" t="s">
        <v>32</v>
      </c>
      <c r="M71" s="126">
        <v>150</v>
      </c>
    </row>
    <row r="72" spans="1:13" ht="15.75" customHeight="1">
      <c r="A72" s="50">
        <v>5</v>
      </c>
      <c r="B72" s="151" t="s">
        <v>3053</v>
      </c>
      <c r="C72" s="48" t="s">
        <v>39</v>
      </c>
      <c r="D72" s="48" t="s">
        <v>3054</v>
      </c>
      <c r="E72" s="48" t="s">
        <v>84</v>
      </c>
      <c r="F72" s="48"/>
      <c r="G72" s="48" t="s">
        <v>589</v>
      </c>
      <c r="H72" s="51">
        <v>10</v>
      </c>
      <c r="I72" s="119">
        <v>30</v>
      </c>
      <c r="J72" s="48" t="s">
        <v>31</v>
      </c>
      <c r="K72" s="48" t="s">
        <v>32</v>
      </c>
    </row>
    <row r="73" spans="1:13" ht="15.75" customHeight="1">
      <c r="A73" s="50">
        <v>5</v>
      </c>
      <c r="B73" s="151" t="s">
        <v>3055</v>
      </c>
      <c r="C73" s="48" t="s">
        <v>27</v>
      </c>
      <c r="D73" s="48" t="s">
        <v>2090</v>
      </c>
      <c r="E73" s="48" t="s">
        <v>84</v>
      </c>
      <c r="F73" s="48"/>
      <c r="G73" s="48" t="s">
        <v>30</v>
      </c>
      <c r="H73" s="51">
        <v>100</v>
      </c>
      <c r="I73" s="119">
        <v>20</v>
      </c>
      <c r="J73" s="48" t="s">
        <v>31</v>
      </c>
      <c r="K73" s="48" t="s">
        <v>32</v>
      </c>
      <c r="M73" s="126">
        <v>20</v>
      </c>
    </row>
    <row r="74" spans="1:13" ht="15.75" customHeight="1">
      <c r="A74" s="50">
        <v>5</v>
      </c>
      <c r="B74" s="151" t="s">
        <v>3056</v>
      </c>
      <c r="C74" s="48" t="s">
        <v>27</v>
      </c>
      <c r="D74" s="48" t="s">
        <v>645</v>
      </c>
      <c r="E74" s="48" t="s">
        <v>29</v>
      </c>
      <c r="F74" s="48"/>
      <c r="G74" s="48" t="s">
        <v>30</v>
      </c>
      <c r="H74" s="51">
        <v>15000</v>
      </c>
      <c r="I74" s="119">
        <v>3000</v>
      </c>
      <c r="J74" s="48" t="s">
        <v>31</v>
      </c>
      <c r="K74" s="48" t="s">
        <v>32</v>
      </c>
      <c r="M74" s="126">
        <v>5000</v>
      </c>
    </row>
    <row r="75" spans="1:13" ht="15.75" customHeight="1">
      <c r="A75" s="50">
        <v>5</v>
      </c>
      <c r="B75" s="151" t="s">
        <v>3057</v>
      </c>
      <c r="C75" s="48" t="s">
        <v>27</v>
      </c>
      <c r="D75" s="48" t="s">
        <v>1555</v>
      </c>
      <c r="E75" s="48" t="s">
        <v>60</v>
      </c>
      <c r="F75" s="48"/>
      <c r="G75" s="48" t="s">
        <v>30</v>
      </c>
      <c r="H75" s="51">
        <v>10000</v>
      </c>
      <c r="I75" s="119">
        <v>2000</v>
      </c>
      <c r="J75" s="48" t="s">
        <v>31</v>
      </c>
      <c r="K75" s="48" t="s">
        <v>32</v>
      </c>
      <c r="M75" s="126">
        <v>2500</v>
      </c>
    </row>
    <row r="76" spans="1:13" ht="15.75" customHeight="1">
      <c r="A76" s="50">
        <v>5</v>
      </c>
      <c r="B76" s="48" t="s">
        <v>3058</v>
      </c>
      <c r="C76" s="48" t="s">
        <v>27</v>
      </c>
      <c r="D76" s="48" t="s">
        <v>439</v>
      </c>
      <c r="E76" s="48" t="s">
        <v>145</v>
      </c>
      <c r="F76" s="48"/>
      <c r="G76" s="48" t="s">
        <v>30</v>
      </c>
      <c r="H76" s="51">
        <v>300</v>
      </c>
      <c r="I76" s="119">
        <v>90</v>
      </c>
      <c r="J76" s="48" t="s">
        <v>31</v>
      </c>
      <c r="K76" s="48" t="s">
        <v>32</v>
      </c>
      <c r="M76" s="126">
        <v>50</v>
      </c>
    </row>
    <row r="77" spans="1:13" ht="15.75" customHeight="1">
      <c r="A77" s="50">
        <v>5</v>
      </c>
      <c r="B77" s="48" t="s">
        <v>1880</v>
      </c>
      <c r="C77" s="48" t="s">
        <v>27</v>
      </c>
      <c r="D77" s="151" t="s">
        <v>934</v>
      </c>
      <c r="E77" s="48" t="s">
        <v>44</v>
      </c>
      <c r="F77" s="48"/>
      <c r="G77" s="48" t="s">
        <v>30</v>
      </c>
      <c r="H77" s="51">
        <v>150</v>
      </c>
      <c r="I77" s="119">
        <v>30</v>
      </c>
      <c r="J77" s="48" t="s">
        <v>31</v>
      </c>
      <c r="K77" s="48" t="s">
        <v>32</v>
      </c>
      <c r="M77" s="126">
        <v>30</v>
      </c>
    </row>
    <row r="78" spans="1:13" ht="15.75" customHeight="1">
      <c r="A78" s="65">
        <v>5</v>
      </c>
      <c r="B78" s="175" t="s">
        <v>3059</v>
      </c>
      <c r="C78" s="58" t="s">
        <v>27</v>
      </c>
      <c r="D78" s="58" t="s">
        <v>3060</v>
      </c>
      <c r="E78" s="58" t="s">
        <v>44</v>
      </c>
      <c r="F78" s="58"/>
      <c r="G78" s="58" t="s">
        <v>30</v>
      </c>
      <c r="H78" s="59">
        <v>3000</v>
      </c>
      <c r="I78" s="160" t="s">
        <v>1586</v>
      </c>
      <c r="J78" s="58" t="s">
        <v>31</v>
      </c>
      <c r="K78" s="58" t="s">
        <v>32</v>
      </c>
      <c r="M78" s="126">
        <v>500</v>
      </c>
    </row>
    <row r="79" spans="1:13" ht="15.75" customHeight="1">
      <c r="A79" s="61">
        <v>6</v>
      </c>
      <c r="B79" s="292" t="s">
        <v>3061</v>
      </c>
      <c r="C79" s="62" t="s">
        <v>27</v>
      </c>
      <c r="D79" s="62" t="s">
        <v>2376</v>
      </c>
      <c r="E79" s="62" t="s">
        <v>73</v>
      </c>
      <c r="F79" s="62"/>
      <c r="G79" s="62" t="s">
        <v>30</v>
      </c>
      <c r="H79" s="63">
        <v>500</v>
      </c>
      <c r="I79" s="159">
        <v>100</v>
      </c>
      <c r="J79" s="62" t="s">
        <v>31</v>
      </c>
      <c r="K79" s="62" t="s">
        <v>32</v>
      </c>
      <c r="M79" s="126">
        <v>100</v>
      </c>
    </row>
    <row r="80" spans="1:13" ht="15.75" customHeight="1">
      <c r="A80" s="50">
        <v>6</v>
      </c>
      <c r="B80" s="151" t="s">
        <v>3062</v>
      </c>
      <c r="C80" s="48" t="s">
        <v>27</v>
      </c>
      <c r="D80" s="48" t="s">
        <v>65</v>
      </c>
      <c r="E80" s="48" t="s">
        <v>36</v>
      </c>
      <c r="F80" s="48"/>
      <c r="G80" s="48" t="s">
        <v>30</v>
      </c>
      <c r="H80" s="51">
        <v>200</v>
      </c>
      <c r="I80" s="119">
        <v>40</v>
      </c>
      <c r="J80" s="48" t="s">
        <v>31</v>
      </c>
      <c r="K80" s="48" t="s">
        <v>32</v>
      </c>
      <c r="M80" s="126">
        <v>60</v>
      </c>
    </row>
    <row r="81" spans="1:16" ht="15.75" customHeight="1">
      <c r="A81" s="50">
        <v>6</v>
      </c>
      <c r="B81" s="151" t="s">
        <v>3063</v>
      </c>
      <c r="C81" s="48" t="s">
        <v>39</v>
      </c>
      <c r="D81" s="48" t="s">
        <v>1917</v>
      </c>
      <c r="E81" s="48" t="s">
        <v>68</v>
      </c>
      <c r="F81" s="48"/>
      <c r="G81" s="48" t="s">
        <v>30</v>
      </c>
      <c r="H81" s="51">
        <v>500</v>
      </c>
      <c r="I81" s="119">
        <v>100</v>
      </c>
      <c r="J81" s="48" t="s">
        <v>31</v>
      </c>
      <c r="K81" s="48" t="s">
        <v>32</v>
      </c>
      <c r="M81" s="126">
        <v>100</v>
      </c>
    </row>
    <row r="82" spans="1:16" ht="15.75" customHeight="1">
      <c r="A82" s="50">
        <v>6</v>
      </c>
      <c r="B82" s="151" t="s">
        <v>307</v>
      </c>
      <c r="C82" s="48" t="s">
        <v>27</v>
      </c>
      <c r="D82" s="48" t="s">
        <v>104</v>
      </c>
      <c r="E82" s="48" t="s">
        <v>36</v>
      </c>
      <c r="F82" s="48"/>
      <c r="G82" s="48" t="s">
        <v>30</v>
      </c>
      <c r="H82" s="51">
        <v>500</v>
      </c>
      <c r="I82" s="119">
        <v>100</v>
      </c>
      <c r="J82" s="48" t="s">
        <v>31</v>
      </c>
      <c r="K82" s="48" t="s">
        <v>32</v>
      </c>
      <c r="M82" s="126">
        <v>100</v>
      </c>
    </row>
    <row r="83" spans="1:16" ht="15.75" customHeight="1">
      <c r="A83" s="50">
        <v>6</v>
      </c>
      <c r="B83" s="151" t="s">
        <v>3064</v>
      </c>
      <c r="C83" s="48" t="s">
        <v>39</v>
      </c>
      <c r="D83" s="48" t="s">
        <v>3065</v>
      </c>
      <c r="E83" s="48" t="s">
        <v>36</v>
      </c>
      <c r="F83" s="48"/>
      <c r="G83" s="48" t="s">
        <v>30</v>
      </c>
      <c r="H83" s="51">
        <v>500</v>
      </c>
      <c r="I83" s="119">
        <v>100</v>
      </c>
      <c r="J83" s="48" t="s">
        <v>31</v>
      </c>
      <c r="K83" s="48" t="s">
        <v>32</v>
      </c>
      <c r="M83" s="126">
        <v>360</v>
      </c>
    </row>
    <row r="84" spans="1:16" ht="15.75" customHeight="1">
      <c r="A84" s="50">
        <v>6</v>
      </c>
      <c r="B84" s="151" t="s">
        <v>3066</v>
      </c>
      <c r="C84" s="48" t="s">
        <v>27</v>
      </c>
      <c r="D84" s="48" t="s">
        <v>3065</v>
      </c>
      <c r="E84" s="48" t="s">
        <v>36</v>
      </c>
      <c r="F84" s="48"/>
      <c r="G84" s="48" t="s">
        <v>30</v>
      </c>
      <c r="H84" s="51">
        <v>500</v>
      </c>
      <c r="I84" s="119">
        <v>100</v>
      </c>
      <c r="J84" s="48" t="s">
        <v>31</v>
      </c>
      <c r="K84" s="48" t="s">
        <v>32</v>
      </c>
      <c r="L84" s="55"/>
      <c r="P84" s="126">
        <v>37210</v>
      </c>
    </row>
    <row r="85" spans="1:16" ht="15.75" customHeight="1">
      <c r="A85" s="50">
        <v>6</v>
      </c>
      <c r="B85" s="151" t="s">
        <v>3067</v>
      </c>
      <c r="C85" s="48" t="s">
        <v>27</v>
      </c>
      <c r="D85" s="48" t="s">
        <v>128</v>
      </c>
      <c r="E85" s="48" t="s">
        <v>36</v>
      </c>
      <c r="F85" s="48"/>
      <c r="G85" s="48" t="s">
        <v>30</v>
      </c>
      <c r="H85" s="51">
        <v>500</v>
      </c>
      <c r="I85" s="119">
        <v>100</v>
      </c>
      <c r="J85" s="48" t="s">
        <v>31</v>
      </c>
      <c r="K85" s="48" t="s">
        <v>32</v>
      </c>
      <c r="L85" s="55"/>
      <c r="M85" s="126">
        <v>100</v>
      </c>
      <c r="P85" s="55">
        <f>P84-H78</f>
        <v>34210</v>
      </c>
    </row>
    <row r="86" spans="1:16" ht="15.75" customHeight="1">
      <c r="A86" s="50">
        <v>6</v>
      </c>
      <c r="B86" s="151" t="s">
        <v>3068</v>
      </c>
      <c r="C86" s="48" t="s">
        <v>27</v>
      </c>
      <c r="D86" s="48" t="s">
        <v>1813</v>
      </c>
      <c r="E86" s="48" t="s">
        <v>145</v>
      </c>
      <c r="F86" s="48"/>
      <c r="G86" s="48" t="s">
        <v>30</v>
      </c>
      <c r="H86" s="51">
        <v>500</v>
      </c>
      <c r="I86" s="119">
        <v>100</v>
      </c>
      <c r="J86" s="48" t="s">
        <v>31</v>
      </c>
      <c r="K86" s="48" t="s">
        <v>32</v>
      </c>
      <c r="M86" s="126">
        <v>100</v>
      </c>
      <c r="P86" s="55">
        <f>P85-H72</f>
        <v>34200</v>
      </c>
    </row>
    <row r="87" spans="1:16" ht="15.75" customHeight="1">
      <c r="A87" s="50">
        <v>6</v>
      </c>
      <c r="B87" s="151" t="s">
        <v>3069</v>
      </c>
      <c r="C87" s="48" t="s">
        <v>27</v>
      </c>
      <c r="D87" s="48" t="s">
        <v>391</v>
      </c>
      <c r="E87" s="48" t="s">
        <v>73</v>
      </c>
      <c r="F87" s="48"/>
      <c r="G87" s="48" t="s">
        <v>30</v>
      </c>
      <c r="H87" s="51">
        <v>500</v>
      </c>
      <c r="I87" s="119">
        <v>100</v>
      </c>
      <c r="J87" s="48" t="s">
        <v>31</v>
      </c>
      <c r="K87" s="48" t="s">
        <v>32</v>
      </c>
      <c r="M87" s="126">
        <v>400</v>
      </c>
    </row>
    <row r="88" spans="1:16" ht="15.75" customHeight="1">
      <c r="A88" s="50">
        <v>6</v>
      </c>
      <c r="B88" s="151" t="s">
        <v>3070</v>
      </c>
      <c r="C88" s="48" t="s">
        <v>39</v>
      </c>
      <c r="D88" s="48" t="s">
        <v>1616</v>
      </c>
      <c r="E88" s="48" t="s">
        <v>47</v>
      </c>
      <c r="F88" s="48"/>
      <c r="G88" s="48" t="s">
        <v>30</v>
      </c>
      <c r="H88" s="51">
        <v>500</v>
      </c>
      <c r="I88" s="119">
        <v>100</v>
      </c>
      <c r="J88" s="48" t="s">
        <v>31</v>
      </c>
      <c r="K88" s="48" t="s">
        <v>32</v>
      </c>
      <c r="M88" s="126">
        <v>100</v>
      </c>
    </row>
    <row r="89" spans="1:16" ht="15.75" customHeight="1">
      <c r="A89" s="50">
        <v>6</v>
      </c>
      <c r="B89" s="151" t="s">
        <v>3071</v>
      </c>
      <c r="C89" s="48" t="s">
        <v>27</v>
      </c>
      <c r="D89" s="151" t="s">
        <v>934</v>
      </c>
      <c r="E89" s="48" t="s">
        <v>44</v>
      </c>
      <c r="F89" s="48"/>
      <c r="G89" s="48" t="s">
        <v>30</v>
      </c>
      <c r="H89" s="51">
        <v>1000</v>
      </c>
      <c r="I89" s="119">
        <v>400</v>
      </c>
      <c r="J89" s="48" t="s">
        <v>31</v>
      </c>
      <c r="K89" s="48" t="s">
        <v>32</v>
      </c>
      <c r="M89" s="126">
        <v>400</v>
      </c>
    </row>
    <row r="90" spans="1:16" ht="15.75" customHeight="1">
      <c r="A90" s="50">
        <v>6</v>
      </c>
      <c r="B90" s="151" t="s">
        <v>3072</v>
      </c>
      <c r="C90" s="48" t="s">
        <v>27</v>
      </c>
      <c r="D90" s="151" t="s">
        <v>934</v>
      </c>
      <c r="E90" s="48" t="s">
        <v>44</v>
      </c>
      <c r="F90" s="48"/>
      <c r="G90" s="48" t="s">
        <v>30</v>
      </c>
      <c r="H90" s="51">
        <v>200</v>
      </c>
      <c r="I90" s="119">
        <v>40</v>
      </c>
      <c r="J90" s="48" t="s">
        <v>31</v>
      </c>
      <c r="K90" s="48" t="s">
        <v>32</v>
      </c>
      <c r="M90" s="126">
        <v>40</v>
      </c>
    </row>
    <row r="91" spans="1:16" ht="15.75" customHeight="1">
      <c r="A91" s="65">
        <v>6</v>
      </c>
      <c r="B91" s="175" t="s">
        <v>3073</v>
      </c>
      <c r="C91" s="58" t="s">
        <v>27</v>
      </c>
      <c r="D91" s="58" t="s">
        <v>688</v>
      </c>
      <c r="E91" s="58" t="s">
        <v>223</v>
      </c>
      <c r="F91" s="58"/>
      <c r="G91" s="58" t="s">
        <v>30</v>
      </c>
      <c r="H91" s="59">
        <v>100</v>
      </c>
      <c r="I91" s="160">
        <v>20</v>
      </c>
      <c r="J91" s="58" t="s">
        <v>31</v>
      </c>
      <c r="K91" s="58" t="s">
        <v>32</v>
      </c>
      <c r="L91" s="55"/>
      <c r="M91" s="126">
        <v>20</v>
      </c>
    </row>
    <row r="92" spans="1:16" ht="15.75" customHeight="1">
      <c r="A92" s="398">
        <v>7</v>
      </c>
      <c r="B92" s="292" t="s">
        <v>3074</v>
      </c>
      <c r="C92" s="62" t="s">
        <v>27</v>
      </c>
      <c r="D92" s="62" t="s">
        <v>191</v>
      </c>
      <c r="E92" s="62" t="s">
        <v>47</v>
      </c>
      <c r="F92" s="62"/>
      <c r="G92" s="62" t="s">
        <v>30</v>
      </c>
      <c r="H92" s="63">
        <v>300</v>
      </c>
      <c r="I92" s="159">
        <v>60</v>
      </c>
      <c r="J92" s="62" t="s">
        <v>31</v>
      </c>
      <c r="K92" s="62" t="s">
        <v>32</v>
      </c>
      <c r="M92" s="126">
        <v>60</v>
      </c>
    </row>
    <row r="93" spans="1:16" ht="15.75" customHeight="1">
      <c r="A93" s="50">
        <v>7</v>
      </c>
      <c r="B93" s="151" t="s">
        <v>3075</v>
      </c>
      <c r="C93" s="48" t="s">
        <v>27</v>
      </c>
      <c r="D93" s="48" t="s">
        <v>1365</v>
      </c>
      <c r="E93" s="48" t="s">
        <v>86</v>
      </c>
      <c r="F93" s="48"/>
      <c r="G93" s="48" t="s">
        <v>30</v>
      </c>
      <c r="H93" s="51">
        <v>300</v>
      </c>
      <c r="I93" s="119">
        <v>60</v>
      </c>
      <c r="J93" s="48" t="s">
        <v>31</v>
      </c>
      <c r="K93" s="48" t="s">
        <v>32</v>
      </c>
      <c r="M93" s="126">
        <v>60</v>
      </c>
    </row>
    <row r="94" spans="1:16" ht="15.75" customHeight="1">
      <c r="A94" s="50">
        <v>7</v>
      </c>
      <c r="B94" s="151" t="s">
        <v>3076</v>
      </c>
      <c r="C94" s="48" t="s">
        <v>27</v>
      </c>
      <c r="D94" s="48" t="s">
        <v>193</v>
      </c>
      <c r="E94" s="48" t="s">
        <v>36</v>
      </c>
      <c r="F94" s="48"/>
      <c r="G94" s="48" t="s">
        <v>1249</v>
      </c>
      <c r="H94" s="51">
        <v>200</v>
      </c>
      <c r="I94" s="119">
        <v>120</v>
      </c>
      <c r="J94" s="48" t="s">
        <v>31</v>
      </c>
      <c r="K94" s="48" t="s">
        <v>32</v>
      </c>
    </row>
    <row r="95" spans="1:16" ht="15.75" customHeight="1">
      <c r="A95" s="50">
        <v>7</v>
      </c>
      <c r="B95" s="151" t="s">
        <v>846</v>
      </c>
      <c r="C95" s="48" t="s">
        <v>27</v>
      </c>
      <c r="D95" s="48" t="s">
        <v>3077</v>
      </c>
      <c r="E95" s="48" t="s">
        <v>102</v>
      </c>
      <c r="F95" s="48"/>
      <c r="G95" s="48" t="s">
        <v>30</v>
      </c>
      <c r="H95" s="51">
        <v>250</v>
      </c>
      <c r="I95" s="119">
        <v>50</v>
      </c>
      <c r="J95" s="48" t="s">
        <v>31</v>
      </c>
      <c r="K95" s="48" t="s">
        <v>32</v>
      </c>
      <c r="M95" s="126">
        <v>50</v>
      </c>
    </row>
    <row r="96" spans="1:16" ht="15.75" customHeight="1">
      <c r="A96" s="50">
        <v>7</v>
      </c>
      <c r="B96" s="151" t="s">
        <v>1880</v>
      </c>
      <c r="C96" s="48" t="s">
        <v>27</v>
      </c>
      <c r="D96" s="151" t="s">
        <v>934</v>
      </c>
      <c r="E96" s="48" t="s">
        <v>44</v>
      </c>
      <c r="F96" s="48"/>
      <c r="G96" s="48" t="s">
        <v>30</v>
      </c>
      <c r="H96" s="51">
        <v>200</v>
      </c>
      <c r="I96" s="119">
        <v>40</v>
      </c>
      <c r="J96" s="48" t="s">
        <v>31</v>
      </c>
      <c r="K96" s="48" t="s">
        <v>32</v>
      </c>
      <c r="M96" s="126">
        <v>40</v>
      </c>
    </row>
    <row r="97" spans="1:13" ht="15.75" customHeight="1">
      <c r="A97" s="50">
        <v>7</v>
      </c>
      <c r="B97" s="48" t="s">
        <v>3078</v>
      </c>
      <c r="C97" s="48" t="s">
        <v>27</v>
      </c>
      <c r="D97" s="48" t="s">
        <v>297</v>
      </c>
      <c r="E97" s="48" t="s">
        <v>44</v>
      </c>
      <c r="F97" s="48"/>
      <c r="G97" s="48" t="s">
        <v>30</v>
      </c>
      <c r="H97" s="51">
        <v>200</v>
      </c>
      <c r="I97" s="119">
        <v>40</v>
      </c>
      <c r="J97" s="48" t="s">
        <v>31</v>
      </c>
      <c r="K97" s="48" t="s">
        <v>32</v>
      </c>
      <c r="M97" s="126">
        <v>40</v>
      </c>
    </row>
    <row r="98" spans="1:13" ht="15.75" customHeight="1">
      <c r="A98" s="50">
        <v>7</v>
      </c>
      <c r="B98" s="48" t="s">
        <v>3079</v>
      </c>
      <c r="C98" s="48" t="s">
        <v>27</v>
      </c>
      <c r="D98" s="48" t="s">
        <v>144</v>
      </c>
      <c r="E98" s="48" t="s">
        <v>145</v>
      </c>
      <c r="F98" s="48"/>
      <c r="G98" s="48" t="s">
        <v>30</v>
      </c>
      <c r="H98" s="51">
        <v>200</v>
      </c>
      <c r="I98" s="119">
        <v>40</v>
      </c>
      <c r="J98" s="48" t="s">
        <v>31</v>
      </c>
      <c r="K98" s="48" t="s">
        <v>32</v>
      </c>
      <c r="M98" s="126">
        <v>50</v>
      </c>
    </row>
    <row r="99" spans="1:13" ht="15.75" customHeight="1">
      <c r="A99" s="50">
        <v>7</v>
      </c>
      <c r="B99" s="48" t="s">
        <v>3080</v>
      </c>
      <c r="C99" s="48" t="s">
        <v>27</v>
      </c>
      <c r="D99" s="48" t="s">
        <v>2090</v>
      </c>
      <c r="E99" s="48" t="s">
        <v>84</v>
      </c>
      <c r="F99" s="48"/>
      <c r="G99" s="48" t="s">
        <v>30</v>
      </c>
      <c r="H99" s="51">
        <v>200</v>
      </c>
      <c r="I99" s="119">
        <v>40</v>
      </c>
      <c r="J99" s="48" t="s">
        <v>31</v>
      </c>
      <c r="K99" s="48" t="s">
        <v>32</v>
      </c>
      <c r="M99" s="126">
        <v>40</v>
      </c>
    </row>
    <row r="100" spans="1:13" ht="15.75" customHeight="1">
      <c r="A100" s="50">
        <v>7</v>
      </c>
      <c r="B100" s="48" t="s">
        <v>3081</v>
      </c>
      <c r="C100" s="48" t="s">
        <v>27</v>
      </c>
      <c r="D100" s="48" t="s">
        <v>666</v>
      </c>
      <c r="E100" s="48" t="s">
        <v>36</v>
      </c>
      <c r="F100" s="48"/>
      <c r="G100" s="48" t="s">
        <v>30</v>
      </c>
      <c r="H100" s="51">
        <v>300</v>
      </c>
      <c r="I100" s="119">
        <v>60</v>
      </c>
      <c r="J100" s="48" t="s">
        <v>31</v>
      </c>
      <c r="K100" s="48" t="s">
        <v>32</v>
      </c>
      <c r="M100" s="126">
        <v>60</v>
      </c>
    </row>
    <row r="101" spans="1:13" ht="15.75" customHeight="1">
      <c r="A101" s="50">
        <v>7</v>
      </c>
      <c r="B101" s="48" t="s">
        <v>3082</v>
      </c>
      <c r="C101" s="48" t="s">
        <v>27</v>
      </c>
      <c r="D101" s="48" t="s">
        <v>416</v>
      </c>
      <c r="E101" s="48" t="s">
        <v>73</v>
      </c>
      <c r="F101" s="48"/>
      <c r="G101" s="48" t="s">
        <v>30</v>
      </c>
      <c r="H101" s="51">
        <v>300</v>
      </c>
      <c r="I101" s="119">
        <v>60</v>
      </c>
      <c r="J101" s="48" t="s">
        <v>31</v>
      </c>
      <c r="K101" s="48" t="s">
        <v>32</v>
      </c>
      <c r="M101" s="126">
        <v>70</v>
      </c>
    </row>
    <row r="102" spans="1:13" ht="15.75" customHeight="1">
      <c r="A102" s="50">
        <v>7</v>
      </c>
      <c r="B102" s="48" t="s">
        <v>3083</v>
      </c>
      <c r="C102" s="48" t="s">
        <v>27</v>
      </c>
      <c r="D102" s="48" t="s">
        <v>326</v>
      </c>
      <c r="E102" s="48" t="s">
        <v>84</v>
      </c>
      <c r="F102" s="48"/>
      <c r="G102" s="48" t="s">
        <v>30</v>
      </c>
      <c r="H102" s="51">
        <v>350</v>
      </c>
      <c r="I102" s="119">
        <v>70</v>
      </c>
      <c r="J102" s="48" t="s">
        <v>31</v>
      </c>
      <c r="K102" s="48" t="s">
        <v>32</v>
      </c>
      <c r="M102" s="126">
        <v>70</v>
      </c>
    </row>
    <row r="103" spans="1:13" ht="15.75" customHeight="1">
      <c r="A103" s="50">
        <v>7</v>
      </c>
      <c r="B103" s="48" t="s">
        <v>3084</v>
      </c>
      <c r="C103" s="48" t="s">
        <v>27</v>
      </c>
      <c r="D103" s="48" t="s">
        <v>3085</v>
      </c>
      <c r="E103" s="48" t="s">
        <v>86</v>
      </c>
      <c r="F103" s="48"/>
      <c r="G103" s="48" t="s">
        <v>30</v>
      </c>
      <c r="H103" s="51">
        <v>400</v>
      </c>
      <c r="I103" s="119">
        <v>80</v>
      </c>
      <c r="J103" s="48" t="s">
        <v>31</v>
      </c>
      <c r="K103" s="48" t="s">
        <v>32</v>
      </c>
      <c r="M103" s="126">
        <v>80</v>
      </c>
    </row>
    <row r="104" spans="1:13" ht="15.75" customHeight="1">
      <c r="A104" s="50">
        <v>7</v>
      </c>
      <c r="B104" s="151" t="s">
        <v>2969</v>
      </c>
      <c r="C104" s="48" t="s">
        <v>27</v>
      </c>
      <c r="D104" s="48" t="s">
        <v>2053</v>
      </c>
      <c r="E104" s="48" t="s">
        <v>86</v>
      </c>
      <c r="F104" s="48"/>
      <c r="G104" s="48" t="s">
        <v>30</v>
      </c>
      <c r="H104" s="51">
        <v>750</v>
      </c>
      <c r="I104" s="119">
        <v>150</v>
      </c>
      <c r="J104" s="48" t="s">
        <v>31</v>
      </c>
      <c r="K104" s="48" t="s">
        <v>32</v>
      </c>
      <c r="M104" s="126">
        <v>60</v>
      </c>
    </row>
    <row r="105" spans="1:13" ht="15.75" customHeight="1">
      <c r="A105" s="65">
        <v>8</v>
      </c>
      <c r="B105" s="58" t="s">
        <v>3086</v>
      </c>
      <c r="C105" s="58" t="s">
        <v>39</v>
      </c>
      <c r="D105" s="58" t="s">
        <v>3087</v>
      </c>
      <c r="E105" s="58" t="s">
        <v>36</v>
      </c>
      <c r="F105" s="58"/>
      <c r="G105" s="58" t="s">
        <v>61</v>
      </c>
      <c r="H105" s="59">
        <v>20</v>
      </c>
      <c r="I105" s="160">
        <v>100</v>
      </c>
      <c r="J105" s="58" t="s">
        <v>31</v>
      </c>
      <c r="K105" s="58" t="s">
        <v>32</v>
      </c>
    </row>
    <row r="106" spans="1:13" ht="15.75" customHeight="1">
      <c r="A106" s="61">
        <v>8</v>
      </c>
      <c r="B106" s="292" t="s">
        <v>3088</v>
      </c>
      <c r="C106" s="62" t="s">
        <v>27</v>
      </c>
      <c r="D106" s="62" t="s">
        <v>3089</v>
      </c>
      <c r="E106" s="62" t="s">
        <v>223</v>
      </c>
      <c r="F106" s="62"/>
      <c r="G106" s="62" t="s">
        <v>61</v>
      </c>
      <c r="H106" s="63">
        <v>150</v>
      </c>
      <c r="I106" s="159">
        <v>450</v>
      </c>
      <c r="J106" s="62" t="s">
        <v>31</v>
      </c>
      <c r="K106" s="62" t="s">
        <v>32</v>
      </c>
    </row>
    <row r="107" spans="1:13" ht="15.75" customHeight="1">
      <c r="A107" s="50">
        <v>8</v>
      </c>
      <c r="B107" s="151" t="s">
        <v>3090</v>
      </c>
      <c r="C107" s="48" t="s">
        <v>27</v>
      </c>
      <c r="D107" s="48" t="s">
        <v>3091</v>
      </c>
      <c r="E107" s="48" t="s">
        <v>2112</v>
      </c>
      <c r="F107" s="48"/>
      <c r="G107" s="48" t="s">
        <v>30</v>
      </c>
      <c r="H107" s="51">
        <v>1500</v>
      </c>
      <c r="I107" s="119">
        <v>300</v>
      </c>
      <c r="J107" s="48" t="s">
        <v>31</v>
      </c>
      <c r="K107" s="48" t="s">
        <v>32</v>
      </c>
      <c r="L107" s="55"/>
      <c r="M107" s="126">
        <v>300</v>
      </c>
    </row>
    <row r="108" spans="1:13" ht="15.75" customHeight="1">
      <c r="A108" s="50">
        <v>8</v>
      </c>
      <c r="B108" s="151" t="s">
        <v>3092</v>
      </c>
      <c r="C108" s="48" t="s">
        <v>39</v>
      </c>
      <c r="D108" s="48" t="s">
        <v>361</v>
      </c>
      <c r="E108" s="48" t="s">
        <v>79</v>
      </c>
      <c r="F108" s="48"/>
      <c r="G108" s="48" t="s">
        <v>30</v>
      </c>
      <c r="H108" s="51">
        <v>1500</v>
      </c>
      <c r="I108" s="119">
        <v>300</v>
      </c>
      <c r="J108" s="48" t="s">
        <v>31</v>
      </c>
      <c r="K108" s="48" t="s">
        <v>32</v>
      </c>
      <c r="M108" s="126">
        <v>300</v>
      </c>
    </row>
    <row r="109" spans="1:13" ht="15.75" customHeight="1">
      <c r="A109" s="50">
        <v>8</v>
      </c>
      <c r="B109" s="151" t="s">
        <v>3093</v>
      </c>
      <c r="C109" s="48" t="s">
        <v>27</v>
      </c>
      <c r="D109" s="48" t="s">
        <v>100</v>
      </c>
      <c r="E109" s="48" t="s">
        <v>79</v>
      </c>
      <c r="F109" s="48"/>
      <c r="G109" s="48" t="s">
        <v>30</v>
      </c>
      <c r="H109" s="51">
        <v>500</v>
      </c>
      <c r="I109" s="119" t="s">
        <v>1586</v>
      </c>
      <c r="J109" s="48" t="s">
        <v>31</v>
      </c>
      <c r="K109" s="48" t="s">
        <v>32</v>
      </c>
      <c r="L109" s="55"/>
      <c r="M109" s="126">
        <v>600</v>
      </c>
    </row>
    <row r="110" spans="1:13" ht="15.75" customHeight="1">
      <c r="A110" s="50">
        <v>8</v>
      </c>
      <c r="B110" s="151" t="s">
        <v>3093</v>
      </c>
      <c r="C110" s="48" t="s">
        <v>27</v>
      </c>
      <c r="D110" s="48" t="s">
        <v>100</v>
      </c>
      <c r="E110" s="48" t="s">
        <v>79</v>
      </c>
      <c r="F110" s="48"/>
      <c r="G110" s="48" t="s">
        <v>30</v>
      </c>
      <c r="H110" s="51">
        <v>1300</v>
      </c>
      <c r="I110" s="119">
        <v>260</v>
      </c>
      <c r="J110" s="48"/>
      <c r="K110" s="48"/>
    </row>
    <row r="111" spans="1:13" ht="15.75" customHeight="1">
      <c r="A111" s="50">
        <v>8</v>
      </c>
      <c r="B111" s="151" t="s">
        <v>3094</v>
      </c>
      <c r="C111" s="48" t="s">
        <v>27</v>
      </c>
      <c r="D111" s="48" t="s">
        <v>1099</v>
      </c>
      <c r="E111" s="48" t="s">
        <v>68</v>
      </c>
      <c r="F111" s="48"/>
      <c r="G111" s="48" t="s">
        <v>30</v>
      </c>
      <c r="H111" s="51">
        <v>3500</v>
      </c>
      <c r="I111" s="119">
        <v>700</v>
      </c>
      <c r="J111" s="48" t="s">
        <v>31</v>
      </c>
      <c r="K111" s="48" t="s">
        <v>32</v>
      </c>
      <c r="M111" s="126">
        <v>739</v>
      </c>
    </row>
    <row r="112" spans="1:13" ht="15.75" customHeight="1">
      <c r="A112" s="50">
        <v>8</v>
      </c>
      <c r="B112" s="151" t="s">
        <v>3095</v>
      </c>
      <c r="C112" s="48" t="s">
        <v>27</v>
      </c>
      <c r="D112" s="48" t="s">
        <v>628</v>
      </c>
      <c r="E112" s="48" t="s">
        <v>29</v>
      </c>
      <c r="F112" s="48"/>
      <c r="G112" s="48" t="s">
        <v>30</v>
      </c>
      <c r="H112" s="51">
        <v>500</v>
      </c>
      <c r="I112" s="119">
        <v>100</v>
      </c>
      <c r="J112" s="48" t="s">
        <v>31</v>
      </c>
      <c r="K112" s="48" t="s">
        <v>32</v>
      </c>
      <c r="M112" s="126">
        <v>100</v>
      </c>
    </row>
    <row r="113" spans="1:26" ht="15.75" customHeight="1">
      <c r="A113" s="50">
        <v>8</v>
      </c>
      <c r="B113" s="151" t="s">
        <v>3095</v>
      </c>
      <c r="C113" s="48" t="s">
        <v>27</v>
      </c>
      <c r="D113" s="48" t="s">
        <v>628</v>
      </c>
      <c r="E113" s="48" t="s">
        <v>29</v>
      </c>
      <c r="F113" s="48"/>
      <c r="G113" s="48" t="s">
        <v>61</v>
      </c>
      <c r="H113" s="51">
        <v>100</v>
      </c>
      <c r="I113" s="119">
        <v>60</v>
      </c>
      <c r="J113" s="48"/>
      <c r="K113" s="48"/>
    </row>
    <row r="114" spans="1:26" ht="15.75" customHeight="1">
      <c r="A114" s="50">
        <v>8</v>
      </c>
      <c r="B114" s="151" t="s">
        <v>3096</v>
      </c>
      <c r="C114" s="48" t="s">
        <v>27</v>
      </c>
      <c r="D114" s="48" t="s">
        <v>128</v>
      </c>
      <c r="E114" s="48" t="s">
        <v>44</v>
      </c>
      <c r="F114" s="48"/>
      <c r="G114" s="48" t="s">
        <v>30</v>
      </c>
      <c r="H114" s="51">
        <v>200</v>
      </c>
      <c r="I114" s="119">
        <v>40</v>
      </c>
      <c r="J114" s="48" t="s">
        <v>31</v>
      </c>
      <c r="K114" s="48" t="s">
        <v>32</v>
      </c>
      <c r="M114" s="126">
        <v>40</v>
      </c>
    </row>
    <row r="115" spans="1:26" ht="15.75" customHeight="1">
      <c r="A115" s="50">
        <v>8</v>
      </c>
      <c r="B115" s="151" t="s">
        <v>3097</v>
      </c>
      <c r="C115" s="48" t="s">
        <v>27</v>
      </c>
      <c r="D115" s="48" t="s">
        <v>733</v>
      </c>
      <c r="E115" s="48" t="s">
        <v>36</v>
      </c>
      <c r="F115" s="48"/>
      <c r="G115" s="48" t="s">
        <v>30</v>
      </c>
      <c r="H115" s="51">
        <v>500</v>
      </c>
      <c r="I115" s="119">
        <v>100</v>
      </c>
      <c r="J115" s="48" t="s">
        <v>31</v>
      </c>
      <c r="K115" s="48" t="s">
        <v>32</v>
      </c>
      <c r="M115" s="126">
        <v>200</v>
      </c>
    </row>
    <row r="116" spans="1:26" ht="15.75" customHeight="1">
      <c r="A116" s="50">
        <v>8</v>
      </c>
      <c r="B116" s="151" t="s">
        <v>3098</v>
      </c>
      <c r="C116" s="48" t="s">
        <v>27</v>
      </c>
      <c r="D116" s="48" t="s">
        <v>637</v>
      </c>
      <c r="E116" s="48" t="s">
        <v>54</v>
      </c>
      <c r="F116" s="48"/>
      <c r="G116" s="48" t="s">
        <v>30</v>
      </c>
      <c r="H116" s="51">
        <v>500</v>
      </c>
      <c r="I116" s="119">
        <v>100</v>
      </c>
      <c r="J116" s="48" t="s">
        <v>31</v>
      </c>
      <c r="K116" s="48" t="s">
        <v>32</v>
      </c>
      <c r="M116" s="126">
        <v>150</v>
      </c>
    </row>
    <row r="117" spans="1:26" ht="15.75" customHeight="1">
      <c r="A117" s="50">
        <v>8</v>
      </c>
      <c r="B117" s="151" t="s">
        <v>3099</v>
      </c>
      <c r="C117" s="48" t="s">
        <v>27</v>
      </c>
      <c r="D117" s="48" t="s">
        <v>1337</v>
      </c>
      <c r="E117" s="48" t="s">
        <v>36</v>
      </c>
      <c r="F117" s="48"/>
      <c r="G117" s="48" t="s">
        <v>30</v>
      </c>
      <c r="H117" s="51">
        <v>500</v>
      </c>
      <c r="I117" s="119">
        <v>100</v>
      </c>
      <c r="J117" s="48" t="s">
        <v>31</v>
      </c>
      <c r="K117" s="48" t="s">
        <v>32</v>
      </c>
      <c r="M117" s="126">
        <v>300</v>
      </c>
    </row>
    <row r="118" spans="1:26" ht="15.75" customHeight="1">
      <c r="A118" s="50">
        <v>8</v>
      </c>
      <c r="B118" s="151" t="s">
        <v>3100</v>
      </c>
      <c r="C118" s="48" t="s">
        <v>27</v>
      </c>
      <c r="D118" s="48" t="s">
        <v>180</v>
      </c>
      <c r="E118" s="48" t="s">
        <v>36</v>
      </c>
      <c r="F118" s="48"/>
      <c r="G118" s="48" t="s">
        <v>30</v>
      </c>
      <c r="H118" s="51">
        <v>500</v>
      </c>
      <c r="I118" s="119">
        <v>100</v>
      </c>
      <c r="J118" s="48" t="s">
        <v>31</v>
      </c>
      <c r="K118" s="48" t="s">
        <v>32</v>
      </c>
      <c r="M118" s="126">
        <v>600</v>
      </c>
    </row>
    <row r="119" spans="1:26" ht="15.75" customHeight="1">
      <c r="A119" s="65">
        <v>8</v>
      </c>
      <c r="B119" s="175" t="s">
        <v>3101</v>
      </c>
      <c r="C119" s="58" t="s">
        <v>27</v>
      </c>
      <c r="D119" s="175" t="s">
        <v>934</v>
      </c>
      <c r="E119" s="58" t="s">
        <v>44</v>
      </c>
      <c r="F119" s="58"/>
      <c r="G119" s="58" t="s">
        <v>61</v>
      </c>
      <c r="H119" s="59">
        <v>40</v>
      </c>
      <c r="I119" s="160" t="s">
        <v>1586</v>
      </c>
      <c r="J119" s="58" t="s">
        <v>31</v>
      </c>
      <c r="K119" s="58" t="s">
        <v>32</v>
      </c>
      <c r="O119" s="55"/>
    </row>
    <row r="120" spans="1:26" ht="15.75" customHeight="1">
      <c r="A120" s="61">
        <v>9</v>
      </c>
      <c r="B120" s="292" t="s">
        <v>3102</v>
      </c>
      <c r="C120" s="62" t="s">
        <v>27</v>
      </c>
      <c r="D120" s="62" t="s">
        <v>363</v>
      </c>
      <c r="E120" s="62" t="s">
        <v>484</v>
      </c>
      <c r="F120" s="62"/>
      <c r="G120" s="62" t="s">
        <v>61</v>
      </c>
      <c r="H120" s="63">
        <v>25</v>
      </c>
      <c r="I120" s="159">
        <v>75</v>
      </c>
      <c r="J120" s="62" t="s">
        <v>31</v>
      </c>
      <c r="K120" s="62" t="s">
        <v>32</v>
      </c>
    </row>
    <row r="121" spans="1:26" ht="15.75" customHeight="1">
      <c r="A121" s="50">
        <v>9</v>
      </c>
      <c r="B121" s="151" t="s">
        <v>3103</v>
      </c>
      <c r="C121" s="48" t="s">
        <v>27</v>
      </c>
      <c r="D121" s="48" t="s">
        <v>3104</v>
      </c>
      <c r="E121" s="48" t="s">
        <v>3105</v>
      </c>
      <c r="F121" s="48"/>
      <c r="G121" s="48" t="s">
        <v>30</v>
      </c>
      <c r="H121" s="51">
        <v>700</v>
      </c>
      <c r="I121" s="119">
        <v>140</v>
      </c>
      <c r="J121" s="48" t="s">
        <v>31</v>
      </c>
      <c r="K121" s="48" t="s">
        <v>32</v>
      </c>
      <c r="M121" s="126">
        <v>150</v>
      </c>
      <c r="O121" s="55"/>
    </row>
    <row r="122" spans="1:26" ht="15.75" customHeight="1">
      <c r="A122" s="50">
        <v>9</v>
      </c>
      <c r="B122" s="151" t="s">
        <v>3103</v>
      </c>
      <c r="C122" s="48" t="s">
        <v>27</v>
      </c>
      <c r="D122" s="48" t="s">
        <v>3104</v>
      </c>
      <c r="E122" s="48" t="s">
        <v>3105</v>
      </c>
      <c r="F122" s="48"/>
      <c r="G122" s="48" t="s">
        <v>61</v>
      </c>
      <c r="H122" s="51">
        <v>1000</v>
      </c>
      <c r="I122" s="119">
        <v>3000</v>
      </c>
      <c r="J122" s="48" t="s">
        <v>31</v>
      </c>
      <c r="K122" s="48" t="s">
        <v>32</v>
      </c>
    </row>
    <row r="123" spans="1:26" ht="15.75" customHeight="1">
      <c r="A123" s="50">
        <v>9</v>
      </c>
      <c r="B123" s="151" t="s">
        <v>3106</v>
      </c>
      <c r="C123" s="48" t="s">
        <v>27</v>
      </c>
      <c r="D123" s="48" t="s">
        <v>2450</v>
      </c>
      <c r="E123" s="48" t="s">
        <v>86</v>
      </c>
      <c r="F123" s="48"/>
      <c r="G123" s="48" t="s">
        <v>61</v>
      </c>
      <c r="H123" s="51">
        <v>100</v>
      </c>
      <c r="I123" s="119">
        <v>300</v>
      </c>
      <c r="J123" s="48" t="s">
        <v>31</v>
      </c>
      <c r="K123" s="48" t="s">
        <v>32</v>
      </c>
      <c r="L123" s="370"/>
      <c r="M123" s="370"/>
      <c r="N123" s="370"/>
      <c r="O123" s="57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5.75" customHeight="1">
      <c r="A124" s="50">
        <v>9</v>
      </c>
      <c r="B124" s="151" t="s">
        <v>3107</v>
      </c>
      <c r="C124" s="48" t="s">
        <v>27</v>
      </c>
      <c r="D124" s="48" t="s">
        <v>173</v>
      </c>
      <c r="E124" s="48" t="s">
        <v>84</v>
      </c>
      <c r="F124" s="48"/>
      <c r="G124" s="48" t="s">
        <v>30</v>
      </c>
      <c r="H124" s="51">
        <v>500</v>
      </c>
      <c r="I124" s="119">
        <v>100</v>
      </c>
      <c r="J124" s="48" t="s">
        <v>31</v>
      </c>
      <c r="K124" s="48" t="s">
        <v>32</v>
      </c>
      <c r="M124" s="126">
        <v>150</v>
      </c>
    </row>
    <row r="125" spans="1:26" ht="15.75" customHeight="1">
      <c r="A125" s="50">
        <v>9</v>
      </c>
      <c r="B125" s="151" t="s">
        <v>2202</v>
      </c>
      <c r="C125" s="48" t="s">
        <v>27</v>
      </c>
      <c r="D125" s="48" t="s">
        <v>256</v>
      </c>
      <c r="E125" s="48" t="s">
        <v>245</v>
      </c>
      <c r="F125" s="48"/>
      <c r="G125" s="48" t="s">
        <v>30</v>
      </c>
      <c r="H125" s="51">
        <v>50</v>
      </c>
      <c r="I125" s="438">
        <v>10</v>
      </c>
      <c r="J125" s="48" t="s">
        <v>31</v>
      </c>
      <c r="K125" s="48" t="s">
        <v>32</v>
      </c>
    </row>
    <row r="126" spans="1:26" ht="15.75" customHeight="1">
      <c r="A126" s="50">
        <v>9</v>
      </c>
      <c r="B126" s="151" t="s">
        <v>2202</v>
      </c>
      <c r="C126" s="48" t="s">
        <v>27</v>
      </c>
      <c r="D126" s="48" t="s">
        <v>256</v>
      </c>
      <c r="E126" s="48" t="s">
        <v>245</v>
      </c>
      <c r="F126" s="48"/>
      <c r="G126" s="48" t="s">
        <v>1249</v>
      </c>
      <c r="H126" s="51">
        <v>50</v>
      </c>
      <c r="I126" s="438">
        <v>30</v>
      </c>
      <c r="J126" s="48" t="s">
        <v>31</v>
      </c>
      <c r="K126" s="48" t="s">
        <v>32</v>
      </c>
    </row>
    <row r="127" spans="1:26" ht="15.75" customHeight="1">
      <c r="A127" s="50">
        <v>9</v>
      </c>
      <c r="B127" s="151" t="s">
        <v>1686</v>
      </c>
      <c r="C127" s="48" t="s">
        <v>27</v>
      </c>
      <c r="D127" s="48" t="s">
        <v>43</v>
      </c>
      <c r="E127" s="48" t="s">
        <v>44</v>
      </c>
      <c r="F127" s="48"/>
      <c r="G127" s="48" t="s">
        <v>30</v>
      </c>
      <c r="H127" s="51">
        <v>1000</v>
      </c>
      <c r="I127" s="49">
        <v>200</v>
      </c>
      <c r="J127" s="48" t="s">
        <v>31</v>
      </c>
      <c r="K127" s="48" t="s">
        <v>32</v>
      </c>
      <c r="M127" s="126">
        <v>200</v>
      </c>
    </row>
    <row r="128" spans="1:26" ht="15.75" customHeight="1">
      <c r="A128" s="50">
        <v>9</v>
      </c>
      <c r="B128" s="151" t="s">
        <v>3108</v>
      </c>
      <c r="C128" s="48" t="s">
        <v>39</v>
      </c>
      <c r="D128" s="48" t="s">
        <v>128</v>
      </c>
      <c r="E128" s="48" t="s">
        <v>44</v>
      </c>
      <c r="F128" s="48"/>
      <c r="G128" s="48" t="s">
        <v>30</v>
      </c>
      <c r="H128" s="51">
        <v>500</v>
      </c>
      <c r="I128" s="49">
        <v>100</v>
      </c>
      <c r="J128" s="48" t="s">
        <v>31</v>
      </c>
      <c r="K128" s="48" t="s">
        <v>32</v>
      </c>
      <c r="M128" s="126">
        <v>100</v>
      </c>
    </row>
    <row r="129" spans="1:16" ht="15.75" customHeight="1">
      <c r="A129" s="50">
        <v>9</v>
      </c>
      <c r="B129" s="151" t="s">
        <v>3109</v>
      </c>
      <c r="C129" s="48" t="s">
        <v>27</v>
      </c>
      <c r="D129" s="48" t="s">
        <v>829</v>
      </c>
      <c r="E129" s="48" t="s">
        <v>51</v>
      </c>
      <c r="F129" s="48"/>
      <c r="G129" s="48" t="s">
        <v>30</v>
      </c>
      <c r="H129" s="51">
        <v>500</v>
      </c>
      <c r="I129" s="49">
        <v>100</v>
      </c>
      <c r="J129" s="48" t="s">
        <v>31</v>
      </c>
      <c r="K129" s="48" t="s">
        <v>32</v>
      </c>
      <c r="M129" s="126">
        <v>50</v>
      </c>
    </row>
    <row r="130" spans="1:16" ht="15.75" customHeight="1">
      <c r="A130" s="50">
        <v>9</v>
      </c>
      <c r="B130" s="151" t="s">
        <v>3109</v>
      </c>
      <c r="C130" s="48" t="s">
        <v>27</v>
      </c>
      <c r="D130" s="48" t="s">
        <v>829</v>
      </c>
      <c r="E130" s="48" t="s">
        <v>51</v>
      </c>
      <c r="F130" s="48"/>
      <c r="G130" s="48" t="s">
        <v>61</v>
      </c>
      <c r="H130" s="51">
        <v>100</v>
      </c>
      <c r="I130" s="49">
        <v>60</v>
      </c>
      <c r="J130" s="48" t="s">
        <v>31</v>
      </c>
      <c r="K130" s="48" t="s">
        <v>32</v>
      </c>
    </row>
    <row r="131" spans="1:16" ht="15.75" customHeight="1">
      <c r="A131" s="50">
        <v>9</v>
      </c>
      <c r="B131" s="151" t="s">
        <v>3110</v>
      </c>
      <c r="C131" s="48" t="s">
        <v>27</v>
      </c>
      <c r="D131" s="48" t="s">
        <v>760</v>
      </c>
      <c r="E131" s="48" t="s">
        <v>209</v>
      </c>
      <c r="F131" s="48"/>
      <c r="G131" s="48" t="s">
        <v>30</v>
      </c>
      <c r="H131" s="51">
        <v>2000</v>
      </c>
      <c r="I131" s="49">
        <v>400</v>
      </c>
      <c r="J131" s="48" t="s">
        <v>31</v>
      </c>
      <c r="K131" s="48" t="s">
        <v>32</v>
      </c>
      <c r="M131" s="126">
        <v>400</v>
      </c>
    </row>
    <row r="132" spans="1:16" ht="15.75" customHeight="1">
      <c r="A132" s="50">
        <v>9</v>
      </c>
      <c r="B132" s="151" t="s">
        <v>2209</v>
      </c>
      <c r="C132" s="48" t="s">
        <v>27</v>
      </c>
      <c r="D132" s="48" t="s">
        <v>733</v>
      </c>
      <c r="E132" s="48" t="s">
        <v>36</v>
      </c>
      <c r="F132" s="48"/>
      <c r="G132" s="48" t="s">
        <v>30</v>
      </c>
      <c r="H132" s="51">
        <v>500</v>
      </c>
      <c r="I132" s="49">
        <v>100</v>
      </c>
      <c r="J132" s="48" t="s">
        <v>31</v>
      </c>
      <c r="K132" s="48" t="s">
        <v>32</v>
      </c>
      <c r="M132" s="126">
        <v>100</v>
      </c>
    </row>
    <row r="133" spans="1:16" ht="15.75" customHeight="1">
      <c r="A133" s="50">
        <v>9</v>
      </c>
      <c r="B133" s="48" t="s">
        <v>3111</v>
      </c>
      <c r="C133" s="48" t="s">
        <v>27</v>
      </c>
      <c r="D133" s="48" t="s">
        <v>2190</v>
      </c>
      <c r="E133" s="48" t="s">
        <v>41</v>
      </c>
      <c r="F133" s="48"/>
      <c r="G133" s="48" t="s">
        <v>30</v>
      </c>
      <c r="H133" s="51">
        <v>2000</v>
      </c>
      <c r="I133" s="49">
        <v>400</v>
      </c>
      <c r="J133" s="48" t="s">
        <v>31</v>
      </c>
      <c r="K133" s="48" t="s">
        <v>32</v>
      </c>
      <c r="M133" s="126">
        <v>400</v>
      </c>
    </row>
    <row r="134" spans="1:16" ht="15.75" customHeight="1">
      <c r="A134" s="65">
        <v>9</v>
      </c>
      <c r="B134" s="58" t="s">
        <v>3112</v>
      </c>
      <c r="C134" s="58" t="s">
        <v>27</v>
      </c>
      <c r="D134" s="58" t="s">
        <v>130</v>
      </c>
      <c r="E134" s="58" t="s">
        <v>51</v>
      </c>
      <c r="F134" s="58"/>
      <c r="G134" s="58" t="s">
        <v>30</v>
      </c>
      <c r="H134" s="59">
        <v>1000</v>
      </c>
      <c r="I134" s="60">
        <v>200</v>
      </c>
      <c r="J134" s="48" t="s">
        <v>31</v>
      </c>
      <c r="K134" s="48" t="s">
        <v>32</v>
      </c>
      <c r="M134" s="126">
        <v>200</v>
      </c>
    </row>
    <row r="135" spans="1:16" ht="15.75" customHeight="1">
      <c r="A135" s="61">
        <v>10</v>
      </c>
      <c r="B135" s="292" t="s">
        <v>3113</v>
      </c>
      <c r="C135" s="62" t="s">
        <v>39</v>
      </c>
      <c r="D135" s="62" t="s">
        <v>3114</v>
      </c>
      <c r="E135" s="62" t="s">
        <v>191</v>
      </c>
      <c r="F135" s="62"/>
      <c r="G135" s="62" t="s">
        <v>61</v>
      </c>
      <c r="H135" s="63">
        <v>100</v>
      </c>
      <c r="I135" s="64">
        <v>300</v>
      </c>
      <c r="J135" s="48" t="s">
        <v>31</v>
      </c>
      <c r="K135" s="48" t="s">
        <v>32</v>
      </c>
    </row>
    <row r="136" spans="1:16" ht="15.75" customHeight="1">
      <c r="A136" s="50">
        <v>11</v>
      </c>
      <c r="B136" s="151" t="s">
        <v>3115</v>
      </c>
      <c r="C136" s="48" t="s">
        <v>39</v>
      </c>
      <c r="D136" s="48" t="s">
        <v>1612</v>
      </c>
      <c r="E136" s="48" t="s">
        <v>73</v>
      </c>
      <c r="F136" s="48"/>
      <c r="G136" s="48" t="s">
        <v>61</v>
      </c>
      <c r="H136" s="51">
        <v>20</v>
      </c>
      <c r="I136" s="49">
        <v>60</v>
      </c>
      <c r="J136" s="48" t="s">
        <v>31</v>
      </c>
      <c r="K136" s="48" t="s">
        <v>32</v>
      </c>
    </row>
    <row r="137" spans="1:16" ht="15.75" customHeight="1">
      <c r="A137" s="50">
        <v>12</v>
      </c>
      <c r="B137" s="151" t="s">
        <v>3116</v>
      </c>
      <c r="C137" s="48" t="s">
        <v>27</v>
      </c>
      <c r="D137" s="48" t="s">
        <v>988</v>
      </c>
      <c r="E137" s="48" t="s">
        <v>44</v>
      </c>
      <c r="F137" s="48"/>
      <c r="G137" s="48" t="s">
        <v>61</v>
      </c>
      <c r="H137" s="51">
        <v>50</v>
      </c>
      <c r="I137" s="49">
        <v>150</v>
      </c>
      <c r="J137" s="48" t="s">
        <v>31</v>
      </c>
      <c r="K137" s="48" t="s">
        <v>32</v>
      </c>
    </row>
    <row r="138" spans="1:16" ht="15.75" customHeight="1">
      <c r="A138" s="50">
        <v>12</v>
      </c>
      <c r="B138" s="151" t="s">
        <v>3117</v>
      </c>
      <c r="C138" s="48" t="s">
        <v>39</v>
      </c>
      <c r="D138" s="48" t="s">
        <v>88</v>
      </c>
      <c r="E138" s="48" t="s">
        <v>223</v>
      </c>
      <c r="F138" s="48"/>
      <c r="G138" s="48" t="s">
        <v>61</v>
      </c>
      <c r="H138" s="51">
        <v>200</v>
      </c>
      <c r="I138" s="49">
        <v>600</v>
      </c>
      <c r="J138" s="48" t="s">
        <v>31</v>
      </c>
      <c r="K138" s="48" t="s">
        <v>32</v>
      </c>
    </row>
    <row r="139" spans="1:16" ht="15.75" customHeight="1">
      <c r="A139" s="50">
        <v>12</v>
      </c>
      <c r="B139" s="151" t="s">
        <v>3118</v>
      </c>
      <c r="C139" s="48" t="s">
        <v>39</v>
      </c>
      <c r="D139" s="48" t="s">
        <v>1320</v>
      </c>
      <c r="E139" s="48" t="s">
        <v>44</v>
      </c>
      <c r="F139" s="48"/>
      <c r="G139" s="48" t="s">
        <v>61</v>
      </c>
      <c r="H139" s="51">
        <v>10</v>
      </c>
      <c r="I139" s="49">
        <v>30</v>
      </c>
      <c r="J139" s="48" t="s">
        <v>31</v>
      </c>
      <c r="K139" s="48" t="s">
        <v>32</v>
      </c>
    </row>
    <row r="140" spans="1:16" ht="15.75" customHeight="1">
      <c r="A140" s="50">
        <v>12</v>
      </c>
      <c r="B140" s="151" t="s">
        <v>3119</v>
      </c>
      <c r="C140" s="48" t="s">
        <v>27</v>
      </c>
      <c r="D140" s="48" t="s">
        <v>3120</v>
      </c>
      <c r="E140" s="48" t="s">
        <v>102</v>
      </c>
      <c r="F140" s="48"/>
      <c r="G140" s="48" t="s">
        <v>30</v>
      </c>
      <c r="H140" s="51">
        <v>1500</v>
      </c>
      <c r="I140" s="49">
        <v>300</v>
      </c>
      <c r="J140" s="48" t="s">
        <v>31</v>
      </c>
      <c r="K140" s="48" t="s">
        <v>32</v>
      </c>
      <c r="M140" s="126">
        <v>300</v>
      </c>
    </row>
    <row r="141" spans="1:16" ht="15.75" customHeight="1">
      <c r="A141" s="50">
        <v>12</v>
      </c>
      <c r="B141" s="151" t="s">
        <v>2010</v>
      </c>
      <c r="C141" s="48" t="s">
        <v>27</v>
      </c>
      <c r="D141" s="48" t="s">
        <v>934</v>
      </c>
      <c r="E141" s="48" t="s">
        <v>44</v>
      </c>
      <c r="F141" s="48"/>
      <c r="G141" s="48" t="s">
        <v>30</v>
      </c>
      <c r="H141" s="51">
        <v>5000</v>
      </c>
      <c r="I141" s="49">
        <v>1000</v>
      </c>
      <c r="J141" s="48" t="s">
        <v>31</v>
      </c>
      <c r="K141" s="48" t="s">
        <v>32</v>
      </c>
      <c r="M141" s="126">
        <v>1000</v>
      </c>
      <c r="P141" s="55"/>
    </row>
    <row r="142" spans="1:16" ht="15.75" customHeight="1">
      <c r="A142" s="50">
        <v>12</v>
      </c>
      <c r="B142" s="151" t="s">
        <v>3121</v>
      </c>
      <c r="C142" s="48" t="s">
        <v>27</v>
      </c>
      <c r="D142" s="48" t="s">
        <v>728</v>
      </c>
      <c r="E142" s="48" t="s">
        <v>86</v>
      </c>
      <c r="F142" s="48"/>
      <c r="G142" s="48" t="s">
        <v>1249</v>
      </c>
      <c r="H142" s="51">
        <v>100</v>
      </c>
      <c r="I142" s="49">
        <v>60</v>
      </c>
      <c r="J142" s="48" t="s">
        <v>31</v>
      </c>
      <c r="K142" s="48" t="s">
        <v>32</v>
      </c>
    </row>
    <row r="143" spans="1:16" ht="15.75" customHeight="1">
      <c r="A143" s="50">
        <v>12</v>
      </c>
      <c r="B143" s="151" t="s">
        <v>3121</v>
      </c>
      <c r="C143" s="48" t="s">
        <v>27</v>
      </c>
      <c r="D143" s="48" t="s">
        <v>728</v>
      </c>
      <c r="E143" s="48" t="s">
        <v>86</v>
      </c>
      <c r="F143" s="48"/>
      <c r="G143" s="48" t="s">
        <v>61</v>
      </c>
      <c r="H143" s="51">
        <v>100</v>
      </c>
      <c r="I143" s="49">
        <v>300</v>
      </c>
      <c r="J143" s="48" t="s">
        <v>31</v>
      </c>
      <c r="K143" s="48" t="s">
        <v>32</v>
      </c>
    </row>
    <row r="144" spans="1:16" ht="15.75" customHeight="1">
      <c r="A144" s="50">
        <v>12</v>
      </c>
      <c r="B144" s="151" t="s">
        <v>2438</v>
      </c>
      <c r="C144" s="48" t="s">
        <v>27</v>
      </c>
      <c r="D144" s="48" t="s">
        <v>472</v>
      </c>
      <c r="E144" s="48" t="s">
        <v>41</v>
      </c>
      <c r="F144" s="48"/>
      <c r="G144" s="48" t="s">
        <v>61</v>
      </c>
      <c r="H144" s="51">
        <v>200</v>
      </c>
      <c r="I144" s="49">
        <v>600</v>
      </c>
      <c r="J144" s="48" t="s">
        <v>31</v>
      </c>
      <c r="K144" s="48" t="s">
        <v>32</v>
      </c>
    </row>
    <row r="145" spans="1:13" ht="15.75" customHeight="1">
      <c r="A145" s="50">
        <v>12</v>
      </c>
      <c r="B145" s="151" t="s">
        <v>3122</v>
      </c>
      <c r="C145" s="48" t="s">
        <v>27</v>
      </c>
      <c r="D145" s="48" t="s">
        <v>449</v>
      </c>
      <c r="E145" s="48" t="s">
        <v>44</v>
      </c>
      <c r="F145" s="48"/>
      <c r="G145" s="48" t="s">
        <v>61</v>
      </c>
      <c r="H145" s="51">
        <v>90</v>
      </c>
      <c r="I145" s="49">
        <v>270</v>
      </c>
      <c r="J145" s="48" t="s">
        <v>31</v>
      </c>
      <c r="K145" s="48" t="s">
        <v>32</v>
      </c>
    </row>
    <row r="146" spans="1:13" ht="15.75" customHeight="1">
      <c r="A146" s="50">
        <v>12</v>
      </c>
      <c r="B146" s="48" t="s">
        <v>3123</v>
      </c>
      <c r="C146" s="48" t="s">
        <v>27</v>
      </c>
      <c r="D146" s="48" t="s">
        <v>1373</v>
      </c>
      <c r="E146" s="48" t="s">
        <v>56</v>
      </c>
      <c r="F146" s="48"/>
      <c r="G146" s="48" t="s">
        <v>30</v>
      </c>
      <c r="H146" s="51">
        <v>500</v>
      </c>
      <c r="I146" s="49">
        <v>100</v>
      </c>
      <c r="J146" s="48" t="s">
        <v>31</v>
      </c>
      <c r="K146" s="48" t="s">
        <v>32</v>
      </c>
      <c r="M146" s="126">
        <v>200</v>
      </c>
    </row>
    <row r="147" spans="1:13" ht="15.75" customHeight="1">
      <c r="A147" s="50">
        <v>12</v>
      </c>
      <c r="B147" s="48" t="s">
        <v>3124</v>
      </c>
      <c r="C147" s="48" t="s">
        <v>27</v>
      </c>
      <c r="D147" s="48" t="s">
        <v>688</v>
      </c>
      <c r="E147" s="48" t="s">
        <v>223</v>
      </c>
      <c r="F147" s="48"/>
      <c r="G147" s="48" t="s">
        <v>61</v>
      </c>
      <c r="H147" s="51">
        <v>100</v>
      </c>
      <c r="I147" s="49">
        <v>300</v>
      </c>
      <c r="J147" s="48" t="s">
        <v>31</v>
      </c>
      <c r="K147" s="48" t="s">
        <v>32</v>
      </c>
    </row>
    <row r="148" spans="1:13" ht="15.75" customHeight="1">
      <c r="A148" s="50">
        <v>13</v>
      </c>
      <c r="B148" s="151" t="s">
        <v>3125</v>
      </c>
      <c r="C148" s="48" t="s">
        <v>27</v>
      </c>
      <c r="D148" s="48" t="s">
        <v>2215</v>
      </c>
      <c r="E148" s="48" t="s">
        <v>245</v>
      </c>
      <c r="F148" s="48"/>
      <c r="G148" s="48" t="s">
        <v>30</v>
      </c>
      <c r="H148" s="51">
        <v>150</v>
      </c>
      <c r="I148" s="49">
        <v>30</v>
      </c>
      <c r="J148" s="48" t="s">
        <v>31</v>
      </c>
      <c r="K148" s="48" t="s">
        <v>32</v>
      </c>
      <c r="M148" s="126">
        <v>30</v>
      </c>
    </row>
    <row r="149" spans="1:13" ht="15.75" customHeight="1">
      <c r="A149" s="50">
        <v>13</v>
      </c>
      <c r="B149" s="151" t="s">
        <v>1981</v>
      </c>
      <c r="C149" s="48" t="s">
        <v>27</v>
      </c>
      <c r="D149" s="48" t="s">
        <v>2426</v>
      </c>
      <c r="E149" s="48" t="s">
        <v>145</v>
      </c>
      <c r="F149" s="48"/>
      <c r="G149" s="48" t="s">
        <v>1249</v>
      </c>
      <c r="H149" s="51">
        <v>1000</v>
      </c>
      <c r="I149" s="49">
        <v>600</v>
      </c>
      <c r="J149" s="48" t="s">
        <v>31</v>
      </c>
      <c r="K149" s="48" t="s">
        <v>32</v>
      </c>
      <c r="M149" s="126">
        <v>300</v>
      </c>
    </row>
    <row r="150" spans="1:13" ht="15.75" customHeight="1">
      <c r="A150" s="50">
        <v>13</v>
      </c>
      <c r="B150" s="151" t="s">
        <v>3126</v>
      </c>
      <c r="C150" s="48" t="s">
        <v>27</v>
      </c>
      <c r="D150" s="48" t="s">
        <v>108</v>
      </c>
      <c r="E150" s="48" t="s">
        <v>36</v>
      </c>
      <c r="F150" s="48"/>
      <c r="G150" s="48" t="s">
        <v>1249</v>
      </c>
      <c r="H150" s="51">
        <v>2500</v>
      </c>
      <c r="I150" s="49">
        <v>1500</v>
      </c>
      <c r="J150" s="48" t="s">
        <v>31</v>
      </c>
      <c r="K150" s="48" t="s">
        <v>32</v>
      </c>
      <c r="L150" s="55"/>
      <c r="M150" s="126">
        <v>600</v>
      </c>
    </row>
    <row r="151" spans="1:13" ht="15.75" customHeight="1">
      <c r="A151" s="50">
        <v>13</v>
      </c>
      <c r="B151" s="151" t="s">
        <v>3126</v>
      </c>
      <c r="C151" s="48" t="s">
        <v>27</v>
      </c>
      <c r="D151" s="48" t="s">
        <v>108</v>
      </c>
      <c r="E151" s="48" t="s">
        <v>36</v>
      </c>
      <c r="F151" s="48"/>
      <c r="G151" s="48" t="s">
        <v>61</v>
      </c>
      <c r="H151" s="51">
        <v>170</v>
      </c>
      <c r="I151" s="49">
        <v>510</v>
      </c>
      <c r="J151" s="48" t="s">
        <v>31</v>
      </c>
      <c r="K151" s="48" t="s">
        <v>32</v>
      </c>
    </row>
    <row r="152" spans="1:13" ht="15.75" customHeight="1">
      <c r="A152" s="50">
        <v>13</v>
      </c>
      <c r="B152" s="151" t="s">
        <v>3127</v>
      </c>
      <c r="C152" s="48" t="s">
        <v>39</v>
      </c>
      <c r="D152" s="48" t="s">
        <v>191</v>
      </c>
      <c r="E152" s="48" t="s">
        <v>36</v>
      </c>
      <c r="F152" s="48"/>
      <c r="G152" s="48" t="s">
        <v>30</v>
      </c>
      <c r="H152" s="51">
        <v>500</v>
      </c>
      <c r="I152" s="49" t="s">
        <v>1586</v>
      </c>
      <c r="J152" s="48" t="s">
        <v>31</v>
      </c>
      <c r="K152" s="48" t="s">
        <v>32</v>
      </c>
      <c r="L152" s="55"/>
      <c r="M152" s="126">
        <v>200</v>
      </c>
    </row>
    <row r="153" spans="1:13" ht="15.75" customHeight="1">
      <c r="A153" s="50">
        <v>13</v>
      </c>
      <c r="B153" s="151" t="s">
        <v>3127</v>
      </c>
      <c r="C153" s="48" t="s">
        <v>39</v>
      </c>
      <c r="D153" s="48" t="s">
        <v>191</v>
      </c>
      <c r="E153" s="48" t="s">
        <v>36</v>
      </c>
      <c r="F153" s="48"/>
      <c r="G153" s="48" t="s">
        <v>30</v>
      </c>
      <c r="H153" s="51">
        <v>1000</v>
      </c>
      <c r="I153" s="49">
        <v>200</v>
      </c>
      <c r="J153" s="48" t="s">
        <v>31</v>
      </c>
      <c r="K153" s="48" t="s">
        <v>32</v>
      </c>
    </row>
    <row r="154" spans="1:13" ht="15.75" customHeight="1">
      <c r="A154" s="50">
        <v>13</v>
      </c>
      <c r="B154" s="151" t="s">
        <v>3128</v>
      </c>
      <c r="C154" s="48" t="s">
        <v>39</v>
      </c>
      <c r="D154" s="48" t="s">
        <v>775</v>
      </c>
      <c r="E154" s="48" t="s">
        <v>169</v>
      </c>
      <c r="F154" s="48"/>
      <c r="G154" s="48" t="s">
        <v>30</v>
      </c>
      <c r="H154" s="51">
        <v>1500</v>
      </c>
      <c r="I154" s="49">
        <v>300</v>
      </c>
      <c r="J154" s="48" t="s">
        <v>31</v>
      </c>
      <c r="K154" s="48" t="s">
        <v>32</v>
      </c>
      <c r="M154" s="126">
        <v>400</v>
      </c>
    </row>
    <row r="155" spans="1:13" ht="15.75" customHeight="1">
      <c r="A155" s="382">
        <v>13</v>
      </c>
      <c r="B155" s="48" t="s">
        <v>1611</v>
      </c>
      <c r="C155" s="48" t="s">
        <v>27</v>
      </c>
      <c r="D155" s="48" t="s">
        <v>1612</v>
      </c>
      <c r="E155" s="48" t="s">
        <v>839</v>
      </c>
      <c r="F155" s="48"/>
      <c r="G155" s="48" t="s">
        <v>61</v>
      </c>
      <c r="H155" s="51">
        <v>200</v>
      </c>
      <c r="I155" s="49">
        <v>600</v>
      </c>
      <c r="J155" s="48" t="s">
        <v>31</v>
      </c>
      <c r="K155" s="48" t="s">
        <v>32</v>
      </c>
    </row>
    <row r="156" spans="1:13" ht="15.75" customHeight="1">
      <c r="A156" s="382">
        <v>13</v>
      </c>
      <c r="B156" s="48" t="s">
        <v>1611</v>
      </c>
      <c r="C156" s="48" t="s">
        <v>27</v>
      </c>
      <c r="D156" s="48" t="s">
        <v>1612</v>
      </c>
      <c r="E156" s="48" t="s">
        <v>839</v>
      </c>
      <c r="F156" s="48"/>
      <c r="G156" s="48" t="s">
        <v>1249</v>
      </c>
      <c r="H156" s="51">
        <v>400</v>
      </c>
      <c r="I156" s="49">
        <v>240</v>
      </c>
      <c r="J156" s="48" t="s">
        <v>31</v>
      </c>
      <c r="K156" s="48" t="s">
        <v>32</v>
      </c>
      <c r="M156" s="126">
        <v>80</v>
      </c>
    </row>
    <row r="157" spans="1:13" ht="15.75" customHeight="1">
      <c r="A157" s="369">
        <v>13</v>
      </c>
      <c r="B157" s="58" t="s">
        <v>3129</v>
      </c>
      <c r="C157" s="58" t="s">
        <v>27</v>
      </c>
      <c r="D157" s="58" t="s">
        <v>845</v>
      </c>
      <c r="E157" s="58" t="s">
        <v>68</v>
      </c>
      <c r="F157" s="58"/>
      <c r="G157" s="58" t="s">
        <v>1249</v>
      </c>
      <c r="H157" s="59">
        <v>2000</v>
      </c>
      <c r="I157" s="60">
        <v>1200</v>
      </c>
      <c r="J157" s="48" t="s">
        <v>31</v>
      </c>
      <c r="K157" s="48" t="s">
        <v>32</v>
      </c>
      <c r="M157" s="126" t="s">
        <v>3130</v>
      </c>
    </row>
    <row r="158" spans="1:13" ht="15.75" customHeight="1">
      <c r="A158" s="61">
        <v>14</v>
      </c>
      <c r="B158" s="292" t="s">
        <v>307</v>
      </c>
      <c r="C158" s="62" t="s">
        <v>27</v>
      </c>
      <c r="D158" s="62" t="s">
        <v>104</v>
      </c>
      <c r="E158" s="62" t="s">
        <v>36</v>
      </c>
      <c r="F158" s="62"/>
      <c r="G158" s="62" t="s">
        <v>1249</v>
      </c>
      <c r="H158" s="63">
        <v>500</v>
      </c>
      <c r="I158" s="64">
        <v>300</v>
      </c>
      <c r="J158" s="48" t="s">
        <v>31</v>
      </c>
      <c r="K158" s="48" t="s">
        <v>32</v>
      </c>
    </row>
    <row r="159" spans="1:13" ht="15.75" customHeight="1">
      <c r="A159" s="50">
        <v>14</v>
      </c>
      <c r="B159" s="151" t="s">
        <v>2022</v>
      </c>
      <c r="C159" s="48" t="s">
        <v>27</v>
      </c>
      <c r="D159" s="48" t="s">
        <v>191</v>
      </c>
      <c r="E159" s="48" t="s">
        <v>36</v>
      </c>
      <c r="F159" s="48"/>
      <c r="G159" s="48" t="s">
        <v>30</v>
      </c>
      <c r="H159" s="51">
        <v>1000</v>
      </c>
      <c r="I159" s="49">
        <v>200</v>
      </c>
      <c r="J159" s="48" t="s">
        <v>31</v>
      </c>
      <c r="K159" s="48" t="s">
        <v>32</v>
      </c>
      <c r="M159" s="126">
        <v>200</v>
      </c>
    </row>
    <row r="160" spans="1:13" ht="15.75" customHeight="1">
      <c r="A160" s="50">
        <v>14</v>
      </c>
      <c r="B160" s="151" t="s">
        <v>2022</v>
      </c>
      <c r="C160" s="48" t="s">
        <v>27</v>
      </c>
      <c r="D160" s="48" t="s">
        <v>191</v>
      </c>
      <c r="E160" s="48" t="s">
        <v>36</v>
      </c>
      <c r="F160" s="48"/>
      <c r="G160" s="48" t="s">
        <v>61</v>
      </c>
      <c r="H160" s="51">
        <v>50</v>
      </c>
      <c r="I160" s="49">
        <v>150</v>
      </c>
      <c r="J160" s="48" t="s">
        <v>31</v>
      </c>
      <c r="K160" s="48" t="s">
        <v>32</v>
      </c>
    </row>
    <row r="161" spans="1:19" ht="15.75" customHeight="1">
      <c r="A161" s="50">
        <v>14</v>
      </c>
      <c r="B161" s="151" t="s">
        <v>3131</v>
      </c>
      <c r="C161" s="48" t="s">
        <v>27</v>
      </c>
      <c r="D161" s="48" t="s">
        <v>3031</v>
      </c>
      <c r="E161" s="48" t="s">
        <v>245</v>
      </c>
      <c r="F161" s="48"/>
      <c r="G161" s="48" t="s">
        <v>61</v>
      </c>
      <c r="H161" s="51">
        <v>100</v>
      </c>
      <c r="I161" s="49">
        <v>300</v>
      </c>
      <c r="J161" s="48" t="s">
        <v>31</v>
      </c>
      <c r="K161" s="48" t="s">
        <v>32</v>
      </c>
      <c r="P161" s="732" t="s">
        <v>3132</v>
      </c>
      <c r="Q161" s="711"/>
    </row>
    <row r="162" spans="1:19" ht="15.75" customHeight="1">
      <c r="A162" s="50">
        <v>14</v>
      </c>
      <c r="B162" s="151" t="s">
        <v>3133</v>
      </c>
      <c r="C162" s="48" t="s">
        <v>27</v>
      </c>
      <c r="D162" s="48" t="s">
        <v>3134</v>
      </c>
      <c r="E162" s="48" t="s">
        <v>140</v>
      </c>
      <c r="F162" s="48"/>
      <c r="G162" s="48" t="s">
        <v>30</v>
      </c>
      <c r="H162" s="51">
        <v>1000</v>
      </c>
      <c r="I162" s="49">
        <v>200</v>
      </c>
      <c r="J162" s="48" t="s">
        <v>31</v>
      </c>
      <c r="K162" s="48" t="s">
        <v>32</v>
      </c>
      <c r="M162" s="126">
        <v>200</v>
      </c>
      <c r="Q162" s="4" t="s">
        <v>33</v>
      </c>
      <c r="R162" s="4" t="s">
        <v>3135</v>
      </c>
    </row>
    <row r="163" spans="1:19" ht="15.75" customHeight="1">
      <c r="A163" s="50">
        <v>14</v>
      </c>
      <c r="B163" s="151" t="s">
        <v>3133</v>
      </c>
      <c r="C163" s="48" t="s">
        <v>27</v>
      </c>
      <c r="D163" s="48" t="s">
        <v>3134</v>
      </c>
      <c r="E163" s="48" t="s">
        <v>140</v>
      </c>
      <c r="F163" s="58"/>
      <c r="G163" s="58" t="s">
        <v>1249</v>
      </c>
      <c r="H163" s="59">
        <v>1000</v>
      </c>
      <c r="I163" s="60">
        <v>600</v>
      </c>
      <c r="J163" s="48" t="s">
        <v>31</v>
      </c>
      <c r="K163" s="48" t="s">
        <v>32</v>
      </c>
      <c r="P163" s="458" t="s">
        <v>1249</v>
      </c>
      <c r="Q163" s="459">
        <f>SUM(H158,H163,H170,H174,H188,H190)</f>
        <v>3400</v>
      </c>
    </row>
    <row r="164" spans="1:19" ht="15.75" customHeight="1">
      <c r="A164" s="61">
        <v>15</v>
      </c>
      <c r="B164" s="292" t="s">
        <v>3136</v>
      </c>
      <c r="C164" s="62" t="s">
        <v>27</v>
      </c>
      <c r="D164" s="62" t="s">
        <v>651</v>
      </c>
      <c r="E164" s="62" t="s">
        <v>86</v>
      </c>
      <c r="F164" s="62"/>
      <c r="G164" s="62" t="s">
        <v>30</v>
      </c>
      <c r="H164" s="63">
        <v>100</v>
      </c>
      <c r="I164" s="64">
        <v>30</v>
      </c>
      <c r="J164" s="48" t="s">
        <v>31</v>
      </c>
      <c r="K164" s="48" t="s">
        <v>32</v>
      </c>
      <c r="M164" s="126">
        <v>150</v>
      </c>
      <c r="P164" s="460" t="s">
        <v>61</v>
      </c>
      <c r="Q164" s="461">
        <f>SUM(H160:H161,H166,H168,H171:H172,H179,H182:H187,H189,H194,H207,H209,H211,H215,H217,H221,H227,H230,H240)</f>
        <v>1821</v>
      </c>
    </row>
    <row r="165" spans="1:19" ht="15.75" customHeight="1">
      <c r="A165" s="50">
        <v>15</v>
      </c>
      <c r="B165" s="151" t="s">
        <v>3137</v>
      </c>
      <c r="C165" s="48" t="s">
        <v>39</v>
      </c>
      <c r="D165" s="48" t="s">
        <v>1641</v>
      </c>
      <c r="E165" s="48" t="s">
        <v>89</v>
      </c>
      <c r="F165" s="48"/>
      <c r="G165" s="48" t="s">
        <v>30</v>
      </c>
      <c r="H165" s="51">
        <v>500</v>
      </c>
      <c r="I165" s="49" t="s">
        <v>1586</v>
      </c>
      <c r="J165" s="48" t="s">
        <v>31</v>
      </c>
      <c r="K165" s="48" t="s">
        <v>32</v>
      </c>
      <c r="M165" s="126">
        <v>100</v>
      </c>
      <c r="P165" s="383" t="s">
        <v>2693</v>
      </c>
      <c r="Q165" s="462">
        <f>SUM(H159,H162,H164,H167,H173,H191:H193,H195:H206,H208,H210,H212:H214,H216,H218:H219,H223:H226,H228:H229,H231:H239,H241:H242)</f>
        <v>58600</v>
      </c>
      <c r="R165" s="463">
        <f>SUM(H165,H169,H175:H178,H180:H181,H220,H222)</f>
        <v>5000</v>
      </c>
      <c r="S165" s="795">
        <f>R165+R166</f>
        <v>55000</v>
      </c>
    </row>
    <row r="166" spans="1:19" ht="15.75" customHeight="1">
      <c r="A166" s="50">
        <v>15</v>
      </c>
      <c r="B166" s="151" t="s">
        <v>3137</v>
      </c>
      <c r="C166" s="48" t="s">
        <v>39</v>
      </c>
      <c r="D166" s="48" t="s">
        <v>1641</v>
      </c>
      <c r="E166" s="48" t="s">
        <v>89</v>
      </c>
      <c r="F166" s="48"/>
      <c r="G166" s="48" t="s">
        <v>61</v>
      </c>
      <c r="H166" s="51">
        <v>20</v>
      </c>
      <c r="I166" s="49">
        <v>60</v>
      </c>
      <c r="J166" s="48" t="s">
        <v>31</v>
      </c>
      <c r="K166" s="48" t="s">
        <v>32</v>
      </c>
      <c r="R166" s="464">
        <f>SUM('October (Group)'!I12:I14)</f>
        <v>50000</v>
      </c>
      <c r="S166" s="796"/>
    </row>
    <row r="167" spans="1:19" ht="15.75" customHeight="1">
      <c r="A167" s="50">
        <v>15</v>
      </c>
      <c r="B167" s="151" t="s">
        <v>3108</v>
      </c>
      <c r="C167" s="48" t="s">
        <v>39</v>
      </c>
      <c r="D167" s="48" t="s">
        <v>128</v>
      </c>
      <c r="E167" s="48" t="s">
        <v>44</v>
      </c>
      <c r="F167" s="48"/>
      <c r="G167" s="48" t="s">
        <v>30</v>
      </c>
      <c r="H167" s="51">
        <v>300</v>
      </c>
      <c r="I167" s="49">
        <v>60</v>
      </c>
      <c r="J167" s="48" t="s">
        <v>31</v>
      </c>
      <c r="K167" s="48" t="s">
        <v>32</v>
      </c>
      <c r="M167" s="126">
        <v>100</v>
      </c>
      <c r="P167" s="465" t="s">
        <v>3138</v>
      </c>
      <c r="Q167" s="465"/>
      <c r="R167" s="466">
        <f>SUM('October (Group)'!I15:I17)</f>
        <v>530</v>
      </c>
    </row>
    <row r="168" spans="1:19" ht="15.75" customHeight="1">
      <c r="A168" s="50">
        <v>15</v>
      </c>
      <c r="B168" s="151" t="s">
        <v>3108</v>
      </c>
      <c r="C168" s="48" t="s">
        <v>39</v>
      </c>
      <c r="D168" s="48" t="s">
        <v>128</v>
      </c>
      <c r="E168" s="48" t="s">
        <v>44</v>
      </c>
      <c r="F168" s="48"/>
      <c r="G168" s="48" t="s">
        <v>61</v>
      </c>
      <c r="H168" s="51">
        <v>10</v>
      </c>
      <c r="I168" s="49">
        <v>30</v>
      </c>
      <c r="J168" s="48" t="s">
        <v>31</v>
      </c>
      <c r="K168" s="48" t="s">
        <v>32</v>
      </c>
    </row>
    <row r="169" spans="1:19" ht="15.75" customHeight="1">
      <c r="A169" s="50">
        <v>15</v>
      </c>
      <c r="B169" s="151" t="s">
        <v>3139</v>
      </c>
      <c r="C169" s="48" t="s">
        <v>27</v>
      </c>
      <c r="D169" s="48" t="s">
        <v>1320</v>
      </c>
      <c r="E169" s="48" t="s">
        <v>44</v>
      </c>
      <c r="F169" s="48"/>
      <c r="G169" s="48" t="s">
        <v>30</v>
      </c>
      <c r="H169" s="51">
        <v>500</v>
      </c>
      <c r="I169" s="49" t="s">
        <v>1586</v>
      </c>
      <c r="J169" s="48" t="s">
        <v>31</v>
      </c>
      <c r="K169" s="48" t="s">
        <v>32</v>
      </c>
      <c r="M169" s="126">
        <v>200</v>
      </c>
    </row>
    <row r="170" spans="1:19" ht="15.75" customHeight="1">
      <c r="A170" s="50">
        <v>15</v>
      </c>
      <c r="B170" s="151" t="s">
        <v>3139</v>
      </c>
      <c r="C170" s="48" t="s">
        <v>27</v>
      </c>
      <c r="D170" s="48" t="s">
        <v>1320</v>
      </c>
      <c r="E170" s="48" t="s">
        <v>44</v>
      </c>
      <c r="F170" s="48"/>
      <c r="G170" s="48" t="s">
        <v>1249</v>
      </c>
      <c r="H170" s="51">
        <v>150</v>
      </c>
      <c r="I170" s="49">
        <v>90</v>
      </c>
      <c r="J170" s="48" t="s">
        <v>31</v>
      </c>
      <c r="K170" s="48" t="s">
        <v>32</v>
      </c>
    </row>
    <row r="171" spans="1:19" ht="15.75" customHeight="1">
      <c r="A171" s="50">
        <v>15</v>
      </c>
      <c r="B171" s="151" t="s">
        <v>3139</v>
      </c>
      <c r="C171" s="48" t="s">
        <v>27</v>
      </c>
      <c r="D171" s="48" t="s">
        <v>1320</v>
      </c>
      <c r="E171" s="48" t="s">
        <v>44</v>
      </c>
      <c r="F171" s="48"/>
      <c r="G171" s="48" t="s">
        <v>61</v>
      </c>
      <c r="H171" s="51">
        <v>6</v>
      </c>
      <c r="I171" s="49">
        <v>18</v>
      </c>
      <c r="J171" s="48" t="s">
        <v>31</v>
      </c>
      <c r="K171" s="48" t="s">
        <v>32</v>
      </c>
    </row>
    <row r="172" spans="1:19" ht="15.75" customHeight="1">
      <c r="A172" s="50">
        <v>15</v>
      </c>
      <c r="B172" s="151" t="s">
        <v>3140</v>
      </c>
      <c r="C172" s="48" t="s">
        <v>27</v>
      </c>
      <c r="D172" s="48" t="s">
        <v>234</v>
      </c>
      <c r="E172" s="48" t="s">
        <v>84</v>
      </c>
      <c r="F172" s="48"/>
      <c r="G172" s="48" t="s">
        <v>61</v>
      </c>
      <c r="H172" s="51">
        <v>70</v>
      </c>
      <c r="I172" s="49">
        <v>210</v>
      </c>
      <c r="J172" s="48" t="s">
        <v>31</v>
      </c>
      <c r="K172" s="48" t="s">
        <v>32</v>
      </c>
    </row>
    <row r="173" spans="1:19" ht="15.75" customHeight="1">
      <c r="A173" s="50">
        <v>15</v>
      </c>
      <c r="B173" s="151" t="s">
        <v>3141</v>
      </c>
      <c r="C173" s="48" t="s">
        <v>27</v>
      </c>
      <c r="D173" s="48" t="s">
        <v>3142</v>
      </c>
      <c r="E173" s="48" t="s">
        <v>273</v>
      </c>
      <c r="F173" s="48"/>
      <c r="G173" s="48" t="s">
        <v>30</v>
      </c>
      <c r="H173" s="51">
        <v>2000</v>
      </c>
      <c r="I173" s="49">
        <v>400</v>
      </c>
      <c r="J173" s="48" t="s">
        <v>31</v>
      </c>
      <c r="K173" s="48" t="s">
        <v>32</v>
      </c>
      <c r="M173" s="126">
        <v>400</v>
      </c>
    </row>
    <row r="174" spans="1:19" ht="15.75" customHeight="1">
      <c r="A174" s="65">
        <v>15</v>
      </c>
      <c r="B174" s="175" t="s">
        <v>3143</v>
      </c>
      <c r="C174" s="58" t="s">
        <v>27</v>
      </c>
      <c r="D174" s="58" t="s">
        <v>213</v>
      </c>
      <c r="E174" s="58" t="s">
        <v>36</v>
      </c>
      <c r="F174" s="58"/>
      <c r="G174" s="58" t="s">
        <v>1249</v>
      </c>
      <c r="H174" s="59">
        <v>500</v>
      </c>
      <c r="I174" s="60">
        <v>300</v>
      </c>
      <c r="J174" s="48" t="s">
        <v>31</v>
      </c>
      <c r="K174" s="48" t="s">
        <v>32</v>
      </c>
    </row>
    <row r="175" spans="1:19" ht="15.75" customHeight="1">
      <c r="A175" s="61">
        <v>19</v>
      </c>
      <c r="B175" s="292" t="s">
        <v>3144</v>
      </c>
      <c r="C175" s="62" t="s">
        <v>27</v>
      </c>
      <c r="D175" s="62" t="s">
        <v>3145</v>
      </c>
      <c r="E175" s="62" t="s">
        <v>89</v>
      </c>
      <c r="F175" s="62"/>
      <c r="G175" s="62" t="s">
        <v>30</v>
      </c>
      <c r="H175" s="63">
        <v>500</v>
      </c>
      <c r="I175" s="64" t="s">
        <v>1586</v>
      </c>
      <c r="J175" s="48" t="s">
        <v>31</v>
      </c>
      <c r="K175" s="48" t="s">
        <v>32</v>
      </c>
      <c r="M175" s="126">
        <v>100</v>
      </c>
    </row>
    <row r="176" spans="1:19" ht="15.75" customHeight="1">
      <c r="A176" s="50">
        <v>19</v>
      </c>
      <c r="B176" s="151" t="s">
        <v>3146</v>
      </c>
      <c r="C176" s="48" t="s">
        <v>27</v>
      </c>
      <c r="D176" s="48" t="s">
        <v>3145</v>
      </c>
      <c r="E176" s="48" t="s">
        <v>89</v>
      </c>
      <c r="F176" s="48"/>
      <c r="G176" s="48" t="s">
        <v>30</v>
      </c>
      <c r="H176" s="51">
        <v>500</v>
      </c>
      <c r="I176" s="49" t="s">
        <v>1586</v>
      </c>
      <c r="J176" s="48" t="s">
        <v>31</v>
      </c>
      <c r="K176" s="48" t="s">
        <v>32</v>
      </c>
      <c r="M176" s="126">
        <v>100</v>
      </c>
    </row>
    <row r="177" spans="1:13" ht="15.75" customHeight="1">
      <c r="A177" s="50">
        <v>19</v>
      </c>
      <c r="B177" s="151" t="s">
        <v>3147</v>
      </c>
      <c r="C177" s="48" t="s">
        <v>27</v>
      </c>
      <c r="D177" s="48" t="s">
        <v>3145</v>
      </c>
      <c r="E177" s="48" t="s">
        <v>89</v>
      </c>
      <c r="F177" s="48"/>
      <c r="G177" s="48" t="s">
        <v>30</v>
      </c>
      <c r="H177" s="51">
        <v>500</v>
      </c>
      <c r="I177" s="49" t="s">
        <v>1586</v>
      </c>
      <c r="J177" s="48" t="s">
        <v>31</v>
      </c>
      <c r="K177" s="48" t="s">
        <v>32</v>
      </c>
      <c r="M177" s="126">
        <v>100</v>
      </c>
    </row>
    <row r="178" spans="1:13" ht="15.75" customHeight="1">
      <c r="A178" s="50">
        <v>19</v>
      </c>
      <c r="B178" s="151" t="s">
        <v>3148</v>
      </c>
      <c r="C178" s="48" t="s">
        <v>27</v>
      </c>
      <c r="D178" s="48" t="s">
        <v>3145</v>
      </c>
      <c r="E178" s="48" t="s">
        <v>89</v>
      </c>
      <c r="F178" s="48"/>
      <c r="G178" s="48" t="s">
        <v>30</v>
      </c>
      <c r="H178" s="51">
        <v>500</v>
      </c>
      <c r="I178" s="49" t="s">
        <v>1586</v>
      </c>
      <c r="J178" s="48" t="s">
        <v>31</v>
      </c>
      <c r="K178" s="48" t="s">
        <v>32</v>
      </c>
      <c r="M178" s="126">
        <v>100</v>
      </c>
    </row>
    <row r="179" spans="1:13" ht="15.75" customHeight="1">
      <c r="A179" s="50">
        <v>19</v>
      </c>
      <c r="B179" s="151" t="s">
        <v>3148</v>
      </c>
      <c r="C179" s="48" t="s">
        <v>27</v>
      </c>
      <c r="D179" s="48" t="s">
        <v>3145</v>
      </c>
      <c r="E179" s="48" t="s">
        <v>89</v>
      </c>
      <c r="F179" s="48"/>
      <c r="G179" s="48" t="s">
        <v>61</v>
      </c>
      <c r="H179" s="51">
        <v>30</v>
      </c>
      <c r="I179" s="49">
        <v>90</v>
      </c>
      <c r="J179" s="48" t="s">
        <v>31</v>
      </c>
      <c r="K179" s="48" t="s">
        <v>32</v>
      </c>
    </row>
    <row r="180" spans="1:13" ht="15.75" customHeight="1">
      <c r="A180" s="50">
        <v>19</v>
      </c>
      <c r="B180" s="151" t="s">
        <v>3149</v>
      </c>
      <c r="C180" s="48" t="s">
        <v>27</v>
      </c>
      <c r="D180" s="48" t="s">
        <v>3145</v>
      </c>
      <c r="E180" s="48" t="s">
        <v>89</v>
      </c>
      <c r="F180" s="48"/>
      <c r="G180" s="48" t="s">
        <v>30</v>
      </c>
      <c r="H180" s="51">
        <v>500</v>
      </c>
      <c r="I180" s="49" t="s">
        <v>1586</v>
      </c>
      <c r="J180" s="48" t="s">
        <v>31</v>
      </c>
      <c r="K180" s="48" t="s">
        <v>32</v>
      </c>
      <c r="M180" s="126">
        <v>100</v>
      </c>
    </row>
    <row r="181" spans="1:13" ht="15.75" customHeight="1">
      <c r="A181" s="50">
        <v>19</v>
      </c>
      <c r="B181" s="151" t="s">
        <v>3150</v>
      </c>
      <c r="C181" s="48" t="s">
        <v>27</v>
      </c>
      <c r="D181" s="48" t="s">
        <v>3145</v>
      </c>
      <c r="E181" s="48" t="s">
        <v>89</v>
      </c>
      <c r="F181" s="48"/>
      <c r="G181" s="48" t="s">
        <v>30</v>
      </c>
      <c r="H181" s="51">
        <v>500</v>
      </c>
      <c r="I181" s="49" t="s">
        <v>1586</v>
      </c>
      <c r="J181" s="48" t="s">
        <v>31</v>
      </c>
      <c r="K181" s="48" t="s">
        <v>32</v>
      </c>
      <c r="M181" s="126">
        <v>100</v>
      </c>
    </row>
    <row r="182" spans="1:13" ht="15.75" customHeight="1">
      <c r="A182" s="50">
        <v>19</v>
      </c>
      <c r="B182" s="151" t="s">
        <v>3151</v>
      </c>
      <c r="C182" s="48" t="s">
        <v>39</v>
      </c>
      <c r="D182" s="48" t="s">
        <v>1203</v>
      </c>
      <c r="E182" s="48" t="s">
        <v>245</v>
      </c>
      <c r="F182" s="48"/>
      <c r="G182" s="48" t="s">
        <v>61</v>
      </c>
      <c r="H182" s="51">
        <v>30</v>
      </c>
      <c r="I182" s="49">
        <v>90</v>
      </c>
      <c r="J182" s="48" t="s">
        <v>31</v>
      </c>
      <c r="K182" s="48" t="s">
        <v>32</v>
      </c>
    </row>
    <row r="183" spans="1:13" ht="15.75" customHeight="1">
      <c r="A183" s="50">
        <v>19</v>
      </c>
      <c r="B183" s="151" t="s">
        <v>3152</v>
      </c>
      <c r="C183" s="48" t="s">
        <v>27</v>
      </c>
      <c r="D183" s="48" t="s">
        <v>623</v>
      </c>
      <c r="E183" s="48" t="s">
        <v>44</v>
      </c>
      <c r="F183" s="48"/>
      <c r="G183" s="48" t="s">
        <v>61</v>
      </c>
      <c r="H183" s="51">
        <v>60</v>
      </c>
      <c r="I183" s="49">
        <v>300</v>
      </c>
      <c r="J183" s="48" t="s">
        <v>31</v>
      </c>
      <c r="K183" s="48" t="s">
        <v>32</v>
      </c>
    </row>
    <row r="184" spans="1:13" ht="15.75" customHeight="1">
      <c r="A184" s="50">
        <v>19</v>
      </c>
      <c r="B184" s="151" t="s">
        <v>3153</v>
      </c>
      <c r="C184" s="48" t="s">
        <v>27</v>
      </c>
      <c r="D184" s="48" t="s">
        <v>3154</v>
      </c>
      <c r="E184" s="48" t="s">
        <v>29</v>
      </c>
      <c r="F184" s="48"/>
      <c r="G184" s="48" t="s">
        <v>61</v>
      </c>
      <c r="H184" s="51">
        <v>100</v>
      </c>
      <c r="I184" s="49">
        <v>300</v>
      </c>
      <c r="J184" s="48" t="s">
        <v>31</v>
      </c>
      <c r="K184" s="48" t="s">
        <v>32</v>
      </c>
    </row>
    <row r="185" spans="1:13" ht="15.75" customHeight="1">
      <c r="A185" s="50">
        <v>19</v>
      </c>
      <c r="B185" s="151" t="s">
        <v>3155</v>
      </c>
      <c r="C185" s="48" t="s">
        <v>39</v>
      </c>
      <c r="D185" s="48" t="s">
        <v>289</v>
      </c>
      <c r="E185" s="48" t="s">
        <v>839</v>
      </c>
      <c r="F185" s="48"/>
      <c r="G185" s="48" t="s">
        <v>61</v>
      </c>
      <c r="H185" s="51">
        <v>335</v>
      </c>
      <c r="I185" s="49">
        <v>1005</v>
      </c>
      <c r="J185" s="48" t="s">
        <v>31</v>
      </c>
      <c r="K185" s="48" t="s">
        <v>32</v>
      </c>
    </row>
    <row r="186" spans="1:13" ht="15.75" customHeight="1">
      <c r="A186" s="50">
        <v>19</v>
      </c>
      <c r="B186" s="151" t="s">
        <v>3156</v>
      </c>
      <c r="C186" s="48" t="s">
        <v>27</v>
      </c>
      <c r="D186" s="48" t="s">
        <v>1373</v>
      </c>
      <c r="E186" s="48" t="s">
        <v>56</v>
      </c>
      <c r="F186" s="48"/>
      <c r="G186" s="48" t="s">
        <v>61</v>
      </c>
      <c r="H186" s="51">
        <v>250</v>
      </c>
      <c r="I186" s="49">
        <v>750</v>
      </c>
      <c r="J186" s="48" t="s">
        <v>31</v>
      </c>
      <c r="K186" s="48" t="s">
        <v>32</v>
      </c>
    </row>
    <row r="187" spans="1:13" ht="15.75" customHeight="1">
      <c r="A187" s="50">
        <v>19</v>
      </c>
      <c r="B187" s="151" t="s">
        <v>3157</v>
      </c>
      <c r="C187" s="48" t="s">
        <v>27</v>
      </c>
      <c r="D187" s="48" t="s">
        <v>1123</v>
      </c>
      <c r="E187" s="48" t="s">
        <v>73</v>
      </c>
      <c r="F187" s="48"/>
      <c r="G187" s="48" t="s">
        <v>61</v>
      </c>
      <c r="H187" s="51">
        <v>40</v>
      </c>
      <c r="I187" s="49">
        <v>120</v>
      </c>
      <c r="J187" s="48" t="s">
        <v>31</v>
      </c>
      <c r="K187" s="48" t="s">
        <v>32</v>
      </c>
    </row>
    <row r="188" spans="1:13" ht="15.75" customHeight="1">
      <c r="A188" s="382">
        <v>19</v>
      </c>
      <c r="B188" s="48" t="s">
        <v>1728</v>
      </c>
      <c r="C188" s="48" t="s">
        <v>27</v>
      </c>
      <c r="D188" s="48" t="s">
        <v>108</v>
      </c>
      <c r="E188" s="48" t="s">
        <v>36</v>
      </c>
      <c r="F188" s="48"/>
      <c r="G188" s="48" t="s">
        <v>1249</v>
      </c>
      <c r="H188" s="51">
        <v>50</v>
      </c>
      <c r="I188" s="49">
        <v>30</v>
      </c>
      <c r="J188" s="48" t="s">
        <v>31</v>
      </c>
      <c r="K188" s="48" t="s">
        <v>32</v>
      </c>
    </row>
    <row r="189" spans="1:13" ht="15.75" customHeight="1">
      <c r="A189" s="382">
        <v>19</v>
      </c>
      <c r="B189" s="48" t="s">
        <v>1728</v>
      </c>
      <c r="C189" s="48" t="s">
        <v>27</v>
      </c>
      <c r="D189" s="48" t="s">
        <v>108</v>
      </c>
      <c r="E189" s="48" t="s">
        <v>36</v>
      </c>
      <c r="F189" s="48"/>
      <c r="G189" s="48" t="s">
        <v>61</v>
      </c>
      <c r="H189" s="51">
        <v>20</v>
      </c>
      <c r="I189" s="49">
        <v>60</v>
      </c>
      <c r="J189" s="48" t="s">
        <v>31</v>
      </c>
      <c r="K189" s="48" t="s">
        <v>32</v>
      </c>
    </row>
    <row r="190" spans="1:13" ht="15.75" customHeight="1">
      <c r="A190" s="65">
        <v>19</v>
      </c>
      <c r="B190" s="175" t="s">
        <v>3158</v>
      </c>
      <c r="C190" s="58" t="s">
        <v>39</v>
      </c>
      <c r="D190" s="58" t="s">
        <v>100</v>
      </c>
      <c r="E190" s="58" t="s">
        <v>237</v>
      </c>
      <c r="F190" s="58"/>
      <c r="G190" s="58" t="s">
        <v>1249</v>
      </c>
      <c r="H190" s="59">
        <v>1200</v>
      </c>
      <c r="I190" s="60">
        <v>720</v>
      </c>
      <c r="J190" s="58" t="s">
        <v>31</v>
      </c>
      <c r="K190" s="58" t="s">
        <v>32</v>
      </c>
    </row>
    <row r="191" spans="1:13" ht="15.75" customHeight="1">
      <c r="A191" s="61">
        <v>20</v>
      </c>
      <c r="B191" s="292" t="s">
        <v>1212</v>
      </c>
      <c r="C191" s="62" t="s">
        <v>27</v>
      </c>
      <c r="D191" s="62" t="s">
        <v>3159</v>
      </c>
      <c r="E191" s="62" t="s">
        <v>73</v>
      </c>
      <c r="F191" s="62"/>
      <c r="G191" s="62" t="s">
        <v>30</v>
      </c>
      <c r="H191" s="63">
        <v>200</v>
      </c>
      <c r="I191" s="64">
        <v>40</v>
      </c>
      <c r="J191" s="62" t="s">
        <v>31</v>
      </c>
      <c r="K191" s="62" t="s">
        <v>32</v>
      </c>
      <c r="M191" s="126">
        <v>50</v>
      </c>
    </row>
    <row r="192" spans="1:13" ht="15.75" customHeight="1">
      <c r="A192" s="50">
        <v>20</v>
      </c>
      <c r="B192" s="151" t="s">
        <v>3160</v>
      </c>
      <c r="C192" s="48" t="s">
        <v>39</v>
      </c>
      <c r="D192" s="48" t="s">
        <v>866</v>
      </c>
      <c r="E192" s="48" t="s">
        <v>273</v>
      </c>
      <c r="F192" s="48"/>
      <c r="G192" s="48" t="s">
        <v>30</v>
      </c>
      <c r="H192" s="51">
        <v>100</v>
      </c>
      <c r="I192" s="49">
        <v>20</v>
      </c>
      <c r="J192" s="48" t="s">
        <v>31</v>
      </c>
      <c r="K192" s="48" t="s">
        <v>32</v>
      </c>
      <c r="M192" s="126">
        <v>20</v>
      </c>
    </row>
    <row r="193" spans="1:13" ht="15.75" customHeight="1">
      <c r="A193" s="50">
        <v>20</v>
      </c>
      <c r="B193" s="151" t="s">
        <v>3161</v>
      </c>
      <c r="C193" s="48" t="s">
        <v>27</v>
      </c>
      <c r="D193" s="48" t="s">
        <v>1165</v>
      </c>
      <c r="E193" s="48" t="s">
        <v>191</v>
      </c>
      <c r="F193" s="48"/>
      <c r="G193" s="48" t="s">
        <v>30</v>
      </c>
      <c r="H193" s="51">
        <v>500</v>
      </c>
      <c r="I193" s="49">
        <v>100</v>
      </c>
      <c r="J193" s="48" t="s">
        <v>31</v>
      </c>
      <c r="K193" s="48" t="s">
        <v>32</v>
      </c>
      <c r="M193" s="126">
        <v>100</v>
      </c>
    </row>
    <row r="194" spans="1:13" ht="15.75" customHeight="1">
      <c r="A194" s="50">
        <v>20</v>
      </c>
      <c r="B194" s="151" t="s">
        <v>3162</v>
      </c>
      <c r="C194" s="48" t="s">
        <v>27</v>
      </c>
      <c r="D194" s="151" t="s">
        <v>934</v>
      </c>
      <c r="E194" s="48" t="s">
        <v>44</v>
      </c>
      <c r="F194" s="48"/>
      <c r="G194" s="48" t="s">
        <v>61</v>
      </c>
      <c r="H194" s="51">
        <v>50</v>
      </c>
      <c r="I194" s="49">
        <v>150</v>
      </c>
      <c r="J194" s="48" t="s">
        <v>31</v>
      </c>
      <c r="K194" s="48" t="s">
        <v>32</v>
      </c>
    </row>
    <row r="195" spans="1:13" ht="15.75" customHeight="1">
      <c r="A195" s="50">
        <v>20</v>
      </c>
      <c r="B195" s="151" t="s">
        <v>3163</v>
      </c>
      <c r="C195" s="48" t="s">
        <v>39</v>
      </c>
      <c r="D195" s="48" t="s">
        <v>434</v>
      </c>
      <c r="E195" s="48" t="s">
        <v>36</v>
      </c>
      <c r="F195" s="48"/>
      <c r="G195" s="48" t="s">
        <v>30</v>
      </c>
      <c r="H195" s="51">
        <v>200</v>
      </c>
      <c r="I195" s="49">
        <v>60</v>
      </c>
      <c r="J195" s="48" t="s">
        <v>31</v>
      </c>
      <c r="K195" s="48" t="s">
        <v>32</v>
      </c>
      <c r="M195" s="126">
        <v>50</v>
      </c>
    </row>
    <row r="196" spans="1:13" ht="15.75" customHeight="1">
      <c r="A196" s="50">
        <v>20</v>
      </c>
      <c r="B196" s="151" t="s">
        <v>3164</v>
      </c>
      <c r="C196" s="48" t="s">
        <v>39</v>
      </c>
      <c r="D196" s="48" t="s">
        <v>70</v>
      </c>
      <c r="E196" s="48" t="s">
        <v>36</v>
      </c>
      <c r="F196" s="48"/>
      <c r="G196" s="48" t="s">
        <v>30</v>
      </c>
      <c r="H196" s="51">
        <v>500</v>
      </c>
      <c r="I196" s="49">
        <v>100</v>
      </c>
      <c r="J196" s="48" t="s">
        <v>31</v>
      </c>
      <c r="K196" s="48" t="s">
        <v>32</v>
      </c>
      <c r="M196" s="126">
        <v>7500</v>
      </c>
    </row>
    <row r="197" spans="1:13" ht="15.75" customHeight="1">
      <c r="A197" s="50">
        <v>20</v>
      </c>
      <c r="B197" s="151" t="s">
        <v>3165</v>
      </c>
      <c r="C197" s="48" t="s">
        <v>39</v>
      </c>
      <c r="D197" s="48" t="s">
        <v>3166</v>
      </c>
      <c r="E197" s="48" t="s">
        <v>56</v>
      </c>
      <c r="F197" s="48"/>
      <c r="G197" s="48" t="s">
        <v>30</v>
      </c>
      <c r="H197" s="51">
        <v>500</v>
      </c>
      <c r="I197" s="49">
        <v>100</v>
      </c>
      <c r="J197" s="48" t="s">
        <v>31</v>
      </c>
      <c r="K197" s="48" t="s">
        <v>32</v>
      </c>
      <c r="M197" s="126">
        <v>60</v>
      </c>
    </row>
    <row r="198" spans="1:13" ht="15.75" customHeight="1">
      <c r="A198" s="50">
        <v>20</v>
      </c>
      <c r="B198" s="151" t="s">
        <v>1997</v>
      </c>
      <c r="C198" s="48" t="s">
        <v>27</v>
      </c>
      <c r="D198" s="48" t="s">
        <v>128</v>
      </c>
      <c r="E198" s="48" t="s">
        <v>44</v>
      </c>
      <c r="F198" s="48"/>
      <c r="G198" s="48" t="s">
        <v>30</v>
      </c>
      <c r="H198" s="51">
        <v>600</v>
      </c>
      <c r="I198" s="49">
        <v>180</v>
      </c>
      <c r="J198" s="48" t="s">
        <v>31</v>
      </c>
      <c r="K198" s="48" t="s">
        <v>32</v>
      </c>
      <c r="M198" s="126">
        <v>150</v>
      </c>
    </row>
    <row r="199" spans="1:13" ht="15.75" customHeight="1">
      <c r="A199" s="50">
        <v>20</v>
      </c>
      <c r="B199" s="151" t="s">
        <v>3167</v>
      </c>
      <c r="C199" s="48" t="s">
        <v>27</v>
      </c>
      <c r="D199" s="48" t="s">
        <v>2704</v>
      </c>
      <c r="E199" s="48" t="s">
        <v>2510</v>
      </c>
      <c r="F199" s="48"/>
      <c r="G199" s="48" t="s">
        <v>30</v>
      </c>
      <c r="H199" s="51">
        <v>200</v>
      </c>
      <c r="I199" s="49">
        <v>40</v>
      </c>
      <c r="J199" s="48" t="s">
        <v>31</v>
      </c>
      <c r="K199" s="48" t="s">
        <v>32</v>
      </c>
      <c r="M199" s="126">
        <v>40</v>
      </c>
    </row>
    <row r="200" spans="1:13" ht="15.75" customHeight="1">
      <c r="A200" s="382">
        <v>20</v>
      </c>
      <c r="B200" s="48" t="s">
        <v>692</v>
      </c>
      <c r="C200" s="48" t="s">
        <v>27</v>
      </c>
      <c r="D200" s="48" t="s">
        <v>631</v>
      </c>
      <c r="E200" s="48" t="s">
        <v>84</v>
      </c>
      <c r="F200" s="48"/>
      <c r="G200" s="48" t="s">
        <v>30</v>
      </c>
      <c r="H200" s="51">
        <v>3000</v>
      </c>
      <c r="I200" s="49">
        <v>600</v>
      </c>
      <c r="J200" s="48" t="s">
        <v>31</v>
      </c>
      <c r="K200" s="48" t="s">
        <v>32</v>
      </c>
      <c r="M200" s="126">
        <v>600</v>
      </c>
    </row>
    <row r="201" spans="1:13" ht="15.75" customHeight="1">
      <c r="A201" s="50">
        <v>20</v>
      </c>
      <c r="B201" s="151" t="s">
        <v>3168</v>
      </c>
      <c r="C201" s="48" t="s">
        <v>27</v>
      </c>
      <c r="D201" s="48" t="s">
        <v>213</v>
      </c>
      <c r="E201" s="48" t="s">
        <v>36</v>
      </c>
      <c r="F201" s="48"/>
      <c r="G201" s="48" t="s">
        <v>30</v>
      </c>
      <c r="H201" s="51">
        <v>2000</v>
      </c>
      <c r="I201" s="49">
        <v>400</v>
      </c>
      <c r="J201" s="48" t="s">
        <v>31</v>
      </c>
      <c r="K201" s="48" t="s">
        <v>32</v>
      </c>
      <c r="M201" s="126">
        <v>2500</v>
      </c>
    </row>
    <row r="202" spans="1:13" ht="15.75" customHeight="1">
      <c r="A202" s="467">
        <v>20</v>
      </c>
      <c r="B202" s="156" t="s">
        <v>3169</v>
      </c>
      <c r="C202" s="156" t="s">
        <v>27</v>
      </c>
      <c r="D202" s="156" t="s">
        <v>607</v>
      </c>
      <c r="E202" s="156" t="s">
        <v>36</v>
      </c>
      <c r="F202" s="156"/>
      <c r="G202" s="156" t="s">
        <v>30</v>
      </c>
      <c r="H202" s="157">
        <v>2500</v>
      </c>
      <c r="I202" s="468">
        <v>500</v>
      </c>
      <c r="J202" s="156" t="s">
        <v>31</v>
      </c>
      <c r="K202" s="156" t="s">
        <v>32</v>
      </c>
    </row>
    <row r="203" spans="1:13" ht="15.75" customHeight="1">
      <c r="A203" s="61">
        <v>21</v>
      </c>
      <c r="B203" s="292" t="s">
        <v>3170</v>
      </c>
      <c r="C203" s="62" t="s">
        <v>27</v>
      </c>
      <c r="D203" s="62" t="s">
        <v>137</v>
      </c>
      <c r="E203" s="62" t="s">
        <v>73</v>
      </c>
      <c r="F203" s="62"/>
      <c r="G203" s="62" t="s">
        <v>30</v>
      </c>
      <c r="H203" s="63">
        <v>200</v>
      </c>
      <c r="I203" s="64">
        <v>40</v>
      </c>
      <c r="J203" s="62" t="s">
        <v>31</v>
      </c>
      <c r="K203" s="62" t="s">
        <v>32</v>
      </c>
      <c r="M203" s="126">
        <v>40</v>
      </c>
    </row>
    <row r="204" spans="1:13" ht="15.75" customHeight="1">
      <c r="A204" s="50">
        <v>21</v>
      </c>
      <c r="B204" s="151" t="s">
        <v>3171</v>
      </c>
      <c r="C204" s="48" t="s">
        <v>27</v>
      </c>
      <c r="D204" s="48" t="s">
        <v>3172</v>
      </c>
      <c r="E204" s="48" t="s">
        <v>36</v>
      </c>
      <c r="F204" s="48"/>
      <c r="G204" s="48" t="s">
        <v>30</v>
      </c>
      <c r="H204" s="51">
        <v>3500</v>
      </c>
      <c r="I204" s="49">
        <v>700</v>
      </c>
      <c r="J204" s="62" t="s">
        <v>31</v>
      </c>
      <c r="K204" s="62" t="s">
        <v>32</v>
      </c>
      <c r="M204" s="126">
        <v>700</v>
      </c>
    </row>
    <row r="205" spans="1:13" ht="15.75" customHeight="1">
      <c r="A205" s="50">
        <v>21</v>
      </c>
      <c r="B205" s="151" t="s">
        <v>3173</v>
      </c>
      <c r="C205" s="48" t="s">
        <v>27</v>
      </c>
      <c r="D205" s="48" t="s">
        <v>100</v>
      </c>
      <c r="E205" s="48" t="s">
        <v>145</v>
      </c>
      <c r="F205" s="48"/>
      <c r="G205" s="48" t="s">
        <v>30</v>
      </c>
      <c r="H205" s="51">
        <v>500</v>
      </c>
      <c r="I205" s="49">
        <v>100</v>
      </c>
      <c r="J205" s="62" t="s">
        <v>31</v>
      </c>
      <c r="K205" s="62" t="s">
        <v>32</v>
      </c>
      <c r="M205" s="126">
        <v>100</v>
      </c>
    </row>
    <row r="206" spans="1:13" ht="15.75" customHeight="1">
      <c r="A206" s="50">
        <v>21</v>
      </c>
      <c r="B206" s="151" t="s">
        <v>3174</v>
      </c>
      <c r="C206" s="48" t="s">
        <v>27</v>
      </c>
      <c r="D206" s="48" t="s">
        <v>363</v>
      </c>
      <c r="E206" s="48" t="s">
        <v>102</v>
      </c>
      <c r="F206" s="48"/>
      <c r="G206" s="48" t="s">
        <v>30</v>
      </c>
      <c r="H206" s="51">
        <v>500</v>
      </c>
      <c r="I206" s="49">
        <v>100</v>
      </c>
      <c r="J206" s="62" t="s">
        <v>31</v>
      </c>
      <c r="K206" s="62" t="s">
        <v>32</v>
      </c>
      <c r="M206" s="126">
        <v>100</v>
      </c>
    </row>
    <row r="207" spans="1:13" ht="15.75" customHeight="1">
      <c r="A207" s="50">
        <v>21</v>
      </c>
      <c r="B207" s="151" t="s">
        <v>3175</v>
      </c>
      <c r="C207" s="48" t="s">
        <v>27</v>
      </c>
      <c r="D207" s="48" t="s">
        <v>137</v>
      </c>
      <c r="E207" s="48" t="s">
        <v>84</v>
      </c>
      <c r="F207" s="48"/>
      <c r="G207" s="48" t="s">
        <v>61</v>
      </c>
      <c r="H207" s="51">
        <v>10</v>
      </c>
      <c r="I207" s="49">
        <v>30</v>
      </c>
      <c r="J207" s="62" t="s">
        <v>31</v>
      </c>
      <c r="K207" s="62" t="s">
        <v>32</v>
      </c>
    </row>
    <row r="208" spans="1:13" ht="15.75" customHeight="1">
      <c r="A208" s="50">
        <v>21</v>
      </c>
      <c r="B208" s="151" t="s">
        <v>3176</v>
      </c>
      <c r="C208" s="48" t="s">
        <v>27</v>
      </c>
      <c r="D208" s="48" t="s">
        <v>2070</v>
      </c>
      <c r="E208" s="48" t="s">
        <v>84</v>
      </c>
      <c r="F208" s="48"/>
      <c r="G208" s="48" t="s">
        <v>30</v>
      </c>
      <c r="H208" s="51">
        <v>500</v>
      </c>
      <c r="I208" s="49">
        <v>100</v>
      </c>
      <c r="J208" s="62" t="s">
        <v>31</v>
      </c>
      <c r="K208" s="62" t="s">
        <v>32</v>
      </c>
      <c r="M208" s="126">
        <v>180</v>
      </c>
    </row>
    <row r="209" spans="1:13" ht="15.75" customHeight="1">
      <c r="A209" s="50">
        <v>21</v>
      </c>
      <c r="B209" s="151" t="s">
        <v>3177</v>
      </c>
      <c r="C209" s="48" t="s">
        <v>27</v>
      </c>
      <c r="D209" s="48" t="s">
        <v>100</v>
      </c>
      <c r="E209" s="48" t="s">
        <v>36</v>
      </c>
      <c r="F209" s="48"/>
      <c r="G209" s="48" t="s">
        <v>61</v>
      </c>
      <c r="H209" s="51">
        <v>50</v>
      </c>
      <c r="I209" s="49">
        <v>150</v>
      </c>
      <c r="J209" s="62" t="s">
        <v>31</v>
      </c>
      <c r="K209" s="62" t="s">
        <v>32</v>
      </c>
    </row>
    <row r="210" spans="1:13" ht="15.75" customHeight="1">
      <c r="A210" s="50">
        <v>21</v>
      </c>
      <c r="B210" s="151" t="s">
        <v>1644</v>
      </c>
      <c r="C210" s="48" t="s">
        <v>27</v>
      </c>
      <c r="D210" s="48" t="s">
        <v>786</v>
      </c>
      <c r="E210" s="48" t="s">
        <v>191</v>
      </c>
      <c r="F210" s="48"/>
      <c r="G210" s="48" t="s">
        <v>30</v>
      </c>
      <c r="H210" s="51">
        <v>2000</v>
      </c>
      <c r="I210" s="49">
        <v>400</v>
      </c>
      <c r="J210" s="62" t="s">
        <v>31</v>
      </c>
      <c r="K210" s="62" t="s">
        <v>32</v>
      </c>
      <c r="M210" s="126">
        <v>400</v>
      </c>
    </row>
    <row r="211" spans="1:13" ht="15.75" customHeight="1">
      <c r="A211" s="50">
        <v>21</v>
      </c>
      <c r="B211" s="151" t="s">
        <v>3178</v>
      </c>
      <c r="C211" s="48" t="s">
        <v>39</v>
      </c>
      <c r="D211" s="48" t="s">
        <v>1040</v>
      </c>
      <c r="E211" s="48" t="s">
        <v>73</v>
      </c>
      <c r="F211" s="48"/>
      <c r="G211" s="48" t="s">
        <v>61</v>
      </c>
      <c r="H211" s="51">
        <v>50</v>
      </c>
      <c r="I211" s="49">
        <v>150</v>
      </c>
      <c r="J211" s="62" t="s">
        <v>31</v>
      </c>
      <c r="K211" s="62" t="s">
        <v>32</v>
      </c>
    </row>
    <row r="212" spans="1:13" ht="15.75" customHeight="1">
      <c r="A212" s="65">
        <v>21</v>
      </c>
      <c r="B212" s="175" t="s">
        <v>2083</v>
      </c>
      <c r="C212" s="58" t="s">
        <v>27</v>
      </c>
      <c r="D212" s="58" t="s">
        <v>657</v>
      </c>
      <c r="E212" s="58" t="s">
        <v>73</v>
      </c>
      <c r="F212" s="58"/>
      <c r="G212" s="58" t="s">
        <v>30</v>
      </c>
      <c r="H212" s="59">
        <v>500</v>
      </c>
      <c r="I212" s="60">
        <v>100</v>
      </c>
      <c r="J212" s="62" t="s">
        <v>31</v>
      </c>
      <c r="K212" s="62" t="s">
        <v>32</v>
      </c>
      <c r="M212" s="126">
        <v>300</v>
      </c>
    </row>
    <row r="213" spans="1:13" ht="15.75" customHeight="1">
      <c r="A213" s="61">
        <v>22</v>
      </c>
      <c r="B213" s="292" t="s">
        <v>402</v>
      </c>
      <c r="C213" s="62" t="s">
        <v>27</v>
      </c>
      <c r="D213" s="62" t="s">
        <v>100</v>
      </c>
      <c r="E213" s="62" t="s">
        <v>86</v>
      </c>
      <c r="F213" s="62"/>
      <c r="G213" s="62" t="s">
        <v>30</v>
      </c>
      <c r="H213" s="63">
        <v>3000</v>
      </c>
      <c r="I213" s="64">
        <v>600</v>
      </c>
      <c r="J213" s="62" t="s">
        <v>31</v>
      </c>
      <c r="K213" s="62" t="s">
        <v>32</v>
      </c>
      <c r="M213" s="126">
        <v>1000</v>
      </c>
    </row>
    <row r="214" spans="1:13" ht="15.75" customHeight="1">
      <c r="A214" s="50">
        <v>22</v>
      </c>
      <c r="B214" s="151" t="s">
        <v>3179</v>
      </c>
      <c r="C214" s="48" t="s">
        <v>27</v>
      </c>
      <c r="D214" s="48" t="s">
        <v>645</v>
      </c>
      <c r="E214" s="48" t="s">
        <v>86</v>
      </c>
      <c r="F214" s="48"/>
      <c r="G214" s="48" t="s">
        <v>30</v>
      </c>
      <c r="H214" s="51">
        <v>500</v>
      </c>
      <c r="I214" s="49">
        <v>100</v>
      </c>
      <c r="J214" s="62" t="s">
        <v>31</v>
      </c>
      <c r="K214" s="62" t="s">
        <v>32</v>
      </c>
      <c r="M214" s="126">
        <v>100</v>
      </c>
    </row>
    <row r="215" spans="1:13" ht="15.75" customHeight="1">
      <c r="A215" s="50">
        <v>22</v>
      </c>
      <c r="B215" s="151" t="s">
        <v>3179</v>
      </c>
      <c r="C215" s="48" t="s">
        <v>27</v>
      </c>
      <c r="D215" s="48" t="s">
        <v>645</v>
      </c>
      <c r="E215" s="48" t="s">
        <v>86</v>
      </c>
      <c r="F215" s="48"/>
      <c r="G215" s="48" t="s">
        <v>61</v>
      </c>
      <c r="H215" s="51">
        <v>200</v>
      </c>
      <c r="I215" s="49">
        <v>600</v>
      </c>
      <c r="J215" s="62" t="s">
        <v>31</v>
      </c>
      <c r="K215" s="62" t="s">
        <v>32</v>
      </c>
    </row>
    <row r="216" spans="1:13" ht="15.75" customHeight="1">
      <c r="A216" s="50">
        <v>22</v>
      </c>
      <c r="B216" s="151" t="s">
        <v>1268</v>
      </c>
      <c r="C216" s="48" t="s">
        <v>27</v>
      </c>
      <c r="D216" s="48" t="s">
        <v>604</v>
      </c>
      <c r="E216" s="48" t="s">
        <v>51</v>
      </c>
      <c r="F216" s="48"/>
      <c r="G216" s="48" t="s">
        <v>30</v>
      </c>
      <c r="H216" s="51">
        <v>500</v>
      </c>
      <c r="I216" s="49">
        <v>100</v>
      </c>
      <c r="J216" s="62" t="s">
        <v>31</v>
      </c>
      <c r="K216" s="62" t="s">
        <v>32</v>
      </c>
      <c r="M216" s="126">
        <v>100</v>
      </c>
    </row>
    <row r="217" spans="1:13" ht="15.75" customHeight="1">
      <c r="A217" s="50">
        <v>22</v>
      </c>
      <c r="B217" s="151" t="s">
        <v>1268</v>
      </c>
      <c r="C217" s="48" t="s">
        <v>27</v>
      </c>
      <c r="D217" s="48" t="s">
        <v>604</v>
      </c>
      <c r="E217" s="48" t="s">
        <v>51</v>
      </c>
      <c r="F217" s="48"/>
      <c r="G217" s="48" t="s">
        <v>61</v>
      </c>
      <c r="H217" s="51">
        <v>200</v>
      </c>
      <c r="I217" s="49">
        <v>600</v>
      </c>
      <c r="J217" s="62" t="s">
        <v>31</v>
      </c>
      <c r="K217" s="62" t="s">
        <v>32</v>
      </c>
    </row>
    <row r="218" spans="1:13" ht="15.75" customHeight="1">
      <c r="A218" s="469">
        <v>22</v>
      </c>
      <c r="B218" s="146" t="s">
        <v>3169</v>
      </c>
      <c r="C218" s="146" t="s">
        <v>27</v>
      </c>
      <c r="D218" s="146" t="s">
        <v>607</v>
      </c>
      <c r="E218" s="146" t="s">
        <v>36</v>
      </c>
      <c r="F218" s="146"/>
      <c r="G218" s="146" t="s">
        <v>30</v>
      </c>
      <c r="H218" s="147">
        <v>6000</v>
      </c>
      <c r="I218" s="443">
        <v>1200</v>
      </c>
      <c r="J218" s="146" t="s">
        <v>31</v>
      </c>
      <c r="K218" s="146" t="s">
        <v>32</v>
      </c>
      <c r="M218" s="126">
        <v>1200</v>
      </c>
    </row>
    <row r="219" spans="1:13" ht="15.75" customHeight="1">
      <c r="A219" s="50">
        <v>22</v>
      </c>
      <c r="B219" s="151" t="s">
        <v>3180</v>
      </c>
      <c r="C219" s="48" t="s">
        <v>39</v>
      </c>
      <c r="D219" s="48" t="s">
        <v>98</v>
      </c>
      <c r="E219" s="48" t="s">
        <v>36</v>
      </c>
      <c r="F219" s="48"/>
      <c r="G219" s="48" t="s">
        <v>30</v>
      </c>
      <c r="H219" s="51">
        <v>500</v>
      </c>
      <c r="I219" s="49">
        <v>100</v>
      </c>
      <c r="J219" s="48" t="s">
        <v>31</v>
      </c>
      <c r="K219" s="48" t="s">
        <v>32</v>
      </c>
      <c r="M219" s="126">
        <v>150</v>
      </c>
    </row>
    <row r="220" spans="1:13" ht="15.75" customHeight="1">
      <c r="A220" s="50">
        <v>22</v>
      </c>
      <c r="B220" s="151" t="s">
        <v>3181</v>
      </c>
      <c r="C220" s="48" t="s">
        <v>27</v>
      </c>
      <c r="D220" s="48" t="s">
        <v>439</v>
      </c>
      <c r="E220" s="48" t="s">
        <v>145</v>
      </c>
      <c r="F220" s="48"/>
      <c r="G220" s="48" t="s">
        <v>30</v>
      </c>
      <c r="H220" s="51">
        <v>500</v>
      </c>
      <c r="I220" s="49" t="s">
        <v>1586</v>
      </c>
      <c r="J220" s="48" t="s">
        <v>31</v>
      </c>
      <c r="K220" s="48" t="s">
        <v>32</v>
      </c>
      <c r="M220" s="126">
        <v>100</v>
      </c>
    </row>
    <row r="221" spans="1:13" ht="15.75" customHeight="1">
      <c r="A221" s="50">
        <v>22</v>
      </c>
      <c r="B221" s="151" t="s">
        <v>3181</v>
      </c>
      <c r="C221" s="48" t="s">
        <v>27</v>
      </c>
      <c r="D221" s="48" t="s">
        <v>439</v>
      </c>
      <c r="E221" s="48" t="s">
        <v>145</v>
      </c>
      <c r="F221" s="48"/>
      <c r="G221" s="48" t="s">
        <v>61</v>
      </c>
      <c r="H221" s="51">
        <v>50</v>
      </c>
      <c r="I221" s="49">
        <v>150</v>
      </c>
      <c r="J221" s="48" t="s">
        <v>31</v>
      </c>
      <c r="K221" s="48" t="s">
        <v>32</v>
      </c>
    </row>
    <row r="222" spans="1:13" ht="15.75" customHeight="1">
      <c r="A222" s="50">
        <v>22</v>
      </c>
      <c r="B222" s="151" t="s">
        <v>3182</v>
      </c>
      <c r="C222" s="48" t="s">
        <v>27</v>
      </c>
      <c r="D222" s="48" t="s">
        <v>100</v>
      </c>
      <c r="E222" s="48" t="s">
        <v>145</v>
      </c>
      <c r="F222" s="48"/>
      <c r="G222" s="48" t="s">
        <v>30</v>
      </c>
      <c r="H222" s="51">
        <v>500</v>
      </c>
      <c r="I222" s="49" t="s">
        <v>1586</v>
      </c>
      <c r="J222" s="48" t="s">
        <v>31</v>
      </c>
      <c r="K222" s="48" t="s">
        <v>32</v>
      </c>
      <c r="M222" s="126">
        <v>100</v>
      </c>
    </row>
    <row r="223" spans="1:13" ht="15.75" customHeight="1">
      <c r="A223" s="50">
        <v>22</v>
      </c>
      <c r="B223" s="151" t="s">
        <v>3183</v>
      </c>
      <c r="C223" s="48" t="s">
        <v>27</v>
      </c>
      <c r="D223" s="48" t="s">
        <v>3184</v>
      </c>
      <c r="E223" s="48" t="s">
        <v>334</v>
      </c>
      <c r="F223" s="48"/>
      <c r="G223" s="48" t="s">
        <v>30</v>
      </c>
      <c r="H223" s="51">
        <v>500</v>
      </c>
      <c r="I223" s="49">
        <v>100</v>
      </c>
      <c r="J223" s="48" t="s">
        <v>31</v>
      </c>
      <c r="K223" s="48" t="s">
        <v>32</v>
      </c>
      <c r="M223" s="126">
        <v>100</v>
      </c>
    </row>
    <row r="224" spans="1:13" ht="15.75" customHeight="1">
      <c r="A224" s="50">
        <v>22</v>
      </c>
      <c r="B224" s="151" t="s">
        <v>162</v>
      </c>
      <c r="C224" s="48" t="s">
        <v>27</v>
      </c>
      <c r="D224" s="48" t="s">
        <v>3185</v>
      </c>
      <c r="E224" s="48" t="s">
        <v>47</v>
      </c>
      <c r="F224" s="48"/>
      <c r="G224" s="48" t="s">
        <v>30</v>
      </c>
      <c r="H224" s="51">
        <v>10000</v>
      </c>
      <c r="I224" s="49">
        <v>2000</v>
      </c>
      <c r="J224" s="48" t="s">
        <v>31</v>
      </c>
      <c r="K224" s="48" t="s">
        <v>32</v>
      </c>
      <c r="L224" s="55"/>
      <c r="M224" s="126">
        <v>2500</v>
      </c>
    </row>
    <row r="225" spans="1:26" ht="15.75" customHeight="1">
      <c r="A225" s="50">
        <v>22</v>
      </c>
      <c r="B225" s="151" t="s">
        <v>2662</v>
      </c>
      <c r="C225" s="48" t="s">
        <v>27</v>
      </c>
      <c r="D225" s="48" t="s">
        <v>50</v>
      </c>
      <c r="E225" s="48" t="s">
        <v>145</v>
      </c>
      <c r="F225" s="48"/>
      <c r="G225" s="48" t="s">
        <v>30</v>
      </c>
      <c r="H225" s="51">
        <v>7000</v>
      </c>
      <c r="I225" s="49">
        <v>1400</v>
      </c>
      <c r="J225" s="48" t="s">
        <v>31</v>
      </c>
      <c r="K225" s="48" t="s">
        <v>32</v>
      </c>
      <c r="M225" s="126">
        <v>1400</v>
      </c>
    </row>
    <row r="226" spans="1:26" ht="15.75" customHeight="1">
      <c r="A226" s="50">
        <v>22</v>
      </c>
      <c r="B226" s="151" t="s">
        <v>3186</v>
      </c>
      <c r="C226" s="48" t="s">
        <v>27</v>
      </c>
      <c r="D226" s="48" t="s">
        <v>2764</v>
      </c>
      <c r="E226" s="48" t="s">
        <v>839</v>
      </c>
      <c r="F226" s="48"/>
      <c r="G226" s="48" t="s">
        <v>30</v>
      </c>
      <c r="H226" s="51">
        <v>200</v>
      </c>
      <c r="I226" s="49">
        <v>40</v>
      </c>
      <c r="J226" s="48" t="s">
        <v>31</v>
      </c>
      <c r="K226" s="48" t="s">
        <v>32</v>
      </c>
      <c r="L226" s="55"/>
      <c r="M226" s="126">
        <v>40</v>
      </c>
    </row>
    <row r="227" spans="1:26" ht="15.75" customHeight="1">
      <c r="A227" s="65">
        <v>22</v>
      </c>
      <c r="B227" s="175" t="s">
        <v>3187</v>
      </c>
      <c r="C227" s="58" t="s">
        <v>27</v>
      </c>
      <c r="D227" s="58" t="s">
        <v>823</v>
      </c>
      <c r="E227" s="58" t="s">
        <v>44</v>
      </c>
      <c r="F227" s="58"/>
      <c r="G227" s="58" t="s">
        <v>61</v>
      </c>
      <c r="H227" s="59">
        <v>70</v>
      </c>
      <c r="I227" s="60">
        <v>210</v>
      </c>
      <c r="J227" s="48" t="s">
        <v>31</v>
      </c>
      <c r="K227" s="48" t="s">
        <v>32</v>
      </c>
    </row>
    <row r="228" spans="1:26" ht="15.75" customHeight="1">
      <c r="A228" s="61">
        <v>23</v>
      </c>
      <c r="B228" s="292" t="s">
        <v>3188</v>
      </c>
      <c r="C228" s="62" t="s">
        <v>27</v>
      </c>
      <c r="D228" s="62" t="s">
        <v>756</v>
      </c>
      <c r="E228" s="62" t="s">
        <v>36</v>
      </c>
      <c r="F228" s="62"/>
      <c r="G228" s="62" t="s">
        <v>30</v>
      </c>
      <c r="H228" s="63">
        <v>1000</v>
      </c>
      <c r="I228" s="64">
        <v>200</v>
      </c>
      <c r="J228" s="48" t="s">
        <v>31</v>
      </c>
      <c r="K228" s="48" t="s">
        <v>32</v>
      </c>
      <c r="L228" s="55"/>
      <c r="M228" s="126">
        <v>200</v>
      </c>
    </row>
    <row r="229" spans="1:26" ht="15.75" customHeight="1">
      <c r="A229" s="50">
        <v>23</v>
      </c>
      <c r="B229" s="151" t="s">
        <v>3189</v>
      </c>
      <c r="C229" s="48" t="s">
        <v>39</v>
      </c>
      <c r="D229" s="48" t="s">
        <v>1774</v>
      </c>
      <c r="E229" s="48" t="s">
        <v>102</v>
      </c>
      <c r="F229" s="48"/>
      <c r="G229" s="48" t="s">
        <v>30</v>
      </c>
      <c r="H229" s="51">
        <v>1000</v>
      </c>
      <c r="I229" s="49">
        <v>200</v>
      </c>
      <c r="J229" s="48" t="s">
        <v>31</v>
      </c>
      <c r="K229" s="48" t="s">
        <v>32</v>
      </c>
      <c r="M229" s="126">
        <v>600</v>
      </c>
    </row>
    <row r="230" spans="1:26" ht="15.75" customHeight="1">
      <c r="A230" s="50"/>
      <c r="B230" s="48"/>
      <c r="C230" s="48"/>
      <c r="D230" s="48"/>
      <c r="E230" s="48"/>
      <c r="F230" s="48"/>
      <c r="G230" s="48" t="s">
        <v>61</v>
      </c>
      <c r="H230" s="51">
        <v>10</v>
      </c>
      <c r="I230" s="49">
        <v>30</v>
      </c>
      <c r="J230" s="48" t="s">
        <v>31</v>
      </c>
      <c r="K230" s="48" t="s">
        <v>32</v>
      </c>
    </row>
    <row r="231" spans="1:26" ht="15.75" customHeight="1">
      <c r="A231" s="50">
        <v>23</v>
      </c>
      <c r="B231" s="151" t="s">
        <v>3190</v>
      </c>
      <c r="C231" s="48" t="s">
        <v>27</v>
      </c>
      <c r="D231" s="48" t="s">
        <v>108</v>
      </c>
      <c r="E231" s="48" t="s">
        <v>36</v>
      </c>
      <c r="F231" s="48"/>
      <c r="G231" s="48" t="s">
        <v>30</v>
      </c>
      <c r="H231" s="51">
        <v>1000</v>
      </c>
      <c r="I231" s="49">
        <v>200</v>
      </c>
      <c r="J231" s="48" t="s">
        <v>31</v>
      </c>
      <c r="K231" s="48" t="s">
        <v>32</v>
      </c>
      <c r="L231" s="55"/>
      <c r="M231" s="126">
        <v>300</v>
      </c>
    </row>
    <row r="232" spans="1:26" ht="15.75" customHeight="1">
      <c r="A232" s="50">
        <v>23</v>
      </c>
      <c r="B232" s="151" t="s">
        <v>2474</v>
      </c>
      <c r="C232" s="48" t="s">
        <v>27</v>
      </c>
      <c r="D232" s="48" t="s">
        <v>1774</v>
      </c>
      <c r="E232" s="48" t="s">
        <v>102</v>
      </c>
      <c r="F232" s="48"/>
      <c r="G232" s="48" t="s">
        <v>30</v>
      </c>
      <c r="H232" s="51">
        <v>1000</v>
      </c>
      <c r="I232" s="49">
        <v>200</v>
      </c>
      <c r="J232" s="48" t="s">
        <v>31</v>
      </c>
      <c r="K232" s="48" t="s">
        <v>32</v>
      </c>
      <c r="L232" s="2"/>
      <c r="M232" s="2">
        <v>750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50">
        <v>23</v>
      </c>
      <c r="B233" s="151" t="s">
        <v>3191</v>
      </c>
      <c r="C233" s="48" t="s">
        <v>39</v>
      </c>
      <c r="D233" s="48" t="s">
        <v>1774</v>
      </c>
      <c r="E233" s="48" t="s">
        <v>102</v>
      </c>
      <c r="F233" s="48"/>
      <c r="G233" s="48" t="s">
        <v>30</v>
      </c>
      <c r="H233" s="51">
        <v>500</v>
      </c>
      <c r="I233" s="49">
        <v>100</v>
      </c>
      <c r="J233" s="48" t="s">
        <v>31</v>
      </c>
      <c r="K233" s="48" t="s">
        <v>32</v>
      </c>
      <c r="M233" s="126">
        <v>100</v>
      </c>
    </row>
    <row r="234" spans="1:26" ht="15.75" customHeight="1">
      <c r="A234" s="50">
        <v>23</v>
      </c>
      <c r="B234" s="151" t="s">
        <v>1590</v>
      </c>
      <c r="C234" s="48" t="s">
        <v>27</v>
      </c>
      <c r="D234" s="48" t="s">
        <v>347</v>
      </c>
      <c r="E234" s="48" t="s">
        <v>245</v>
      </c>
      <c r="F234" s="48"/>
      <c r="G234" s="48" t="s">
        <v>30</v>
      </c>
      <c r="H234" s="51">
        <v>1000</v>
      </c>
      <c r="I234" s="49">
        <v>200</v>
      </c>
      <c r="J234" s="48" t="s">
        <v>31</v>
      </c>
      <c r="K234" s="48" t="s">
        <v>32</v>
      </c>
      <c r="M234" s="126">
        <v>600</v>
      </c>
    </row>
    <row r="235" spans="1:26" ht="15.75" customHeight="1">
      <c r="A235" s="50">
        <v>23</v>
      </c>
      <c r="B235" s="151" t="s">
        <v>3192</v>
      </c>
      <c r="C235" s="48" t="s">
        <v>39</v>
      </c>
      <c r="D235" s="48" t="s">
        <v>792</v>
      </c>
      <c r="E235" s="48" t="s">
        <v>44</v>
      </c>
      <c r="F235" s="48"/>
      <c r="G235" s="48" t="s">
        <v>30</v>
      </c>
      <c r="H235" s="51">
        <v>1000</v>
      </c>
      <c r="I235" s="49">
        <v>200</v>
      </c>
      <c r="J235" s="48" t="s">
        <v>31</v>
      </c>
      <c r="K235" s="48" t="s">
        <v>32</v>
      </c>
      <c r="M235" s="126">
        <v>400</v>
      </c>
    </row>
    <row r="236" spans="1:26" ht="15.75" customHeight="1">
      <c r="A236" s="50">
        <v>23</v>
      </c>
      <c r="B236" s="151" t="s">
        <v>3193</v>
      </c>
      <c r="C236" s="48" t="s">
        <v>27</v>
      </c>
      <c r="D236" s="48" t="s">
        <v>319</v>
      </c>
      <c r="E236" s="48" t="s">
        <v>36</v>
      </c>
      <c r="F236" s="48"/>
      <c r="G236" s="48" t="s">
        <v>30</v>
      </c>
      <c r="H236" s="51">
        <v>600</v>
      </c>
      <c r="I236" s="49">
        <v>120</v>
      </c>
      <c r="J236" s="48" t="s">
        <v>31</v>
      </c>
      <c r="K236" s="48" t="s">
        <v>32</v>
      </c>
      <c r="M236" s="126">
        <v>150</v>
      </c>
    </row>
    <row r="237" spans="1:26" ht="15.75" customHeight="1">
      <c r="A237" s="50">
        <v>23</v>
      </c>
      <c r="B237" s="151" t="s">
        <v>3194</v>
      </c>
      <c r="C237" s="48" t="s">
        <v>27</v>
      </c>
      <c r="D237" s="48" t="s">
        <v>407</v>
      </c>
      <c r="E237" s="48" t="s">
        <v>44</v>
      </c>
      <c r="F237" s="48"/>
      <c r="G237" s="48" t="s">
        <v>30</v>
      </c>
      <c r="H237" s="51">
        <v>300</v>
      </c>
      <c r="I237" s="49">
        <v>60</v>
      </c>
      <c r="J237" s="48" t="s">
        <v>31</v>
      </c>
      <c r="K237" s="48" t="s">
        <v>32</v>
      </c>
      <c r="M237" s="126">
        <v>150</v>
      </c>
    </row>
    <row r="238" spans="1:26" ht="15.75" customHeight="1">
      <c r="A238" s="50">
        <v>23</v>
      </c>
      <c r="B238" s="151" t="s">
        <v>3195</v>
      </c>
      <c r="C238" s="48" t="s">
        <v>27</v>
      </c>
      <c r="D238" s="48" t="s">
        <v>931</v>
      </c>
      <c r="E238" s="48" t="s">
        <v>145</v>
      </c>
      <c r="F238" s="48"/>
      <c r="G238" s="48" t="s">
        <v>30</v>
      </c>
      <c r="H238" s="51">
        <v>200</v>
      </c>
      <c r="I238" s="49">
        <v>40</v>
      </c>
      <c r="J238" s="48" t="s">
        <v>31</v>
      </c>
      <c r="K238" s="48" t="s">
        <v>32</v>
      </c>
      <c r="M238" s="126">
        <v>40</v>
      </c>
    </row>
    <row r="239" spans="1:26" ht="15.75" customHeight="1">
      <c r="A239" s="50">
        <v>23</v>
      </c>
      <c r="B239" s="151" t="s">
        <v>3196</v>
      </c>
      <c r="C239" s="48" t="s">
        <v>27</v>
      </c>
      <c r="D239" s="48" t="s">
        <v>96</v>
      </c>
      <c r="E239" s="48" t="s">
        <v>44</v>
      </c>
      <c r="F239" s="48"/>
      <c r="G239" s="48" t="s">
        <v>30</v>
      </c>
      <c r="H239" s="51">
        <v>100</v>
      </c>
      <c r="I239" s="49">
        <v>20</v>
      </c>
      <c r="J239" s="48" t="s">
        <v>31</v>
      </c>
      <c r="K239" s="48" t="s">
        <v>32</v>
      </c>
      <c r="M239" s="126">
        <v>20</v>
      </c>
    </row>
    <row r="240" spans="1:26" ht="15.75" customHeight="1">
      <c r="A240" s="50">
        <v>23</v>
      </c>
      <c r="B240" s="151" t="s">
        <v>3196</v>
      </c>
      <c r="C240" s="48" t="s">
        <v>27</v>
      </c>
      <c r="D240" s="48" t="s">
        <v>96</v>
      </c>
      <c r="E240" s="48" t="s">
        <v>44</v>
      </c>
      <c r="F240" s="48"/>
      <c r="G240" s="48" t="s">
        <v>61</v>
      </c>
      <c r="H240" s="51">
        <v>10</v>
      </c>
      <c r="I240" s="49">
        <v>30</v>
      </c>
      <c r="J240" s="48" t="s">
        <v>31</v>
      </c>
      <c r="K240" s="48" t="s">
        <v>32</v>
      </c>
    </row>
    <row r="241" spans="1:13" ht="15.75" customHeight="1">
      <c r="A241" s="50">
        <v>23</v>
      </c>
      <c r="B241" s="151" t="s">
        <v>3197</v>
      </c>
      <c r="C241" s="48" t="s">
        <v>27</v>
      </c>
      <c r="D241" s="48" t="s">
        <v>56</v>
      </c>
      <c r="E241" s="48" t="s">
        <v>84</v>
      </c>
      <c r="F241" s="48"/>
      <c r="G241" s="48" t="s">
        <v>30</v>
      </c>
      <c r="H241" s="51">
        <v>200</v>
      </c>
      <c r="I241" s="49">
        <v>40</v>
      </c>
      <c r="J241" s="48" t="s">
        <v>31</v>
      </c>
      <c r="K241" s="48" t="s">
        <v>32</v>
      </c>
      <c r="M241" s="126">
        <v>40</v>
      </c>
    </row>
    <row r="242" spans="1:13" ht="15.75" customHeight="1">
      <c r="A242" s="65">
        <v>23</v>
      </c>
      <c r="B242" s="175" t="s">
        <v>3198</v>
      </c>
      <c r="C242" s="58" t="s">
        <v>27</v>
      </c>
      <c r="D242" s="58" t="s">
        <v>3199</v>
      </c>
      <c r="E242" s="58" t="s">
        <v>51</v>
      </c>
      <c r="F242" s="58"/>
      <c r="G242" s="58" t="s">
        <v>30</v>
      </c>
      <c r="H242" s="59">
        <v>100</v>
      </c>
      <c r="I242" s="60">
        <v>20</v>
      </c>
      <c r="J242" s="48" t="s">
        <v>31</v>
      </c>
      <c r="K242" s="48" t="s">
        <v>32</v>
      </c>
      <c r="M242" s="126">
        <v>20</v>
      </c>
    </row>
    <row r="243" spans="1:13" ht="15.75" customHeight="1">
      <c r="A243" s="61">
        <v>24</v>
      </c>
      <c r="B243" s="292" t="s">
        <v>3196</v>
      </c>
      <c r="C243" s="62" t="s">
        <v>27</v>
      </c>
      <c r="D243" s="62" t="s">
        <v>96</v>
      </c>
      <c r="E243" s="62" t="s">
        <v>44</v>
      </c>
      <c r="F243" s="62"/>
      <c r="G243" s="62" t="s">
        <v>30</v>
      </c>
      <c r="H243" s="63">
        <v>450</v>
      </c>
      <c r="I243" s="64">
        <v>90</v>
      </c>
      <c r="J243" s="48" t="s">
        <v>31</v>
      </c>
      <c r="K243" s="48" t="s">
        <v>32</v>
      </c>
      <c r="M243" s="126">
        <v>90</v>
      </c>
    </row>
    <row r="244" spans="1:13" ht="15.75" customHeight="1">
      <c r="A244" s="61">
        <v>24</v>
      </c>
      <c r="B244" s="292" t="s">
        <v>3196</v>
      </c>
      <c r="C244" s="62" t="s">
        <v>27</v>
      </c>
      <c r="D244" s="62" t="s">
        <v>96</v>
      </c>
      <c r="E244" s="62" t="s">
        <v>44</v>
      </c>
      <c r="F244" s="48"/>
      <c r="G244" s="48" t="s">
        <v>61</v>
      </c>
      <c r="H244" s="51">
        <v>10</v>
      </c>
      <c r="I244" s="49">
        <v>30</v>
      </c>
      <c r="J244" s="48" t="s">
        <v>31</v>
      </c>
      <c r="K244" s="48" t="s">
        <v>32</v>
      </c>
    </row>
    <row r="245" spans="1:13" ht="15.75" customHeight="1">
      <c r="A245" s="50">
        <v>24</v>
      </c>
      <c r="B245" s="151" t="s">
        <v>3200</v>
      </c>
      <c r="C245" s="48" t="s">
        <v>27</v>
      </c>
      <c r="D245" s="48" t="s">
        <v>130</v>
      </c>
      <c r="E245" s="48" t="s">
        <v>51</v>
      </c>
      <c r="F245" s="48"/>
      <c r="G245" s="48" t="s">
        <v>30</v>
      </c>
      <c r="H245" s="51">
        <v>2000</v>
      </c>
      <c r="I245" s="49">
        <v>400</v>
      </c>
      <c r="J245" s="48" t="s">
        <v>31</v>
      </c>
      <c r="K245" s="48" t="s">
        <v>32</v>
      </c>
      <c r="M245" s="126">
        <v>300</v>
      </c>
    </row>
    <row r="246" spans="1:13" ht="15.75" customHeight="1">
      <c r="A246" s="50">
        <v>24</v>
      </c>
      <c r="B246" s="151" t="s">
        <v>2577</v>
      </c>
      <c r="C246" s="48" t="s">
        <v>27</v>
      </c>
      <c r="D246" s="48" t="s">
        <v>108</v>
      </c>
      <c r="E246" s="48" t="s">
        <v>36</v>
      </c>
      <c r="F246" s="48"/>
      <c r="G246" s="48" t="s">
        <v>30</v>
      </c>
      <c r="H246" s="51">
        <v>1000</v>
      </c>
      <c r="I246" s="49">
        <v>200</v>
      </c>
      <c r="J246" s="48" t="s">
        <v>31</v>
      </c>
      <c r="K246" s="48" t="s">
        <v>32</v>
      </c>
      <c r="M246" s="126">
        <v>200</v>
      </c>
    </row>
    <row r="247" spans="1:13" ht="15.75" customHeight="1">
      <c r="A247" s="50">
        <v>24</v>
      </c>
      <c r="B247" s="151" t="s">
        <v>3201</v>
      </c>
      <c r="C247" s="48" t="s">
        <v>27</v>
      </c>
      <c r="D247" s="48" t="s">
        <v>108</v>
      </c>
      <c r="E247" s="48" t="s">
        <v>36</v>
      </c>
      <c r="F247" s="48"/>
      <c r="G247" s="48" t="s">
        <v>30</v>
      </c>
      <c r="H247" s="51">
        <v>500</v>
      </c>
      <c r="I247" s="49">
        <v>100</v>
      </c>
      <c r="J247" s="48" t="s">
        <v>31</v>
      </c>
      <c r="K247" s="48" t="s">
        <v>32</v>
      </c>
      <c r="M247" s="126">
        <v>100</v>
      </c>
    </row>
    <row r="248" spans="1:13" ht="15.75" customHeight="1">
      <c r="A248" s="50">
        <v>24</v>
      </c>
      <c r="B248" s="151" t="s">
        <v>3202</v>
      </c>
      <c r="C248" s="48" t="s">
        <v>27</v>
      </c>
      <c r="D248" s="48" t="s">
        <v>937</v>
      </c>
      <c r="E248" s="48" t="s">
        <v>44</v>
      </c>
      <c r="F248" s="48"/>
      <c r="G248" s="48" t="s">
        <v>30</v>
      </c>
      <c r="H248" s="51">
        <v>300</v>
      </c>
      <c r="I248" s="49">
        <v>60</v>
      </c>
      <c r="J248" s="48" t="s">
        <v>31</v>
      </c>
      <c r="K248" s="48" t="s">
        <v>32</v>
      </c>
      <c r="M248" s="126">
        <v>60</v>
      </c>
    </row>
    <row r="249" spans="1:13" ht="15.75" customHeight="1">
      <c r="A249" s="50">
        <v>24</v>
      </c>
      <c r="B249" s="151" t="s">
        <v>3203</v>
      </c>
      <c r="C249" s="48" t="s">
        <v>39</v>
      </c>
      <c r="D249" s="48" t="s">
        <v>434</v>
      </c>
      <c r="E249" s="48" t="s">
        <v>36</v>
      </c>
      <c r="F249" s="48"/>
      <c r="G249" s="48" t="s">
        <v>30</v>
      </c>
      <c r="H249" s="51">
        <v>1500</v>
      </c>
      <c r="I249" s="49">
        <v>300</v>
      </c>
      <c r="J249" s="48" t="s">
        <v>31</v>
      </c>
      <c r="K249" s="48" t="s">
        <v>32</v>
      </c>
      <c r="M249" s="126">
        <v>300</v>
      </c>
    </row>
    <row r="250" spans="1:13" ht="15.75" customHeight="1">
      <c r="A250" s="50">
        <v>24</v>
      </c>
      <c r="B250" s="151" t="s">
        <v>3204</v>
      </c>
      <c r="C250" s="48" t="s">
        <v>27</v>
      </c>
      <c r="D250" s="48" t="s">
        <v>100</v>
      </c>
      <c r="E250" s="48" t="s">
        <v>36</v>
      </c>
      <c r="F250" s="48"/>
      <c r="G250" s="48" t="s">
        <v>30</v>
      </c>
      <c r="H250" s="51">
        <v>3000</v>
      </c>
      <c r="I250" s="49">
        <v>600</v>
      </c>
      <c r="J250" s="48" t="s">
        <v>31</v>
      </c>
      <c r="K250" s="48" t="s">
        <v>32</v>
      </c>
      <c r="M250" s="126">
        <v>600</v>
      </c>
    </row>
    <row r="251" spans="1:13" ht="15.75" customHeight="1">
      <c r="A251" s="50">
        <v>24</v>
      </c>
      <c r="B251" s="146" t="s">
        <v>3205</v>
      </c>
      <c r="C251" s="48" t="s">
        <v>27</v>
      </c>
      <c r="D251" s="48" t="s">
        <v>205</v>
      </c>
      <c r="E251" s="48" t="s">
        <v>191</v>
      </c>
      <c r="F251" s="48"/>
      <c r="G251" s="48" t="s">
        <v>30</v>
      </c>
      <c r="H251" s="51">
        <v>1000</v>
      </c>
      <c r="I251" s="49">
        <v>200</v>
      </c>
      <c r="J251" s="48" t="s">
        <v>31</v>
      </c>
      <c r="K251" s="48" t="s">
        <v>32</v>
      </c>
      <c r="M251" s="126">
        <v>200</v>
      </c>
    </row>
    <row r="252" spans="1:13" ht="15.75" customHeight="1">
      <c r="A252" s="50">
        <v>24</v>
      </c>
      <c r="B252" s="151" t="s">
        <v>3206</v>
      </c>
      <c r="C252" s="48" t="s">
        <v>27</v>
      </c>
      <c r="D252" s="48" t="s">
        <v>3207</v>
      </c>
      <c r="E252" s="48" t="s">
        <v>824</v>
      </c>
      <c r="F252" s="48"/>
      <c r="G252" s="48" t="s">
        <v>30</v>
      </c>
      <c r="H252" s="51">
        <v>500</v>
      </c>
      <c r="I252" s="49">
        <v>100</v>
      </c>
      <c r="J252" s="48" t="s">
        <v>31</v>
      </c>
      <c r="K252" s="48" t="s">
        <v>32</v>
      </c>
      <c r="M252" s="126">
        <v>100</v>
      </c>
    </row>
    <row r="253" spans="1:13" ht="15.75" customHeight="1">
      <c r="A253" s="50">
        <v>24</v>
      </c>
      <c r="B253" s="151" t="s">
        <v>3206</v>
      </c>
      <c r="C253" s="48" t="s">
        <v>27</v>
      </c>
      <c r="D253" s="48" t="s">
        <v>3207</v>
      </c>
      <c r="E253" s="48" t="s">
        <v>824</v>
      </c>
      <c r="F253" s="48"/>
      <c r="G253" s="48" t="s">
        <v>61</v>
      </c>
      <c r="H253" s="51">
        <v>50</v>
      </c>
      <c r="I253" s="49">
        <v>150</v>
      </c>
      <c r="J253" s="48" t="s">
        <v>31</v>
      </c>
      <c r="K253" s="48" t="s">
        <v>32</v>
      </c>
    </row>
    <row r="254" spans="1:13" ht="15.75" customHeight="1">
      <c r="A254" s="50">
        <v>24</v>
      </c>
      <c r="B254" s="151" t="s">
        <v>3208</v>
      </c>
      <c r="C254" s="48" t="s">
        <v>27</v>
      </c>
      <c r="D254" s="48" t="s">
        <v>100</v>
      </c>
      <c r="E254" s="48" t="s">
        <v>169</v>
      </c>
      <c r="F254" s="48"/>
      <c r="G254" s="48" t="s">
        <v>30</v>
      </c>
      <c r="H254" s="51">
        <v>500</v>
      </c>
      <c r="I254" s="49">
        <v>100</v>
      </c>
      <c r="J254" s="48" t="s">
        <v>31</v>
      </c>
      <c r="K254" s="48" t="s">
        <v>32</v>
      </c>
      <c r="M254" s="126">
        <v>100</v>
      </c>
    </row>
    <row r="255" spans="1:13" ht="15.75" customHeight="1">
      <c r="A255" s="50">
        <v>24</v>
      </c>
      <c r="B255" s="151" t="s">
        <v>993</v>
      </c>
      <c r="C255" s="48" t="s">
        <v>27</v>
      </c>
      <c r="D255" s="48" t="s">
        <v>108</v>
      </c>
      <c r="E255" s="48" t="s">
        <v>36</v>
      </c>
      <c r="F255" s="48"/>
      <c r="G255" s="48" t="s">
        <v>30</v>
      </c>
      <c r="H255" s="51">
        <v>1000</v>
      </c>
      <c r="I255" s="49">
        <v>200</v>
      </c>
      <c r="J255" s="48" t="s">
        <v>31</v>
      </c>
      <c r="K255" s="48" t="s">
        <v>32</v>
      </c>
      <c r="M255" s="126">
        <v>200</v>
      </c>
    </row>
    <row r="256" spans="1:13" ht="15.75" customHeight="1">
      <c r="A256" s="65">
        <v>24</v>
      </c>
      <c r="B256" s="175" t="s">
        <v>3209</v>
      </c>
      <c r="C256" s="58" t="s">
        <v>27</v>
      </c>
      <c r="D256" s="58" t="s">
        <v>230</v>
      </c>
      <c r="E256" s="58" t="s">
        <v>86</v>
      </c>
      <c r="F256" s="58"/>
      <c r="G256" s="58" t="s">
        <v>30</v>
      </c>
      <c r="H256" s="59">
        <v>500</v>
      </c>
      <c r="I256" s="60">
        <v>100</v>
      </c>
      <c r="J256" s="48" t="s">
        <v>31</v>
      </c>
      <c r="K256" s="48" t="s">
        <v>32</v>
      </c>
      <c r="M256" s="126">
        <v>100</v>
      </c>
    </row>
    <row r="257" spans="1:17" ht="15.75" customHeight="1">
      <c r="A257" s="61">
        <v>25</v>
      </c>
      <c r="B257" s="292" t="s">
        <v>3082</v>
      </c>
      <c r="C257" s="62" t="s">
        <v>27</v>
      </c>
      <c r="D257" s="62" t="s">
        <v>416</v>
      </c>
      <c r="E257" s="62" t="s">
        <v>73</v>
      </c>
      <c r="F257" s="62"/>
      <c r="G257" s="62" t="s">
        <v>30</v>
      </c>
      <c r="H257" s="63">
        <v>1000</v>
      </c>
      <c r="I257" s="64">
        <v>200</v>
      </c>
      <c r="J257" s="48" t="s">
        <v>31</v>
      </c>
      <c r="K257" s="48" t="s">
        <v>32</v>
      </c>
      <c r="M257" s="126">
        <v>300</v>
      </c>
    </row>
    <row r="258" spans="1:17" ht="15.75" customHeight="1">
      <c r="A258" s="50">
        <v>25</v>
      </c>
      <c r="B258" s="151" t="s">
        <v>3210</v>
      </c>
      <c r="C258" s="48" t="s">
        <v>39</v>
      </c>
      <c r="D258" s="48" t="s">
        <v>657</v>
      </c>
      <c r="E258" s="48" t="s">
        <v>245</v>
      </c>
      <c r="F258" s="48"/>
      <c r="G258" s="48" t="s">
        <v>61</v>
      </c>
      <c r="H258" s="51">
        <v>60</v>
      </c>
      <c r="I258" s="49">
        <v>180</v>
      </c>
      <c r="J258" s="48" t="s">
        <v>31</v>
      </c>
      <c r="K258" s="48" t="s">
        <v>32</v>
      </c>
    </row>
    <row r="259" spans="1:17" ht="15.75" customHeight="1">
      <c r="A259" s="50">
        <v>25</v>
      </c>
      <c r="B259" s="151" t="s">
        <v>3211</v>
      </c>
      <c r="C259" s="48" t="s">
        <v>27</v>
      </c>
      <c r="D259" s="48" t="s">
        <v>937</v>
      </c>
      <c r="E259" s="48" t="s">
        <v>44</v>
      </c>
      <c r="F259" s="48"/>
      <c r="G259" s="48" t="s">
        <v>30</v>
      </c>
      <c r="H259" s="51">
        <v>150</v>
      </c>
      <c r="I259" s="49">
        <v>30</v>
      </c>
      <c r="J259" s="48" t="s">
        <v>31</v>
      </c>
      <c r="K259" s="48" t="s">
        <v>32</v>
      </c>
      <c r="M259" s="126">
        <v>30</v>
      </c>
    </row>
    <row r="260" spans="1:17" ht="15.75" customHeight="1">
      <c r="A260" s="50">
        <v>25</v>
      </c>
      <c r="B260" s="151" t="s">
        <v>3212</v>
      </c>
      <c r="C260" s="48" t="s">
        <v>27</v>
      </c>
      <c r="D260" s="48" t="s">
        <v>3213</v>
      </c>
      <c r="E260" s="48" t="s">
        <v>245</v>
      </c>
      <c r="F260" s="48"/>
      <c r="G260" s="48" t="s">
        <v>30</v>
      </c>
      <c r="H260" s="51">
        <v>200</v>
      </c>
      <c r="I260" s="49">
        <v>40</v>
      </c>
      <c r="J260" s="48" t="s">
        <v>31</v>
      </c>
      <c r="K260" s="48" t="s">
        <v>32</v>
      </c>
      <c r="M260" s="126">
        <v>100</v>
      </c>
    </row>
    <row r="261" spans="1:17" ht="15.75" customHeight="1">
      <c r="A261" s="50">
        <v>25</v>
      </c>
      <c r="B261" s="151" t="s">
        <v>3214</v>
      </c>
      <c r="C261" s="48" t="s">
        <v>27</v>
      </c>
      <c r="D261" s="48" t="s">
        <v>326</v>
      </c>
      <c r="E261" s="48" t="s">
        <v>84</v>
      </c>
      <c r="F261" s="48"/>
      <c r="G261" s="48" t="s">
        <v>30</v>
      </c>
      <c r="H261" s="51">
        <v>400</v>
      </c>
      <c r="I261" s="49">
        <v>80</v>
      </c>
      <c r="J261" s="48" t="s">
        <v>31</v>
      </c>
      <c r="K261" s="48" t="s">
        <v>32</v>
      </c>
      <c r="M261" s="126">
        <v>100</v>
      </c>
    </row>
    <row r="262" spans="1:17" ht="15.75" customHeight="1">
      <c r="A262" s="50">
        <v>25</v>
      </c>
      <c r="B262" s="151" t="s">
        <v>3215</v>
      </c>
      <c r="C262" s="48" t="s">
        <v>27</v>
      </c>
      <c r="D262" s="48" t="s">
        <v>1120</v>
      </c>
      <c r="E262" s="48" t="s">
        <v>84</v>
      </c>
      <c r="F262" s="48"/>
      <c r="G262" s="48" t="s">
        <v>61</v>
      </c>
      <c r="H262" s="51">
        <v>100</v>
      </c>
      <c r="I262" s="49">
        <v>300</v>
      </c>
      <c r="J262" s="48" t="s">
        <v>31</v>
      </c>
      <c r="K262" s="48" t="s">
        <v>32</v>
      </c>
    </row>
    <row r="263" spans="1:17" ht="15.75" customHeight="1">
      <c r="A263" s="50">
        <v>25</v>
      </c>
      <c r="B263" s="151" t="s">
        <v>3216</v>
      </c>
      <c r="C263" s="48" t="s">
        <v>27</v>
      </c>
      <c r="D263" s="48" t="s">
        <v>3217</v>
      </c>
      <c r="E263" s="48" t="s">
        <v>86</v>
      </c>
      <c r="F263" s="48"/>
      <c r="G263" s="48" t="s">
        <v>30</v>
      </c>
      <c r="H263" s="51">
        <v>1000</v>
      </c>
      <c r="I263" s="49">
        <v>200</v>
      </c>
      <c r="J263" s="48" t="s">
        <v>31</v>
      </c>
      <c r="K263" s="48" t="s">
        <v>32</v>
      </c>
      <c r="M263" s="126">
        <v>300</v>
      </c>
    </row>
    <row r="264" spans="1:17" ht="15.75" customHeight="1">
      <c r="A264" s="50">
        <v>25</v>
      </c>
      <c r="B264" s="151" t="s">
        <v>3218</v>
      </c>
      <c r="C264" s="48" t="s">
        <v>39</v>
      </c>
      <c r="D264" s="48" t="s">
        <v>205</v>
      </c>
      <c r="E264" s="48" t="s">
        <v>191</v>
      </c>
      <c r="F264" s="48"/>
      <c r="G264" s="48" t="s">
        <v>30</v>
      </c>
      <c r="H264" s="51">
        <v>600</v>
      </c>
      <c r="I264" s="49">
        <v>120</v>
      </c>
      <c r="J264" s="48" t="s">
        <v>31</v>
      </c>
      <c r="K264" s="48" t="s">
        <v>32</v>
      </c>
      <c r="M264" s="126">
        <v>100</v>
      </c>
    </row>
    <row r="265" spans="1:17" ht="15.75" customHeight="1">
      <c r="A265" s="50">
        <v>25</v>
      </c>
      <c r="B265" s="151" t="s">
        <v>3219</v>
      </c>
      <c r="C265" s="48" t="s">
        <v>27</v>
      </c>
      <c r="D265" s="48" t="s">
        <v>786</v>
      </c>
      <c r="E265" s="48" t="s">
        <v>191</v>
      </c>
      <c r="F265" s="48"/>
      <c r="G265" s="48" t="s">
        <v>30</v>
      </c>
      <c r="H265" s="51">
        <v>1000</v>
      </c>
      <c r="I265" s="49">
        <v>200</v>
      </c>
      <c r="J265" s="48" t="s">
        <v>31</v>
      </c>
      <c r="K265" s="48" t="s">
        <v>32</v>
      </c>
      <c r="M265" s="126">
        <v>300</v>
      </c>
    </row>
    <row r="266" spans="1:17" ht="15.75" customHeight="1">
      <c r="A266" s="50">
        <v>25</v>
      </c>
      <c r="B266" s="151" t="s">
        <v>3220</v>
      </c>
      <c r="C266" s="48" t="s">
        <v>27</v>
      </c>
      <c r="D266" s="48" t="s">
        <v>3221</v>
      </c>
      <c r="E266" s="48" t="s">
        <v>29</v>
      </c>
      <c r="F266" s="48"/>
      <c r="G266" s="48" t="s">
        <v>30</v>
      </c>
      <c r="H266" s="51">
        <v>200</v>
      </c>
      <c r="I266" s="49">
        <v>40</v>
      </c>
      <c r="J266" s="48" t="s">
        <v>31</v>
      </c>
      <c r="K266" s="48" t="s">
        <v>32</v>
      </c>
      <c r="M266" s="126">
        <v>40</v>
      </c>
    </row>
    <row r="267" spans="1:17" ht="15.75" customHeight="1">
      <c r="A267" s="50">
        <v>25</v>
      </c>
      <c r="B267" s="151" t="s">
        <v>3222</v>
      </c>
      <c r="C267" s="48" t="s">
        <v>27</v>
      </c>
      <c r="D267" s="48" t="s">
        <v>3223</v>
      </c>
      <c r="E267" s="48" t="s">
        <v>191</v>
      </c>
      <c r="F267" s="48"/>
      <c r="G267" s="48" t="s">
        <v>30</v>
      </c>
      <c r="H267" s="51">
        <v>1000</v>
      </c>
      <c r="I267" s="49">
        <v>200</v>
      </c>
      <c r="J267" s="48" t="s">
        <v>31</v>
      </c>
      <c r="K267" s="48" t="s">
        <v>32</v>
      </c>
      <c r="M267" s="126">
        <v>1000</v>
      </c>
    </row>
    <row r="268" spans="1:17" ht="15.75" customHeight="1">
      <c r="A268" s="50">
        <v>25</v>
      </c>
      <c r="B268" s="151" t="s">
        <v>2883</v>
      </c>
      <c r="C268" s="48" t="s">
        <v>27</v>
      </c>
      <c r="D268" s="48" t="s">
        <v>3224</v>
      </c>
      <c r="E268" s="48" t="s">
        <v>245</v>
      </c>
      <c r="F268" s="48"/>
      <c r="G268" s="48" t="s">
        <v>30</v>
      </c>
      <c r="H268" s="51">
        <v>250</v>
      </c>
      <c r="I268" s="49">
        <v>50</v>
      </c>
      <c r="J268" s="48" t="s">
        <v>31</v>
      </c>
      <c r="K268" s="48" t="s">
        <v>32</v>
      </c>
      <c r="M268" s="126">
        <v>25</v>
      </c>
    </row>
    <row r="269" spans="1:17" ht="15.75" customHeight="1">
      <c r="A269" s="65">
        <v>25</v>
      </c>
      <c r="B269" s="175" t="s">
        <v>3225</v>
      </c>
      <c r="C269" s="58" t="s">
        <v>27</v>
      </c>
      <c r="D269" s="58" t="s">
        <v>597</v>
      </c>
      <c r="E269" s="58" t="s">
        <v>47</v>
      </c>
      <c r="F269" s="58"/>
      <c r="G269" s="58" t="s">
        <v>30</v>
      </c>
      <c r="H269" s="59">
        <v>2000</v>
      </c>
      <c r="I269" s="60">
        <v>400</v>
      </c>
      <c r="J269" s="48" t="s">
        <v>31</v>
      </c>
      <c r="K269" s="48" t="s">
        <v>32</v>
      </c>
      <c r="M269" s="126">
        <v>400</v>
      </c>
      <c r="Q269" s="55">
        <f>SUM(H243,H245:H252,H254:H257,H259:H261,H263:H270,H272:H278,H280:H285,H287:H292,H294,H297)</f>
        <v>66700</v>
      </c>
    </row>
    <row r="270" spans="1:17" ht="15.75" customHeight="1">
      <c r="A270" s="61">
        <v>26</v>
      </c>
      <c r="B270" s="292" t="s">
        <v>1856</v>
      </c>
      <c r="C270" s="62" t="s">
        <v>27</v>
      </c>
      <c r="D270" s="62" t="s">
        <v>1359</v>
      </c>
      <c r="E270" s="62" t="s">
        <v>51</v>
      </c>
      <c r="F270" s="62"/>
      <c r="G270" s="62" t="s">
        <v>30</v>
      </c>
      <c r="H270" s="63">
        <v>1000</v>
      </c>
      <c r="I270" s="64">
        <v>200</v>
      </c>
      <c r="J270" s="48" t="s">
        <v>31</v>
      </c>
      <c r="K270" s="48" t="s">
        <v>32</v>
      </c>
      <c r="M270" s="126">
        <v>400</v>
      </c>
    </row>
    <row r="271" spans="1:17" ht="15.75" customHeight="1">
      <c r="A271" s="61">
        <v>26</v>
      </c>
      <c r="B271" s="292" t="s">
        <v>1856</v>
      </c>
      <c r="C271" s="62" t="s">
        <v>27</v>
      </c>
      <c r="D271" s="62" t="s">
        <v>1359</v>
      </c>
      <c r="E271" s="62" t="s">
        <v>51</v>
      </c>
      <c r="F271" s="48"/>
      <c r="G271" s="48" t="s">
        <v>61</v>
      </c>
      <c r="H271" s="51">
        <v>50</v>
      </c>
      <c r="I271" s="49">
        <v>150</v>
      </c>
      <c r="J271" s="48" t="s">
        <v>31</v>
      </c>
      <c r="K271" s="48" t="s">
        <v>32</v>
      </c>
    </row>
    <row r="272" spans="1:17" ht="15.75" customHeight="1">
      <c r="A272" s="50">
        <v>26</v>
      </c>
      <c r="B272" s="151" t="s">
        <v>3226</v>
      </c>
      <c r="C272" s="48" t="s">
        <v>27</v>
      </c>
      <c r="D272" s="48" t="s">
        <v>845</v>
      </c>
      <c r="E272" s="48" t="s">
        <v>68</v>
      </c>
      <c r="F272" s="48"/>
      <c r="G272" s="48" t="s">
        <v>30</v>
      </c>
      <c r="H272" s="51">
        <v>500</v>
      </c>
      <c r="I272" s="49">
        <v>100</v>
      </c>
      <c r="J272" s="48" t="s">
        <v>31</v>
      </c>
      <c r="K272" s="48" t="s">
        <v>32</v>
      </c>
      <c r="M272" s="126">
        <v>100</v>
      </c>
      <c r="Q272" s="55">
        <f>SUM(H244,H253,H258,H262,H271,H279,H286,H293,H295,H298)</f>
        <v>587</v>
      </c>
    </row>
    <row r="273" spans="1:17" ht="15.75" customHeight="1">
      <c r="A273" s="50">
        <v>26</v>
      </c>
      <c r="B273" s="151" t="s">
        <v>3196</v>
      </c>
      <c r="C273" s="48" t="s">
        <v>27</v>
      </c>
      <c r="D273" s="48" t="s">
        <v>96</v>
      </c>
      <c r="E273" s="48" t="s">
        <v>44</v>
      </c>
      <c r="F273" s="48"/>
      <c r="G273" s="48" t="s">
        <v>30</v>
      </c>
      <c r="H273" s="51">
        <v>500</v>
      </c>
      <c r="I273" s="49">
        <v>100</v>
      </c>
      <c r="J273" s="48" t="s">
        <v>31</v>
      </c>
      <c r="K273" s="48" t="s">
        <v>32</v>
      </c>
      <c r="M273" s="126">
        <v>100</v>
      </c>
      <c r="Q273" s="126">
        <v>20</v>
      </c>
    </row>
    <row r="274" spans="1:17" ht="15.75" customHeight="1">
      <c r="A274" s="382">
        <v>26</v>
      </c>
      <c r="B274" s="48" t="s">
        <v>3227</v>
      </c>
      <c r="C274" s="48" t="s">
        <v>27</v>
      </c>
      <c r="D274" s="48" t="s">
        <v>100</v>
      </c>
      <c r="E274" s="48" t="s">
        <v>169</v>
      </c>
      <c r="F274" s="48"/>
      <c r="G274" s="48" t="s">
        <v>30</v>
      </c>
      <c r="H274" s="51">
        <v>5000</v>
      </c>
      <c r="I274" s="49">
        <v>1000</v>
      </c>
      <c r="J274" s="48" t="s">
        <v>31</v>
      </c>
      <c r="K274" s="48" t="s">
        <v>32</v>
      </c>
      <c r="M274" s="126">
        <v>400</v>
      </c>
    </row>
    <row r="275" spans="1:17" ht="15.75" customHeight="1">
      <c r="A275" s="50">
        <v>26</v>
      </c>
      <c r="B275" s="151" t="s">
        <v>3228</v>
      </c>
      <c r="C275" s="48" t="s">
        <v>27</v>
      </c>
      <c r="D275" s="48" t="s">
        <v>3229</v>
      </c>
      <c r="E275" s="48" t="s">
        <v>29</v>
      </c>
      <c r="F275" s="48"/>
      <c r="G275" s="48" t="s">
        <v>30</v>
      </c>
      <c r="H275" s="51">
        <v>30000</v>
      </c>
      <c r="I275" s="49">
        <v>6000</v>
      </c>
      <c r="J275" s="48" t="s">
        <v>31</v>
      </c>
      <c r="K275" s="48" t="s">
        <v>32</v>
      </c>
      <c r="M275" s="126">
        <v>10000</v>
      </c>
      <c r="Q275" s="55">
        <f>SUM(Q269:Q274)</f>
        <v>67307</v>
      </c>
    </row>
    <row r="276" spans="1:17" ht="15.75" customHeight="1">
      <c r="A276" s="50">
        <v>26</v>
      </c>
      <c r="B276" s="151" t="s">
        <v>3230</v>
      </c>
      <c r="C276" s="48" t="s">
        <v>27</v>
      </c>
      <c r="D276" s="48" t="s">
        <v>153</v>
      </c>
      <c r="E276" s="48" t="s">
        <v>36</v>
      </c>
      <c r="F276" s="48"/>
      <c r="G276" s="48" t="s">
        <v>30</v>
      </c>
      <c r="H276" s="51">
        <v>1000</v>
      </c>
      <c r="I276" s="49">
        <v>200</v>
      </c>
      <c r="J276" s="48" t="s">
        <v>31</v>
      </c>
      <c r="K276" s="48" t="s">
        <v>32</v>
      </c>
      <c r="M276" s="126">
        <v>300</v>
      </c>
    </row>
    <row r="277" spans="1:17" ht="15.75" customHeight="1">
      <c r="A277" s="50">
        <v>26</v>
      </c>
      <c r="B277" s="151" t="s">
        <v>1329</v>
      </c>
      <c r="C277" s="48" t="s">
        <v>27</v>
      </c>
      <c r="D277" s="48"/>
      <c r="E277" s="48" t="s">
        <v>54</v>
      </c>
      <c r="F277" s="48"/>
      <c r="G277" s="48" t="s">
        <v>30</v>
      </c>
      <c r="H277" s="51">
        <v>500</v>
      </c>
      <c r="I277" s="49">
        <v>100</v>
      </c>
      <c r="J277" s="48" t="s">
        <v>31</v>
      </c>
      <c r="K277" s="48" t="s">
        <v>32</v>
      </c>
      <c r="M277" s="126">
        <v>100</v>
      </c>
    </row>
    <row r="278" spans="1:17" ht="15.75" customHeight="1">
      <c r="A278" s="50">
        <v>26</v>
      </c>
      <c r="B278" s="151" t="s">
        <v>3231</v>
      </c>
      <c r="C278" s="48" t="s">
        <v>27</v>
      </c>
      <c r="D278" s="48" t="s">
        <v>104</v>
      </c>
      <c r="E278" s="48" t="s">
        <v>36</v>
      </c>
      <c r="F278" s="48"/>
      <c r="G278" s="48" t="s">
        <v>30</v>
      </c>
      <c r="H278" s="51">
        <v>1000</v>
      </c>
      <c r="I278" s="49">
        <v>200</v>
      </c>
      <c r="J278" s="48" t="s">
        <v>31</v>
      </c>
      <c r="K278" s="48" t="s">
        <v>32</v>
      </c>
      <c r="M278" s="126">
        <v>300</v>
      </c>
    </row>
    <row r="279" spans="1:17" ht="15.75" customHeight="1">
      <c r="A279" s="50">
        <v>26</v>
      </c>
      <c r="B279" s="151" t="s">
        <v>3232</v>
      </c>
      <c r="C279" s="48" t="s">
        <v>27</v>
      </c>
      <c r="D279" s="48" t="s">
        <v>728</v>
      </c>
      <c r="E279" s="48" t="s">
        <v>86</v>
      </c>
      <c r="F279" s="48"/>
      <c r="G279" s="48" t="s">
        <v>61</v>
      </c>
      <c r="H279" s="51">
        <v>100</v>
      </c>
      <c r="I279" s="49">
        <v>300</v>
      </c>
      <c r="J279" s="48" t="s">
        <v>31</v>
      </c>
      <c r="K279" s="48" t="s">
        <v>32</v>
      </c>
    </row>
    <row r="280" spans="1:17" ht="15.75" customHeight="1">
      <c r="A280" s="50">
        <v>26</v>
      </c>
      <c r="B280" s="151" t="s">
        <v>3233</v>
      </c>
      <c r="C280" s="48" t="s">
        <v>27</v>
      </c>
      <c r="D280" s="48" t="s">
        <v>100</v>
      </c>
      <c r="E280" s="48" t="s">
        <v>2908</v>
      </c>
      <c r="F280" s="48"/>
      <c r="G280" s="48" t="s">
        <v>30</v>
      </c>
      <c r="H280" s="51">
        <v>500</v>
      </c>
      <c r="I280" s="49">
        <v>100</v>
      </c>
      <c r="J280" s="48" t="s">
        <v>31</v>
      </c>
      <c r="K280" s="48" t="s">
        <v>32</v>
      </c>
      <c r="M280" s="126">
        <v>250</v>
      </c>
    </row>
    <row r="281" spans="1:17" ht="15.75" customHeight="1">
      <c r="A281" s="65">
        <v>26</v>
      </c>
      <c r="B281" s="175" t="s">
        <v>3234</v>
      </c>
      <c r="C281" s="58" t="s">
        <v>39</v>
      </c>
      <c r="D281" s="58" t="s">
        <v>100</v>
      </c>
      <c r="E281" s="58" t="s">
        <v>68</v>
      </c>
      <c r="F281" s="58"/>
      <c r="G281" s="58" t="s">
        <v>30</v>
      </c>
      <c r="H281" s="59">
        <v>500</v>
      </c>
      <c r="I281" s="60">
        <v>100</v>
      </c>
      <c r="J281" s="48" t="s">
        <v>31</v>
      </c>
      <c r="K281" s="48" t="s">
        <v>32</v>
      </c>
      <c r="M281" s="126">
        <v>600</v>
      </c>
    </row>
    <row r="282" spans="1:17" ht="15.75" customHeight="1">
      <c r="A282" s="61">
        <v>27</v>
      </c>
      <c r="B282" s="292" t="s">
        <v>3235</v>
      </c>
      <c r="C282" s="62" t="s">
        <v>27</v>
      </c>
      <c r="D282" s="62" t="s">
        <v>171</v>
      </c>
      <c r="E282" s="62" t="s">
        <v>145</v>
      </c>
      <c r="F282" s="62"/>
      <c r="G282" s="62" t="s">
        <v>30</v>
      </c>
      <c r="H282" s="63">
        <v>500</v>
      </c>
      <c r="I282" s="64">
        <v>100</v>
      </c>
      <c r="J282" s="48" t="s">
        <v>31</v>
      </c>
      <c r="K282" s="48" t="s">
        <v>32</v>
      </c>
      <c r="M282" s="126">
        <v>100</v>
      </c>
    </row>
    <row r="283" spans="1:17" ht="15.75" customHeight="1">
      <c r="A283" s="50">
        <v>27</v>
      </c>
      <c r="B283" s="151" t="s">
        <v>3236</v>
      </c>
      <c r="C283" s="48" t="s">
        <v>39</v>
      </c>
      <c r="D283" s="48" t="s">
        <v>607</v>
      </c>
      <c r="E283" s="48" t="s">
        <v>36</v>
      </c>
      <c r="F283" s="48"/>
      <c r="G283" s="48" t="s">
        <v>30</v>
      </c>
      <c r="H283" s="51">
        <v>500</v>
      </c>
      <c r="I283" s="49">
        <v>100</v>
      </c>
      <c r="J283" s="48" t="s">
        <v>31</v>
      </c>
      <c r="K283" s="48" t="s">
        <v>32</v>
      </c>
      <c r="M283" s="126">
        <v>400</v>
      </c>
    </row>
    <row r="284" spans="1:17" ht="15.75" customHeight="1">
      <c r="A284" s="50">
        <v>27</v>
      </c>
      <c r="B284" s="151" t="s">
        <v>3237</v>
      </c>
      <c r="C284" s="48" t="s">
        <v>27</v>
      </c>
      <c r="D284" s="48" t="s">
        <v>407</v>
      </c>
      <c r="E284" s="48" t="s">
        <v>44</v>
      </c>
      <c r="F284" s="48"/>
      <c r="G284" s="48" t="s">
        <v>30</v>
      </c>
      <c r="H284" s="51">
        <v>500</v>
      </c>
      <c r="I284" s="49">
        <v>100</v>
      </c>
      <c r="J284" s="48" t="s">
        <v>31</v>
      </c>
      <c r="K284" s="48" t="s">
        <v>32</v>
      </c>
      <c r="M284" s="126">
        <v>96</v>
      </c>
    </row>
    <row r="285" spans="1:17" ht="15.75" customHeight="1">
      <c r="A285" s="50">
        <v>27</v>
      </c>
      <c r="B285" s="151" t="s">
        <v>3238</v>
      </c>
      <c r="C285" s="48" t="s">
        <v>27</v>
      </c>
      <c r="D285" s="48" t="s">
        <v>937</v>
      </c>
      <c r="E285" s="48" t="s">
        <v>44</v>
      </c>
      <c r="F285" s="48"/>
      <c r="G285" s="48" t="s">
        <v>30</v>
      </c>
      <c r="H285" s="51">
        <v>250</v>
      </c>
      <c r="I285" s="49">
        <v>50</v>
      </c>
      <c r="J285" s="48" t="s">
        <v>31</v>
      </c>
      <c r="K285" s="48" t="s">
        <v>32</v>
      </c>
      <c r="M285" s="126">
        <v>50</v>
      </c>
    </row>
    <row r="286" spans="1:17" ht="15.75" customHeight="1">
      <c r="A286" s="50">
        <v>27</v>
      </c>
      <c r="B286" s="151" t="s">
        <v>3239</v>
      </c>
      <c r="C286" s="48" t="s">
        <v>27</v>
      </c>
      <c r="D286" s="48" t="s">
        <v>100</v>
      </c>
      <c r="E286" s="48" t="s">
        <v>36</v>
      </c>
      <c r="F286" s="48"/>
      <c r="G286" s="48" t="s">
        <v>61</v>
      </c>
      <c r="H286" s="51">
        <v>10</v>
      </c>
      <c r="I286" s="49">
        <v>30</v>
      </c>
      <c r="J286" s="48" t="s">
        <v>31</v>
      </c>
      <c r="K286" s="48" t="s">
        <v>32</v>
      </c>
    </row>
    <row r="287" spans="1:17" ht="15.75" customHeight="1">
      <c r="A287" s="50">
        <v>27</v>
      </c>
      <c r="B287" s="151" t="s">
        <v>3240</v>
      </c>
      <c r="C287" s="48" t="s">
        <v>27</v>
      </c>
      <c r="D287" s="48" t="s">
        <v>3241</v>
      </c>
      <c r="E287" s="48" t="s">
        <v>60</v>
      </c>
      <c r="F287" s="48"/>
      <c r="G287" s="48" t="s">
        <v>30</v>
      </c>
      <c r="H287" s="51">
        <v>500</v>
      </c>
      <c r="I287" s="49">
        <v>100</v>
      </c>
      <c r="J287" s="48" t="s">
        <v>31</v>
      </c>
      <c r="K287" s="48" t="s">
        <v>32</v>
      </c>
      <c r="M287" s="126">
        <v>110</v>
      </c>
    </row>
    <row r="288" spans="1:17" ht="15.75" customHeight="1">
      <c r="A288" s="50">
        <v>27</v>
      </c>
      <c r="B288" s="151" t="s">
        <v>3242</v>
      </c>
      <c r="C288" s="48" t="s">
        <v>27</v>
      </c>
      <c r="D288" s="48" t="s">
        <v>886</v>
      </c>
      <c r="E288" s="48" t="s">
        <v>86</v>
      </c>
      <c r="F288" s="48"/>
      <c r="G288" s="48" t="s">
        <v>30</v>
      </c>
      <c r="H288" s="51">
        <v>500</v>
      </c>
      <c r="I288" s="49">
        <v>100</v>
      </c>
      <c r="J288" s="48" t="s">
        <v>31</v>
      </c>
      <c r="K288" s="48" t="s">
        <v>32</v>
      </c>
      <c r="M288" s="126">
        <v>200</v>
      </c>
    </row>
    <row r="289" spans="1:26" ht="15.75" customHeight="1">
      <c r="A289" s="50">
        <v>27</v>
      </c>
      <c r="B289" s="151" t="s">
        <v>3243</v>
      </c>
      <c r="C289" s="48" t="s">
        <v>27</v>
      </c>
      <c r="D289" s="48" t="s">
        <v>886</v>
      </c>
      <c r="E289" s="48" t="s">
        <v>86</v>
      </c>
      <c r="F289" s="48"/>
      <c r="G289" s="48" t="s">
        <v>30</v>
      </c>
      <c r="H289" s="51">
        <v>300</v>
      </c>
      <c r="I289" s="49">
        <v>60</v>
      </c>
      <c r="J289" s="48" t="s">
        <v>31</v>
      </c>
      <c r="K289" s="48" t="s">
        <v>32</v>
      </c>
      <c r="M289" s="126">
        <v>150</v>
      </c>
    </row>
    <row r="290" spans="1:26" ht="15.75" customHeight="1">
      <c r="A290" s="50">
        <v>27</v>
      </c>
      <c r="B290" s="151" t="s">
        <v>3244</v>
      </c>
      <c r="C290" s="48" t="s">
        <v>27</v>
      </c>
      <c r="D290" s="48" t="s">
        <v>886</v>
      </c>
      <c r="E290" s="48" t="s">
        <v>86</v>
      </c>
      <c r="F290" s="48"/>
      <c r="G290" s="48" t="s">
        <v>30</v>
      </c>
      <c r="H290" s="51">
        <v>500</v>
      </c>
      <c r="I290" s="49">
        <v>100</v>
      </c>
      <c r="J290" s="48" t="s">
        <v>31</v>
      </c>
      <c r="K290" s="48" t="s">
        <v>32</v>
      </c>
      <c r="M290" s="126">
        <v>150</v>
      </c>
    </row>
    <row r="291" spans="1:26" ht="15.75" customHeight="1">
      <c r="A291" s="50">
        <v>27</v>
      </c>
      <c r="B291" s="151" t="s">
        <v>3245</v>
      </c>
      <c r="C291" s="48" t="s">
        <v>27</v>
      </c>
      <c r="D291" s="48" t="s">
        <v>886</v>
      </c>
      <c r="E291" s="48" t="s">
        <v>86</v>
      </c>
      <c r="F291" s="48"/>
      <c r="G291" s="48" t="s">
        <v>30</v>
      </c>
      <c r="H291" s="51">
        <v>500</v>
      </c>
      <c r="I291" s="49">
        <v>100</v>
      </c>
      <c r="J291" s="48" t="s">
        <v>31</v>
      </c>
      <c r="K291" s="48" t="s">
        <v>32</v>
      </c>
      <c r="M291" s="126">
        <v>200</v>
      </c>
    </row>
    <row r="292" spans="1:26" ht="15.75" customHeight="1">
      <c r="A292" s="50">
        <v>27</v>
      </c>
      <c r="B292" s="151" t="s">
        <v>3246</v>
      </c>
      <c r="C292" s="48" t="s">
        <v>27</v>
      </c>
      <c r="D292" s="48" t="s">
        <v>886</v>
      </c>
      <c r="E292" s="48" t="s">
        <v>86</v>
      </c>
      <c r="F292" s="48"/>
      <c r="G292" s="48" t="s">
        <v>30</v>
      </c>
      <c r="H292" s="51">
        <v>500</v>
      </c>
      <c r="I292" s="49">
        <v>100</v>
      </c>
      <c r="J292" s="48" t="s">
        <v>31</v>
      </c>
      <c r="K292" s="48" t="s">
        <v>32</v>
      </c>
      <c r="M292" s="126">
        <v>100</v>
      </c>
    </row>
    <row r="293" spans="1:26" ht="15.75" customHeight="1">
      <c r="A293" s="369">
        <v>27</v>
      </c>
      <c r="B293" s="58" t="s">
        <v>71</v>
      </c>
      <c r="C293" s="58" t="s">
        <v>27</v>
      </c>
      <c r="D293" s="58" t="s">
        <v>1902</v>
      </c>
      <c r="E293" s="58" t="s">
        <v>73</v>
      </c>
      <c r="F293" s="58"/>
      <c r="G293" s="58" t="s">
        <v>61</v>
      </c>
      <c r="H293" s="59">
        <v>150</v>
      </c>
      <c r="I293" s="60">
        <v>450</v>
      </c>
      <c r="J293" s="48" t="s">
        <v>31</v>
      </c>
      <c r="K293" s="48" t="s">
        <v>32</v>
      </c>
    </row>
    <row r="294" spans="1:26" ht="16.5" customHeight="1">
      <c r="A294" s="61">
        <v>28</v>
      </c>
      <c r="B294" s="292" t="s">
        <v>3247</v>
      </c>
      <c r="C294" s="62" t="s">
        <v>39</v>
      </c>
      <c r="D294" s="62" t="s">
        <v>234</v>
      </c>
      <c r="E294" s="62" t="s">
        <v>84</v>
      </c>
      <c r="F294" s="62"/>
      <c r="G294" s="62" t="s">
        <v>30</v>
      </c>
      <c r="H294" s="63">
        <v>1000</v>
      </c>
      <c r="I294" s="64">
        <v>200</v>
      </c>
      <c r="J294" s="48" t="s">
        <v>31</v>
      </c>
      <c r="K294" s="48" t="s">
        <v>32</v>
      </c>
      <c r="M294" s="126">
        <v>200</v>
      </c>
    </row>
    <row r="295" spans="1:26" ht="15.75" customHeight="1">
      <c r="A295" s="50">
        <v>28</v>
      </c>
      <c r="B295" s="151" t="s">
        <v>2741</v>
      </c>
      <c r="C295" s="48" t="s">
        <v>27</v>
      </c>
      <c r="D295" s="48" t="s">
        <v>100</v>
      </c>
      <c r="E295" s="48" t="s">
        <v>29</v>
      </c>
      <c r="F295" s="48"/>
      <c r="G295" s="48" t="s">
        <v>61</v>
      </c>
      <c r="H295" s="51">
        <v>20</v>
      </c>
      <c r="I295" s="49">
        <v>60</v>
      </c>
      <c r="J295" s="48" t="s">
        <v>31</v>
      </c>
      <c r="K295" s="48" t="s">
        <v>32</v>
      </c>
    </row>
    <row r="296" spans="1:26" ht="15.75" customHeight="1">
      <c r="A296" s="50">
        <v>28</v>
      </c>
      <c r="B296" s="151" t="s">
        <v>2741</v>
      </c>
      <c r="C296" s="48" t="s">
        <v>27</v>
      </c>
      <c r="D296" s="48" t="s">
        <v>100</v>
      </c>
      <c r="E296" s="48" t="s">
        <v>29</v>
      </c>
      <c r="F296" s="48"/>
      <c r="G296" s="48" t="s">
        <v>589</v>
      </c>
      <c r="H296" s="51">
        <v>20</v>
      </c>
      <c r="I296" s="49">
        <v>60</v>
      </c>
      <c r="J296" s="48" t="s">
        <v>31</v>
      </c>
      <c r="K296" s="48" t="s">
        <v>32</v>
      </c>
    </row>
    <row r="297" spans="1:26" ht="15.75" customHeight="1">
      <c r="A297" s="50">
        <v>28</v>
      </c>
      <c r="B297" s="151" t="s">
        <v>3248</v>
      </c>
      <c r="C297" s="48" t="s">
        <v>27</v>
      </c>
      <c r="D297" s="48" t="s">
        <v>100</v>
      </c>
      <c r="E297" s="48" t="s">
        <v>36</v>
      </c>
      <c r="F297" s="48"/>
      <c r="G297" s="48" t="s">
        <v>30</v>
      </c>
      <c r="H297" s="51">
        <v>600</v>
      </c>
      <c r="I297" s="49">
        <v>120</v>
      </c>
      <c r="J297" s="48" t="s">
        <v>31</v>
      </c>
      <c r="K297" s="48" t="s">
        <v>32</v>
      </c>
      <c r="M297" s="126">
        <v>100</v>
      </c>
    </row>
    <row r="298" spans="1:26" ht="15.75" customHeight="1">
      <c r="A298" s="50"/>
      <c r="B298" s="48"/>
      <c r="C298" s="48"/>
      <c r="D298" s="48"/>
      <c r="E298" s="48"/>
      <c r="F298" s="48"/>
      <c r="G298" s="48" t="s">
        <v>61</v>
      </c>
      <c r="H298" s="51">
        <v>37</v>
      </c>
      <c r="I298" s="49">
        <v>185</v>
      </c>
      <c r="J298" s="48" t="s">
        <v>31</v>
      </c>
      <c r="K298" s="48" t="s">
        <v>32</v>
      </c>
    </row>
    <row r="299" spans="1:26" ht="15.75" customHeight="1">
      <c r="A299" s="50"/>
      <c r="B299" s="48"/>
      <c r="C299" s="48"/>
      <c r="D299" s="48"/>
      <c r="E299" s="48"/>
      <c r="F299" s="48"/>
      <c r="G299" s="48"/>
      <c r="H299" s="51"/>
      <c r="I299" s="49"/>
      <c r="J299" s="48"/>
      <c r="K299" s="48"/>
    </row>
    <row r="300" spans="1:26" ht="15.75" customHeight="1">
      <c r="A300" s="50"/>
      <c r="B300" s="48"/>
      <c r="C300" s="48"/>
      <c r="D300" s="48"/>
      <c r="E300" s="48"/>
      <c r="F300" s="48"/>
      <c r="G300" s="48"/>
      <c r="H300" s="51"/>
      <c r="I300" s="49"/>
      <c r="J300" s="48"/>
      <c r="K300" s="48"/>
    </row>
    <row r="301" spans="1:26" ht="15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26" ht="15.75" customHeight="1">
      <c r="A302" s="4"/>
      <c r="B302" s="2"/>
      <c r="C302" s="2"/>
      <c r="D302" s="2"/>
      <c r="E302" s="2"/>
      <c r="F302" s="2"/>
      <c r="G302" s="2"/>
      <c r="H302" s="2"/>
      <c r="I302" s="137" t="s">
        <v>508</v>
      </c>
      <c r="J302" s="8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4"/>
      <c r="B303" s="2" t="s">
        <v>509</v>
      </c>
      <c r="C303" s="2"/>
      <c r="D303" s="2"/>
      <c r="E303" s="2" t="s">
        <v>510</v>
      </c>
      <c r="F303" s="2"/>
      <c r="G303" s="2"/>
      <c r="H303" s="2"/>
      <c r="I303" s="83" t="s">
        <v>942</v>
      </c>
      <c r="J303" s="8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4"/>
      <c r="B304" s="2"/>
      <c r="C304" s="2"/>
      <c r="D304" s="2"/>
      <c r="E304" s="2"/>
      <c r="F304" s="2"/>
      <c r="G304" s="2"/>
      <c r="H304" s="2"/>
      <c r="I304" s="83" t="s">
        <v>944</v>
      </c>
      <c r="J304" s="8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4"/>
      <c r="B305" s="2"/>
      <c r="C305" s="2"/>
      <c r="D305" s="2"/>
      <c r="E305" s="2"/>
      <c r="F305" s="2"/>
      <c r="G305" s="2"/>
      <c r="H305" s="2"/>
      <c r="I305" s="83" t="s">
        <v>946</v>
      </c>
      <c r="J305" s="8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4"/>
      <c r="B306" s="86" t="s">
        <v>516</v>
      </c>
      <c r="C306" s="2"/>
      <c r="D306" s="2"/>
      <c r="E306" s="731" t="s">
        <v>517</v>
      </c>
      <c r="F306" s="711"/>
      <c r="G306" s="711"/>
      <c r="H306" s="2"/>
      <c r="I306" s="83" t="s">
        <v>947</v>
      </c>
      <c r="J306" s="8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4"/>
      <c r="B307" s="4" t="s">
        <v>949</v>
      </c>
      <c r="C307" s="2"/>
      <c r="D307" s="2"/>
      <c r="E307" s="732" t="s">
        <v>521</v>
      </c>
      <c r="F307" s="711"/>
      <c r="G307" s="711"/>
      <c r="H307" s="711"/>
      <c r="I307" s="83" t="s">
        <v>950</v>
      </c>
      <c r="J307" s="8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4"/>
      <c r="B308" s="2"/>
      <c r="C308" s="2"/>
      <c r="D308" s="2"/>
      <c r="E308" s="2"/>
      <c r="F308" s="2"/>
      <c r="G308" s="2"/>
      <c r="H308" s="2"/>
      <c r="I308" s="83" t="s">
        <v>564</v>
      </c>
      <c r="J308" s="8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4"/>
      <c r="B309" s="2"/>
      <c r="C309" s="2"/>
      <c r="D309" s="2"/>
      <c r="E309" s="2"/>
      <c r="F309" s="2"/>
      <c r="G309" s="2"/>
      <c r="H309" s="2"/>
      <c r="I309" s="83" t="s">
        <v>525</v>
      </c>
      <c r="J309" s="8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4"/>
      <c r="B310" s="2"/>
      <c r="C310" s="2"/>
      <c r="D310" s="2"/>
      <c r="E310" s="2"/>
      <c r="F310" s="2"/>
      <c r="G310" s="2"/>
      <c r="H310" s="2"/>
      <c r="I310" s="10" t="s">
        <v>565</v>
      </c>
      <c r="J310" s="90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4"/>
      <c r="B311" s="2"/>
      <c r="C311" s="2"/>
      <c r="D311" s="2"/>
      <c r="E311" s="2"/>
      <c r="F311" s="2"/>
      <c r="G311" s="2"/>
      <c r="H311" s="2"/>
      <c r="I311" s="10" t="s">
        <v>953</v>
      </c>
      <c r="J311" s="90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53"/>
    </row>
    <row r="330" spans="1:26" ht="15.7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53"/>
    </row>
    <row r="331" spans="1:26" ht="15.7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53"/>
    </row>
    <row r="332" spans="1:26" ht="15.7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53"/>
    </row>
    <row r="333" spans="1:26" ht="15.7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53"/>
    </row>
    <row r="334" spans="1:26" ht="15.7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53"/>
    </row>
    <row r="335" spans="1:26" ht="15.7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53"/>
    </row>
    <row r="336" spans="1:26" ht="15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53"/>
    </row>
    <row r="337" spans="1:11" ht="15.7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53"/>
    </row>
    <row r="338" spans="1:11" ht="15.7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53"/>
    </row>
    <row r="339" spans="1:11" ht="15.7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53"/>
    </row>
    <row r="340" spans="1:11" ht="15.7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53"/>
    </row>
    <row r="341" spans="1:11" ht="15.7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53"/>
    </row>
    <row r="342" spans="1:11" ht="15.7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53"/>
    </row>
    <row r="343" spans="1:11" ht="15.7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53"/>
    </row>
    <row r="344" spans="1:11" ht="15.7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53"/>
    </row>
    <row r="345" spans="1:11" ht="15.7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53"/>
    </row>
    <row r="346" spans="1:11" ht="15.7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53"/>
    </row>
    <row r="347" spans="1:11" ht="15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53"/>
    </row>
    <row r="348" spans="1:11" ht="15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53"/>
    </row>
    <row r="349" spans="1:11" ht="15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53"/>
    </row>
    <row r="350" spans="1:11" ht="15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53"/>
    </row>
    <row r="351" spans="1:11" ht="15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53"/>
    </row>
    <row r="352" spans="1:11" ht="15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53"/>
    </row>
    <row r="353" spans="1:11" ht="15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53"/>
    </row>
    <row r="354" spans="1:11" ht="15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53"/>
    </row>
    <row r="355" spans="1:11" ht="15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53"/>
    </row>
    <row r="356" spans="1:11" ht="15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53"/>
    </row>
    <row r="357" spans="1:11" ht="15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53"/>
    </row>
    <row r="358" spans="1:11" ht="15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53"/>
    </row>
    <row r="359" spans="1:11" ht="15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53"/>
    </row>
    <row r="360" spans="1:11" ht="15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53"/>
    </row>
    <row r="361" spans="1:11" ht="15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53"/>
    </row>
    <row r="362" spans="1:11" ht="15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53"/>
    </row>
    <row r="363" spans="1:11" ht="15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53"/>
    </row>
    <row r="364" spans="1:11" ht="15.7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53"/>
    </row>
    <row r="365" spans="1:11" ht="15.7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53"/>
    </row>
    <row r="366" spans="1:11" ht="15.7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53"/>
    </row>
    <row r="367" spans="1:11" ht="15.7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53"/>
    </row>
    <row r="368" spans="1:11" ht="15.7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53"/>
    </row>
    <row r="369" spans="1:11" ht="15.7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53"/>
    </row>
    <row r="370" spans="1:11" ht="15.7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53"/>
    </row>
    <row r="371" spans="1:11" ht="15.7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53"/>
    </row>
    <row r="372" spans="1:11" ht="15.7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53"/>
    </row>
    <row r="373" spans="1:11" ht="15.7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53"/>
    </row>
    <row r="374" spans="1:11" ht="15.7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53"/>
    </row>
    <row r="375" spans="1:11" ht="15.7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53"/>
    </row>
    <row r="376" spans="1:11" ht="15.7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53"/>
    </row>
    <row r="377" spans="1:11" ht="15.7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53"/>
    </row>
    <row r="378" spans="1:11" ht="15.7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53"/>
    </row>
    <row r="379" spans="1:11" ht="15.7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53"/>
    </row>
    <row r="380" spans="1:11" ht="15.7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53"/>
    </row>
    <row r="381" spans="1:11" ht="15.7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53"/>
    </row>
    <row r="382" spans="1:11" ht="15.7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53"/>
    </row>
    <row r="383" spans="1:11" ht="15.7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53"/>
    </row>
    <row r="384" spans="1:11" ht="15.7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53"/>
    </row>
    <row r="385" spans="1:11" ht="15.7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53"/>
    </row>
    <row r="386" spans="1:11" ht="15.7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53"/>
    </row>
    <row r="387" spans="1:11" ht="15.7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53"/>
    </row>
    <row r="388" spans="1:11" ht="15.7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53"/>
    </row>
    <row r="389" spans="1:11" ht="15.7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53"/>
    </row>
    <row r="390" spans="1:11" ht="15.7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53"/>
    </row>
    <row r="391" spans="1:11" ht="15.7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53"/>
    </row>
    <row r="392" spans="1:11" ht="15.7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53"/>
    </row>
    <row r="393" spans="1:11" ht="15.7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53"/>
    </row>
    <row r="394" spans="1:11" ht="15.7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53"/>
    </row>
    <row r="395" spans="1:11" ht="15.7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53"/>
    </row>
    <row r="396" spans="1:11" ht="15.7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53"/>
    </row>
    <row r="397" spans="1:11" ht="15.7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53"/>
    </row>
    <row r="398" spans="1:11" ht="15.7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53"/>
    </row>
    <row r="399" spans="1:11" ht="15.7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53"/>
    </row>
    <row r="400" spans="1:11" ht="15.7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53"/>
    </row>
    <row r="401" spans="1:11" ht="15.7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53"/>
    </row>
    <row r="402" spans="1:11" ht="15.7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53"/>
    </row>
    <row r="403" spans="1:11" ht="15.7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53"/>
    </row>
    <row r="404" spans="1:11" ht="15.7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53"/>
    </row>
    <row r="405" spans="1:11" ht="15.7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53"/>
    </row>
    <row r="406" spans="1:11" ht="15.7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53"/>
    </row>
    <row r="407" spans="1:11" ht="15.7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53"/>
    </row>
    <row r="408" spans="1:11" ht="15.7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53"/>
    </row>
    <row r="409" spans="1:11" ht="15.7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53"/>
    </row>
    <row r="410" spans="1:11" ht="15.7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53"/>
    </row>
    <row r="411" spans="1:11" ht="15.7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53"/>
    </row>
    <row r="412" spans="1:11" ht="15.7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53"/>
    </row>
    <row r="413" spans="1:11" ht="15.7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53"/>
    </row>
    <row r="414" spans="1:11" ht="15.7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53"/>
    </row>
    <row r="415" spans="1:11" ht="15.7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53"/>
    </row>
    <row r="416" spans="1:11" ht="15.7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53"/>
    </row>
    <row r="417" spans="1:11" ht="15.7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53"/>
    </row>
    <row r="418" spans="1:11" ht="15.7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53"/>
    </row>
    <row r="419" spans="1:11" ht="15.7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53"/>
    </row>
    <row r="420" spans="1:11" ht="15.7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53"/>
    </row>
    <row r="421" spans="1:11" ht="15.7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53"/>
    </row>
    <row r="422" spans="1:11" ht="15.7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53"/>
    </row>
    <row r="423" spans="1:11" ht="15.7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53"/>
    </row>
    <row r="424" spans="1:11" ht="15.7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53"/>
    </row>
    <row r="425" spans="1:11" ht="15.7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53"/>
    </row>
    <row r="426" spans="1:11" ht="15.7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53"/>
    </row>
    <row r="427" spans="1:11" ht="15.7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53"/>
    </row>
    <row r="428" spans="1:11" ht="15.7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53"/>
    </row>
    <row r="429" spans="1:11" ht="15.7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53"/>
    </row>
    <row r="430" spans="1:11" ht="15.7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53"/>
    </row>
    <row r="431" spans="1:11" ht="15.7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53"/>
    </row>
    <row r="432" spans="1:11" ht="15.7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53"/>
    </row>
    <row r="433" spans="1:11" ht="15.7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53"/>
    </row>
    <row r="434" spans="1:11" ht="15.7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53"/>
    </row>
    <row r="435" spans="1:11" ht="15.7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53"/>
    </row>
    <row r="436" spans="1:11" ht="15.7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53"/>
    </row>
    <row r="437" spans="1:11" ht="15.7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53"/>
    </row>
    <row r="438" spans="1:11" ht="15.7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53"/>
    </row>
    <row r="439" spans="1:11" ht="15.7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53"/>
    </row>
    <row r="440" spans="1:11" ht="15.7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53"/>
    </row>
    <row r="441" spans="1:11" ht="15.7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53"/>
    </row>
    <row r="442" spans="1:11" ht="15.7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53"/>
    </row>
    <row r="443" spans="1:11" ht="15.7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53"/>
    </row>
    <row r="444" spans="1:11" ht="15.7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53"/>
    </row>
    <row r="445" spans="1:11" ht="15.7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53"/>
    </row>
    <row r="446" spans="1:11" ht="15.7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53"/>
    </row>
    <row r="447" spans="1:11" ht="15.7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53"/>
    </row>
    <row r="448" spans="1:11" ht="15.7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53"/>
    </row>
    <row r="449" spans="1:11" ht="15.7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53"/>
    </row>
    <row r="450" spans="1:11" ht="15.7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53"/>
    </row>
    <row r="451" spans="1:11" ht="15.7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53"/>
    </row>
    <row r="452" spans="1:11" ht="15.7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53"/>
    </row>
    <row r="453" spans="1:11" ht="15.7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53"/>
    </row>
    <row r="454" spans="1:11" ht="15.7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53"/>
    </row>
    <row r="455" spans="1:11" ht="15.7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53"/>
    </row>
    <row r="456" spans="1:11" ht="15.7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53"/>
    </row>
    <row r="457" spans="1:11" ht="15.7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53"/>
    </row>
    <row r="458" spans="1:11" ht="15.7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53"/>
    </row>
    <row r="459" spans="1:11" ht="15.7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53"/>
    </row>
    <row r="460" spans="1:11" ht="15.7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53"/>
    </row>
    <row r="461" spans="1:11" ht="15.7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53"/>
    </row>
    <row r="462" spans="1:11" ht="15.7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53"/>
    </row>
    <row r="463" spans="1:11" ht="15.7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53"/>
    </row>
    <row r="464" spans="1:11" ht="15.7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53"/>
    </row>
    <row r="465" spans="1:11" ht="15.7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53"/>
    </row>
    <row r="466" spans="1:11" ht="15.7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53"/>
    </row>
    <row r="467" spans="1:11" ht="15.7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53"/>
    </row>
    <row r="468" spans="1:11" ht="15.7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53"/>
    </row>
    <row r="469" spans="1:11" ht="15.7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53"/>
    </row>
    <row r="470" spans="1:11" ht="15.7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53"/>
    </row>
    <row r="471" spans="1:11" ht="15.7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53"/>
    </row>
    <row r="472" spans="1:11" ht="15.7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53"/>
    </row>
    <row r="473" spans="1:11" ht="15.7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53"/>
    </row>
    <row r="474" spans="1:11" ht="15.7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53"/>
    </row>
    <row r="475" spans="1:11" ht="15.7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53"/>
    </row>
    <row r="476" spans="1:11" ht="15.7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53"/>
    </row>
    <row r="477" spans="1:11" ht="15.7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53"/>
    </row>
    <row r="478" spans="1:11" ht="15.7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53"/>
    </row>
    <row r="479" spans="1:11" ht="15.7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53"/>
    </row>
    <row r="480" spans="1:11" ht="15.7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53"/>
    </row>
    <row r="481" spans="1:11" ht="15.7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53"/>
    </row>
    <row r="482" spans="1:11" ht="15.7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53"/>
    </row>
    <row r="483" spans="1:11" ht="15.7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53"/>
    </row>
    <row r="484" spans="1:11" ht="15.7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53"/>
    </row>
    <row r="485" spans="1:11" ht="15.7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53"/>
    </row>
    <row r="486" spans="1:11" ht="15.7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53"/>
    </row>
    <row r="487" spans="1:11" ht="15.7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53"/>
    </row>
    <row r="488" spans="1:11" ht="15.7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53"/>
    </row>
    <row r="489" spans="1:11" ht="15.7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53"/>
    </row>
    <row r="490" spans="1:11" ht="15.7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53"/>
    </row>
    <row r="491" spans="1:11" ht="15.7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53"/>
    </row>
    <row r="492" spans="1:11" ht="15.7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53"/>
    </row>
    <row r="493" spans="1:11" ht="15.7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53"/>
    </row>
    <row r="494" spans="1:11" ht="15.7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53"/>
    </row>
    <row r="495" spans="1:11" ht="15.7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53"/>
    </row>
    <row r="496" spans="1:11" ht="15.7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53"/>
    </row>
    <row r="497" spans="1:11" ht="15.7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53"/>
    </row>
    <row r="498" spans="1:11" ht="15.7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53"/>
    </row>
    <row r="499" spans="1:11" ht="15.7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53"/>
    </row>
    <row r="500" spans="1:11" ht="15.7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53"/>
    </row>
    <row r="501" spans="1:11" ht="15.7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53"/>
    </row>
    <row r="502" spans="1:11" ht="15.7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53"/>
    </row>
    <row r="503" spans="1:11" ht="15.7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53"/>
    </row>
    <row r="504" spans="1:11" ht="15.7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53"/>
    </row>
    <row r="505" spans="1:11" ht="15.7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53"/>
    </row>
    <row r="506" spans="1:11" ht="15.7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53"/>
    </row>
    <row r="507" spans="1:11" ht="15.7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53"/>
    </row>
    <row r="508" spans="1:11" ht="15.7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53"/>
    </row>
    <row r="509" spans="1:11" ht="15.7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53"/>
    </row>
    <row r="510" spans="1:11" ht="15.7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53"/>
    </row>
    <row r="511" spans="1:11" ht="15.7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53"/>
    </row>
    <row r="512" spans="1:11" ht="15.7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53"/>
    </row>
    <row r="513" spans="1:11" ht="15.7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53"/>
    </row>
    <row r="514" spans="1:11" ht="15.7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53"/>
    </row>
    <row r="515" spans="1:11" ht="15.7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53"/>
    </row>
    <row r="516" spans="1:11" ht="15.7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53"/>
    </row>
    <row r="517" spans="1:11" ht="15.7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53"/>
    </row>
    <row r="518" spans="1:11" ht="15.7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53"/>
    </row>
    <row r="519" spans="1:11" ht="15.7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53"/>
    </row>
    <row r="520" spans="1:11" ht="15.7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53"/>
    </row>
    <row r="521" spans="1:11" ht="15.7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53"/>
    </row>
    <row r="522" spans="1:11" ht="15.7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53"/>
    </row>
    <row r="523" spans="1:11" ht="15.7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53"/>
    </row>
    <row r="524" spans="1:11" ht="15.7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53"/>
    </row>
    <row r="525" spans="1:11" ht="15.7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53"/>
    </row>
    <row r="526" spans="1:11" ht="15.7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53"/>
    </row>
    <row r="527" spans="1:11" ht="15.7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53"/>
    </row>
    <row r="528" spans="1:11" ht="15.7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53"/>
    </row>
    <row r="529" spans="1:11" ht="15.7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53"/>
    </row>
    <row r="530" spans="1:11" ht="15.7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53"/>
    </row>
    <row r="531" spans="1:11" ht="15.7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53"/>
    </row>
    <row r="532" spans="1:11" ht="15.7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53"/>
    </row>
    <row r="533" spans="1:11" ht="15.7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53"/>
    </row>
    <row r="534" spans="1:11" ht="15.7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53"/>
    </row>
    <row r="535" spans="1:11" ht="15.7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53"/>
    </row>
    <row r="536" spans="1:11" ht="15.7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53"/>
    </row>
    <row r="537" spans="1:11" ht="15.7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53"/>
    </row>
    <row r="538" spans="1:11" ht="15.7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53"/>
    </row>
    <row r="539" spans="1:11" ht="15.7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53"/>
    </row>
    <row r="540" spans="1:11" ht="15.7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53"/>
    </row>
    <row r="541" spans="1:11" ht="15.7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53"/>
    </row>
    <row r="542" spans="1:11" ht="15.7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53"/>
    </row>
    <row r="543" spans="1:11" ht="15.7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53"/>
    </row>
    <row r="544" spans="1:11" ht="15.7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53"/>
    </row>
    <row r="545" spans="1:11" ht="15.7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53"/>
    </row>
    <row r="546" spans="1:11" ht="15.7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53"/>
    </row>
    <row r="547" spans="1:11" ht="15.7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53"/>
    </row>
    <row r="548" spans="1:11" ht="15.7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53"/>
    </row>
    <row r="549" spans="1:11" ht="15.7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53"/>
    </row>
    <row r="550" spans="1:11" ht="15.7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53"/>
    </row>
    <row r="551" spans="1:11" ht="15.7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53"/>
    </row>
    <row r="552" spans="1:11" ht="15.7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53"/>
    </row>
    <row r="553" spans="1:11" ht="15.7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53"/>
    </row>
    <row r="554" spans="1:11" ht="15.7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53"/>
    </row>
    <row r="555" spans="1:11" ht="15.7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53"/>
    </row>
    <row r="556" spans="1:11" ht="15.7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53"/>
    </row>
    <row r="557" spans="1:11" ht="15.7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53"/>
    </row>
    <row r="558" spans="1:11" ht="15.7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53"/>
    </row>
    <row r="559" spans="1:11" ht="15.7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53"/>
    </row>
    <row r="560" spans="1:11" ht="15.7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53"/>
    </row>
    <row r="561" spans="1:11" ht="15.7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53"/>
    </row>
    <row r="562" spans="1:11" ht="15.7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53"/>
    </row>
    <row r="563" spans="1:11" ht="15.7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53"/>
    </row>
    <row r="564" spans="1:11" ht="15.7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53"/>
    </row>
    <row r="565" spans="1:11" ht="15.7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53"/>
    </row>
    <row r="566" spans="1:11" ht="15.7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53"/>
    </row>
    <row r="567" spans="1:11" ht="15.7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53"/>
    </row>
    <row r="568" spans="1:11" ht="15.7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53"/>
    </row>
    <row r="569" spans="1:11" ht="15.7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53"/>
    </row>
    <row r="570" spans="1:11" ht="15.7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53"/>
    </row>
    <row r="571" spans="1:11" ht="15.7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53"/>
    </row>
    <row r="572" spans="1:11" ht="15.7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53"/>
    </row>
    <row r="573" spans="1:11" ht="15.7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53"/>
    </row>
    <row r="574" spans="1:11" ht="15.7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53"/>
    </row>
    <row r="575" spans="1:11" ht="15.7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53"/>
    </row>
    <row r="576" spans="1:11" ht="15.7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53"/>
    </row>
    <row r="577" spans="1:11" ht="15.7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53"/>
    </row>
    <row r="578" spans="1:11" ht="15.7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53"/>
    </row>
    <row r="579" spans="1:11" ht="15.7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53"/>
    </row>
    <row r="580" spans="1:11" ht="15.7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53"/>
    </row>
    <row r="581" spans="1:11" ht="15.7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53"/>
    </row>
    <row r="582" spans="1:11" ht="15.7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53"/>
    </row>
    <row r="583" spans="1:11" ht="15.7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53"/>
    </row>
    <row r="584" spans="1:11" ht="15.7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53"/>
    </row>
    <row r="585" spans="1:11" ht="15.7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53"/>
    </row>
    <row r="586" spans="1:11" ht="15.7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53"/>
    </row>
    <row r="587" spans="1:11" ht="15.7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53"/>
    </row>
    <row r="588" spans="1:11" ht="15.7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53"/>
    </row>
    <row r="589" spans="1:11" ht="15.7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53"/>
    </row>
    <row r="590" spans="1:11" ht="15.7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53"/>
    </row>
    <row r="591" spans="1:11" ht="15.7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53"/>
    </row>
    <row r="592" spans="1:11" ht="15.7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53"/>
    </row>
    <row r="593" spans="1:11" ht="15.7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53"/>
    </row>
    <row r="594" spans="1:11" ht="15.7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53"/>
    </row>
    <row r="595" spans="1:11" ht="15.7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53"/>
    </row>
    <row r="596" spans="1:11" ht="15.7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53"/>
    </row>
    <row r="597" spans="1:11" ht="15.7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53"/>
    </row>
    <row r="598" spans="1:11" ht="15.7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53"/>
    </row>
    <row r="599" spans="1:11" ht="15.7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53"/>
    </row>
    <row r="600" spans="1:11" ht="15.7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53"/>
    </row>
    <row r="601" spans="1:11" ht="15.7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53"/>
    </row>
    <row r="602" spans="1:11" ht="15.7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53"/>
    </row>
    <row r="603" spans="1:11" ht="15.7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53"/>
    </row>
    <row r="604" spans="1:11" ht="15.7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53"/>
    </row>
    <row r="605" spans="1:11" ht="15.7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53"/>
    </row>
    <row r="606" spans="1:11" ht="15.7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53"/>
    </row>
    <row r="607" spans="1:11" ht="15.7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53"/>
    </row>
    <row r="608" spans="1:11" ht="15.7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53"/>
    </row>
    <row r="609" spans="1:11" ht="15.7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53"/>
    </row>
    <row r="610" spans="1:11" ht="15.7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53"/>
    </row>
    <row r="611" spans="1:11" ht="15.7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53"/>
    </row>
    <row r="612" spans="1:11" ht="15.7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53"/>
    </row>
    <row r="613" spans="1:11" ht="15.7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53"/>
    </row>
    <row r="614" spans="1:11" ht="15.7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53"/>
    </row>
    <row r="615" spans="1:11" ht="15.7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53"/>
    </row>
    <row r="616" spans="1:11" ht="15.7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53"/>
    </row>
    <row r="617" spans="1:11" ht="15.7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53"/>
    </row>
    <row r="618" spans="1:11" ht="15.7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53"/>
    </row>
    <row r="619" spans="1:11" ht="15.7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53"/>
    </row>
    <row r="620" spans="1:11" ht="15.7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53"/>
    </row>
    <row r="621" spans="1:11" ht="15.7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53"/>
    </row>
    <row r="622" spans="1:11" ht="15.7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53"/>
    </row>
    <row r="623" spans="1:11" ht="15.7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53"/>
    </row>
    <row r="624" spans="1:11" ht="15.7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53"/>
    </row>
    <row r="625" spans="1:11" ht="15.7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53"/>
    </row>
    <row r="626" spans="1:11" ht="15.7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53"/>
    </row>
    <row r="627" spans="1:11" ht="15.7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53"/>
    </row>
    <row r="628" spans="1:11" ht="15.7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53"/>
    </row>
    <row r="629" spans="1:11" ht="15.7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53"/>
    </row>
    <row r="630" spans="1:11" ht="15.7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53"/>
    </row>
    <row r="631" spans="1:11" ht="15.7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53"/>
    </row>
    <row r="632" spans="1:11" ht="15.7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53"/>
    </row>
    <row r="633" spans="1:11" ht="15.7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53"/>
    </row>
    <row r="634" spans="1:11" ht="15.7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53"/>
    </row>
    <row r="635" spans="1:11" ht="15.7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53"/>
    </row>
    <row r="636" spans="1:11" ht="15.7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53"/>
    </row>
    <row r="637" spans="1:11" ht="15.7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53"/>
    </row>
    <row r="638" spans="1:11" ht="15.7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53"/>
    </row>
    <row r="639" spans="1:11" ht="15.7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53"/>
    </row>
    <row r="640" spans="1:11" ht="15.7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53"/>
    </row>
    <row r="641" spans="1:11" ht="15.7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53"/>
    </row>
    <row r="642" spans="1:11" ht="15.7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53"/>
    </row>
    <row r="643" spans="1:11" ht="15.7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53"/>
    </row>
    <row r="644" spans="1:11" ht="15.7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53"/>
    </row>
    <row r="645" spans="1:11" ht="15.7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53"/>
    </row>
    <row r="646" spans="1:11" ht="15.7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53"/>
    </row>
    <row r="647" spans="1:11" ht="15.7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53"/>
    </row>
    <row r="648" spans="1:11" ht="15.7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53"/>
    </row>
    <row r="649" spans="1:11" ht="15.7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53"/>
    </row>
    <row r="650" spans="1:11" ht="15.7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53"/>
    </row>
    <row r="651" spans="1:11" ht="15.7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53"/>
    </row>
    <row r="652" spans="1:11" ht="15.7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53"/>
    </row>
    <row r="653" spans="1:11" ht="15.7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53"/>
    </row>
    <row r="654" spans="1:11" ht="15.7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53"/>
    </row>
    <row r="655" spans="1:11" ht="15.7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53"/>
    </row>
    <row r="656" spans="1:11" ht="15.7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53"/>
    </row>
    <row r="657" spans="1:11" ht="15.7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53"/>
    </row>
    <row r="658" spans="1:11" ht="15.7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53"/>
    </row>
    <row r="659" spans="1:11" ht="15.7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53"/>
    </row>
    <row r="660" spans="1:11" ht="15.7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53"/>
    </row>
    <row r="661" spans="1:11" ht="15.7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53"/>
    </row>
    <row r="662" spans="1:11" ht="15.7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53"/>
    </row>
    <row r="663" spans="1:11" ht="15.7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53"/>
    </row>
    <row r="664" spans="1:11" ht="15.7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53"/>
    </row>
    <row r="665" spans="1:11" ht="15.7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53"/>
    </row>
    <row r="666" spans="1:11" ht="15.7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53"/>
    </row>
    <row r="667" spans="1:11" ht="15.7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53"/>
    </row>
    <row r="668" spans="1:11" ht="15.7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53"/>
    </row>
    <row r="669" spans="1:11" ht="15.7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53"/>
    </row>
    <row r="670" spans="1:11" ht="15.7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53"/>
    </row>
    <row r="671" spans="1:11" ht="15.7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53"/>
    </row>
    <row r="672" spans="1:11" ht="15.7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53"/>
    </row>
    <row r="673" spans="1:11" ht="15.7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53"/>
    </row>
    <row r="674" spans="1:11" ht="15.7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53"/>
    </row>
    <row r="675" spans="1:11" ht="15.7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53"/>
    </row>
    <row r="676" spans="1:11" ht="15.7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53"/>
    </row>
    <row r="677" spans="1:11" ht="15.7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53"/>
    </row>
    <row r="678" spans="1:11" ht="15.7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53"/>
    </row>
    <row r="679" spans="1:11" ht="15.7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53"/>
    </row>
    <row r="680" spans="1:11" ht="15.7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53"/>
    </row>
    <row r="681" spans="1:11" ht="15.7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53"/>
    </row>
    <row r="682" spans="1:11" ht="15.7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53"/>
    </row>
    <row r="683" spans="1:11" ht="15.7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53"/>
    </row>
    <row r="684" spans="1:11" ht="15.7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53"/>
    </row>
    <row r="685" spans="1:11" ht="15.7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53"/>
    </row>
    <row r="686" spans="1:11" ht="15.7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53"/>
    </row>
    <row r="687" spans="1:11" ht="15.7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53"/>
    </row>
    <row r="688" spans="1:11" ht="15.7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53"/>
    </row>
    <row r="689" spans="1:11" ht="15.7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53"/>
    </row>
    <row r="690" spans="1:11" ht="15.7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53"/>
    </row>
    <row r="691" spans="1:11" ht="15.7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53"/>
    </row>
    <row r="692" spans="1:11" ht="15.7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53"/>
    </row>
    <row r="693" spans="1:11" ht="15.7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53"/>
    </row>
    <row r="694" spans="1:11" ht="15.7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53"/>
    </row>
    <row r="695" spans="1:11" ht="15.7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53"/>
    </row>
    <row r="696" spans="1:11" ht="15.7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53"/>
    </row>
    <row r="697" spans="1:11" ht="15.7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53"/>
    </row>
    <row r="698" spans="1:11" ht="15.7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53"/>
    </row>
    <row r="699" spans="1:11" ht="15.7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53"/>
    </row>
    <row r="700" spans="1:11" ht="15.7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53"/>
    </row>
    <row r="701" spans="1:11" ht="15.7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53"/>
    </row>
    <row r="702" spans="1:11" ht="15.7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53"/>
    </row>
    <row r="703" spans="1:11" ht="15.7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53"/>
    </row>
    <row r="704" spans="1:11" ht="15.7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53"/>
    </row>
    <row r="705" spans="1:11" ht="15.7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53"/>
    </row>
    <row r="706" spans="1:11" ht="15.7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53"/>
    </row>
    <row r="707" spans="1:11" ht="15.7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53"/>
    </row>
    <row r="708" spans="1:11" ht="15.7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53"/>
    </row>
    <row r="709" spans="1:11" ht="15.7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53"/>
    </row>
    <row r="710" spans="1:11" ht="15.7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53"/>
    </row>
    <row r="711" spans="1:11" ht="15.7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53"/>
    </row>
    <row r="712" spans="1:11" ht="15.7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53"/>
    </row>
    <row r="713" spans="1:11" ht="15.7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53"/>
    </row>
    <row r="714" spans="1:11" ht="15.7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53"/>
    </row>
    <row r="715" spans="1:11" ht="15.7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53"/>
    </row>
    <row r="716" spans="1:11" ht="15.7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53"/>
    </row>
    <row r="717" spans="1:11" ht="15.7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53"/>
    </row>
    <row r="718" spans="1:11" ht="15.7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53"/>
    </row>
    <row r="719" spans="1:11" ht="15.7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53"/>
    </row>
    <row r="720" spans="1:11" ht="15.7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53"/>
    </row>
    <row r="721" spans="1:11" ht="15.7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53"/>
    </row>
    <row r="722" spans="1:11" ht="15.7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53"/>
    </row>
    <row r="723" spans="1:11" ht="15.7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53"/>
    </row>
    <row r="724" spans="1:11" ht="15.7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53"/>
    </row>
    <row r="725" spans="1:11" ht="15.7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53"/>
    </row>
    <row r="726" spans="1:11" ht="15.7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53"/>
    </row>
    <row r="727" spans="1:11" ht="15.7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53"/>
    </row>
    <row r="728" spans="1:11" ht="15.7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53"/>
    </row>
    <row r="729" spans="1:11" ht="15.7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53"/>
    </row>
    <row r="730" spans="1:11" ht="15.7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53"/>
    </row>
    <row r="731" spans="1:11" ht="15.7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53"/>
    </row>
    <row r="732" spans="1:11" ht="15.7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53"/>
    </row>
    <row r="733" spans="1:11" ht="15.7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53"/>
    </row>
    <row r="734" spans="1:11" ht="15.7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53"/>
    </row>
    <row r="735" spans="1:11" ht="15.7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53"/>
    </row>
    <row r="736" spans="1:11" ht="15.7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53"/>
    </row>
    <row r="737" spans="1:11" ht="15.7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53"/>
    </row>
    <row r="738" spans="1:11" ht="15.7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53"/>
    </row>
    <row r="739" spans="1:11" ht="15.7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53"/>
    </row>
    <row r="740" spans="1:11" ht="15.7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53"/>
    </row>
    <row r="741" spans="1:11" ht="15.7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53"/>
    </row>
    <row r="742" spans="1:11" ht="15.7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53"/>
    </row>
    <row r="743" spans="1:11" ht="15.7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53"/>
    </row>
    <row r="744" spans="1:11" ht="15.7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53"/>
    </row>
    <row r="745" spans="1:11" ht="15.7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53"/>
    </row>
    <row r="746" spans="1:11" ht="15.7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53"/>
    </row>
    <row r="747" spans="1:11" ht="15.7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53"/>
    </row>
    <row r="748" spans="1:11" ht="15.7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53"/>
    </row>
    <row r="749" spans="1:11" ht="15.7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53"/>
    </row>
    <row r="750" spans="1:11" ht="15.7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53"/>
    </row>
    <row r="751" spans="1:11" ht="15.7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53"/>
    </row>
    <row r="752" spans="1:11" ht="15.7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53"/>
    </row>
    <row r="753" spans="1:11" ht="15.7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53"/>
    </row>
    <row r="754" spans="1:11" ht="15.7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53"/>
    </row>
    <row r="755" spans="1:11" ht="15.7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53"/>
    </row>
    <row r="756" spans="1:11" ht="15.7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53"/>
    </row>
    <row r="757" spans="1:11" ht="15.7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53"/>
    </row>
    <row r="758" spans="1:11" ht="15.7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53"/>
    </row>
    <row r="759" spans="1:11" ht="15.7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53"/>
    </row>
    <row r="760" spans="1:11" ht="15.7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53"/>
    </row>
    <row r="761" spans="1:11" ht="15.7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53"/>
    </row>
    <row r="762" spans="1:11" ht="15.7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53"/>
    </row>
    <row r="763" spans="1:11" ht="15.7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53"/>
    </row>
    <row r="764" spans="1:11" ht="15.7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53"/>
    </row>
    <row r="765" spans="1:11" ht="15.7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53"/>
    </row>
    <row r="766" spans="1:11" ht="15.7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53"/>
    </row>
    <row r="767" spans="1:11" ht="15.7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53"/>
    </row>
    <row r="768" spans="1:11" ht="15.7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53"/>
    </row>
    <row r="769" spans="1:11" ht="15.7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53"/>
    </row>
    <row r="770" spans="1:11" ht="15.7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53"/>
    </row>
    <row r="771" spans="1:11" ht="15.7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53"/>
    </row>
    <row r="772" spans="1:11" ht="15.7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53"/>
    </row>
    <row r="773" spans="1:11" ht="15.7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53"/>
    </row>
    <row r="774" spans="1:11" ht="15.7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53"/>
    </row>
    <row r="775" spans="1:11" ht="15.7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53"/>
    </row>
    <row r="776" spans="1:11" ht="15.7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53"/>
    </row>
    <row r="777" spans="1:11" ht="15.7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53"/>
    </row>
    <row r="778" spans="1:11" ht="15.7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53"/>
    </row>
    <row r="779" spans="1:11" ht="15.7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53"/>
    </row>
    <row r="780" spans="1:11" ht="15.7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53"/>
    </row>
    <row r="781" spans="1:11" ht="15.7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53"/>
    </row>
    <row r="782" spans="1:11" ht="15.7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53"/>
    </row>
    <row r="783" spans="1:11" ht="15.7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53"/>
    </row>
    <row r="784" spans="1:11" ht="15.7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53"/>
    </row>
    <row r="785" spans="1:11" ht="15.7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53"/>
    </row>
    <row r="786" spans="1:11" ht="15.7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53"/>
    </row>
    <row r="787" spans="1:11" ht="15.7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53"/>
    </row>
    <row r="788" spans="1:11" ht="15.7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53"/>
    </row>
    <row r="789" spans="1:11" ht="15.7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53"/>
    </row>
    <row r="790" spans="1:11" ht="15.7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53"/>
    </row>
    <row r="791" spans="1:11" ht="15.7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53"/>
    </row>
    <row r="792" spans="1:11" ht="15.7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53"/>
    </row>
    <row r="793" spans="1:11" ht="15.7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53"/>
    </row>
    <row r="794" spans="1:11" ht="15.7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53"/>
    </row>
    <row r="795" spans="1:11" ht="15.7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53"/>
    </row>
    <row r="796" spans="1:11" ht="15.7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53"/>
    </row>
    <row r="797" spans="1:11" ht="15.7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53"/>
    </row>
    <row r="798" spans="1:11" ht="15.7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53"/>
    </row>
    <row r="799" spans="1:11" ht="15.7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53"/>
    </row>
    <row r="800" spans="1:11" ht="15.7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53"/>
    </row>
    <row r="801" spans="1:11" ht="15.7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53"/>
    </row>
    <row r="802" spans="1:11" ht="15.7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53"/>
    </row>
    <row r="803" spans="1:11" ht="15.7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53"/>
    </row>
    <row r="804" spans="1:11" ht="15.7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53"/>
    </row>
    <row r="805" spans="1:11" ht="15.7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53"/>
    </row>
    <row r="806" spans="1:11" ht="15.7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53"/>
    </row>
    <row r="807" spans="1:11" ht="15.7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53"/>
    </row>
    <row r="808" spans="1:11" ht="15.7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53"/>
    </row>
    <row r="809" spans="1:11" ht="15.7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53"/>
    </row>
    <row r="810" spans="1:11" ht="15.7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53"/>
    </row>
    <row r="811" spans="1:11" ht="15.7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53"/>
    </row>
    <row r="812" spans="1:11" ht="15.7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53"/>
    </row>
    <row r="813" spans="1:11" ht="15.7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53"/>
    </row>
    <row r="814" spans="1:11" ht="15.7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53"/>
    </row>
    <row r="815" spans="1:11" ht="15.7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53"/>
    </row>
    <row r="816" spans="1:11" ht="15.7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53"/>
    </row>
    <row r="817" spans="1:11" ht="15.7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53"/>
    </row>
    <row r="818" spans="1:11" ht="15.7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53"/>
    </row>
    <row r="819" spans="1:11" ht="15.7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53"/>
    </row>
    <row r="820" spans="1:11" ht="15.7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53"/>
    </row>
    <row r="821" spans="1:11" ht="15.7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53"/>
    </row>
    <row r="822" spans="1:11" ht="15.7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53"/>
    </row>
    <row r="823" spans="1:11" ht="15.7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53"/>
    </row>
    <row r="824" spans="1:11" ht="15.7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53"/>
    </row>
    <row r="825" spans="1:11" ht="15.7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53"/>
    </row>
    <row r="826" spans="1:11" ht="15.7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53"/>
    </row>
    <row r="827" spans="1:11" ht="15.7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53"/>
    </row>
    <row r="828" spans="1:11" ht="15.7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53"/>
    </row>
    <row r="829" spans="1:11" ht="15.7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53"/>
    </row>
    <row r="830" spans="1:11" ht="15.7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53"/>
    </row>
    <row r="831" spans="1:11" ht="15.7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53"/>
    </row>
    <row r="832" spans="1:11" ht="15.7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53"/>
    </row>
    <row r="833" spans="1:11" ht="15.7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53"/>
    </row>
    <row r="834" spans="1:11" ht="15.7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53"/>
    </row>
    <row r="835" spans="1:11" ht="15.7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53"/>
    </row>
    <row r="836" spans="1:11" ht="15.7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53"/>
    </row>
    <row r="837" spans="1:11" ht="15.7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53"/>
    </row>
    <row r="838" spans="1:11" ht="15.7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53"/>
    </row>
    <row r="839" spans="1:11" ht="15.7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53"/>
    </row>
    <row r="840" spans="1:11" ht="15.7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53"/>
    </row>
    <row r="841" spans="1:11" ht="15.7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53"/>
    </row>
    <row r="842" spans="1:11" ht="15.7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53"/>
    </row>
    <row r="843" spans="1:11" ht="15.7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53"/>
    </row>
    <row r="844" spans="1:11" ht="15.7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53"/>
    </row>
    <row r="845" spans="1:11" ht="15.7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53"/>
    </row>
    <row r="846" spans="1:11" ht="15.7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53"/>
    </row>
    <row r="847" spans="1:11" ht="15.7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53"/>
    </row>
    <row r="848" spans="1:11" ht="15.7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53"/>
    </row>
    <row r="849" spans="1:11" ht="15.7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53"/>
    </row>
    <row r="850" spans="1:11" ht="15.7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53"/>
    </row>
    <row r="851" spans="1:11" ht="15.7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53"/>
    </row>
    <row r="852" spans="1:11" ht="15.7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53"/>
    </row>
    <row r="853" spans="1:11" ht="15.7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53"/>
    </row>
    <row r="854" spans="1:11" ht="15.7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53"/>
    </row>
    <row r="855" spans="1:11" ht="15.7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53"/>
    </row>
    <row r="856" spans="1:11" ht="15.7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53"/>
    </row>
    <row r="857" spans="1:11" ht="15.7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53"/>
    </row>
    <row r="858" spans="1:11" ht="15.7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53"/>
    </row>
    <row r="859" spans="1:11" ht="15.7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53"/>
    </row>
    <row r="860" spans="1:11" ht="15.7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53"/>
    </row>
    <row r="861" spans="1:11" ht="15.7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53"/>
    </row>
    <row r="862" spans="1:11" ht="15.7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53"/>
    </row>
    <row r="863" spans="1:11" ht="15.7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53"/>
    </row>
    <row r="864" spans="1:11" ht="15.7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53"/>
    </row>
    <row r="865" spans="1:11" ht="15.7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53"/>
    </row>
    <row r="866" spans="1:11" ht="15.7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53"/>
    </row>
    <row r="867" spans="1:11" ht="15.7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53"/>
    </row>
    <row r="868" spans="1:11" ht="15.7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53"/>
    </row>
    <row r="869" spans="1:11" ht="15.7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53"/>
    </row>
    <row r="870" spans="1:11" ht="15.7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53"/>
    </row>
    <row r="871" spans="1:11" ht="15.7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53"/>
    </row>
    <row r="872" spans="1:11" ht="15.7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53"/>
    </row>
    <row r="873" spans="1:11" ht="15.7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53"/>
    </row>
    <row r="874" spans="1:11" ht="15.7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53"/>
    </row>
    <row r="875" spans="1:11" ht="15.7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53"/>
    </row>
    <row r="876" spans="1:11" ht="15.7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53"/>
    </row>
    <row r="877" spans="1:11" ht="15.7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53"/>
    </row>
    <row r="878" spans="1:11" ht="15.7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53"/>
    </row>
    <row r="879" spans="1:11" ht="15.7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53"/>
    </row>
    <row r="880" spans="1:11" ht="15.7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53"/>
    </row>
    <row r="881" spans="1:11" ht="15.7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53"/>
    </row>
    <row r="882" spans="1:11" ht="15.7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53"/>
    </row>
    <row r="883" spans="1:11" ht="15.7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53"/>
    </row>
    <row r="884" spans="1:11" ht="15.7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53"/>
    </row>
    <row r="885" spans="1:11" ht="15.7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53"/>
    </row>
    <row r="886" spans="1:11" ht="15.7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53"/>
    </row>
    <row r="887" spans="1:11" ht="15.7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53"/>
    </row>
    <row r="888" spans="1:11" ht="15.7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53"/>
    </row>
    <row r="889" spans="1:11" ht="15.7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53"/>
    </row>
    <row r="890" spans="1:11" ht="15.7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53"/>
    </row>
    <row r="891" spans="1:11" ht="15.7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53"/>
    </row>
    <row r="892" spans="1:11" ht="15.7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53"/>
    </row>
    <row r="893" spans="1:11" ht="15.7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53"/>
    </row>
    <row r="894" spans="1:11" ht="15.7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53"/>
    </row>
    <row r="895" spans="1:11" ht="15.7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53"/>
    </row>
    <row r="896" spans="1:11" ht="15.7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53"/>
    </row>
    <row r="897" spans="1:11" ht="15.7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53"/>
    </row>
    <row r="898" spans="1:11" ht="15.7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53"/>
    </row>
    <row r="899" spans="1:11" ht="15.7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53"/>
    </row>
    <row r="900" spans="1:11" ht="15.7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53"/>
    </row>
    <row r="901" spans="1:11" ht="15.7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53"/>
    </row>
    <row r="902" spans="1:11" ht="15.7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53"/>
    </row>
    <row r="903" spans="1:11" ht="15.7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53"/>
    </row>
    <row r="904" spans="1:11" ht="15.7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53"/>
    </row>
    <row r="905" spans="1:11" ht="15.7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53"/>
    </row>
    <row r="906" spans="1:11" ht="15.7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53"/>
    </row>
    <row r="907" spans="1:11" ht="15.7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53"/>
    </row>
    <row r="908" spans="1:11" ht="15.7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53"/>
    </row>
    <row r="909" spans="1:11" ht="15.7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53"/>
    </row>
    <row r="910" spans="1:11" ht="15.7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53"/>
    </row>
    <row r="911" spans="1:11" ht="15.7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53"/>
    </row>
    <row r="912" spans="1:11" ht="15.7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53"/>
    </row>
    <row r="913" spans="1:11" ht="15.7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53"/>
    </row>
    <row r="914" spans="1:11" ht="15.7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53"/>
    </row>
    <row r="915" spans="1:11" ht="15.7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53"/>
    </row>
    <row r="916" spans="1:11" ht="15.7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53"/>
    </row>
    <row r="917" spans="1:11" ht="15.7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53"/>
    </row>
    <row r="918" spans="1:11" ht="15.7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53"/>
    </row>
    <row r="919" spans="1:11" ht="15.7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53"/>
    </row>
    <row r="920" spans="1:11" ht="15.7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53"/>
    </row>
    <row r="921" spans="1:11" ht="15.7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53"/>
    </row>
    <row r="922" spans="1:11" ht="15.7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53"/>
    </row>
    <row r="923" spans="1:11" ht="15.7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53"/>
    </row>
    <row r="924" spans="1:11" ht="15.7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53"/>
    </row>
    <row r="925" spans="1:11" ht="15.7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53"/>
    </row>
    <row r="926" spans="1:11" ht="15.7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53"/>
    </row>
    <row r="927" spans="1:11" ht="15.7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53"/>
    </row>
    <row r="928" spans="1:11" ht="15.7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53"/>
    </row>
    <row r="929" spans="1:11" ht="15.7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53"/>
    </row>
    <row r="930" spans="1:11" ht="15.7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53"/>
    </row>
    <row r="931" spans="1:11" ht="15.7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53"/>
    </row>
    <row r="932" spans="1:11" ht="15.7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53"/>
    </row>
    <row r="933" spans="1:11" ht="15.7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53"/>
    </row>
    <row r="934" spans="1:11" ht="15.7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53"/>
    </row>
    <row r="935" spans="1:11" ht="15.7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53"/>
    </row>
    <row r="936" spans="1:11" ht="15.7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53"/>
    </row>
    <row r="937" spans="1:11" ht="15.7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53"/>
    </row>
    <row r="938" spans="1:11" ht="15.7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53"/>
    </row>
    <row r="939" spans="1:11" ht="15.7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53"/>
    </row>
    <row r="940" spans="1:11" ht="15.7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53"/>
    </row>
    <row r="941" spans="1:11" ht="15.7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53"/>
    </row>
    <row r="942" spans="1:11" ht="15.7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53"/>
    </row>
    <row r="943" spans="1:11" ht="15.7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53"/>
    </row>
    <row r="944" spans="1:11" ht="15.7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53"/>
    </row>
    <row r="945" spans="1:11" ht="15.7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53"/>
    </row>
    <row r="946" spans="1:11" ht="15.7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53"/>
    </row>
    <row r="947" spans="1:11" ht="15.7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53"/>
    </row>
    <row r="948" spans="1:11" ht="15.7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53"/>
    </row>
    <row r="949" spans="1:11" ht="15.7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53"/>
    </row>
    <row r="950" spans="1:11" ht="15.7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53"/>
    </row>
    <row r="951" spans="1:11" ht="15.7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53"/>
    </row>
    <row r="952" spans="1:11" ht="15.7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53"/>
    </row>
    <row r="953" spans="1:11" ht="15.7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53"/>
    </row>
    <row r="954" spans="1:11" ht="15.7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53"/>
    </row>
    <row r="955" spans="1:11" ht="15.7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53"/>
    </row>
    <row r="956" spans="1:11" ht="15.7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53"/>
    </row>
    <row r="957" spans="1:11" ht="15.7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53"/>
    </row>
    <row r="958" spans="1:11" ht="15.7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53"/>
    </row>
    <row r="959" spans="1:11" ht="15.7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53"/>
    </row>
    <row r="960" spans="1:11" ht="15.7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53"/>
    </row>
    <row r="961" spans="1:11" ht="15.7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53"/>
    </row>
    <row r="962" spans="1:11" ht="15.7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53"/>
    </row>
    <row r="963" spans="1:11" ht="15.7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53"/>
    </row>
    <row r="964" spans="1:11" ht="15.7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53"/>
    </row>
    <row r="965" spans="1:11" ht="15.7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53"/>
    </row>
    <row r="966" spans="1:11" ht="15.7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53"/>
    </row>
    <row r="967" spans="1:11" ht="15.7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53"/>
    </row>
    <row r="968" spans="1:11" ht="15.7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53"/>
    </row>
    <row r="969" spans="1:11" ht="15.7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53"/>
    </row>
    <row r="970" spans="1:11" ht="15.7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53"/>
    </row>
    <row r="971" spans="1:11" ht="15.7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53"/>
    </row>
    <row r="972" spans="1:11" ht="15.7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53"/>
    </row>
    <row r="973" spans="1:11" ht="15.7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53"/>
    </row>
    <row r="974" spans="1:11" ht="15.7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53"/>
    </row>
    <row r="975" spans="1:11" ht="15.7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53"/>
    </row>
    <row r="976" spans="1:11" ht="15.7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53"/>
    </row>
    <row r="977" spans="1:11" ht="15.7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53"/>
    </row>
    <row r="978" spans="1:11" ht="15.7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53"/>
    </row>
    <row r="979" spans="1:11" ht="15.7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53"/>
    </row>
    <row r="980" spans="1:11" ht="15.7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53"/>
    </row>
    <row r="981" spans="1:11" ht="15.7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53"/>
    </row>
    <row r="982" spans="1:11" ht="15.7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53"/>
    </row>
    <row r="983" spans="1:11" ht="15.7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53"/>
    </row>
    <row r="984" spans="1:11" ht="15.7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53"/>
    </row>
    <row r="985" spans="1:11" ht="15.7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53"/>
    </row>
    <row r="986" spans="1:11" ht="15.7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53"/>
    </row>
    <row r="987" spans="1:11" ht="15.7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53"/>
    </row>
    <row r="988" spans="1:11" ht="15.7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53"/>
    </row>
    <row r="989" spans="1:11" ht="15.7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53"/>
    </row>
    <row r="990" spans="1:11" ht="15.7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53"/>
    </row>
    <row r="991" spans="1:11" ht="15.7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53"/>
    </row>
    <row r="992" spans="1:11" ht="15.7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53"/>
    </row>
    <row r="993" spans="1:11" ht="15.7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53"/>
    </row>
    <row r="994" spans="1:11" ht="15.7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53"/>
    </row>
    <row r="995" spans="1:11" ht="15.7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53"/>
    </row>
    <row r="996" spans="1:11" ht="15.7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53"/>
    </row>
    <row r="997" spans="1:11" ht="15.7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53"/>
    </row>
    <row r="998" spans="1:11" ht="15.7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53"/>
    </row>
    <row r="999" spans="1:11" ht="15.7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53"/>
    </row>
    <row r="1000" spans="1:11" ht="15.75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53"/>
    </row>
  </sheetData>
  <mergeCells count="13">
    <mergeCell ref="O53:P53"/>
    <mergeCell ref="E307:H307"/>
    <mergeCell ref="A1:I1"/>
    <mergeCell ref="B2:I2"/>
    <mergeCell ref="J3:K3"/>
    <mergeCell ref="F7:H7"/>
    <mergeCell ref="J7:K7"/>
    <mergeCell ref="A8:B8"/>
    <mergeCell ref="O54:P54"/>
    <mergeCell ref="O57:P57"/>
    <mergeCell ref="P161:Q161"/>
    <mergeCell ref="S165:S166"/>
    <mergeCell ref="E306:G306"/>
  </mergeCells>
  <pageMargins left="0.7" right="0.7" top="0.75" bottom="0.75" header="0" footer="0"/>
  <pageSetup paperSize="5" scale="90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L1000"/>
  <sheetViews>
    <sheetView tabSelected="1" topLeftCell="A17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4.42578125" customWidth="1"/>
    <col min="10" max="10" width="11.85546875" customWidth="1"/>
    <col min="11" max="11" width="13" customWidth="1"/>
    <col min="12" max="12" width="19.85546875" customWidth="1"/>
    <col min="13" max="26" width="8.7109375" customWidth="1"/>
  </cols>
  <sheetData>
    <row r="1" spans="1:12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2" ht="18">
      <c r="A2" s="4"/>
      <c r="B2" s="5"/>
      <c r="C2" s="755" t="s">
        <v>3249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2">
      <c r="A3" s="4"/>
      <c r="B3" s="5"/>
      <c r="C3" s="93"/>
      <c r="D3" s="5"/>
      <c r="E3" s="5"/>
      <c r="G3" s="5"/>
      <c r="H3" s="93"/>
      <c r="I3" s="55"/>
      <c r="J3" s="92"/>
      <c r="K3" s="11" t="s">
        <v>3250</v>
      </c>
      <c r="L3" s="104"/>
    </row>
    <row r="4" spans="1:12">
      <c r="A4" s="4"/>
      <c r="B4" s="5"/>
      <c r="C4" s="93"/>
      <c r="D4" s="5"/>
      <c r="E4" s="5"/>
      <c r="G4" s="5"/>
      <c r="H4" s="93"/>
      <c r="I4" s="55"/>
      <c r="J4" s="92"/>
      <c r="K4" s="94" t="s">
        <v>3251</v>
      </c>
      <c r="L4" s="253"/>
    </row>
    <row r="5" spans="1:12">
      <c r="A5" s="4"/>
      <c r="B5" s="5"/>
      <c r="C5" s="93"/>
      <c r="D5" s="5"/>
      <c r="E5" s="5"/>
      <c r="G5" s="5"/>
      <c r="H5" s="93"/>
      <c r="I5" s="55"/>
      <c r="J5" s="92"/>
      <c r="K5" s="94" t="s">
        <v>3252</v>
      </c>
      <c r="L5" s="253"/>
    </row>
    <row r="6" spans="1:12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3253</v>
      </c>
      <c r="L6" s="62"/>
    </row>
    <row r="7" spans="1:12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2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2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98" t="s">
        <v>17</v>
      </c>
      <c r="I9" s="102" t="s">
        <v>18</v>
      </c>
      <c r="J9" s="106"/>
      <c r="K9" s="25" t="s">
        <v>19</v>
      </c>
      <c r="L9" s="25" t="s">
        <v>20</v>
      </c>
    </row>
    <row r="10" spans="1:12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2">
      <c r="A11" s="470" t="s">
        <v>24</v>
      </c>
      <c r="B11" s="351"/>
      <c r="C11" s="65"/>
      <c r="D11" s="351"/>
      <c r="E11" s="351"/>
      <c r="F11" s="58"/>
      <c r="G11" s="351"/>
      <c r="H11" s="347"/>
      <c r="I11" s="59"/>
      <c r="J11" s="471"/>
      <c r="K11" s="58"/>
      <c r="L11" s="58"/>
    </row>
    <row r="12" spans="1:12" ht="20.25" customHeight="1">
      <c r="A12" s="265">
        <v>14</v>
      </c>
      <c r="B12" s="265" t="s">
        <v>2623</v>
      </c>
      <c r="C12" s="472"/>
      <c r="D12" s="265"/>
      <c r="E12" s="265" t="s">
        <v>148</v>
      </c>
      <c r="F12" s="265"/>
      <c r="G12" s="473" t="s">
        <v>1844</v>
      </c>
      <c r="H12" s="474" t="s">
        <v>30</v>
      </c>
      <c r="I12" s="475">
        <v>10000</v>
      </c>
      <c r="J12" s="476" t="s">
        <v>1586</v>
      </c>
      <c r="K12" s="477"/>
      <c r="L12" s="478" t="s">
        <v>32</v>
      </c>
    </row>
    <row r="13" spans="1:12" ht="20.25" customHeight="1">
      <c r="A13" s="230">
        <v>17</v>
      </c>
      <c r="B13" s="479" t="s">
        <v>3254</v>
      </c>
      <c r="C13" s="372"/>
      <c r="D13" s="129" t="s">
        <v>2642</v>
      </c>
      <c r="E13" s="129" t="s">
        <v>47</v>
      </c>
      <c r="F13" s="230"/>
      <c r="G13" s="129" t="s">
        <v>3255</v>
      </c>
      <c r="H13" s="480" t="s">
        <v>30</v>
      </c>
      <c r="I13" s="481">
        <v>5000</v>
      </c>
      <c r="J13" s="348" t="s">
        <v>1586</v>
      </c>
      <c r="K13" s="482"/>
      <c r="L13" s="483" t="s">
        <v>32</v>
      </c>
    </row>
    <row r="14" spans="1:12" ht="20.25" customHeight="1">
      <c r="A14" s="62">
        <v>20</v>
      </c>
      <c r="B14" s="484" t="s">
        <v>2623</v>
      </c>
      <c r="C14" s="194"/>
      <c r="D14" s="16"/>
      <c r="E14" s="16" t="s">
        <v>148</v>
      </c>
      <c r="F14" s="62"/>
      <c r="G14" s="16" t="s">
        <v>1844</v>
      </c>
      <c r="H14" s="448" t="s">
        <v>30</v>
      </c>
      <c r="I14" s="63">
        <v>35000</v>
      </c>
      <c r="J14" s="449" t="s">
        <v>1586</v>
      </c>
      <c r="K14" s="356"/>
      <c r="L14" s="357" t="s">
        <v>32</v>
      </c>
    </row>
    <row r="15" spans="1:12" ht="20.25" customHeight="1">
      <c r="A15" s="62">
        <v>20</v>
      </c>
      <c r="B15" s="484" t="s">
        <v>2623</v>
      </c>
      <c r="C15" s="194"/>
      <c r="D15" s="16"/>
      <c r="E15" s="16" t="s">
        <v>148</v>
      </c>
      <c r="F15" s="62"/>
      <c r="G15" s="16" t="s">
        <v>1844</v>
      </c>
      <c r="H15" s="350" t="s">
        <v>561</v>
      </c>
      <c r="I15" s="59">
        <v>250</v>
      </c>
      <c r="J15" s="485" t="s">
        <v>1586</v>
      </c>
      <c r="K15" s="326"/>
      <c r="L15" s="486" t="s">
        <v>32</v>
      </c>
    </row>
    <row r="16" spans="1:12" ht="20.25" customHeight="1">
      <c r="A16" s="230">
        <v>22</v>
      </c>
      <c r="B16" s="128" t="s">
        <v>3256</v>
      </c>
      <c r="C16" s="207"/>
      <c r="D16" s="129" t="s">
        <v>3257</v>
      </c>
      <c r="E16" s="129" t="s">
        <v>273</v>
      </c>
      <c r="F16" s="230"/>
      <c r="G16" s="129" t="s">
        <v>3258</v>
      </c>
      <c r="H16" s="480" t="s">
        <v>561</v>
      </c>
      <c r="I16" s="231">
        <v>180</v>
      </c>
      <c r="J16" s="487" t="s">
        <v>1586</v>
      </c>
      <c r="K16" s="482"/>
      <c r="L16" s="488" t="s">
        <v>32</v>
      </c>
    </row>
    <row r="17" spans="1:12" ht="30.75" customHeight="1">
      <c r="A17" s="131">
        <v>23</v>
      </c>
      <c r="B17" s="489" t="s">
        <v>3259</v>
      </c>
      <c r="C17" s="204"/>
      <c r="D17" s="130" t="s">
        <v>1664</v>
      </c>
      <c r="E17" s="130" t="s">
        <v>209</v>
      </c>
      <c r="F17" s="131"/>
      <c r="G17" s="490" t="s">
        <v>3260</v>
      </c>
      <c r="H17" s="491" t="s">
        <v>561</v>
      </c>
      <c r="I17" s="492">
        <v>100</v>
      </c>
      <c r="J17" s="493" t="s">
        <v>1586</v>
      </c>
      <c r="K17" s="494"/>
      <c r="L17" s="200" t="s">
        <v>32</v>
      </c>
    </row>
    <row r="18" spans="1:12" ht="20.25" customHeight="1">
      <c r="A18" s="230">
        <v>26</v>
      </c>
      <c r="B18" s="495" t="s">
        <v>2623</v>
      </c>
      <c r="C18" s="207"/>
      <c r="D18" s="129"/>
      <c r="E18" s="129" t="s">
        <v>148</v>
      </c>
      <c r="F18" s="230"/>
      <c r="G18" s="479" t="s">
        <v>3261</v>
      </c>
      <c r="H18" s="480" t="s">
        <v>30</v>
      </c>
      <c r="I18" s="231">
        <v>3000</v>
      </c>
      <c r="J18" s="487" t="s">
        <v>1586</v>
      </c>
      <c r="K18" s="482"/>
      <c r="L18" s="488" t="s">
        <v>32</v>
      </c>
    </row>
    <row r="19" spans="1:12" ht="20.25" customHeight="1">
      <c r="A19" s="496">
        <v>27</v>
      </c>
      <c r="B19" s="497" t="s">
        <v>2620</v>
      </c>
      <c r="C19" s="498"/>
      <c r="D19" s="499"/>
      <c r="E19" s="499" t="s">
        <v>334</v>
      </c>
      <c r="F19" s="496"/>
      <c r="G19" s="499" t="s">
        <v>3262</v>
      </c>
      <c r="H19" s="500" t="s">
        <v>30</v>
      </c>
      <c r="I19" s="501">
        <v>12000</v>
      </c>
      <c r="J19" s="502" t="s">
        <v>1586</v>
      </c>
      <c r="K19" s="503"/>
      <c r="L19" s="504" t="s">
        <v>32</v>
      </c>
    </row>
    <row r="20" spans="1:12" ht="20.25" customHeight="1">
      <c r="A20" s="496">
        <v>28</v>
      </c>
      <c r="B20" s="497" t="s">
        <v>3263</v>
      </c>
      <c r="C20" s="498"/>
      <c r="D20" s="499" t="s">
        <v>100</v>
      </c>
      <c r="E20" s="499" t="s">
        <v>29</v>
      </c>
      <c r="F20" s="496"/>
      <c r="G20" s="499" t="s">
        <v>2741</v>
      </c>
      <c r="H20" s="500" t="s">
        <v>30</v>
      </c>
      <c r="I20" s="501">
        <v>13500</v>
      </c>
      <c r="J20" s="502" t="s">
        <v>1586</v>
      </c>
      <c r="K20" s="503"/>
      <c r="L20" s="504" t="s">
        <v>32</v>
      </c>
    </row>
    <row r="21" spans="1:12" ht="15.75" customHeight="1">
      <c r="A21" s="62"/>
      <c r="B21" s="484"/>
      <c r="C21" s="194"/>
      <c r="D21" s="16"/>
      <c r="E21" s="16"/>
      <c r="F21" s="62"/>
      <c r="G21" s="16"/>
      <c r="H21" s="448"/>
      <c r="I21" s="63"/>
      <c r="J21" s="449"/>
      <c r="K21" s="356"/>
      <c r="L21" s="357"/>
    </row>
    <row r="22" spans="1:12" ht="15.75" customHeight="1">
      <c r="I22" s="83"/>
      <c r="J22" s="83"/>
    </row>
    <row r="23" spans="1:12" ht="15.75" customHeight="1">
      <c r="J23" s="137" t="s">
        <v>508</v>
      </c>
    </row>
    <row r="24" spans="1:12" ht="15.75" customHeight="1">
      <c r="J24" s="83"/>
    </row>
    <row r="25" spans="1:12" ht="15.75" customHeight="1">
      <c r="B25" s="126" t="s">
        <v>509</v>
      </c>
      <c r="E25" s="126" t="s">
        <v>510</v>
      </c>
      <c r="J25" s="754" t="s">
        <v>513</v>
      </c>
      <c r="K25" s="711"/>
      <c r="L25" s="711"/>
    </row>
    <row r="26" spans="1:12" ht="15.75" customHeight="1">
      <c r="J26" s="83"/>
      <c r="K26" s="797" t="s">
        <v>3264</v>
      </c>
      <c r="L26" s="711"/>
    </row>
    <row r="27" spans="1:12" ht="15.75" customHeight="1">
      <c r="J27" s="83"/>
      <c r="K27" s="797" t="s">
        <v>3265</v>
      </c>
      <c r="L27" s="711"/>
    </row>
    <row r="28" spans="1:12" ht="15.75" customHeight="1">
      <c r="B28" s="139" t="s">
        <v>516</v>
      </c>
      <c r="E28" s="737" t="s">
        <v>517</v>
      </c>
      <c r="F28" s="711"/>
      <c r="G28" s="711"/>
      <c r="H28" s="711"/>
      <c r="J28" s="83"/>
      <c r="K28" s="359"/>
    </row>
    <row r="29" spans="1:12" ht="15.75" customHeight="1">
      <c r="B29" s="4" t="s">
        <v>980</v>
      </c>
      <c r="E29" s="732" t="s">
        <v>521</v>
      </c>
      <c r="F29" s="711"/>
      <c r="G29" s="711"/>
      <c r="H29" s="711"/>
      <c r="J29" s="83"/>
      <c r="K29" s="55"/>
    </row>
    <row r="30" spans="1:12" ht="15.75" customHeight="1">
      <c r="J30" s="83"/>
    </row>
    <row r="31" spans="1:12" ht="15.75" customHeight="1">
      <c r="J31" s="10"/>
    </row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27:L27"/>
    <mergeCell ref="E28:H28"/>
    <mergeCell ref="E29:H29"/>
    <mergeCell ref="A1:J1"/>
    <mergeCell ref="C2:H2"/>
    <mergeCell ref="H7:I7"/>
    <mergeCell ref="K7:L7"/>
    <mergeCell ref="A8:B8"/>
    <mergeCell ref="J25:L25"/>
    <mergeCell ref="K26:L26"/>
  </mergeCells>
  <pageMargins left="1" right="1" top="0.75" bottom="0.75" header="0" footer="0"/>
  <pageSetup paperSize="5" scale="90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Z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</row>
    <row r="2" spans="1:13" ht="18">
      <c r="A2" s="4"/>
      <c r="B2" s="712" t="s">
        <v>3266</v>
      </c>
      <c r="C2" s="711"/>
      <c r="D2" s="711"/>
      <c r="E2" s="711"/>
      <c r="F2" s="711"/>
      <c r="G2" s="711"/>
      <c r="H2" s="711"/>
      <c r="I2" s="711"/>
      <c r="J2" s="8"/>
      <c r="K2" s="285"/>
    </row>
    <row r="3" spans="1:13">
      <c r="A3" s="4"/>
      <c r="B3" s="5"/>
      <c r="C3" s="10"/>
      <c r="D3" s="5"/>
      <c r="E3" s="5"/>
      <c r="F3" s="2"/>
      <c r="G3" s="10"/>
      <c r="H3" s="6"/>
      <c r="I3" s="7"/>
      <c r="J3" s="738" t="s">
        <v>984</v>
      </c>
      <c r="K3" s="717"/>
    </row>
    <row r="4" spans="1:13">
      <c r="A4" s="4"/>
      <c r="B4" s="5"/>
      <c r="C4" s="10"/>
      <c r="D4" s="5"/>
      <c r="E4" s="5"/>
      <c r="F4" s="2"/>
      <c r="G4" s="10"/>
      <c r="H4" s="6"/>
      <c r="I4" s="13"/>
      <c r="J4" s="1" t="s">
        <v>569</v>
      </c>
      <c r="K4" s="214"/>
    </row>
    <row r="5" spans="1:13">
      <c r="A5" s="4"/>
      <c r="B5" s="5"/>
      <c r="C5" s="10"/>
      <c r="D5" s="5"/>
      <c r="E5" s="5"/>
      <c r="F5" s="2"/>
      <c r="G5" s="10"/>
      <c r="H5" s="6"/>
      <c r="I5" s="13"/>
      <c r="J5" s="1" t="s">
        <v>4</v>
      </c>
      <c r="K5" s="214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7"/>
      <c r="J6" s="16" t="s">
        <v>985</v>
      </c>
      <c r="K6" s="17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22"/>
      <c r="J7" s="718" t="s">
        <v>8</v>
      </c>
      <c r="K7" s="719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30" t="s">
        <v>15</v>
      </c>
      <c r="J8" s="31"/>
      <c r="K8" s="3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37"/>
      <c r="J9" s="25" t="s">
        <v>19</v>
      </c>
      <c r="K9" s="25" t="s">
        <v>20</v>
      </c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45"/>
      <c r="J10" s="42"/>
      <c r="K10" s="46" t="s">
        <v>22</v>
      </c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9"/>
      <c r="J11" s="48"/>
      <c r="K11" s="48"/>
    </row>
    <row r="12" spans="1:13">
      <c r="A12" s="50">
        <v>3</v>
      </c>
      <c r="B12" s="151" t="s">
        <v>1160</v>
      </c>
      <c r="C12" s="48" t="s">
        <v>27</v>
      </c>
      <c r="D12" s="48" t="s">
        <v>760</v>
      </c>
      <c r="E12" s="48" t="s">
        <v>209</v>
      </c>
      <c r="F12" s="48"/>
      <c r="G12" s="48" t="s">
        <v>61</v>
      </c>
      <c r="H12" s="51">
        <v>900</v>
      </c>
      <c r="I12" s="49">
        <v>2700</v>
      </c>
      <c r="J12" s="48" t="s">
        <v>31</v>
      </c>
      <c r="K12" s="48" t="s">
        <v>32</v>
      </c>
    </row>
    <row r="13" spans="1:13">
      <c r="A13" s="50">
        <v>3</v>
      </c>
      <c r="B13" s="151" t="s">
        <v>3267</v>
      </c>
      <c r="C13" s="48" t="s">
        <v>27</v>
      </c>
      <c r="D13" s="48" t="s">
        <v>191</v>
      </c>
      <c r="E13" s="48" t="s">
        <v>36</v>
      </c>
      <c r="F13" s="48"/>
      <c r="G13" s="48" t="s">
        <v>30</v>
      </c>
      <c r="H13" s="51">
        <v>5000</v>
      </c>
      <c r="I13" s="49">
        <v>1000</v>
      </c>
      <c r="J13" s="48" t="s">
        <v>31</v>
      </c>
      <c r="K13" s="48" t="s">
        <v>32</v>
      </c>
      <c r="M13" s="126">
        <v>1000</v>
      </c>
    </row>
    <row r="14" spans="1:13">
      <c r="A14" s="116">
        <v>3</v>
      </c>
      <c r="B14" s="429" t="s">
        <v>3268</v>
      </c>
      <c r="C14" s="256" t="s">
        <v>27</v>
      </c>
      <c r="D14" s="256" t="s">
        <v>1901</v>
      </c>
      <c r="E14" s="256" t="s">
        <v>79</v>
      </c>
      <c r="F14" s="48"/>
      <c r="G14" s="48" t="s">
        <v>30</v>
      </c>
      <c r="H14" s="51">
        <v>1000</v>
      </c>
      <c r="I14" s="49">
        <v>200</v>
      </c>
      <c r="J14" s="256" t="s">
        <v>31</v>
      </c>
      <c r="K14" s="256" t="s">
        <v>32</v>
      </c>
      <c r="M14" s="126">
        <v>300</v>
      </c>
    </row>
    <row r="15" spans="1:13">
      <c r="A15" s="116">
        <v>3</v>
      </c>
      <c r="B15" s="429" t="s">
        <v>3269</v>
      </c>
      <c r="C15" s="256" t="s">
        <v>27</v>
      </c>
      <c r="D15" s="256" t="s">
        <v>1901</v>
      </c>
      <c r="E15" s="256" t="s">
        <v>79</v>
      </c>
      <c r="F15" s="48"/>
      <c r="G15" s="48" t="s">
        <v>30</v>
      </c>
      <c r="H15" s="51">
        <v>1000</v>
      </c>
      <c r="I15" s="49">
        <v>200</v>
      </c>
      <c r="J15" s="256" t="s">
        <v>31</v>
      </c>
      <c r="K15" s="256" t="s">
        <v>32</v>
      </c>
      <c r="M15" s="126">
        <v>300</v>
      </c>
    </row>
    <row r="16" spans="1:13">
      <c r="A16" s="116">
        <v>3</v>
      </c>
      <c r="B16" s="429" t="s">
        <v>3270</v>
      </c>
      <c r="C16" s="256" t="s">
        <v>27</v>
      </c>
      <c r="D16" s="256" t="s">
        <v>137</v>
      </c>
      <c r="E16" s="256" t="s">
        <v>84</v>
      </c>
      <c r="F16" s="48"/>
      <c r="G16" s="48" t="s">
        <v>30</v>
      </c>
      <c r="H16" s="51">
        <v>750</v>
      </c>
      <c r="I16" s="49">
        <v>150</v>
      </c>
      <c r="J16" s="256" t="s">
        <v>31</v>
      </c>
      <c r="K16" s="256" t="s">
        <v>32</v>
      </c>
      <c r="M16" s="126">
        <v>210</v>
      </c>
    </row>
    <row r="17" spans="1:16">
      <c r="A17" s="116">
        <v>3</v>
      </c>
      <c r="B17" s="429" t="s">
        <v>3271</v>
      </c>
      <c r="C17" s="256" t="s">
        <v>27</v>
      </c>
      <c r="D17" s="256" t="s">
        <v>3272</v>
      </c>
      <c r="E17" s="256" t="s">
        <v>36</v>
      </c>
      <c r="F17" s="48"/>
      <c r="G17" s="48" t="s">
        <v>30</v>
      </c>
      <c r="H17" s="51">
        <v>500</v>
      </c>
      <c r="I17" s="49">
        <v>100</v>
      </c>
      <c r="J17" s="256" t="s">
        <v>31</v>
      </c>
      <c r="K17" s="256" t="s">
        <v>32</v>
      </c>
      <c r="M17" s="126">
        <v>100</v>
      </c>
    </row>
    <row r="18" spans="1:16">
      <c r="A18" s="50">
        <v>3</v>
      </c>
      <c r="B18" s="151" t="s">
        <v>3273</v>
      </c>
      <c r="C18" s="48" t="s">
        <v>27</v>
      </c>
      <c r="D18" s="48" t="s">
        <v>2248</v>
      </c>
      <c r="E18" s="48" t="s">
        <v>44</v>
      </c>
      <c r="F18" s="48"/>
      <c r="G18" s="48" t="s">
        <v>30</v>
      </c>
      <c r="H18" s="51">
        <v>500</v>
      </c>
      <c r="I18" s="49">
        <v>100</v>
      </c>
      <c r="J18" s="48" t="s">
        <v>31</v>
      </c>
      <c r="K18" s="48" t="s">
        <v>32</v>
      </c>
      <c r="M18" s="126">
        <v>25</v>
      </c>
    </row>
    <row r="19" spans="1:16">
      <c r="A19" s="116">
        <v>3</v>
      </c>
      <c r="B19" s="429" t="s">
        <v>3274</v>
      </c>
      <c r="C19" s="256" t="s">
        <v>27</v>
      </c>
      <c r="D19" s="256" t="s">
        <v>100</v>
      </c>
      <c r="E19" s="256" t="s">
        <v>86</v>
      </c>
      <c r="F19" s="48"/>
      <c r="G19" s="48" t="s">
        <v>30</v>
      </c>
      <c r="H19" s="51">
        <v>500</v>
      </c>
      <c r="I19" s="49">
        <v>100</v>
      </c>
      <c r="J19" s="256" t="s">
        <v>31</v>
      </c>
      <c r="K19" s="256" t="s">
        <v>32</v>
      </c>
      <c r="M19" s="126">
        <v>120</v>
      </c>
    </row>
    <row r="20" spans="1:16">
      <c r="A20" s="116">
        <v>3</v>
      </c>
      <c r="B20" s="429" t="s">
        <v>3275</v>
      </c>
      <c r="C20" s="256" t="s">
        <v>27</v>
      </c>
      <c r="D20" s="256" t="s">
        <v>886</v>
      </c>
      <c r="E20" s="256" t="s">
        <v>86</v>
      </c>
      <c r="F20" s="48"/>
      <c r="G20" s="48" t="s">
        <v>30</v>
      </c>
      <c r="H20" s="51">
        <v>500</v>
      </c>
      <c r="I20" s="49">
        <v>100</v>
      </c>
      <c r="J20" s="256" t="s">
        <v>31</v>
      </c>
      <c r="K20" s="256" t="s">
        <v>32</v>
      </c>
      <c r="M20" s="126">
        <v>100</v>
      </c>
    </row>
    <row r="21" spans="1:16" ht="15.75" customHeight="1">
      <c r="A21" s="116">
        <v>3</v>
      </c>
      <c r="B21" s="429" t="s">
        <v>3276</v>
      </c>
      <c r="C21" s="256" t="s">
        <v>27</v>
      </c>
      <c r="D21" s="256" t="s">
        <v>86</v>
      </c>
      <c r="E21" s="256" t="s">
        <v>191</v>
      </c>
      <c r="F21" s="48"/>
      <c r="G21" s="48" t="s">
        <v>30</v>
      </c>
      <c r="H21" s="51">
        <v>500</v>
      </c>
      <c r="I21" s="49" t="s">
        <v>1586</v>
      </c>
      <c r="J21" s="256" t="s">
        <v>31</v>
      </c>
      <c r="K21" s="256" t="s">
        <v>32</v>
      </c>
      <c r="M21" s="126">
        <v>500</v>
      </c>
    </row>
    <row r="22" spans="1:16" ht="15.75" customHeight="1">
      <c r="A22" s="116"/>
      <c r="B22" s="256"/>
      <c r="C22" s="256"/>
      <c r="D22" s="256"/>
      <c r="E22" s="256"/>
      <c r="F22" s="48"/>
      <c r="G22" s="48" t="s">
        <v>30</v>
      </c>
      <c r="H22" s="51">
        <v>500</v>
      </c>
      <c r="I22" s="49">
        <v>100</v>
      </c>
      <c r="J22" s="256"/>
      <c r="K22" s="256"/>
    </row>
    <row r="23" spans="1:16" ht="15.75" customHeight="1">
      <c r="A23" s="50">
        <v>3</v>
      </c>
      <c r="B23" s="151" t="s">
        <v>3277</v>
      </c>
      <c r="C23" s="48" t="s">
        <v>27</v>
      </c>
      <c r="D23" s="48" t="s">
        <v>230</v>
      </c>
      <c r="E23" s="48" t="s">
        <v>86</v>
      </c>
      <c r="F23" s="48"/>
      <c r="G23" s="48" t="s">
        <v>30</v>
      </c>
      <c r="H23" s="51">
        <v>500</v>
      </c>
      <c r="I23" s="49">
        <v>100</v>
      </c>
      <c r="J23" s="48" t="s">
        <v>31</v>
      </c>
      <c r="K23" s="48" t="s">
        <v>32</v>
      </c>
      <c r="M23" s="126">
        <v>150</v>
      </c>
    </row>
    <row r="24" spans="1:16" ht="15.75" customHeight="1">
      <c r="A24" s="50">
        <v>3</v>
      </c>
      <c r="B24" s="151" t="s">
        <v>3278</v>
      </c>
      <c r="C24" s="48" t="s">
        <v>27</v>
      </c>
      <c r="D24" s="48" t="s">
        <v>2704</v>
      </c>
      <c r="E24" s="48" t="s">
        <v>1381</v>
      </c>
      <c r="F24" s="48"/>
      <c r="G24" s="48" t="s">
        <v>30</v>
      </c>
      <c r="H24" s="51">
        <v>800</v>
      </c>
      <c r="I24" s="49">
        <v>160</v>
      </c>
      <c r="J24" s="48" t="s">
        <v>31</v>
      </c>
      <c r="K24" s="48" t="s">
        <v>32</v>
      </c>
      <c r="M24" s="126">
        <v>150</v>
      </c>
    </row>
    <row r="25" spans="1:16" ht="15.75" customHeight="1">
      <c r="A25" s="50">
        <v>3</v>
      </c>
      <c r="B25" s="151" t="s">
        <v>3279</v>
      </c>
      <c r="C25" s="48" t="s">
        <v>27</v>
      </c>
      <c r="D25" s="48" t="s">
        <v>79</v>
      </c>
      <c r="E25" s="48" t="s">
        <v>73</v>
      </c>
      <c r="F25" s="48"/>
      <c r="G25" s="48" t="s">
        <v>61</v>
      </c>
      <c r="H25" s="51">
        <v>200</v>
      </c>
      <c r="I25" s="49">
        <v>1000</v>
      </c>
      <c r="J25" s="48" t="s">
        <v>31</v>
      </c>
      <c r="K25" s="48" t="s">
        <v>32</v>
      </c>
    </row>
    <row r="26" spans="1:16" ht="15.75" customHeight="1">
      <c r="A26" s="50">
        <v>3</v>
      </c>
      <c r="B26" s="151" t="s">
        <v>3280</v>
      </c>
      <c r="C26" s="48" t="s">
        <v>27</v>
      </c>
      <c r="D26" s="48" t="s">
        <v>371</v>
      </c>
      <c r="E26" s="48" t="s">
        <v>223</v>
      </c>
      <c r="F26" s="48"/>
      <c r="G26" s="48" t="s">
        <v>61</v>
      </c>
      <c r="H26" s="51">
        <v>40</v>
      </c>
      <c r="I26" s="49">
        <v>200</v>
      </c>
      <c r="J26" s="48" t="s">
        <v>31</v>
      </c>
      <c r="K26" s="48" t="s">
        <v>32</v>
      </c>
    </row>
    <row r="27" spans="1:16" ht="15.75" customHeight="1">
      <c r="A27" s="50">
        <v>3</v>
      </c>
      <c r="B27" s="151" t="s">
        <v>3281</v>
      </c>
      <c r="C27" s="48" t="s">
        <v>27</v>
      </c>
      <c r="D27" s="48" t="s">
        <v>195</v>
      </c>
      <c r="E27" s="48" t="s">
        <v>86</v>
      </c>
      <c r="F27" s="48"/>
      <c r="G27" s="48" t="s">
        <v>30</v>
      </c>
      <c r="H27" s="51">
        <v>100</v>
      </c>
      <c r="I27" s="49">
        <v>20</v>
      </c>
      <c r="J27" s="48" t="s">
        <v>31</v>
      </c>
      <c r="K27" s="48" t="s">
        <v>32</v>
      </c>
    </row>
    <row r="28" spans="1:16" ht="15.75" customHeight="1">
      <c r="A28" s="50">
        <v>3</v>
      </c>
      <c r="B28" s="151" t="s">
        <v>3281</v>
      </c>
      <c r="C28" s="48" t="s">
        <v>27</v>
      </c>
      <c r="D28" s="48" t="s">
        <v>195</v>
      </c>
      <c r="E28" s="48" t="s">
        <v>86</v>
      </c>
      <c r="F28" s="48"/>
      <c r="G28" s="48" t="s">
        <v>61</v>
      </c>
      <c r="H28" s="51">
        <v>130</v>
      </c>
      <c r="I28" s="49">
        <v>390</v>
      </c>
      <c r="J28" s="48" t="s">
        <v>31</v>
      </c>
      <c r="K28" s="48" t="s">
        <v>32</v>
      </c>
    </row>
    <row r="29" spans="1:16" ht="15.75" customHeight="1">
      <c r="A29" s="50">
        <v>3</v>
      </c>
      <c r="B29" s="151" t="s">
        <v>3282</v>
      </c>
      <c r="C29" s="48" t="s">
        <v>27</v>
      </c>
      <c r="D29" s="48" t="s">
        <v>100</v>
      </c>
      <c r="E29" s="48" t="s">
        <v>145</v>
      </c>
      <c r="F29" s="48"/>
      <c r="G29" s="48" t="s">
        <v>61</v>
      </c>
      <c r="H29" s="51">
        <v>50</v>
      </c>
      <c r="I29" s="49">
        <v>150</v>
      </c>
      <c r="J29" s="48" t="s">
        <v>31</v>
      </c>
      <c r="K29" s="48" t="s">
        <v>32</v>
      </c>
      <c r="P29" s="55"/>
    </row>
    <row r="30" spans="1:16" ht="15.75" customHeight="1">
      <c r="A30" s="50">
        <v>3</v>
      </c>
      <c r="B30" s="151" t="s">
        <v>1944</v>
      </c>
      <c r="C30" s="48" t="s">
        <v>27</v>
      </c>
      <c r="D30" s="48" t="s">
        <v>728</v>
      </c>
      <c r="E30" s="48" t="s">
        <v>86</v>
      </c>
      <c r="F30" s="48"/>
      <c r="G30" s="48" t="s">
        <v>30</v>
      </c>
      <c r="H30" s="51">
        <v>1000</v>
      </c>
      <c r="I30" s="49">
        <v>200</v>
      </c>
      <c r="J30" s="48" t="s">
        <v>31</v>
      </c>
      <c r="K30" s="48" t="s">
        <v>32</v>
      </c>
      <c r="M30" s="126">
        <v>200</v>
      </c>
      <c r="P30" s="55"/>
    </row>
    <row r="31" spans="1:16" ht="15.75" customHeight="1">
      <c r="A31" s="50">
        <v>3</v>
      </c>
      <c r="B31" s="151" t="s">
        <v>1944</v>
      </c>
      <c r="C31" s="48" t="s">
        <v>27</v>
      </c>
      <c r="D31" s="48" t="s">
        <v>728</v>
      </c>
      <c r="E31" s="48" t="s">
        <v>86</v>
      </c>
      <c r="F31" s="48"/>
      <c r="G31" s="48" t="s">
        <v>61</v>
      </c>
      <c r="H31" s="51">
        <v>50</v>
      </c>
      <c r="I31" s="49">
        <v>250</v>
      </c>
      <c r="J31" s="48" t="s">
        <v>31</v>
      </c>
      <c r="K31" s="48" t="s">
        <v>32</v>
      </c>
    </row>
    <row r="32" spans="1:16" ht="15.75" customHeight="1">
      <c r="A32" s="50">
        <v>3</v>
      </c>
      <c r="B32" s="151" t="s">
        <v>3283</v>
      </c>
      <c r="C32" s="48" t="s">
        <v>27</v>
      </c>
      <c r="D32" s="48" t="s">
        <v>659</v>
      </c>
      <c r="E32" s="48" t="s">
        <v>86</v>
      </c>
      <c r="F32" s="48"/>
      <c r="G32" s="48" t="s">
        <v>61</v>
      </c>
      <c r="H32" s="51">
        <v>40</v>
      </c>
      <c r="I32" s="49">
        <v>120</v>
      </c>
      <c r="J32" s="48" t="s">
        <v>31</v>
      </c>
      <c r="K32" s="48" t="s">
        <v>32</v>
      </c>
    </row>
    <row r="33" spans="1:13" ht="15.75" customHeight="1">
      <c r="A33" s="50">
        <v>3</v>
      </c>
      <c r="B33" s="151" t="s">
        <v>3284</v>
      </c>
      <c r="C33" s="48" t="s">
        <v>27</v>
      </c>
      <c r="D33" s="48" t="s">
        <v>931</v>
      </c>
      <c r="E33" s="48" t="s">
        <v>145</v>
      </c>
      <c r="F33" s="48"/>
      <c r="G33" s="48" t="s">
        <v>30</v>
      </c>
      <c r="H33" s="51">
        <v>200</v>
      </c>
      <c r="I33" s="49">
        <v>40</v>
      </c>
      <c r="J33" s="48" t="s">
        <v>31</v>
      </c>
      <c r="K33" s="48" t="s">
        <v>32</v>
      </c>
      <c r="M33" s="126">
        <v>50</v>
      </c>
    </row>
    <row r="34" spans="1:13" ht="15.75" customHeight="1">
      <c r="A34" s="50">
        <v>3</v>
      </c>
      <c r="B34" s="151" t="s">
        <v>3284</v>
      </c>
      <c r="C34" s="48" t="s">
        <v>27</v>
      </c>
      <c r="D34" s="48" t="s">
        <v>931</v>
      </c>
      <c r="E34" s="48" t="s">
        <v>145</v>
      </c>
      <c r="F34" s="48"/>
      <c r="G34" s="48" t="s">
        <v>61</v>
      </c>
      <c r="H34" s="51">
        <v>4</v>
      </c>
      <c r="I34" s="49">
        <v>20</v>
      </c>
      <c r="J34" s="48" t="s">
        <v>31</v>
      </c>
      <c r="K34" s="48" t="s">
        <v>32</v>
      </c>
    </row>
    <row r="35" spans="1:13" ht="15.75" customHeight="1">
      <c r="A35" s="50">
        <v>3</v>
      </c>
      <c r="B35" s="151" t="s">
        <v>3285</v>
      </c>
      <c r="C35" s="48" t="s">
        <v>27</v>
      </c>
      <c r="D35" s="48" t="s">
        <v>180</v>
      </c>
      <c r="E35" s="48" t="s">
        <v>36</v>
      </c>
      <c r="F35" s="48"/>
      <c r="G35" s="48" t="s">
        <v>61</v>
      </c>
      <c r="H35" s="51">
        <v>15</v>
      </c>
      <c r="I35" s="49">
        <v>45</v>
      </c>
      <c r="J35" s="48" t="s">
        <v>31</v>
      </c>
      <c r="K35" s="48" t="s">
        <v>32</v>
      </c>
    </row>
    <row r="36" spans="1:13" ht="15.75" customHeight="1">
      <c r="A36" s="50">
        <v>3</v>
      </c>
      <c r="B36" s="151" t="s">
        <v>3286</v>
      </c>
      <c r="C36" s="48" t="s">
        <v>27</v>
      </c>
      <c r="D36" s="48" t="s">
        <v>234</v>
      </c>
      <c r="E36" s="48" t="s">
        <v>84</v>
      </c>
      <c r="F36" s="48"/>
      <c r="G36" s="48" t="s">
        <v>348</v>
      </c>
      <c r="H36" s="51">
        <v>16</v>
      </c>
      <c r="I36" s="49">
        <v>48</v>
      </c>
      <c r="J36" s="48" t="s">
        <v>31</v>
      </c>
      <c r="K36" s="48" t="s">
        <v>32</v>
      </c>
    </row>
    <row r="37" spans="1:13" ht="15.75" customHeight="1">
      <c r="A37" s="50">
        <v>3</v>
      </c>
      <c r="B37" s="151" t="s">
        <v>3287</v>
      </c>
      <c r="C37" s="48" t="s">
        <v>27</v>
      </c>
      <c r="D37" s="48" t="s">
        <v>3288</v>
      </c>
      <c r="E37" s="48" t="s">
        <v>47</v>
      </c>
      <c r="F37" s="48"/>
      <c r="G37" s="48" t="s">
        <v>61</v>
      </c>
      <c r="H37" s="51">
        <v>200</v>
      </c>
      <c r="I37" s="49">
        <v>1000</v>
      </c>
      <c r="J37" s="48" t="s">
        <v>31</v>
      </c>
      <c r="K37" s="48" t="s">
        <v>32</v>
      </c>
    </row>
    <row r="38" spans="1:13" ht="15.75" customHeight="1">
      <c r="A38" s="50">
        <v>3</v>
      </c>
      <c r="B38" s="151" t="s">
        <v>3287</v>
      </c>
      <c r="C38" s="48" t="s">
        <v>27</v>
      </c>
      <c r="D38" s="48" t="s">
        <v>3288</v>
      </c>
      <c r="E38" s="48" t="s">
        <v>47</v>
      </c>
      <c r="F38" s="48"/>
      <c r="G38" s="48" t="s">
        <v>348</v>
      </c>
      <c r="H38" s="51">
        <v>50</v>
      </c>
      <c r="I38" s="49">
        <v>150</v>
      </c>
      <c r="J38" s="48" t="s">
        <v>31</v>
      </c>
      <c r="K38" s="48" t="s">
        <v>32</v>
      </c>
    </row>
    <row r="39" spans="1:13" ht="15.75" customHeight="1">
      <c r="A39" s="50">
        <v>3</v>
      </c>
      <c r="B39" s="151" t="s">
        <v>3287</v>
      </c>
      <c r="C39" s="48" t="s">
        <v>27</v>
      </c>
      <c r="D39" s="48" t="s">
        <v>3288</v>
      </c>
      <c r="E39" s="48" t="s">
        <v>47</v>
      </c>
      <c r="F39" s="48"/>
      <c r="G39" s="48" t="s">
        <v>3289</v>
      </c>
      <c r="H39" s="51">
        <v>20</v>
      </c>
      <c r="I39" s="49">
        <v>60</v>
      </c>
      <c r="J39" s="48" t="s">
        <v>31</v>
      </c>
      <c r="K39" s="48" t="s">
        <v>32</v>
      </c>
    </row>
    <row r="40" spans="1:13" ht="15.75" customHeight="1">
      <c r="A40" s="50">
        <v>3</v>
      </c>
      <c r="B40" s="151" t="s">
        <v>3290</v>
      </c>
      <c r="C40" s="48" t="s">
        <v>39</v>
      </c>
      <c r="D40" s="48" t="s">
        <v>1664</v>
      </c>
      <c r="E40" s="48" t="s">
        <v>223</v>
      </c>
      <c r="F40" s="48"/>
      <c r="G40" s="48" t="s">
        <v>30</v>
      </c>
      <c r="H40" s="51">
        <v>1810</v>
      </c>
      <c r="I40" s="49" t="s">
        <v>1586</v>
      </c>
      <c r="J40" s="48" t="s">
        <v>31</v>
      </c>
      <c r="K40" s="48" t="s">
        <v>32</v>
      </c>
      <c r="M40" s="126">
        <v>200</v>
      </c>
    </row>
    <row r="41" spans="1:13" ht="15.75" customHeight="1">
      <c r="A41" s="50">
        <v>3</v>
      </c>
      <c r="B41" s="151" t="s">
        <v>3290</v>
      </c>
      <c r="C41" s="48" t="s">
        <v>39</v>
      </c>
      <c r="D41" s="48" t="s">
        <v>1664</v>
      </c>
      <c r="E41" s="48" t="s">
        <v>223</v>
      </c>
      <c r="F41" s="58"/>
      <c r="G41" s="58" t="s">
        <v>61</v>
      </c>
      <c r="H41" s="59">
        <v>120</v>
      </c>
      <c r="I41" s="60">
        <v>600</v>
      </c>
      <c r="J41" s="48" t="s">
        <v>31</v>
      </c>
      <c r="K41" s="48" t="s">
        <v>32</v>
      </c>
    </row>
    <row r="42" spans="1:13" ht="15.75" customHeight="1">
      <c r="A42" s="505">
        <v>4</v>
      </c>
      <c r="B42" s="399" t="s">
        <v>3291</v>
      </c>
      <c r="C42" s="78" t="s">
        <v>39</v>
      </c>
      <c r="D42" s="78" t="s">
        <v>1664</v>
      </c>
      <c r="E42" s="78" t="s">
        <v>223</v>
      </c>
      <c r="F42" s="78"/>
      <c r="G42" s="78" t="s">
        <v>61</v>
      </c>
      <c r="H42" s="400">
        <v>200</v>
      </c>
      <c r="I42" s="402" t="s">
        <v>1586</v>
      </c>
      <c r="J42" s="78" t="s">
        <v>3292</v>
      </c>
      <c r="K42" s="78" t="s">
        <v>32</v>
      </c>
    </row>
    <row r="43" spans="1:13" ht="15.75" customHeight="1">
      <c r="A43" s="384">
        <v>4</v>
      </c>
      <c r="B43" s="385" t="s">
        <v>1808</v>
      </c>
      <c r="C43" s="386" t="s">
        <v>39</v>
      </c>
      <c r="D43" s="386" t="s">
        <v>1664</v>
      </c>
      <c r="E43" s="386" t="s">
        <v>223</v>
      </c>
      <c r="F43" s="386"/>
      <c r="G43" s="386" t="s">
        <v>61</v>
      </c>
      <c r="H43" s="393">
        <v>200</v>
      </c>
      <c r="I43" s="409" t="s">
        <v>1586</v>
      </c>
      <c r="J43" s="386" t="s">
        <v>3292</v>
      </c>
      <c r="K43" s="386" t="s">
        <v>32</v>
      </c>
    </row>
    <row r="44" spans="1:13" ht="15.75" customHeight="1">
      <c r="A44" s="50">
        <v>4</v>
      </c>
      <c r="B44" s="151" t="s">
        <v>3293</v>
      </c>
      <c r="C44" s="48" t="s">
        <v>39</v>
      </c>
      <c r="D44" s="48" t="s">
        <v>2684</v>
      </c>
      <c r="E44" s="48" t="s">
        <v>223</v>
      </c>
      <c r="F44" s="48"/>
      <c r="G44" s="48" t="s">
        <v>61</v>
      </c>
      <c r="H44" s="51">
        <v>40</v>
      </c>
      <c r="I44" s="49">
        <v>120</v>
      </c>
      <c r="J44" s="48" t="s">
        <v>31</v>
      </c>
      <c r="K44" s="48" t="s">
        <v>32</v>
      </c>
    </row>
    <row r="45" spans="1:13" ht="15.75" customHeight="1">
      <c r="A45" s="50">
        <v>4</v>
      </c>
      <c r="B45" s="151" t="s">
        <v>3294</v>
      </c>
      <c r="C45" s="48" t="s">
        <v>27</v>
      </c>
      <c r="D45" s="48" t="s">
        <v>110</v>
      </c>
      <c r="E45" s="48" t="s">
        <v>36</v>
      </c>
      <c r="F45" s="48"/>
      <c r="G45" s="48" t="s">
        <v>30</v>
      </c>
      <c r="H45" s="51">
        <v>6000</v>
      </c>
      <c r="I45" s="49">
        <v>1200</v>
      </c>
      <c r="J45" s="48" t="s">
        <v>31</v>
      </c>
      <c r="K45" s="48" t="s">
        <v>32</v>
      </c>
      <c r="M45" s="126">
        <v>1200</v>
      </c>
    </row>
    <row r="46" spans="1:13" ht="15.75" customHeight="1">
      <c r="A46" s="50">
        <v>4</v>
      </c>
      <c r="B46" s="151" t="s">
        <v>3295</v>
      </c>
      <c r="C46" s="48" t="s">
        <v>27</v>
      </c>
      <c r="D46" s="48" t="s">
        <v>1774</v>
      </c>
      <c r="E46" s="48" t="s">
        <v>102</v>
      </c>
      <c r="F46" s="48"/>
      <c r="G46" s="48" t="s">
        <v>61</v>
      </c>
      <c r="H46" s="51">
        <v>30</v>
      </c>
      <c r="I46" s="49">
        <v>150</v>
      </c>
      <c r="J46" s="48" t="s">
        <v>31</v>
      </c>
      <c r="K46" s="48" t="s">
        <v>32</v>
      </c>
    </row>
    <row r="47" spans="1:13" ht="15.75" customHeight="1">
      <c r="A47" s="50">
        <v>4</v>
      </c>
      <c r="B47" s="151" t="s">
        <v>3296</v>
      </c>
      <c r="C47" s="48" t="s">
        <v>27</v>
      </c>
      <c r="D47" s="48" t="s">
        <v>3297</v>
      </c>
      <c r="E47" s="48" t="s">
        <v>385</v>
      </c>
      <c r="F47" s="48"/>
      <c r="G47" s="48" t="s">
        <v>30</v>
      </c>
      <c r="H47" s="51">
        <v>200</v>
      </c>
      <c r="I47" s="49">
        <v>40</v>
      </c>
      <c r="J47" s="48" t="s">
        <v>31</v>
      </c>
      <c r="K47" s="48" t="s">
        <v>32</v>
      </c>
      <c r="M47" s="126">
        <v>50</v>
      </c>
    </row>
    <row r="48" spans="1:13" ht="15.75" customHeight="1">
      <c r="A48" s="50">
        <v>4</v>
      </c>
      <c r="B48" s="151" t="s">
        <v>1644</v>
      </c>
      <c r="C48" s="48" t="s">
        <v>27</v>
      </c>
      <c r="D48" s="48" t="s">
        <v>786</v>
      </c>
      <c r="E48" s="48" t="s">
        <v>191</v>
      </c>
      <c r="F48" s="48"/>
      <c r="G48" s="48" t="s">
        <v>30</v>
      </c>
      <c r="H48" s="51">
        <v>1000</v>
      </c>
      <c r="I48" s="49">
        <v>200</v>
      </c>
      <c r="J48" s="48" t="s">
        <v>31</v>
      </c>
      <c r="K48" s="48" t="s">
        <v>32</v>
      </c>
      <c r="M48" s="126">
        <v>200</v>
      </c>
    </row>
    <row r="49" spans="1:17" ht="15.75" customHeight="1">
      <c r="A49" s="50">
        <v>4</v>
      </c>
      <c r="B49" s="151" t="s">
        <v>2984</v>
      </c>
      <c r="C49" s="48" t="s">
        <v>39</v>
      </c>
      <c r="D49" s="48" t="s">
        <v>2084</v>
      </c>
      <c r="E49" s="48" t="s">
        <v>73</v>
      </c>
      <c r="F49" s="48"/>
      <c r="G49" s="48" t="s">
        <v>30</v>
      </c>
      <c r="H49" s="51">
        <v>300</v>
      </c>
      <c r="I49" s="49">
        <v>60</v>
      </c>
      <c r="J49" s="48" t="s">
        <v>31</v>
      </c>
      <c r="K49" s="48" t="s">
        <v>32</v>
      </c>
      <c r="M49" s="126">
        <v>60</v>
      </c>
    </row>
    <row r="50" spans="1:17" ht="15.75" customHeight="1">
      <c r="A50" s="50">
        <v>4</v>
      </c>
      <c r="B50" s="151" t="s">
        <v>3298</v>
      </c>
      <c r="C50" s="48" t="s">
        <v>27</v>
      </c>
      <c r="D50" s="48" t="s">
        <v>1489</v>
      </c>
      <c r="E50" s="48" t="s">
        <v>86</v>
      </c>
      <c r="F50" s="48"/>
      <c r="G50" s="48" t="s">
        <v>30</v>
      </c>
      <c r="H50" s="51">
        <v>100</v>
      </c>
      <c r="I50" s="49">
        <v>20</v>
      </c>
      <c r="J50" s="48" t="s">
        <v>31</v>
      </c>
      <c r="K50" s="48" t="s">
        <v>32</v>
      </c>
      <c r="M50" s="126">
        <v>25</v>
      </c>
    </row>
    <row r="51" spans="1:17" ht="15.75" customHeight="1">
      <c r="A51" s="50">
        <v>4</v>
      </c>
      <c r="B51" s="151" t="s">
        <v>3299</v>
      </c>
      <c r="C51" s="48" t="s">
        <v>27</v>
      </c>
      <c r="D51" s="48" t="s">
        <v>3300</v>
      </c>
      <c r="E51" s="48" t="s">
        <v>3301</v>
      </c>
      <c r="F51" s="48"/>
      <c r="G51" s="48" t="s">
        <v>30</v>
      </c>
      <c r="H51" s="51">
        <v>300</v>
      </c>
      <c r="I51" s="49">
        <v>60</v>
      </c>
      <c r="J51" s="48" t="s">
        <v>31</v>
      </c>
      <c r="K51" s="48" t="s">
        <v>32</v>
      </c>
      <c r="M51" s="126">
        <v>60</v>
      </c>
    </row>
    <row r="52" spans="1:17" ht="15.75" customHeight="1">
      <c r="A52" s="50">
        <v>4</v>
      </c>
      <c r="B52" s="151" t="s">
        <v>3302</v>
      </c>
      <c r="C52" s="48" t="s">
        <v>27</v>
      </c>
      <c r="D52" s="48" t="s">
        <v>336</v>
      </c>
      <c r="E52" s="48" t="s">
        <v>41</v>
      </c>
      <c r="F52" s="48"/>
      <c r="G52" s="48" t="s">
        <v>30</v>
      </c>
      <c r="H52" s="51">
        <v>1400</v>
      </c>
      <c r="I52" s="49">
        <v>280</v>
      </c>
      <c r="J52" s="48" t="s">
        <v>31</v>
      </c>
      <c r="K52" s="48" t="s">
        <v>32</v>
      </c>
      <c r="M52" s="126">
        <v>300</v>
      </c>
      <c r="Q52" s="55"/>
    </row>
    <row r="53" spans="1:17" ht="15.75" customHeight="1">
      <c r="A53" s="50">
        <v>4</v>
      </c>
      <c r="B53" s="151" t="s">
        <v>3303</v>
      </c>
      <c r="C53" s="48" t="s">
        <v>27</v>
      </c>
      <c r="D53" s="48" t="s">
        <v>934</v>
      </c>
      <c r="E53" s="48" t="s">
        <v>44</v>
      </c>
      <c r="F53" s="48"/>
      <c r="G53" s="48" t="s">
        <v>30</v>
      </c>
      <c r="H53" s="51">
        <v>3000</v>
      </c>
      <c r="I53" s="49">
        <v>600</v>
      </c>
      <c r="J53" s="48" t="s">
        <v>31</v>
      </c>
      <c r="K53" s="48" t="s">
        <v>32</v>
      </c>
      <c r="M53" s="126">
        <v>600</v>
      </c>
      <c r="Q53" s="55"/>
    </row>
    <row r="54" spans="1:17" ht="15.75" customHeight="1">
      <c r="A54" s="65">
        <v>4</v>
      </c>
      <c r="B54" s="58" t="s">
        <v>3304</v>
      </c>
      <c r="C54" s="58" t="s">
        <v>27</v>
      </c>
      <c r="D54" s="58" t="s">
        <v>319</v>
      </c>
      <c r="E54" s="58" t="s">
        <v>36</v>
      </c>
      <c r="F54" s="58"/>
      <c r="G54" s="58" t="s">
        <v>30</v>
      </c>
      <c r="H54" s="59">
        <v>1000</v>
      </c>
      <c r="I54" s="60">
        <v>200</v>
      </c>
      <c r="J54" s="58" t="s">
        <v>31</v>
      </c>
      <c r="K54" s="58" t="s">
        <v>32</v>
      </c>
      <c r="M54" s="126">
        <v>200</v>
      </c>
      <c r="Q54" s="55"/>
    </row>
    <row r="55" spans="1:17" ht="15.75" customHeight="1">
      <c r="A55" s="61">
        <v>5</v>
      </c>
      <c r="B55" s="292" t="s">
        <v>3305</v>
      </c>
      <c r="C55" s="62" t="s">
        <v>27</v>
      </c>
      <c r="D55" s="62" t="s">
        <v>251</v>
      </c>
      <c r="E55" s="62" t="s">
        <v>102</v>
      </c>
      <c r="F55" s="62"/>
      <c r="G55" s="62" t="s">
        <v>30</v>
      </c>
      <c r="H55" s="63">
        <v>500</v>
      </c>
      <c r="I55" s="64">
        <v>100</v>
      </c>
      <c r="J55" s="62" t="s">
        <v>31</v>
      </c>
      <c r="K55" s="62" t="s">
        <v>32</v>
      </c>
      <c r="M55" s="126">
        <v>100</v>
      </c>
      <c r="Q55" s="55"/>
    </row>
    <row r="56" spans="1:17" ht="15.75" customHeight="1">
      <c r="A56" s="50">
        <v>5</v>
      </c>
      <c r="B56" s="151" t="s">
        <v>3306</v>
      </c>
      <c r="C56" s="48" t="s">
        <v>27</v>
      </c>
      <c r="D56" s="48" t="s">
        <v>326</v>
      </c>
      <c r="E56" s="48" t="s">
        <v>84</v>
      </c>
      <c r="F56" s="48"/>
      <c r="G56" s="48" t="s">
        <v>30</v>
      </c>
      <c r="H56" s="51">
        <v>200</v>
      </c>
      <c r="I56" s="49">
        <v>40</v>
      </c>
      <c r="J56" s="48" t="s">
        <v>31</v>
      </c>
      <c r="K56" s="48" t="s">
        <v>32</v>
      </c>
      <c r="M56" s="126">
        <v>100</v>
      </c>
    </row>
    <row r="57" spans="1:17" ht="15.75" customHeight="1">
      <c r="A57" s="50">
        <v>5</v>
      </c>
      <c r="B57" s="151" t="s">
        <v>3307</v>
      </c>
      <c r="C57" s="48" t="s">
        <v>27</v>
      </c>
      <c r="D57" s="48" t="s">
        <v>100</v>
      </c>
      <c r="E57" s="48" t="s">
        <v>56</v>
      </c>
      <c r="F57" s="48"/>
      <c r="G57" s="48" t="s">
        <v>30</v>
      </c>
      <c r="H57" s="51">
        <v>300</v>
      </c>
      <c r="I57" s="49">
        <v>60</v>
      </c>
      <c r="J57" s="48" t="s">
        <v>31</v>
      </c>
      <c r="K57" s="48" t="s">
        <v>32</v>
      </c>
      <c r="M57" s="126">
        <v>50</v>
      </c>
      <c r="Q57" s="55"/>
    </row>
    <row r="58" spans="1:17" ht="15.75" customHeight="1">
      <c r="A58" s="50">
        <v>5</v>
      </c>
      <c r="B58" s="151" t="s">
        <v>3308</v>
      </c>
      <c r="C58" s="48" t="s">
        <v>39</v>
      </c>
      <c r="D58" s="48" t="s">
        <v>483</v>
      </c>
      <c r="E58" s="48" t="s">
        <v>484</v>
      </c>
      <c r="F58" s="48"/>
      <c r="G58" s="48" t="s">
        <v>30</v>
      </c>
      <c r="H58" s="51">
        <v>1000</v>
      </c>
      <c r="I58" s="49">
        <v>200</v>
      </c>
      <c r="J58" s="48" t="s">
        <v>31</v>
      </c>
      <c r="K58" s="48" t="s">
        <v>32</v>
      </c>
      <c r="M58" s="126">
        <v>300</v>
      </c>
    </row>
    <row r="59" spans="1:17" ht="15.75" customHeight="1">
      <c r="A59" s="50">
        <v>5</v>
      </c>
      <c r="B59" s="151" t="s">
        <v>3309</v>
      </c>
      <c r="C59" s="48" t="s">
        <v>27</v>
      </c>
      <c r="D59" s="48" t="s">
        <v>253</v>
      </c>
      <c r="E59" s="48" t="s">
        <v>54</v>
      </c>
      <c r="F59" s="48"/>
      <c r="G59" s="48" t="s">
        <v>30</v>
      </c>
      <c r="H59" s="51">
        <v>500</v>
      </c>
      <c r="I59" s="49">
        <v>100</v>
      </c>
      <c r="J59" s="48" t="s">
        <v>31</v>
      </c>
      <c r="K59" s="48" t="s">
        <v>32</v>
      </c>
      <c r="M59" s="126">
        <v>400</v>
      </c>
      <c r="Q59" s="55"/>
    </row>
    <row r="60" spans="1:17" ht="15.75" customHeight="1">
      <c r="A60" s="50">
        <v>5</v>
      </c>
      <c r="B60" s="151" t="s">
        <v>1508</v>
      </c>
      <c r="C60" s="48" t="s">
        <v>27</v>
      </c>
      <c r="D60" s="48" t="s">
        <v>253</v>
      </c>
      <c r="E60" s="48" t="s">
        <v>54</v>
      </c>
      <c r="F60" s="48"/>
      <c r="G60" s="48" t="s">
        <v>30</v>
      </c>
      <c r="H60" s="51">
        <v>500</v>
      </c>
      <c r="I60" s="49">
        <v>100</v>
      </c>
      <c r="J60" s="48" t="s">
        <v>31</v>
      </c>
      <c r="K60" s="48" t="s">
        <v>32</v>
      </c>
    </row>
    <row r="61" spans="1:17" ht="15.75" customHeight="1">
      <c r="A61" s="50">
        <v>5</v>
      </c>
      <c r="B61" s="151" t="s">
        <v>3310</v>
      </c>
      <c r="C61" s="48" t="s">
        <v>27</v>
      </c>
      <c r="D61" s="48" t="s">
        <v>3311</v>
      </c>
      <c r="E61" s="48" t="s">
        <v>223</v>
      </c>
      <c r="F61" s="48"/>
      <c r="G61" s="48" t="s">
        <v>30</v>
      </c>
      <c r="H61" s="51">
        <v>800</v>
      </c>
      <c r="I61" s="49">
        <v>160</v>
      </c>
      <c r="J61" s="48" t="s">
        <v>31</v>
      </c>
      <c r="K61" s="48" t="s">
        <v>32</v>
      </c>
      <c r="M61" s="126">
        <v>48</v>
      </c>
    </row>
    <row r="62" spans="1:17" ht="15.75" customHeight="1">
      <c r="A62" s="50">
        <v>5</v>
      </c>
      <c r="B62" s="151" t="s">
        <v>758</v>
      </c>
      <c r="C62" s="48" t="s">
        <v>27</v>
      </c>
      <c r="D62" s="48" t="s">
        <v>2359</v>
      </c>
      <c r="E62" s="48" t="s">
        <v>44</v>
      </c>
      <c r="F62" s="48"/>
      <c r="G62" s="48" t="s">
        <v>30</v>
      </c>
      <c r="H62" s="51">
        <v>3000</v>
      </c>
      <c r="I62" s="49">
        <v>600</v>
      </c>
      <c r="J62" s="48" t="s">
        <v>31</v>
      </c>
      <c r="K62" s="48" t="s">
        <v>32</v>
      </c>
      <c r="M62" s="126">
        <v>500</v>
      </c>
    </row>
    <row r="63" spans="1:17" ht="15.75" customHeight="1">
      <c r="A63" s="50">
        <v>5</v>
      </c>
      <c r="B63" s="151" t="s">
        <v>3312</v>
      </c>
      <c r="C63" s="48" t="s">
        <v>27</v>
      </c>
      <c r="D63" s="48" t="s">
        <v>2243</v>
      </c>
      <c r="E63" s="48" t="s">
        <v>68</v>
      </c>
      <c r="F63" s="48"/>
      <c r="G63" s="48" t="s">
        <v>30</v>
      </c>
      <c r="H63" s="51">
        <v>500</v>
      </c>
      <c r="I63" s="49">
        <v>100</v>
      </c>
      <c r="J63" s="48" t="s">
        <v>31</v>
      </c>
      <c r="K63" s="48" t="s">
        <v>32</v>
      </c>
      <c r="M63" s="126">
        <v>800</v>
      </c>
    </row>
    <row r="64" spans="1:17" ht="15.75" customHeight="1">
      <c r="A64" s="50">
        <v>5</v>
      </c>
      <c r="B64" s="48" t="s">
        <v>933</v>
      </c>
      <c r="C64" s="48" t="s">
        <v>27</v>
      </c>
      <c r="D64" s="48" t="s">
        <v>3313</v>
      </c>
      <c r="E64" s="48" t="s">
        <v>44</v>
      </c>
      <c r="F64" s="48"/>
      <c r="G64" s="48" t="s">
        <v>30</v>
      </c>
      <c r="H64" s="51">
        <v>10000</v>
      </c>
      <c r="I64" s="49">
        <v>2000</v>
      </c>
      <c r="J64" s="48" t="s">
        <v>31</v>
      </c>
      <c r="K64" s="48" t="s">
        <v>32</v>
      </c>
      <c r="M64" s="126">
        <v>2000</v>
      </c>
    </row>
    <row r="65" spans="1:13" ht="15.75" customHeight="1">
      <c r="A65" s="50">
        <v>5</v>
      </c>
      <c r="B65" s="48" t="s">
        <v>3314</v>
      </c>
      <c r="C65" s="48" t="s">
        <v>27</v>
      </c>
      <c r="D65" s="48" t="s">
        <v>407</v>
      </c>
      <c r="E65" s="48" t="s">
        <v>44</v>
      </c>
      <c r="F65" s="48"/>
      <c r="G65" s="48" t="s">
        <v>30</v>
      </c>
      <c r="H65" s="51">
        <v>1000</v>
      </c>
      <c r="I65" s="49" t="s">
        <v>1586</v>
      </c>
      <c r="J65" s="48" t="s">
        <v>31</v>
      </c>
      <c r="K65" s="48" t="s">
        <v>32</v>
      </c>
      <c r="M65" s="126">
        <v>200</v>
      </c>
    </row>
    <row r="66" spans="1:13" ht="15.75" customHeight="1">
      <c r="A66" s="50">
        <v>5</v>
      </c>
      <c r="B66" s="151" t="s">
        <v>3315</v>
      </c>
      <c r="C66" s="48" t="s">
        <v>27</v>
      </c>
      <c r="D66" s="48" t="s">
        <v>1650</v>
      </c>
      <c r="E66" s="48" t="s">
        <v>191</v>
      </c>
      <c r="F66" s="48"/>
      <c r="G66" s="48" t="s">
        <v>30</v>
      </c>
      <c r="H66" s="51">
        <v>1500</v>
      </c>
      <c r="I66" s="49" t="s">
        <v>1586</v>
      </c>
      <c r="J66" s="48" t="s">
        <v>31</v>
      </c>
      <c r="K66" s="48" t="s">
        <v>32</v>
      </c>
      <c r="M66" s="126">
        <v>400</v>
      </c>
    </row>
    <row r="67" spans="1:13" ht="15.75" customHeight="1">
      <c r="A67" s="50">
        <v>5</v>
      </c>
      <c r="B67" s="151" t="s">
        <v>3316</v>
      </c>
      <c r="C67" s="48" t="s">
        <v>39</v>
      </c>
      <c r="D67" s="48" t="s">
        <v>1993</v>
      </c>
      <c r="E67" s="48" t="s">
        <v>223</v>
      </c>
      <c r="F67" s="48"/>
      <c r="G67" s="48" t="s">
        <v>61</v>
      </c>
      <c r="H67" s="51">
        <v>50</v>
      </c>
      <c r="I67" s="49">
        <v>150</v>
      </c>
      <c r="J67" s="48" t="s">
        <v>31</v>
      </c>
      <c r="K67" s="48" t="s">
        <v>32</v>
      </c>
    </row>
    <row r="68" spans="1:13" ht="15.75" customHeight="1">
      <c r="A68" s="50">
        <v>5</v>
      </c>
      <c r="B68" s="151" t="s">
        <v>3316</v>
      </c>
      <c r="C68" s="48" t="s">
        <v>39</v>
      </c>
      <c r="D68" s="48" t="s">
        <v>1993</v>
      </c>
      <c r="E68" s="48" t="s">
        <v>223</v>
      </c>
      <c r="F68" s="58"/>
      <c r="G68" s="58" t="s">
        <v>348</v>
      </c>
      <c r="H68" s="59">
        <v>50</v>
      </c>
      <c r="I68" s="60">
        <v>150</v>
      </c>
      <c r="J68" s="48" t="s">
        <v>31</v>
      </c>
      <c r="K68" s="48" t="s">
        <v>32</v>
      </c>
    </row>
    <row r="69" spans="1:13" ht="15.75" customHeight="1">
      <c r="A69" s="61">
        <v>6</v>
      </c>
      <c r="B69" s="292" t="s">
        <v>3317</v>
      </c>
      <c r="C69" s="62" t="s">
        <v>27</v>
      </c>
      <c r="D69" s="62" t="s">
        <v>3318</v>
      </c>
      <c r="E69" s="62" t="s">
        <v>73</v>
      </c>
      <c r="F69" s="62"/>
      <c r="G69" s="62" t="s">
        <v>30</v>
      </c>
      <c r="H69" s="63">
        <v>400</v>
      </c>
      <c r="I69" s="64">
        <v>80</v>
      </c>
      <c r="J69" s="62" t="s">
        <v>31</v>
      </c>
      <c r="K69" s="62" t="s">
        <v>32</v>
      </c>
      <c r="M69" s="126">
        <v>80</v>
      </c>
    </row>
    <row r="70" spans="1:13" ht="15.75" customHeight="1">
      <c r="A70" s="50">
        <v>6</v>
      </c>
      <c r="B70" s="151" t="s">
        <v>3319</v>
      </c>
      <c r="C70" s="48" t="s">
        <v>27</v>
      </c>
      <c r="D70" s="48" t="s">
        <v>2070</v>
      </c>
      <c r="E70" s="48" t="s">
        <v>84</v>
      </c>
      <c r="F70" s="48"/>
      <c r="G70" s="48" t="s">
        <v>30</v>
      </c>
      <c r="H70" s="51">
        <v>250</v>
      </c>
      <c r="I70" s="49">
        <v>50</v>
      </c>
      <c r="J70" s="48" t="s">
        <v>31</v>
      </c>
      <c r="K70" s="48" t="s">
        <v>32</v>
      </c>
      <c r="M70" s="126">
        <v>50</v>
      </c>
    </row>
    <row r="71" spans="1:13" ht="15.75" customHeight="1">
      <c r="A71" s="50">
        <v>6</v>
      </c>
      <c r="B71" s="151" t="s">
        <v>3320</v>
      </c>
      <c r="C71" s="48" t="s">
        <v>27</v>
      </c>
      <c r="D71" s="48" t="s">
        <v>407</v>
      </c>
      <c r="E71" s="48" t="s">
        <v>44</v>
      </c>
      <c r="F71" s="48"/>
      <c r="G71" s="48" t="s">
        <v>30</v>
      </c>
      <c r="H71" s="51">
        <v>1000</v>
      </c>
      <c r="I71" s="49">
        <v>200</v>
      </c>
      <c r="J71" s="48" t="s">
        <v>31</v>
      </c>
      <c r="K71" s="48" t="s">
        <v>32</v>
      </c>
      <c r="M71" s="126">
        <v>150</v>
      </c>
    </row>
    <row r="72" spans="1:13" ht="15.75" customHeight="1">
      <c r="A72" s="50">
        <v>6</v>
      </c>
      <c r="B72" s="151" t="s">
        <v>3321</v>
      </c>
      <c r="C72" s="48" t="s">
        <v>27</v>
      </c>
      <c r="D72" s="48" t="s">
        <v>882</v>
      </c>
      <c r="E72" s="48" t="s">
        <v>51</v>
      </c>
      <c r="F72" s="48"/>
      <c r="G72" s="48" t="s">
        <v>30</v>
      </c>
      <c r="H72" s="51">
        <v>500</v>
      </c>
      <c r="I72" s="49" t="s">
        <v>1586</v>
      </c>
      <c r="J72" s="48" t="s">
        <v>31</v>
      </c>
      <c r="K72" s="48" t="s">
        <v>32</v>
      </c>
      <c r="M72" s="126">
        <v>500</v>
      </c>
    </row>
    <row r="73" spans="1:13" ht="15.75" customHeight="1">
      <c r="A73" s="50">
        <v>6</v>
      </c>
      <c r="B73" s="151" t="s">
        <v>3321</v>
      </c>
      <c r="C73" s="48" t="s">
        <v>27</v>
      </c>
      <c r="D73" s="48" t="s">
        <v>882</v>
      </c>
      <c r="E73" s="48" t="s">
        <v>51</v>
      </c>
      <c r="F73" s="48"/>
      <c r="G73" s="48" t="s">
        <v>30</v>
      </c>
      <c r="H73" s="51">
        <v>2000</v>
      </c>
      <c r="I73" s="49">
        <v>400</v>
      </c>
      <c r="J73" s="48" t="s">
        <v>31</v>
      </c>
      <c r="K73" s="48" t="s">
        <v>32</v>
      </c>
    </row>
    <row r="74" spans="1:13" ht="15.75" customHeight="1">
      <c r="A74" s="50">
        <v>6</v>
      </c>
      <c r="B74" s="151" t="s">
        <v>3322</v>
      </c>
      <c r="C74" s="48" t="s">
        <v>39</v>
      </c>
      <c r="D74" s="48" t="s">
        <v>100</v>
      </c>
      <c r="E74" s="48" t="s">
        <v>68</v>
      </c>
      <c r="F74" s="48"/>
      <c r="G74" s="48" t="s">
        <v>30</v>
      </c>
      <c r="H74" s="51">
        <v>3000</v>
      </c>
      <c r="I74" s="49">
        <v>600</v>
      </c>
      <c r="J74" s="48" t="s">
        <v>31</v>
      </c>
      <c r="K74" s="48" t="s">
        <v>32</v>
      </c>
      <c r="M74" s="126">
        <v>600</v>
      </c>
    </row>
    <row r="75" spans="1:13" ht="15.75" customHeight="1">
      <c r="A75" s="50">
        <v>6</v>
      </c>
      <c r="B75" s="151" t="s">
        <v>3323</v>
      </c>
      <c r="C75" s="48" t="s">
        <v>27</v>
      </c>
      <c r="D75" s="48" t="s">
        <v>604</v>
      </c>
      <c r="E75" s="48" t="s">
        <v>51</v>
      </c>
      <c r="F75" s="48"/>
      <c r="G75" s="48" t="s">
        <v>30</v>
      </c>
      <c r="H75" s="51">
        <v>3000</v>
      </c>
      <c r="I75" s="49">
        <v>600</v>
      </c>
      <c r="J75" s="48" t="s">
        <v>31</v>
      </c>
      <c r="K75" s="48" t="s">
        <v>32</v>
      </c>
      <c r="M75" s="126">
        <v>600</v>
      </c>
    </row>
    <row r="76" spans="1:13" ht="15.75" customHeight="1">
      <c r="A76" s="50">
        <v>6</v>
      </c>
      <c r="B76" s="151" t="s">
        <v>1436</v>
      </c>
      <c r="C76" s="48" t="s">
        <v>39</v>
      </c>
      <c r="D76" s="48" t="s">
        <v>110</v>
      </c>
      <c r="E76" s="48" t="s">
        <v>36</v>
      </c>
      <c r="F76" s="48"/>
      <c r="G76" s="48" t="s">
        <v>30</v>
      </c>
      <c r="H76" s="51">
        <v>2000</v>
      </c>
      <c r="I76" s="49">
        <v>400</v>
      </c>
      <c r="J76" s="48" t="s">
        <v>31</v>
      </c>
      <c r="K76" s="48" t="s">
        <v>32</v>
      </c>
      <c r="M76" s="126">
        <v>400</v>
      </c>
    </row>
    <row r="77" spans="1:13" ht="15.75" customHeight="1">
      <c r="A77" s="50">
        <v>6</v>
      </c>
      <c r="B77" s="151" t="s">
        <v>117</v>
      </c>
      <c r="C77" s="48" t="s">
        <v>27</v>
      </c>
      <c r="D77" s="48" t="s">
        <v>118</v>
      </c>
      <c r="E77" s="48" t="s">
        <v>29</v>
      </c>
      <c r="F77" s="48"/>
      <c r="G77" s="48" t="s">
        <v>30</v>
      </c>
      <c r="H77" s="51">
        <v>4000</v>
      </c>
      <c r="I77" s="49">
        <v>800</v>
      </c>
      <c r="J77" s="48" t="s">
        <v>31</v>
      </c>
      <c r="K77" s="48" t="s">
        <v>32</v>
      </c>
      <c r="M77" s="126">
        <v>4500</v>
      </c>
    </row>
    <row r="78" spans="1:13" ht="15.75" customHeight="1">
      <c r="A78" s="50">
        <v>6</v>
      </c>
      <c r="B78" s="151" t="s">
        <v>3324</v>
      </c>
      <c r="C78" s="48" t="s">
        <v>27</v>
      </c>
      <c r="D78" s="48" t="s">
        <v>416</v>
      </c>
      <c r="E78" s="48" t="s">
        <v>73</v>
      </c>
      <c r="F78" s="48"/>
      <c r="G78" s="48" t="s">
        <v>30</v>
      </c>
      <c r="H78" s="51">
        <v>1000</v>
      </c>
      <c r="I78" s="49">
        <v>200</v>
      </c>
      <c r="J78" s="48" t="s">
        <v>31</v>
      </c>
      <c r="K78" s="48" t="s">
        <v>32</v>
      </c>
      <c r="M78" s="126">
        <v>150</v>
      </c>
    </row>
    <row r="79" spans="1:13" ht="15.75" customHeight="1">
      <c r="A79" s="50">
        <v>6</v>
      </c>
      <c r="B79" s="151" t="s">
        <v>3325</v>
      </c>
      <c r="C79" s="48" t="s">
        <v>27</v>
      </c>
      <c r="D79" s="48" t="s">
        <v>1396</v>
      </c>
      <c r="E79" s="48" t="s">
        <v>245</v>
      </c>
      <c r="F79" s="48"/>
      <c r="G79" s="48" t="s">
        <v>30</v>
      </c>
      <c r="H79" s="51">
        <v>1000</v>
      </c>
      <c r="I79" s="49">
        <v>200</v>
      </c>
      <c r="J79" s="48" t="s">
        <v>31</v>
      </c>
      <c r="K79" s="48" t="s">
        <v>32</v>
      </c>
      <c r="M79" s="126">
        <v>150</v>
      </c>
    </row>
    <row r="80" spans="1:13" ht="15.75" customHeight="1">
      <c r="A80" s="65">
        <v>6</v>
      </c>
      <c r="B80" s="175" t="s">
        <v>3326</v>
      </c>
      <c r="C80" s="58" t="s">
        <v>27</v>
      </c>
      <c r="D80" s="58" t="s">
        <v>96</v>
      </c>
      <c r="E80" s="58" t="s">
        <v>44</v>
      </c>
      <c r="F80" s="58"/>
      <c r="G80" s="58" t="s">
        <v>30</v>
      </c>
      <c r="H80" s="59">
        <v>500</v>
      </c>
      <c r="I80" s="60" t="s">
        <v>1586</v>
      </c>
      <c r="J80" s="58" t="s">
        <v>31</v>
      </c>
      <c r="K80" s="58" t="s">
        <v>32</v>
      </c>
      <c r="M80" s="126">
        <v>100</v>
      </c>
    </row>
    <row r="81" spans="1:16" ht="15.75" customHeight="1">
      <c r="A81" s="61">
        <v>7</v>
      </c>
      <c r="B81" s="292" t="s">
        <v>3327</v>
      </c>
      <c r="C81" s="62" t="s">
        <v>27</v>
      </c>
      <c r="D81" s="62" t="s">
        <v>128</v>
      </c>
      <c r="E81" s="62" t="s">
        <v>44</v>
      </c>
      <c r="F81" s="62"/>
      <c r="G81" s="62" t="s">
        <v>30</v>
      </c>
      <c r="H81" s="63">
        <v>400</v>
      </c>
      <c r="I81" s="64">
        <v>80</v>
      </c>
      <c r="J81" s="62" t="s">
        <v>31</v>
      </c>
      <c r="K81" s="62" t="s">
        <v>32</v>
      </c>
      <c r="M81" s="126">
        <v>150</v>
      </c>
    </row>
    <row r="82" spans="1:16" ht="15.75" customHeight="1">
      <c r="A82" s="50">
        <v>7</v>
      </c>
      <c r="B82" s="151" t="s">
        <v>3328</v>
      </c>
      <c r="C82" s="48" t="s">
        <v>27</v>
      </c>
      <c r="D82" s="48" t="s">
        <v>1937</v>
      </c>
      <c r="E82" s="48" t="s">
        <v>245</v>
      </c>
      <c r="F82" s="48"/>
      <c r="G82" s="48" t="s">
        <v>30</v>
      </c>
      <c r="H82" s="51">
        <v>500</v>
      </c>
      <c r="I82" s="49">
        <v>100</v>
      </c>
      <c r="J82" s="48" t="s">
        <v>31</v>
      </c>
      <c r="K82" s="48" t="s">
        <v>32</v>
      </c>
      <c r="M82" s="126">
        <v>100</v>
      </c>
    </row>
    <row r="83" spans="1:16" ht="15.75" customHeight="1">
      <c r="A83" s="50">
        <v>7</v>
      </c>
      <c r="B83" s="151" t="s">
        <v>3329</v>
      </c>
      <c r="C83" s="48" t="s">
        <v>27</v>
      </c>
      <c r="D83" s="48" t="s">
        <v>3330</v>
      </c>
      <c r="E83" s="48" t="s">
        <v>135</v>
      </c>
      <c r="F83" s="48"/>
      <c r="G83" s="48" t="s">
        <v>30</v>
      </c>
      <c r="H83" s="51">
        <v>500</v>
      </c>
      <c r="I83" s="49">
        <v>100</v>
      </c>
      <c r="J83" s="48" t="s">
        <v>31</v>
      </c>
      <c r="K83" s="48" t="s">
        <v>32</v>
      </c>
      <c r="M83" s="126">
        <v>400</v>
      </c>
    </row>
    <row r="84" spans="1:16" ht="15.75" customHeight="1">
      <c r="A84" s="50">
        <v>7</v>
      </c>
      <c r="B84" s="151" t="s">
        <v>3331</v>
      </c>
      <c r="C84" s="48" t="s">
        <v>27</v>
      </c>
      <c r="D84" s="48" t="s">
        <v>3330</v>
      </c>
      <c r="E84" s="48" t="s">
        <v>135</v>
      </c>
      <c r="F84" s="48"/>
      <c r="G84" s="48" t="s">
        <v>30</v>
      </c>
      <c r="H84" s="51">
        <v>500</v>
      </c>
      <c r="I84" s="49">
        <v>100</v>
      </c>
      <c r="J84" s="48" t="s">
        <v>31</v>
      </c>
      <c r="K84" s="48" t="s">
        <v>32</v>
      </c>
      <c r="M84" s="126">
        <v>300</v>
      </c>
    </row>
    <row r="85" spans="1:16" ht="15.75" customHeight="1">
      <c r="A85" s="50">
        <v>7</v>
      </c>
      <c r="B85" s="151" t="s">
        <v>3332</v>
      </c>
      <c r="C85" s="48" t="s">
        <v>27</v>
      </c>
      <c r="D85" s="48" t="s">
        <v>845</v>
      </c>
      <c r="E85" s="48" t="s">
        <v>79</v>
      </c>
      <c r="F85" s="48"/>
      <c r="G85" s="48" t="s">
        <v>30</v>
      </c>
      <c r="H85" s="51">
        <v>1500</v>
      </c>
      <c r="I85" s="49">
        <v>300</v>
      </c>
      <c r="J85" s="48" t="s">
        <v>31</v>
      </c>
      <c r="K85" s="48" t="s">
        <v>32</v>
      </c>
      <c r="P85" s="55"/>
    </row>
    <row r="86" spans="1:16" ht="15.75" customHeight="1">
      <c r="A86" s="50">
        <v>7</v>
      </c>
      <c r="B86" s="48" t="s">
        <v>3333</v>
      </c>
      <c r="C86" s="48" t="s">
        <v>27</v>
      </c>
      <c r="D86" s="48" t="s">
        <v>336</v>
      </c>
      <c r="E86" s="48" t="s">
        <v>41</v>
      </c>
      <c r="F86" s="48"/>
      <c r="G86" s="48" t="s">
        <v>30</v>
      </c>
      <c r="H86" s="51">
        <v>1000</v>
      </c>
      <c r="I86" s="49">
        <v>200</v>
      </c>
      <c r="J86" s="48" t="s">
        <v>31</v>
      </c>
      <c r="K86" s="48" t="s">
        <v>32</v>
      </c>
      <c r="M86" s="126">
        <v>200</v>
      </c>
      <c r="P86" s="55"/>
    </row>
    <row r="87" spans="1:16" ht="15.75" customHeight="1">
      <c r="A87" s="50">
        <v>7</v>
      </c>
      <c r="B87" s="48" t="s">
        <v>2858</v>
      </c>
      <c r="C87" s="48" t="s">
        <v>27</v>
      </c>
      <c r="D87" s="48" t="s">
        <v>232</v>
      </c>
      <c r="E87" s="48" t="s">
        <v>68</v>
      </c>
      <c r="F87" s="48"/>
      <c r="G87" s="48" t="s">
        <v>30</v>
      </c>
      <c r="H87" s="51">
        <v>2000</v>
      </c>
      <c r="I87" s="49">
        <v>400</v>
      </c>
      <c r="J87" s="48" t="s">
        <v>31</v>
      </c>
      <c r="K87" s="48" t="s">
        <v>32</v>
      </c>
      <c r="M87" s="126">
        <v>300</v>
      </c>
      <c r="P87" s="55"/>
    </row>
    <row r="88" spans="1:16" ht="15.75" customHeight="1">
      <c r="A88" s="50">
        <v>7</v>
      </c>
      <c r="B88" s="151" t="s">
        <v>3334</v>
      </c>
      <c r="C88" s="48" t="s">
        <v>27</v>
      </c>
      <c r="D88" s="48" t="s">
        <v>108</v>
      </c>
      <c r="E88" s="48" t="s">
        <v>44</v>
      </c>
      <c r="F88" s="48"/>
      <c r="G88" s="48" t="s">
        <v>30</v>
      </c>
      <c r="H88" s="51">
        <v>800</v>
      </c>
      <c r="I88" s="49">
        <v>160</v>
      </c>
      <c r="J88" s="48" t="s">
        <v>31</v>
      </c>
      <c r="K88" s="48" t="s">
        <v>32</v>
      </c>
      <c r="M88" s="126">
        <v>100</v>
      </c>
      <c r="P88" s="55"/>
    </row>
    <row r="89" spans="1:16" ht="15.75" customHeight="1">
      <c r="A89" s="50">
        <v>7</v>
      </c>
      <c r="B89" s="151" t="s">
        <v>2192</v>
      </c>
      <c r="C89" s="48" t="s">
        <v>27</v>
      </c>
      <c r="D89" s="48" t="s">
        <v>3335</v>
      </c>
      <c r="E89" s="48" t="s">
        <v>839</v>
      </c>
      <c r="F89" s="48"/>
      <c r="G89" s="48" t="s">
        <v>30</v>
      </c>
      <c r="H89" s="51">
        <v>200</v>
      </c>
      <c r="I89" s="49">
        <v>40</v>
      </c>
      <c r="J89" s="48" t="s">
        <v>31</v>
      </c>
      <c r="K89" s="48" t="s">
        <v>32</v>
      </c>
      <c r="M89" s="126">
        <v>40</v>
      </c>
    </row>
    <row r="90" spans="1:16" ht="15.75" customHeight="1">
      <c r="A90" s="65">
        <v>7</v>
      </c>
      <c r="B90" s="175" t="s">
        <v>1137</v>
      </c>
      <c r="C90" s="58" t="s">
        <v>27</v>
      </c>
      <c r="D90" s="58"/>
      <c r="E90" s="58" t="s">
        <v>135</v>
      </c>
      <c r="F90" s="58"/>
      <c r="G90" s="58" t="s">
        <v>30</v>
      </c>
      <c r="H90" s="59">
        <v>2000</v>
      </c>
      <c r="I90" s="60">
        <v>400</v>
      </c>
      <c r="J90" s="58" t="s">
        <v>31</v>
      </c>
      <c r="K90" s="58" t="s">
        <v>32</v>
      </c>
      <c r="M90" s="126">
        <v>1000</v>
      </c>
      <c r="P90" s="55"/>
    </row>
    <row r="91" spans="1:16" ht="15.75" customHeight="1">
      <c r="A91" s="61">
        <v>8</v>
      </c>
      <c r="B91" s="292" t="s">
        <v>3336</v>
      </c>
      <c r="C91" s="62" t="s">
        <v>27</v>
      </c>
      <c r="D91" s="62" t="s">
        <v>2359</v>
      </c>
      <c r="E91" s="62" t="s">
        <v>44</v>
      </c>
      <c r="F91" s="62"/>
      <c r="G91" s="62" t="s">
        <v>30</v>
      </c>
      <c r="H91" s="63">
        <v>500</v>
      </c>
      <c r="I91" s="64">
        <v>100</v>
      </c>
      <c r="J91" s="62" t="s">
        <v>31</v>
      </c>
      <c r="K91" s="62" t="s">
        <v>32</v>
      </c>
      <c r="M91" s="126">
        <v>300</v>
      </c>
    </row>
    <row r="92" spans="1:16" ht="15.75" customHeight="1">
      <c r="A92" s="50">
        <v>8</v>
      </c>
      <c r="B92" s="151" t="s">
        <v>2445</v>
      </c>
      <c r="C92" s="48" t="s">
        <v>27</v>
      </c>
      <c r="D92" s="48" t="s">
        <v>2359</v>
      </c>
      <c r="E92" s="48" t="s">
        <v>44</v>
      </c>
      <c r="F92" s="48"/>
      <c r="G92" s="48" t="s">
        <v>30</v>
      </c>
      <c r="H92" s="51">
        <v>500</v>
      </c>
      <c r="I92" s="49">
        <v>100</v>
      </c>
      <c r="J92" s="48" t="s">
        <v>31</v>
      </c>
      <c r="K92" s="48" t="s">
        <v>32</v>
      </c>
      <c r="M92" s="126">
        <v>150</v>
      </c>
    </row>
    <row r="93" spans="1:16" ht="15.75" customHeight="1">
      <c r="A93" s="50">
        <v>8</v>
      </c>
      <c r="B93" s="151" t="s">
        <v>3337</v>
      </c>
      <c r="C93" s="48" t="s">
        <v>27</v>
      </c>
      <c r="D93" s="48" t="s">
        <v>495</v>
      </c>
      <c r="E93" s="48" t="s">
        <v>245</v>
      </c>
      <c r="F93" s="48"/>
      <c r="G93" s="48" t="s">
        <v>348</v>
      </c>
      <c r="H93" s="51">
        <v>20</v>
      </c>
      <c r="I93" s="49">
        <v>60</v>
      </c>
      <c r="J93" s="48" t="s">
        <v>31</v>
      </c>
      <c r="K93" s="48" t="s">
        <v>32</v>
      </c>
    </row>
    <row r="94" spans="1:16" ht="15.75" customHeight="1">
      <c r="A94" s="50">
        <v>8</v>
      </c>
      <c r="B94" s="151" t="s">
        <v>3338</v>
      </c>
      <c r="C94" s="48" t="s">
        <v>27</v>
      </c>
      <c r="D94" s="48" t="s">
        <v>177</v>
      </c>
      <c r="E94" s="48" t="s">
        <v>44</v>
      </c>
      <c r="F94" s="48"/>
      <c r="G94" s="48" t="s">
        <v>30</v>
      </c>
      <c r="H94" s="51">
        <v>150</v>
      </c>
      <c r="I94" s="49">
        <v>30</v>
      </c>
      <c r="J94" s="48" t="s">
        <v>31</v>
      </c>
      <c r="K94" s="48" t="s">
        <v>32</v>
      </c>
    </row>
    <row r="95" spans="1:16" ht="15.75" customHeight="1">
      <c r="A95" s="50">
        <v>8</v>
      </c>
      <c r="B95" s="151" t="s">
        <v>3339</v>
      </c>
      <c r="C95" s="48" t="s">
        <v>27</v>
      </c>
      <c r="D95" s="48" t="s">
        <v>345</v>
      </c>
      <c r="E95" s="48" t="s">
        <v>36</v>
      </c>
      <c r="F95" s="48"/>
      <c r="G95" s="48" t="s">
        <v>30</v>
      </c>
      <c r="H95" s="51">
        <v>400</v>
      </c>
      <c r="I95" s="49">
        <v>80</v>
      </c>
      <c r="J95" s="48" t="s">
        <v>31</v>
      </c>
      <c r="K95" s="48" t="s">
        <v>32</v>
      </c>
      <c r="M95" s="126">
        <v>300</v>
      </c>
    </row>
    <row r="96" spans="1:16" ht="15.75" customHeight="1">
      <c r="A96" s="50">
        <v>8</v>
      </c>
      <c r="B96" s="151" t="s">
        <v>3340</v>
      </c>
      <c r="C96" s="48" t="s">
        <v>27</v>
      </c>
      <c r="D96" s="48" t="s">
        <v>100</v>
      </c>
      <c r="E96" s="48" t="s">
        <v>36</v>
      </c>
      <c r="F96" s="48"/>
      <c r="G96" s="48" t="s">
        <v>30</v>
      </c>
      <c r="H96" s="51">
        <v>200</v>
      </c>
      <c r="I96" s="49">
        <v>40</v>
      </c>
      <c r="J96" s="48" t="s">
        <v>31</v>
      </c>
      <c r="K96" s="48" t="s">
        <v>32</v>
      </c>
    </row>
    <row r="97" spans="1:13" ht="15.75" customHeight="1">
      <c r="A97" s="50">
        <v>8</v>
      </c>
      <c r="B97" s="151" t="s">
        <v>3341</v>
      </c>
      <c r="C97" s="48" t="s">
        <v>27</v>
      </c>
      <c r="D97" s="48" t="s">
        <v>1917</v>
      </c>
      <c r="E97" s="48" t="s">
        <v>68</v>
      </c>
      <c r="F97" s="48"/>
      <c r="G97" s="48" t="s">
        <v>30</v>
      </c>
      <c r="H97" s="51">
        <v>500</v>
      </c>
      <c r="I97" s="49">
        <v>100</v>
      </c>
      <c r="J97" s="48" t="s">
        <v>31</v>
      </c>
      <c r="K97" s="48" t="s">
        <v>32</v>
      </c>
      <c r="M97" s="126">
        <v>150</v>
      </c>
    </row>
    <row r="98" spans="1:13" ht="15.75" customHeight="1">
      <c r="A98" s="50">
        <v>8</v>
      </c>
      <c r="B98" s="151" t="s">
        <v>3342</v>
      </c>
      <c r="C98" s="48" t="s">
        <v>27</v>
      </c>
      <c r="D98" s="48" t="s">
        <v>422</v>
      </c>
      <c r="E98" s="48" t="s">
        <v>245</v>
      </c>
      <c r="F98" s="48"/>
      <c r="G98" s="48" t="s">
        <v>30</v>
      </c>
      <c r="H98" s="51">
        <v>500</v>
      </c>
      <c r="I98" s="49">
        <v>100</v>
      </c>
      <c r="J98" s="48" t="s">
        <v>31</v>
      </c>
      <c r="K98" s="48" t="s">
        <v>32</v>
      </c>
    </row>
    <row r="99" spans="1:13" ht="15.75" customHeight="1">
      <c r="A99" s="50">
        <v>8</v>
      </c>
      <c r="B99" s="151" t="s">
        <v>3342</v>
      </c>
      <c r="C99" s="48" t="s">
        <v>27</v>
      </c>
      <c r="D99" s="48" t="s">
        <v>422</v>
      </c>
      <c r="E99" s="48" t="s">
        <v>245</v>
      </c>
      <c r="F99" s="48"/>
      <c r="G99" s="48" t="s">
        <v>348</v>
      </c>
      <c r="H99" s="51">
        <v>50</v>
      </c>
      <c r="I99" s="49">
        <v>150</v>
      </c>
      <c r="J99" s="48"/>
      <c r="K99" s="48"/>
    </row>
    <row r="100" spans="1:13" ht="15.75" customHeight="1">
      <c r="A100" s="50">
        <v>8</v>
      </c>
      <c r="B100" s="151" t="s">
        <v>3343</v>
      </c>
      <c r="C100" s="48" t="s">
        <v>27</v>
      </c>
      <c r="D100" s="48" t="s">
        <v>266</v>
      </c>
      <c r="E100" s="48" t="s">
        <v>51</v>
      </c>
      <c r="F100" s="48"/>
      <c r="G100" s="48" t="s">
        <v>30</v>
      </c>
      <c r="H100" s="51">
        <v>1000</v>
      </c>
      <c r="I100" s="49">
        <v>200</v>
      </c>
      <c r="J100" s="48" t="s">
        <v>31</v>
      </c>
      <c r="K100" s="48" t="s">
        <v>32</v>
      </c>
      <c r="M100" s="126">
        <v>300</v>
      </c>
    </row>
    <row r="101" spans="1:13" ht="15.75" customHeight="1">
      <c r="A101" s="50">
        <v>8</v>
      </c>
      <c r="B101" s="151" t="s">
        <v>3344</v>
      </c>
      <c r="C101" s="48" t="s">
        <v>27</v>
      </c>
      <c r="D101" s="48" t="s">
        <v>3345</v>
      </c>
      <c r="E101" s="48" t="s">
        <v>135</v>
      </c>
      <c r="F101" s="48"/>
      <c r="G101" s="48" t="s">
        <v>30</v>
      </c>
      <c r="H101" s="51">
        <v>1500</v>
      </c>
      <c r="I101" s="49">
        <v>300</v>
      </c>
      <c r="J101" s="48" t="s">
        <v>31</v>
      </c>
      <c r="K101" s="48" t="s">
        <v>32</v>
      </c>
    </row>
    <row r="102" spans="1:13" ht="15.75" customHeight="1">
      <c r="A102" s="50">
        <v>8</v>
      </c>
      <c r="B102" s="151" t="s">
        <v>3346</v>
      </c>
      <c r="C102" s="48" t="s">
        <v>27</v>
      </c>
      <c r="D102" s="48" t="s">
        <v>100</v>
      </c>
      <c r="E102" s="48" t="s">
        <v>86</v>
      </c>
      <c r="F102" s="48"/>
      <c r="G102" s="48" t="s">
        <v>30</v>
      </c>
      <c r="H102" s="51">
        <v>600</v>
      </c>
      <c r="I102" s="49">
        <v>120</v>
      </c>
      <c r="J102" s="48" t="s">
        <v>31</v>
      </c>
      <c r="K102" s="48" t="s">
        <v>32</v>
      </c>
    </row>
    <row r="103" spans="1:13" ht="15.75" customHeight="1">
      <c r="A103" s="65">
        <v>8</v>
      </c>
      <c r="B103" s="175" t="s">
        <v>3347</v>
      </c>
      <c r="C103" s="58" t="s">
        <v>27</v>
      </c>
      <c r="D103" s="58" t="s">
        <v>600</v>
      </c>
      <c r="E103" s="58" t="s">
        <v>51</v>
      </c>
      <c r="F103" s="58"/>
      <c r="G103" s="58" t="s">
        <v>30</v>
      </c>
      <c r="H103" s="59">
        <v>9000</v>
      </c>
      <c r="I103" s="60">
        <v>1800</v>
      </c>
      <c r="J103" s="58" t="s">
        <v>31</v>
      </c>
      <c r="K103" s="58" t="s">
        <v>32</v>
      </c>
      <c r="M103" s="126">
        <v>900</v>
      </c>
    </row>
    <row r="104" spans="1:13" ht="15.75" customHeight="1">
      <c r="A104" s="61">
        <v>9</v>
      </c>
      <c r="B104" s="292" t="s">
        <v>3348</v>
      </c>
      <c r="C104" s="62" t="s">
        <v>27</v>
      </c>
      <c r="D104" s="62" t="s">
        <v>391</v>
      </c>
      <c r="E104" s="62" t="s">
        <v>73</v>
      </c>
      <c r="F104" s="62"/>
      <c r="G104" s="62" t="s">
        <v>30</v>
      </c>
      <c r="H104" s="63">
        <v>600</v>
      </c>
      <c r="I104" s="64">
        <v>120</v>
      </c>
      <c r="J104" s="62" t="s">
        <v>31</v>
      </c>
      <c r="K104" s="62" t="s">
        <v>32</v>
      </c>
      <c r="M104" s="126">
        <v>35</v>
      </c>
    </row>
    <row r="105" spans="1:13" ht="15.75" customHeight="1">
      <c r="A105" s="50">
        <v>9</v>
      </c>
      <c r="B105" s="151" t="s">
        <v>1602</v>
      </c>
      <c r="C105" s="48" t="s">
        <v>27</v>
      </c>
      <c r="D105" s="48" t="s">
        <v>607</v>
      </c>
      <c r="E105" s="48" t="s">
        <v>36</v>
      </c>
      <c r="F105" s="48"/>
      <c r="G105" s="48" t="s">
        <v>30</v>
      </c>
      <c r="H105" s="51">
        <v>500</v>
      </c>
      <c r="I105" s="49">
        <v>100</v>
      </c>
      <c r="J105" s="48" t="s">
        <v>31</v>
      </c>
      <c r="K105" s="48" t="s">
        <v>32</v>
      </c>
    </row>
    <row r="106" spans="1:13" ht="15.75" customHeight="1">
      <c r="A106" s="50">
        <v>9</v>
      </c>
      <c r="B106" s="151" t="s">
        <v>2501</v>
      </c>
      <c r="C106" s="48" t="s">
        <v>27</v>
      </c>
      <c r="D106" s="48" t="s">
        <v>1489</v>
      </c>
      <c r="E106" s="48" t="s">
        <v>86</v>
      </c>
      <c r="F106" s="48"/>
      <c r="G106" s="48" t="s">
        <v>30</v>
      </c>
      <c r="H106" s="51">
        <v>500</v>
      </c>
      <c r="I106" s="49">
        <v>100</v>
      </c>
      <c r="J106" s="48" t="s">
        <v>31</v>
      </c>
      <c r="K106" s="48" t="s">
        <v>32</v>
      </c>
    </row>
    <row r="107" spans="1:13" ht="15.75" customHeight="1">
      <c r="A107" s="50">
        <v>9</v>
      </c>
      <c r="B107" s="151" t="s">
        <v>3162</v>
      </c>
      <c r="C107" s="48" t="s">
        <v>27</v>
      </c>
      <c r="D107" s="48" t="s">
        <v>934</v>
      </c>
      <c r="E107" s="48" t="s">
        <v>44</v>
      </c>
      <c r="F107" s="48"/>
      <c r="G107" s="48" t="s">
        <v>61</v>
      </c>
      <c r="H107" s="51">
        <v>250</v>
      </c>
      <c r="I107" s="49">
        <v>750</v>
      </c>
      <c r="J107" s="48" t="s">
        <v>31</v>
      </c>
      <c r="K107" s="48" t="s">
        <v>32</v>
      </c>
    </row>
    <row r="108" spans="1:13" ht="15.75" customHeight="1">
      <c r="A108" s="50">
        <v>9</v>
      </c>
      <c r="B108" s="151" t="s">
        <v>3349</v>
      </c>
      <c r="C108" s="48" t="s">
        <v>39</v>
      </c>
      <c r="D108" s="48" t="s">
        <v>1307</v>
      </c>
      <c r="E108" s="48" t="s">
        <v>148</v>
      </c>
      <c r="F108" s="48"/>
      <c r="G108" s="48" t="s">
        <v>348</v>
      </c>
      <c r="H108" s="51">
        <v>30</v>
      </c>
      <c r="I108" s="49">
        <v>90</v>
      </c>
      <c r="J108" s="48" t="s">
        <v>31</v>
      </c>
      <c r="K108" s="48" t="s">
        <v>32</v>
      </c>
    </row>
    <row r="109" spans="1:13" ht="15.75" customHeight="1">
      <c r="A109" s="50">
        <v>9</v>
      </c>
      <c r="B109" s="151" t="s">
        <v>3350</v>
      </c>
      <c r="C109" s="48" t="s">
        <v>27</v>
      </c>
      <c r="D109" s="48" t="s">
        <v>132</v>
      </c>
      <c r="E109" s="48" t="s">
        <v>86</v>
      </c>
      <c r="F109" s="48"/>
      <c r="G109" s="48" t="s">
        <v>30</v>
      </c>
      <c r="H109" s="51">
        <v>600</v>
      </c>
      <c r="I109" s="49">
        <v>120</v>
      </c>
      <c r="J109" s="48" t="s">
        <v>31</v>
      </c>
      <c r="K109" s="48" t="s">
        <v>32</v>
      </c>
      <c r="M109" s="126">
        <v>130</v>
      </c>
    </row>
    <row r="110" spans="1:13" ht="15.75" customHeight="1">
      <c r="A110" s="50">
        <v>9</v>
      </c>
      <c r="B110" s="151" t="s">
        <v>3351</v>
      </c>
      <c r="C110" s="48" t="s">
        <v>27</v>
      </c>
      <c r="D110" s="48" t="s">
        <v>345</v>
      </c>
      <c r="E110" s="48" t="s">
        <v>36</v>
      </c>
      <c r="F110" s="48"/>
      <c r="G110" s="48" t="s">
        <v>30</v>
      </c>
      <c r="H110" s="51">
        <v>500</v>
      </c>
      <c r="I110" s="49">
        <v>100</v>
      </c>
      <c r="J110" s="48" t="s">
        <v>31</v>
      </c>
      <c r="K110" s="48" t="s">
        <v>32</v>
      </c>
    </row>
    <row r="111" spans="1:13" ht="15.75" customHeight="1">
      <c r="A111" s="50">
        <v>9</v>
      </c>
      <c r="B111" s="151" t="s">
        <v>3352</v>
      </c>
      <c r="C111" s="48" t="s">
        <v>27</v>
      </c>
      <c r="D111" s="48" t="s">
        <v>234</v>
      </c>
      <c r="E111" s="48" t="s">
        <v>86</v>
      </c>
      <c r="F111" s="48"/>
      <c r="G111" s="48" t="s">
        <v>30</v>
      </c>
      <c r="H111" s="51">
        <v>200</v>
      </c>
      <c r="I111" s="49">
        <v>40</v>
      </c>
      <c r="J111" s="48" t="s">
        <v>31</v>
      </c>
      <c r="K111" s="48" t="s">
        <v>32</v>
      </c>
      <c r="M111" s="126">
        <v>50</v>
      </c>
    </row>
    <row r="112" spans="1:13" ht="15.75" customHeight="1">
      <c r="A112" s="50">
        <v>9</v>
      </c>
      <c r="B112" s="48" t="s">
        <v>480</v>
      </c>
      <c r="C112" s="48" t="s">
        <v>27</v>
      </c>
      <c r="D112" s="48" t="s">
        <v>3353</v>
      </c>
      <c r="E112" s="48" t="s">
        <v>3354</v>
      </c>
      <c r="F112" s="48"/>
      <c r="G112" s="48" t="s">
        <v>30</v>
      </c>
      <c r="H112" s="51">
        <v>20000</v>
      </c>
      <c r="I112" s="49">
        <v>4000</v>
      </c>
      <c r="J112" s="48" t="s">
        <v>31</v>
      </c>
      <c r="K112" s="48" t="s">
        <v>32</v>
      </c>
      <c r="M112" s="126">
        <v>4000</v>
      </c>
    </row>
    <row r="113" spans="1:26" ht="15.75" customHeight="1">
      <c r="A113" s="50">
        <v>9</v>
      </c>
      <c r="B113" s="48" t="s">
        <v>480</v>
      </c>
      <c r="C113" s="48" t="s">
        <v>27</v>
      </c>
      <c r="D113" s="48" t="s">
        <v>3353</v>
      </c>
      <c r="E113" s="48" t="s">
        <v>3354</v>
      </c>
      <c r="F113" s="48"/>
      <c r="G113" s="386" t="s">
        <v>561</v>
      </c>
      <c r="H113" s="393">
        <v>2000</v>
      </c>
      <c r="I113" s="49">
        <v>4000</v>
      </c>
      <c r="J113" s="48" t="s">
        <v>31</v>
      </c>
      <c r="K113" s="48" t="s">
        <v>32</v>
      </c>
    </row>
    <row r="114" spans="1:26" ht="15.75" customHeight="1">
      <c r="A114" s="50">
        <v>9</v>
      </c>
      <c r="B114" s="151" t="s">
        <v>3355</v>
      </c>
      <c r="C114" s="48" t="s">
        <v>27</v>
      </c>
      <c r="D114" s="48" t="s">
        <v>3356</v>
      </c>
      <c r="E114" s="48" t="s">
        <v>29</v>
      </c>
      <c r="F114" s="48"/>
      <c r="G114" s="48" t="s">
        <v>30</v>
      </c>
      <c r="H114" s="51">
        <v>18000</v>
      </c>
      <c r="I114" s="49">
        <v>3600</v>
      </c>
      <c r="J114" s="48" t="s">
        <v>31</v>
      </c>
      <c r="K114" s="48" t="s">
        <v>32</v>
      </c>
    </row>
    <row r="115" spans="1:26" ht="15.75" customHeight="1">
      <c r="A115" s="50">
        <v>9</v>
      </c>
      <c r="B115" s="151" t="s">
        <v>3357</v>
      </c>
      <c r="C115" s="48" t="s">
        <v>27</v>
      </c>
      <c r="D115" s="48" t="s">
        <v>3031</v>
      </c>
      <c r="E115" s="48" t="s">
        <v>245</v>
      </c>
      <c r="F115" s="48"/>
      <c r="G115" s="48" t="s">
        <v>30</v>
      </c>
      <c r="H115" s="51">
        <v>1000</v>
      </c>
      <c r="I115" s="49">
        <v>200</v>
      </c>
      <c r="J115" s="48" t="s">
        <v>31</v>
      </c>
      <c r="K115" s="48" t="s">
        <v>32</v>
      </c>
      <c r="M115" s="126">
        <v>300</v>
      </c>
    </row>
    <row r="116" spans="1:26" ht="15.75" customHeight="1">
      <c r="A116" s="65">
        <v>9</v>
      </c>
      <c r="B116" s="175" t="s">
        <v>3218</v>
      </c>
      <c r="C116" s="58" t="s">
        <v>39</v>
      </c>
      <c r="D116" s="58" t="s">
        <v>205</v>
      </c>
      <c r="E116" s="58" t="s">
        <v>191</v>
      </c>
      <c r="F116" s="58"/>
      <c r="G116" s="58" t="s">
        <v>30</v>
      </c>
      <c r="H116" s="59">
        <v>500</v>
      </c>
      <c r="I116" s="60">
        <v>100</v>
      </c>
      <c r="J116" s="58" t="s">
        <v>31</v>
      </c>
      <c r="K116" s="58" t="s">
        <v>32</v>
      </c>
      <c r="M116" s="126">
        <v>100</v>
      </c>
    </row>
    <row r="117" spans="1:26" ht="15.75" customHeight="1">
      <c r="A117" s="61">
        <v>10</v>
      </c>
      <c r="B117" s="292" t="s">
        <v>3358</v>
      </c>
      <c r="C117" s="62" t="s">
        <v>39</v>
      </c>
      <c r="D117" s="62" t="s">
        <v>593</v>
      </c>
      <c r="E117" s="62" t="s">
        <v>169</v>
      </c>
      <c r="F117" s="62"/>
      <c r="G117" s="62" t="s">
        <v>30</v>
      </c>
      <c r="H117" s="63">
        <v>6000</v>
      </c>
      <c r="I117" s="64">
        <v>1200</v>
      </c>
      <c r="J117" s="62" t="s">
        <v>31</v>
      </c>
      <c r="K117" s="62" t="s">
        <v>32</v>
      </c>
      <c r="M117" s="126">
        <v>1200</v>
      </c>
    </row>
    <row r="118" spans="1:26" ht="15.75" customHeight="1">
      <c r="A118" s="50">
        <v>10</v>
      </c>
      <c r="B118" s="151" t="s">
        <v>3359</v>
      </c>
      <c r="C118" s="48" t="s">
        <v>27</v>
      </c>
      <c r="D118" s="48" t="s">
        <v>934</v>
      </c>
      <c r="E118" s="48" t="s">
        <v>44</v>
      </c>
      <c r="F118" s="48"/>
      <c r="G118" s="48" t="s">
        <v>30</v>
      </c>
      <c r="H118" s="51">
        <v>8000</v>
      </c>
      <c r="I118" s="49">
        <v>1600</v>
      </c>
      <c r="J118" s="48" t="s">
        <v>31</v>
      </c>
      <c r="K118" s="48" t="s">
        <v>32</v>
      </c>
      <c r="M118" s="126">
        <v>1600</v>
      </c>
    </row>
    <row r="119" spans="1:26" ht="15.75" customHeight="1">
      <c r="A119" s="50">
        <v>10</v>
      </c>
      <c r="B119" s="151" t="s">
        <v>2587</v>
      </c>
      <c r="C119" s="48" t="s">
        <v>27</v>
      </c>
      <c r="D119" s="48" t="s">
        <v>79</v>
      </c>
      <c r="E119" s="48" t="s">
        <v>145</v>
      </c>
      <c r="F119" s="48"/>
      <c r="G119" s="48" t="s">
        <v>30</v>
      </c>
      <c r="H119" s="51">
        <v>8000</v>
      </c>
      <c r="I119" s="49">
        <v>1600</v>
      </c>
      <c r="J119" s="48" t="s">
        <v>31</v>
      </c>
      <c r="K119" s="48" t="s">
        <v>32</v>
      </c>
      <c r="M119" s="126">
        <v>750</v>
      </c>
    </row>
    <row r="120" spans="1:26" ht="15.75" customHeight="1">
      <c r="A120" s="50">
        <v>10</v>
      </c>
      <c r="B120" s="151" t="s">
        <v>3360</v>
      </c>
      <c r="C120" s="48" t="s">
        <v>27</v>
      </c>
      <c r="D120" s="48" t="s">
        <v>365</v>
      </c>
      <c r="E120" s="48" t="s">
        <v>54</v>
      </c>
      <c r="F120" s="48"/>
      <c r="G120" s="48" t="s">
        <v>30</v>
      </c>
      <c r="H120" s="51">
        <v>1000</v>
      </c>
      <c r="I120" s="49">
        <v>200</v>
      </c>
      <c r="J120" s="48" t="s">
        <v>31</v>
      </c>
      <c r="K120" s="48" t="s">
        <v>32</v>
      </c>
      <c r="M120" s="126">
        <v>200</v>
      </c>
    </row>
    <row r="121" spans="1:26" ht="15.75" customHeight="1">
      <c r="A121" s="50">
        <v>10</v>
      </c>
      <c r="B121" s="151" t="s">
        <v>3188</v>
      </c>
      <c r="C121" s="48" t="s">
        <v>27</v>
      </c>
      <c r="D121" s="48" t="s">
        <v>70</v>
      </c>
      <c r="E121" s="48" t="s">
        <v>36</v>
      </c>
      <c r="F121" s="48"/>
      <c r="G121" s="48" t="s">
        <v>30</v>
      </c>
      <c r="H121" s="51">
        <v>1000</v>
      </c>
      <c r="I121" s="49">
        <v>200</v>
      </c>
      <c r="J121" s="48" t="s">
        <v>31</v>
      </c>
      <c r="K121" s="48" t="s">
        <v>32</v>
      </c>
      <c r="M121" s="126">
        <v>200</v>
      </c>
    </row>
    <row r="122" spans="1:26" ht="15.75" customHeight="1">
      <c r="A122" s="50">
        <v>10</v>
      </c>
      <c r="B122" s="151" t="s">
        <v>1594</v>
      </c>
      <c r="C122" s="48" t="s">
        <v>27</v>
      </c>
      <c r="D122" s="48" t="s">
        <v>345</v>
      </c>
      <c r="E122" s="48" t="s">
        <v>36</v>
      </c>
      <c r="F122" s="48"/>
      <c r="G122" s="48" t="s">
        <v>30</v>
      </c>
      <c r="H122" s="51">
        <v>500</v>
      </c>
      <c r="I122" s="49">
        <v>100</v>
      </c>
      <c r="J122" s="48" t="s">
        <v>31</v>
      </c>
      <c r="K122" s="48" t="s">
        <v>32</v>
      </c>
      <c r="M122" s="126">
        <v>225</v>
      </c>
    </row>
    <row r="123" spans="1:26" ht="15.75" customHeight="1">
      <c r="A123" s="50">
        <v>10</v>
      </c>
      <c r="B123" s="151" t="s">
        <v>3361</v>
      </c>
      <c r="C123" s="48" t="s">
        <v>27</v>
      </c>
      <c r="D123" s="48" t="s">
        <v>106</v>
      </c>
      <c r="E123" s="48" t="s">
        <v>29</v>
      </c>
      <c r="F123" s="48"/>
      <c r="G123" s="48" t="s">
        <v>30</v>
      </c>
      <c r="H123" s="51">
        <v>6000</v>
      </c>
      <c r="I123" s="49">
        <v>1200</v>
      </c>
      <c r="J123" s="48" t="s">
        <v>31</v>
      </c>
      <c r="K123" s="48" t="s">
        <v>32</v>
      </c>
      <c r="L123" s="370"/>
      <c r="M123" s="370">
        <v>2000</v>
      </c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5.75" customHeight="1">
      <c r="A124" s="50">
        <v>10</v>
      </c>
      <c r="B124" s="151" t="s">
        <v>3362</v>
      </c>
      <c r="C124" s="48" t="s">
        <v>39</v>
      </c>
      <c r="D124" s="48" t="s">
        <v>3363</v>
      </c>
      <c r="E124" s="48" t="s">
        <v>484</v>
      </c>
      <c r="F124" s="48"/>
      <c r="G124" s="48" t="s">
        <v>30</v>
      </c>
      <c r="H124" s="51">
        <v>250</v>
      </c>
      <c r="I124" s="49">
        <v>50</v>
      </c>
      <c r="J124" s="48" t="s">
        <v>31</v>
      </c>
      <c r="K124" s="48" t="s">
        <v>32</v>
      </c>
      <c r="M124" s="126">
        <v>50</v>
      </c>
    </row>
    <row r="125" spans="1:26" ht="15.75" customHeight="1">
      <c r="A125" s="50">
        <v>10</v>
      </c>
      <c r="B125" s="151" t="s">
        <v>3364</v>
      </c>
      <c r="C125" s="48" t="s">
        <v>27</v>
      </c>
      <c r="D125" s="48" t="s">
        <v>483</v>
      </c>
      <c r="E125" s="48" t="s">
        <v>484</v>
      </c>
      <c r="F125" s="48"/>
      <c r="G125" s="48" t="s">
        <v>30</v>
      </c>
      <c r="H125" s="51">
        <v>300</v>
      </c>
      <c r="I125" s="49">
        <v>60</v>
      </c>
      <c r="J125" s="48" t="s">
        <v>31</v>
      </c>
      <c r="K125" s="48" t="s">
        <v>32</v>
      </c>
      <c r="M125" s="126">
        <v>100</v>
      </c>
    </row>
    <row r="126" spans="1:26" ht="15.75" customHeight="1">
      <c r="A126" s="50">
        <v>10</v>
      </c>
      <c r="B126" s="151" t="s">
        <v>3365</v>
      </c>
      <c r="C126" s="48" t="s">
        <v>27</v>
      </c>
      <c r="D126" s="48" t="s">
        <v>191</v>
      </c>
      <c r="E126" s="48" t="s">
        <v>47</v>
      </c>
      <c r="F126" s="48"/>
      <c r="G126" s="48" t="s">
        <v>30</v>
      </c>
      <c r="H126" s="51">
        <v>1000</v>
      </c>
      <c r="I126" s="49">
        <v>200</v>
      </c>
      <c r="J126" s="48" t="s">
        <v>31</v>
      </c>
      <c r="K126" s="48" t="s">
        <v>32</v>
      </c>
      <c r="M126" s="126">
        <v>600</v>
      </c>
    </row>
    <row r="127" spans="1:26" ht="15.75" customHeight="1">
      <c r="A127" s="65">
        <v>10</v>
      </c>
      <c r="B127" s="175" t="s">
        <v>3366</v>
      </c>
      <c r="C127" s="58" t="s">
        <v>27</v>
      </c>
      <c r="D127" s="58" t="s">
        <v>889</v>
      </c>
      <c r="E127" s="58" t="s">
        <v>36</v>
      </c>
      <c r="F127" s="58"/>
      <c r="G127" s="58" t="s">
        <v>30</v>
      </c>
      <c r="H127" s="59">
        <v>1000</v>
      </c>
      <c r="I127" s="60">
        <v>200</v>
      </c>
      <c r="J127" s="58" t="s">
        <v>31</v>
      </c>
      <c r="K127" s="58" t="s">
        <v>32</v>
      </c>
      <c r="M127" s="126">
        <v>300</v>
      </c>
    </row>
    <row r="128" spans="1:26" ht="15.75" customHeight="1">
      <c r="A128" s="61">
        <v>12</v>
      </c>
      <c r="B128" s="292" t="s">
        <v>3367</v>
      </c>
      <c r="C128" s="62" t="s">
        <v>39</v>
      </c>
      <c r="D128" s="62" t="s">
        <v>1320</v>
      </c>
      <c r="E128" s="62" t="s">
        <v>44</v>
      </c>
      <c r="F128" s="62"/>
      <c r="G128" s="62" t="s">
        <v>30</v>
      </c>
      <c r="H128" s="63">
        <v>2000</v>
      </c>
      <c r="I128" s="64">
        <v>400</v>
      </c>
      <c r="J128" s="62" t="s">
        <v>31</v>
      </c>
      <c r="K128" s="62" t="s">
        <v>32</v>
      </c>
      <c r="M128" s="126">
        <v>400</v>
      </c>
    </row>
    <row r="129" spans="1:13" ht="15.75" customHeight="1">
      <c r="A129" s="50">
        <v>12</v>
      </c>
      <c r="B129" s="151" t="s">
        <v>3368</v>
      </c>
      <c r="C129" s="48" t="s">
        <v>39</v>
      </c>
      <c r="D129" s="48" t="s">
        <v>128</v>
      </c>
      <c r="E129" s="48" t="s">
        <v>44</v>
      </c>
      <c r="F129" s="48"/>
      <c r="G129" s="48" t="s">
        <v>30</v>
      </c>
      <c r="H129" s="51">
        <v>300</v>
      </c>
      <c r="I129" s="49">
        <v>60</v>
      </c>
      <c r="J129" s="48" t="s">
        <v>31</v>
      </c>
      <c r="K129" s="48" t="s">
        <v>32</v>
      </c>
      <c r="M129" s="126">
        <v>60</v>
      </c>
    </row>
    <row r="130" spans="1:13" ht="15.75" customHeight="1">
      <c r="A130" s="50">
        <v>12</v>
      </c>
      <c r="B130" s="151" t="s">
        <v>3369</v>
      </c>
      <c r="C130" s="48" t="s">
        <v>27</v>
      </c>
      <c r="D130" s="48" t="s">
        <v>108</v>
      </c>
      <c r="E130" s="48" t="s">
        <v>36</v>
      </c>
      <c r="F130" s="48"/>
      <c r="G130" s="48" t="s">
        <v>30</v>
      </c>
      <c r="H130" s="51">
        <v>500</v>
      </c>
      <c r="I130" s="49">
        <v>100</v>
      </c>
      <c r="J130" s="48" t="s">
        <v>31</v>
      </c>
      <c r="K130" s="48" t="s">
        <v>32</v>
      </c>
      <c r="M130" s="126">
        <v>150</v>
      </c>
    </row>
    <row r="131" spans="1:13" ht="15.75" customHeight="1">
      <c r="A131" s="50">
        <v>12</v>
      </c>
      <c r="B131" s="151" t="s">
        <v>3370</v>
      </c>
      <c r="C131" s="48" t="s">
        <v>27</v>
      </c>
      <c r="D131" s="48" t="s">
        <v>96</v>
      </c>
      <c r="E131" s="48" t="s">
        <v>44</v>
      </c>
      <c r="F131" s="48"/>
      <c r="G131" s="48" t="s">
        <v>30</v>
      </c>
      <c r="H131" s="51">
        <v>100</v>
      </c>
      <c r="I131" s="49">
        <v>20</v>
      </c>
      <c r="J131" s="48" t="s">
        <v>31</v>
      </c>
      <c r="K131" s="48" t="s">
        <v>32</v>
      </c>
      <c r="M131" s="126">
        <v>9</v>
      </c>
    </row>
    <row r="132" spans="1:13" ht="15.75" customHeight="1">
      <c r="A132" s="50">
        <v>12</v>
      </c>
      <c r="B132" s="151" t="s">
        <v>1360</v>
      </c>
      <c r="C132" s="48" t="s">
        <v>27</v>
      </c>
      <c r="D132" s="48" t="s">
        <v>363</v>
      </c>
      <c r="E132" s="48" t="s">
        <v>84</v>
      </c>
      <c r="F132" s="48"/>
      <c r="G132" s="48" t="s">
        <v>30</v>
      </c>
      <c r="H132" s="51">
        <v>1000</v>
      </c>
      <c r="I132" s="49">
        <v>200</v>
      </c>
      <c r="J132" s="48" t="s">
        <v>31</v>
      </c>
      <c r="K132" s="48" t="s">
        <v>32</v>
      </c>
      <c r="M132" s="126">
        <v>200</v>
      </c>
    </row>
    <row r="133" spans="1:13" ht="15.75" customHeight="1">
      <c r="A133" s="50">
        <v>12</v>
      </c>
      <c r="B133" s="151" t="s">
        <v>3371</v>
      </c>
      <c r="C133" s="48" t="s">
        <v>27</v>
      </c>
      <c r="D133" s="48" t="s">
        <v>1129</v>
      </c>
      <c r="E133" s="48" t="s">
        <v>29</v>
      </c>
      <c r="F133" s="48"/>
      <c r="G133" s="48" t="s">
        <v>30</v>
      </c>
      <c r="H133" s="51">
        <v>200</v>
      </c>
      <c r="I133" s="49">
        <v>40</v>
      </c>
      <c r="J133" s="48" t="s">
        <v>31</v>
      </c>
      <c r="K133" s="48" t="s">
        <v>32</v>
      </c>
      <c r="M133" s="126">
        <v>40</v>
      </c>
    </row>
    <row r="134" spans="1:13" ht="15.75" customHeight="1">
      <c r="A134" s="50">
        <v>12</v>
      </c>
      <c r="B134" s="151" t="s">
        <v>822</v>
      </c>
      <c r="C134" s="48" t="s">
        <v>27</v>
      </c>
      <c r="D134" s="48" t="s">
        <v>823</v>
      </c>
      <c r="E134" s="48" t="s">
        <v>824</v>
      </c>
      <c r="F134" s="48"/>
      <c r="G134" s="48" t="s">
        <v>30</v>
      </c>
      <c r="H134" s="51">
        <v>2000</v>
      </c>
      <c r="I134" s="49">
        <v>400</v>
      </c>
      <c r="J134" s="48" t="s">
        <v>31</v>
      </c>
      <c r="K134" s="48" t="s">
        <v>32</v>
      </c>
      <c r="M134" s="126">
        <v>500</v>
      </c>
    </row>
    <row r="135" spans="1:13" ht="15.75" customHeight="1">
      <c r="A135" s="50">
        <v>12</v>
      </c>
      <c r="B135" s="151" t="s">
        <v>822</v>
      </c>
      <c r="C135" s="48" t="s">
        <v>27</v>
      </c>
      <c r="D135" s="48" t="s">
        <v>823</v>
      </c>
      <c r="E135" s="48" t="s">
        <v>824</v>
      </c>
      <c r="F135" s="48"/>
      <c r="G135" s="48" t="s">
        <v>115</v>
      </c>
      <c r="H135" s="51">
        <v>500</v>
      </c>
      <c r="I135" s="49">
        <v>500</v>
      </c>
      <c r="J135" s="48" t="s">
        <v>31</v>
      </c>
      <c r="K135" s="48" t="s">
        <v>32</v>
      </c>
    </row>
    <row r="136" spans="1:13" ht="15.75" customHeight="1">
      <c r="A136" s="50">
        <v>12</v>
      </c>
      <c r="B136" s="151" t="s">
        <v>3372</v>
      </c>
      <c r="C136" s="48" t="s">
        <v>27</v>
      </c>
      <c r="D136" s="48" t="s">
        <v>100</v>
      </c>
      <c r="E136" s="48" t="s">
        <v>36</v>
      </c>
      <c r="F136" s="48"/>
      <c r="G136" s="48" t="s">
        <v>30</v>
      </c>
      <c r="H136" s="51">
        <v>500</v>
      </c>
      <c r="I136" s="49" t="s">
        <v>1586</v>
      </c>
      <c r="J136" s="48" t="s">
        <v>31</v>
      </c>
      <c r="K136" s="48" t="s">
        <v>32</v>
      </c>
    </row>
    <row r="137" spans="1:13" ht="15.75" customHeight="1">
      <c r="A137" s="50">
        <v>12</v>
      </c>
      <c r="B137" s="151" t="s">
        <v>3372</v>
      </c>
      <c r="C137" s="48" t="s">
        <v>27</v>
      </c>
      <c r="D137" s="48" t="s">
        <v>100</v>
      </c>
      <c r="E137" s="48" t="s">
        <v>36</v>
      </c>
      <c r="F137" s="48"/>
      <c r="G137" s="48" t="s">
        <v>30</v>
      </c>
      <c r="H137" s="51">
        <v>19500</v>
      </c>
      <c r="I137" s="49">
        <v>3900</v>
      </c>
      <c r="J137" s="48" t="s">
        <v>31</v>
      </c>
      <c r="K137" s="48" t="s">
        <v>32</v>
      </c>
      <c r="M137" s="126">
        <v>4000</v>
      </c>
    </row>
    <row r="138" spans="1:13" ht="15.75" customHeight="1">
      <c r="A138" s="50">
        <v>12</v>
      </c>
      <c r="B138" s="151" t="s">
        <v>3373</v>
      </c>
      <c r="C138" s="48" t="s">
        <v>27</v>
      </c>
      <c r="D138" s="48" t="s">
        <v>2190</v>
      </c>
      <c r="E138" s="48" t="s">
        <v>41</v>
      </c>
      <c r="F138" s="48"/>
      <c r="G138" s="48" t="s">
        <v>30</v>
      </c>
      <c r="H138" s="51">
        <v>1000</v>
      </c>
      <c r="I138" s="49">
        <v>200</v>
      </c>
      <c r="J138" s="48" t="s">
        <v>31</v>
      </c>
      <c r="K138" s="48" t="s">
        <v>32</v>
      </c>
      <c r="M138" s="126">
        <v>200</v>
      </c>
    </row>
    <row r="139" spans="1:13" ht="15.75" customHeight="1">
      <c r="A139" s="50">
        <v>12</v>
      </c>
      <c r="B139" s="151" t="s">
        <v>3374</v>
      </c>
      <c r="C139" s="48" t="s">
        <v>39</v>
      </c>
      <c r="D139" s="48" t="s">
        <v>657</v>
      </c>
      <c r="E139" s="48" t="s">
        <v>237</v>
      </c>
      <c r="F139" s="48"/>
      <c r="G139" s="48" t="s">
        <v>30</v>
      </c>
      <c r="H139" s="51">
        <v>1000</v>
      </c>
      <c r="I139" s="49">
        <v>200</v>
      </c>
      <c r="J139" s="48" t="s">
        <v>31</v>
      </c>
      <c r="K139" s="48" t="s">
        <v>32</v>
      </c>
      <c r="M139" s="126">
        <v>300</v>
      </c>
    </row>
    <row r="140" spans="1:13" ht="15.75" customHeight="1">
      <c r="A140" s="50">
        <v>12</v>
      </c>
      <c r="B140" s="151" t="s">
        <v>3375</v>
      </c>
      <c r="C140" s="48" t="s">
        <v>27</v>
      </c>
      <c r="D140" s="48" t="s">
        <v>211</v>
      </c>
      <c r="E140" s="48" t="s">
        <v>36</v>
      </c>
      <c r="F140" s="48"/>
      <c r="G140" s="48" t="s">
        <v>30</v>
      </c>
      <c r="H140" s="51">
        <v>500</v>
      </c>
      <c r="I140" s="49" t="s">
        <v>1586</v>
      </c>
      <c r="J140" s="48" t="s">
        <v>31</v>
      </c>
      <c r="K140" s="48" t="s">
        <v>32</v>
      </c>
      <c r="M140" s="126">
        <v>100</v>
      </c>
    </row>
    <row r="141" spans="1:13" ht="15.75" customHeight="1">
      <c r="A141" s="50">
        <v>12</v>
      </c>
      <c r="B141" s="151" t="s">
        <v>3376</v>
      </c>
      <c r="C141" s="48" t="s">
        <v>39</v>
      </c>
      <c r="D141" s="48" t="s">
        <v>434</v>
      </c>
      <c r="E141" s="48" t="s">
        <v>36</v>
      </c>
      <c r="F141" s="48"/>
      <c r="G141" s="48" t="s">
        <v>30</v>
      </c>
      <c r="H141" s="51">
        <v>500</v>
      </c>
      <c r="I141" s="49" t="s">
        <v>1586</v>
      </c>
      <c r="J141" s="48" t="s">
        <v>31</v>
      </c>
      <c r="K141" s="48" t="s">
        <v>32</v>
      </c>
      <c r="M141" s="126">
        <v>100</v>
      </c>
    </row>
    <row r="142" spans="1:13" ht="15.75" customHeight="1">
      <c r="A142" s="382">
        <v>12</v>
      </c>
      <c r="B142" s="151" t="s">
        <v>2125</v>
      </c>
      <c r="C142" s="48" t="s">
        <v>27</v>
      </c>
      <c r="D142" s="48" t="s">
        <v>2126</v>
      </c>
      <c r="E142" s="48" t="s">
        <v>47</v>
      </c>
      <c r="F142" s="48"/>
      <c r="G142" s="48" t="s">
        <v>30</v>
      </c>
      <c r="H142" s="51">
        <v>6000</v>
      </c>
      <c r="I142" s="49">
        <v>1200</v>
      </c>
      <c r="J142" s="48" t="s">
        <v>31</v>
      </c>
      <c r="K142" s="48" t="s">
        <v>32</v>
      </c>
      <c r="M142" s="126">
        <v>1000</v>
      </c>
    </row>
    <row r="143" spans="1:13" ht="15.75" customHeight="1">
      <c r="A143" s="396">
        <v>12</v>
      </c>
      <c r="B143" s="166" t="s">
        <v>3377</v>
      </c>
      <c r="C143" s="166" t="s">
        <v>39</v>
      </c>
      <c r="D143" s="166" t="s">
        <v>43</v>
      </c>
      <c r="E143" s="166" t="s">
        <v>44</v>
      </c>
      <c r="F143" s="166"/>
      <c r="G143" s="166" t="s">
        <v>30</v>
      </c>
      <c r="H143" s="167">
        <v>1500</v>
      </c>
      <c r="I143" s="397" t="s">
        <v>1586</v>
      </c>
      <c r="J143" s="166" t="s">
        <v>31</v>
      </c>
      <c r="K143" s="48" t="s">
        <v>32</v>
      </c>
    </row>
    <row r="144" spans="1:13" ht="15.75" customHeight="1">
      <c r="A144" s="396">
        <v>12</v>
      </c>
      <c r="B144" s="166" t="s">
        <v>3377</v>
      </c>
      <c r="C144" s="166" t="s">
        <v>39</v>
      </c>
      <c r="D144" s="166" t="s">
        <v>43</v>
      </c>
      <c r="E144" s="166" t="s">
        <v>44</v>
      </c>
      <c r="F144" s="48"/>
      <c r="G144" s="48" t="s">
        <v>30</v>
      </c>
      <c r="H144" s="51">
        <v>500</v>
      </c>
      <c r="I144" s="49">
        <v>100</v>
      </c>
      <c r="J144" s="48" t="s">
        <v>31</v>
      </c>
      <c r="K144" s="48" t="s">
        <v>32</v>
      </c>
    </row>
    <row r="145" spans="1:19" ht="15.75" customHeight="1">
      <c r="A145" s="50">
        <v>12</v>
      </c>
      <c r="B145" s="48" t="s">
        <v>3024</v>
      </c>
      <c r="C145" s="48" t="s">
        <v>27</v>
      </c>
      <c r="D145" s="48" t="s">
        <v>1616</v>
      </c>
      <c r="E145" s="48" t="s">
        <v>47</v>
      </c>
      <c r="F145" s="48"/>
      <c r="G145" s="48" t="s">
        <v>30</v>
      </c>
      <c r="H145" s="51">
        <v>1000</v>
      </c>
      <c r="I145" s="49">
        <v>200</v>
      </c>
      <c r="J145" s="48" t="s">
        <v>31</v>
      </c>
      <c r="K145" s="48" t="s">
        <v>32</v>
      </c>
      <c r="M145" s="126">
        <v>500</v>
      </c>
    </row>
    <row r="146" spans="1:19" ht="15.75" customHeight="1">
      <c r="A146" s="50">
        <v>12</v>
      </c>
      <c r="B146" s="48" t="s">
        <v>3378</v>
      </c>
      <c r="C146" s="48" t="s">
        <v>27</v>
      </c>
      <c r="D146" s="48" t="s">
        <v>1616</v>
      </c>
      <c r="E146" s="48" t="s">
        <v>47</v>
      </c>
      <c r="F146" s="48"/>
      <c r="G146" s="48" t="s">
        <v>30</v>
      </c>
      <c r="H146" s="51">
        <v>1000</v>
      </c>
      <c r="I146" s="49">
        <v>200</v>
      </c>
      <c r="J146" s="48" t="s">
        <v>31</v>
      </c>
      <c r="K146" s="48" t="s">
        <v>32</v>
      </c>
      <c r="M146" s="126">
        <v>500</v>
      </c>
    </row>
    <row r="147" spans="1:19" ht="15.75" customHeight="1">
      <c r="A147" s="50">
        <v>12</v>
      </c>
      <c r="B147" s="48" t="s">
        <v>2395</v>
      </c>
      <c r="C147" s="48" t="s">
        <v>27</v>
      </c>
      <c r="D147" s="48" t="s">
        <v>108</v>
      </c>
      <c r="E147" s="48" t="s">
        <v>36</v>
      </c>
      <c r="F147" s="48"/>
      <c r="G147" s="48" t="s">
        <v>30</v>
      </c>
      <c r="H147" s="51">
        <v>1000</v>
      </c>
      <c r="I147" s="49">
        <v>200</v>
      </c>
      <c r="J147" s="48" t="s">
        <v>31</v>
      </c>
      <c r="K147" s="48" t="s">
        <v>32</v>
      </c>
      <c r="M147" s="126">
        <v>400</v>
      </c>
    </row>
    <row r="148" spans="1:19" ht="15.75" customHeight="1">
      <c r="A148" s="50">
        <v>12</v>
      </c>
      <c r="B148" s="48" t="s">
        <v>3205</v>
      </c>
      <c r="C148" s="48" t="s">
        <v>27</v>
      </c>
      <c r="D148" s="48" t="s">
        <v>205</v>
      </c>
      <c r="E148" s="48" t="s">
        <v>191</v>
      </c>
      <c r="F148" s="48"/>
      <c r="G148" s="48" t="s">
        <v>30</v>
      </c>
      <c r="H148" s="51">
        <v>500</v>
      </c>
      <c r="I148" s="49">
        <v>100</v>
      </c>
      <c r="J148" s="48" t="s">
        <v>31</v>
      </c>
      <c r="K148" s="48" t="s">
        <v>32</v>
      </c>
      <c r="M148" s="126">
        <v>250</v>
      </c>
      <c r="Q148" s="55"/>
      <c r="S148" s="55"/>
    </row>
    <row r="149" spans="1:19" ht="15.75" customHeight="1">
      <c r="A149" s="50">
        <v>12</v>
      </c>
      <c r="B149" s="48" t="s">
        <v>3379</v>
      </c>
      <c r="C149" s="48" t="s">
        <v>27</v>
      </c>
      <c r="D149" s="48" t="s">
        <v>1095</v>
      </c>
      <c r="E149" s="48" t="s">
        <v>89</v>
      </c>
      <c r="F149" s="48"/>
      <c r="G149" s="48" t="s">
        <v>30</v>
      </c>
      <c r="H149" s="51">
        <v>700</v>
      </c>
      <c r="I149" s="49">
        <v>140</v>
      </c>
      <c r="J149" s="48" t="s">
        <v>31</v>
      </c>
      <c r="K149" s="48" t="s">
        <v>32</v>
      </c>
      <c r="M149" s="126">
        <v>400</v>
      </c>
      <c r="Q149" s="55"/>
    </row>
    <row r="150" spans="1:19" ht="15.75" customHeight="1">
      <c r="A150" s="50">
        <v>12</v>
      </c>
      <c r="B150" s="48" t="s">
        <v>3380</v>
      </c>
      <c r="C150" s="48" t="s">
        <v>27</v>
      </c>
      <c r="D150" s="48" t="s">
        <v>3381</v>
      </c>
      <c r="E150" s="48" t="s">
        <v>84</v>
      </c>
      <c r="F150" s="48"/>
      <c r="G150" s="48" t="s">
        <v>30</v>
      </c>
      <c r="H150" s="51">
        <v>100</v>
      </c>
      <c r="I150" s="49">
        <v>20</v>
      </c>
      <c r="J150" s="48" t="s">
        <v>31</v>
      </c>
      <c r="K150" s="48" t="s">
        <v>32</v>
      </c>
      <c r="Q150" s="55"/>
    </row>
    <row r="151" spans="1:19" ht="15.75" customHeight="1">
      <c r="A151" s="50">
        <v>12</v>
      </c>
      <c r="B151" s="48" t="s">
        <v>3382</v>
      </c>
      <c r="C151" s="48" t="s">
        <v>27</v>
      </c>
      <c r="D151" s="48" t="s">
        <v>1396</v>
      </c>
      <c r="E151" s="48" t="s">
        <v>84</v>
      </c>
      <c r="F151" s="48"/>
      <c r="G151" s="48" t="s">
        <v>30</v>
      </c>
      <c r="H151" s="51">
        <v>400</v>
      </c>
      <c r="I151" s="49">
        <v>80</v>
      </c>
      <c r="J151" s="48" t="s">
        <v>31</v>
      </c>
      <c r="K151" s="48" t="s">
        <v>32</v>
      </c>
      <c r="M151" s="126">
        <v>150</v>
      </c>
    </row>
    <row r="152" spans="1:19" ht="15.75" customHeight="1">
      <c r="A152" s="50">
        <v>12</v>
      </c>
      <c r="B152" s="48" t="s">
        <v>3383</v>
      </c>
      <c r="C152" s="48" t="s">
        <v>39</v>
      </c>
      <c r="D152" s="48" t="s">
        <v>637</v>
      </c>
      <c r="E152" s="48" t="s">
        <v>54</v>
      </c>
      <c r="F152" s="48"/>
      <c r="G152" s="48" t="s">
        <v>30</v>
      </c>
      <c r="H152" s="51">
        <v>500</v>
      </c>
      <c r="I152" s="49">
        <v>100</v>
      </c>
      <c r="J152" s="48" t="s">
        <v>31</v>
      </c>
      <c r="K152" s="48" t="s">
        <v>32</v>
      </c>
      <c r="M152" s="126">
        <v>100</v>
      </c>
    </row>
    <row r="153" spans="1:19" ht="15.75" customHeight="1">
      <c r="A153" s="50">
        <v>12</v>
      </c>
      <c r="B153" s="48" t="s">
        <v>3384</v>
      </c>
      <c r="C153" s="48" t="s">
        <v>27</v>
      </c>
      <c r="D153" s="48" t="s">
        <v>165</v>
      </c>
      <c r="E153" s="48" t="s">
        <v>84</v>
      </c>
      <c r="F153" s="48"/>
      <c r="G153" s="48" t="s">
        <v>30</v>
      </c>
      <c r="H153" s="51">
        <v>200</v>
      </c>
      <c r="I153" s="49">
        <v>40</v>
      </c>
      <c r="J153" s="48" t="s">
        <v>31</v>
      </c>
      <c r="K153" s="48" t="s">
        <v>32</v>
      </c>
    </row>
    <row r="154" spans="1:19" ht="15.75" customHeight="1">
      <c r="A154" s="65">
        <v>12</v>
      </c>
      <c r="B154" s="58" t="s">
        <v>3385</v>
      </c>
      <c r="C154" s="58" t="s">
        <v>27</v>
      </c>
      <c r="D154" s="58" t="s">
        <v>391</v>
      </c>
      <c r="E154" s="58" t="s">
        <v>484</v>
      </c>
      <c r="F154" s="58"/>
      <c r="G154" s="58" t="s">
        <v>30</v>
      </c>
      <c r="H154" s="59">
        <v>300</v>
      </c>
      <c r="I154" s="60">
        <v>60</v>
      </c>
      <c r="J154" s="58" t="s">
        <v>31</v>
      </c>
      <c r="K154" s="58" t="s">
        <v>32</v>
      </c>
    </row>
    <row r="155" spans="1:19" ht="15.75" customHeight="1">
      <c r="A155" s="61">
        <v>13</v>
      </c>
      <c r="B155" s="62" t="s">
        <v>3386</v>
      </c>
      <c r="C155" s="62" t="s">
        <v>27</v>
      </c>
      <c r="D155" s="62" t="s">
        <v>733</v>
      </c>
      <c r="E155" s="62" t="s">
        <v>36</v>
      </c>
      <c r="F155" s="62"/>
      <c r="G155" s="62" t="s">
        <v>30</v>
      </c>
      <c r="H155" s="63">
        <v>250</v>
      </c>
      <c r="I155" s="64">
        <v>50</v>
      </c>
      <c r="J155" s="62" t="s">
        <v>31</v>
      </c>
      <c r="K155" s="62" t="s">
        <v>32</v>
      </c>
    </row>
    <row r="156" spans="1:19" ht="15.75" customHeight="1">
      <c r="A156" s="50">
        <v>13</v>
      </c>
      <c r="B156" s="48" t="s">
        <v>3387</v>
      </c>
      <c r="C156" s="48" t="s">
        <v>27</v>
      </c>
      <c r="D156" s="48" t="s">
        <v>434</v>
      </c>
      <c r="E156" s="48" t="s">
        <v>36</v>
      </c>
      <c r="F156" s="48"/>
      <c r="G156" s="48" t="s">
        <v>30</v>
      </c>
      <c r="H156" s="51">
        <v>6000</v>
      </c>
      <c r="I156" s="49">
        <v>1200</v>
      </c>
      <c r="J156" s="48" t="s">
        <v>31</v>
      </c>
      <c r="K156" s="48" t="s">
        <v>32</v>
      </c>
      <c r="M156" s="126">
        <v>1000</v>
      </c>
    </row>
    <row r="157" spans="1:19" ht="15.75" customHeight="1">
      <c r="A157" s="50">
        <v>13</v>
      </c>
      <c r="B157" s="48" t="s">
        <v>3388</v>
      </c>
      <c r="C157" s="48" t="s">
        <v>27</v>
      </c>
      <c r="D157" s="48" t="s">
        <v>1661</v>
      </c>
      <c r="E157" s="48" t="s">
        <v>135</v>
      </c>
      <c r="F157" s="48"/>
      <c r="G157" s="48" t="s">
        <v>30</v>
      </c>
      <c r="H157" s="51">
        <v>1000</v>
      </c>
      <c r="I157" s="49">
        <v>200</v>
      </c>
      <c r="J157" s="48" t="s">
        <v>31</v>
      </c>
      <c r="K157" s="48" t="s">
        <v>32</v>
      </c>
      <c r="M157" s="126">
        <v>300</v>
      </c>
    </row>
    <row r="158" spans="1:19" ht="15.75" customHeight="1">
      <c r="A158" s="50">
        <v>13</v>
      </c>
      <c r="B158" s="48" t="s">
        <v>3389</v>
      </c>
      <c r="C158" s="48" t="s">
        <v>27</v>
      </c>
      <c r="D158" s="48" t="s">
        <v>211</v>
      </c>
      <c r="E158" s="48" t="s">
        <v>36</v>
      </c>
      <c r="F158" s="48"/>
      <c r="G158" s="48" t="s">
        <v>30</v>
      </c>
      <c r="H158" s="51">
        <v>500</v>
      </c>
      <c r="I158" s="49">
        <v>100</v>
      </c>
      <c r="J158" s="48" t="s">
        <v>31</v>
      </c>
      <c r="K158" s="48" t="s">
        <v>32</v>
      </c>
    </row>
    <row r="159" spans="1:19" ht="15.75" customHeight="1">
      <c r="A159" s="50">
        <v>13</v>
      </c>
      <c r="B159" s="48" t="s">
        <v>3390</v>
      </c>
      <c r="C159" s="48" t="s">
        <v>27</v>
      </c>
      <c r="D159" s="48" t="s">
        <v>211</v>
      </c>
      <c r="E159" s="48" t="s">
        <v>36</v>
      </c>
      <c r="F159" s="48"/>
      <c r="G159" s="48" t="s">
        <v>30</v>
      </c>
      <c r="H159" s="51">
        <v>500</v>
      </c>
      <c r="I159" s="49">
        <v>100</v>
      </c>
      <c r="J159" s="48" t="s">
        <v>31</v>
      </c>
      <c r="K159" s="48" t="s">
        <v>32</v>
      </c>
    </row>
    <row r="160" spans="1:19" ht="15.75" customHeight="1">
      <c r="A160" s="50">
        <v>13</v>
      </c>
      <c r="B160" s="48" t="s">
        <v>3391</v>
      </c>
      <c r="C160" s="48" t="s">
        <v>27</v>
      </c>
      <c r="D160" s="48" t="s">
        <v>1076</v>
      </c>
      <c r="E160" s="48" t="s">
        <v>89</v>
      </c>
      <c r="F160" s="48"/>
      <c r="G160" s="48" t="s">
        <v>30</v>
      </c>
      <c r="H160" s="51">
        <v>500</v>
      </c>
      <c r="I160" s="49">
        <v>100</v>
      </c>
      <c r="J160" s="48" t="s">
        <v>31</v>
      </c>
      <c r="K160" s="48" t="s">
        <v>32</v>
      </c>
    </row>
    <row r="161" spans="1:16" ht="15.75" customHeight="1">
      <c r="A161" s="444">
        <v>13</v>
      </c>
      <c r="B161" s="445" t="s">
        <v>3392</v>
      </c>
      <c r="C161" s="445" t="s">
        <v>27</v>
      </c>
      <c r="D161" s="445" t="s">
        <v>2642</v>
      </c>
      <c r="E161" s="445" t="s">
        <v>47</v>
      </c>
      <c r="F161" s="445"/>
      <c r="G161" s="445" t="s">
        <v>30</v>
      </c>
      <c r="H161" s="446">
        <v>5000</v>
      </c>
      <c r="I161" s="447" t="s">
        <v>1586</v>
      </c>
      <c r="J161" s="48" t="s">
        <v>31</v>
      </c>
      <c r="K161" s="48" t="s">
        <v>32</v>
      </c>
    </row>
    <row r="162" spans="1:16" ht="15.75" customHeight="1">
      <c r="A162" s="61">
        <v>14</v>
      </c>
      <c r="B162" s="62" t="s">
        <v>3393</v>
      </c>
      <c r="C162" s="62" t="s">
        <v>39</v>
      </c>
      <c r="D162" s="62" t="s">
        <v>108</v>
      </c>
      <c r="E162" s="62" t="s">
        <v>36</v>
      </c>
      <c r="F162" s="62"/>
      <c r="G162" s="62" t="s">
        <v>30</v>
      </c>
      <c r="H162" s="63">
        <v>300</v>
      </c>
      <c r="I162" s="64">
        <v>60</v>
      </c>
      <c r="J162" s="62" t="s">
        <v>31</v>
      </c>
      <c r="K162" s="62" t="s">
        <v>32</v>
      </c>
      <c r="M162" s="126">
        <v>100</v>
      </c>
    </row>
    <row r="163" spans="1:16" ht="15.75" customHeight="1">
      <c r="A163" s="61">
        <v>14</v>
      </c>
      <c r="B163" s="62" t="s">
        <v>3393</v>
      </c>
      <c r="C163" s="62" t="s">
        <v>39</v>
      </c>
      <c r="D163" s="62" t="s">
        <v>108</v>
      </c>
      <c r="E163" s="62" t="s">
        <v>36</v>
      </c>
      <c r="F163" s="48"/>
      <c r="G163" s="48" t="s">
        <v>115</v>
      </c>
      <c r="H163" s="51">
        <v>200</v>
      </c>
      <c r="I163" s="49">
        <v>200</v>
      </c>
      <c r="J163" s="48" t="s">
        <v>31</v>
      </c>
      <c r="K163" s="48" t="s">
        <v>32</v>
      </c>
    </row>
    <row r="164" spans="1:16" ht="15.75" customHeight="1">
      <c r="A164" s="50">
        <v>14</v>
      </c>
      <c r="B164" s="48" t="s">
        <v>3394</v>
      </c>
      <c r="C164" s="48" t="s">
        <v>27</v>
      </c>
      <c r="D164" s="48" t="s">
        <v>211</v>
      </c>
      <c r="E164" s="48" t="s">
        <v>36</v>
      </c>
      <c r="F164" s="48"/>
      <c r="G164" s="48" t="s">
        <v>30</v>
      </c>
      <c r="H164" s="51">
        <v>500</v>
      </c>
      <c r="I164" s="49">
        <v>100</v>
      </c>
      <c r="J164" s="48" t="s">
        <v>31</v>
      </c>
      <c r="K164" s="48" t="s">
        <v>32</v>
      </c>
      <c r="M164" s="126">
        <v>100</v>
      </c>
    </row>
    <row r="165" spans="1:16" ht="15.75" customHeight="1">
      <c r="A165" s="50">
        <v>14</v>
      </c>
      <c r="B165" s="48" t="s">
        <v>1752</v>
      </c>
      <c r="C165" s="48" t="s">
        <v>27</v>
      </c>
      <c r="D165" s="48" t="s">
        <v>297</v>
      </c>
      <c r="E165" s="48" t="s">
        <v>44</v>
      </c>
      <c r="F165" s="48"/>
      <c r="G165" s="48" t="s">
        <v>30</v>
      </c>
      <c r="H165" s="51">
        <v>200</v>
      </c>
      <c r="I165" s="49">
        <v>40</v>
      </c>
      <c r="J165" s="48" t="s">
        <v>31</v>
      </c>
      <c r="K165" s="48" t="s">
        <v>32</v>
      </c>
      <c r="L165" s="725"/>
      <c r="M165" s="126">
        <v>40</v>
      </c>
    </row>
    <row r="166" spans="1:16" ht="15.75" customHeight="1">
      <c r="A166" s="50">
        <v>14</v>
      </c>
      <c r="B166" s="48" t="s">
        <v>3395</v>
      </c>
      <c r="C166" s="48" t="s">
        <v>27</v>
      </c>
      <c r="D166" s="48" t="s">
        <v>1914</v>
      </c>
      <c r="E166" s="48" t="s">
        <v>191</v>
      </c>
      <c r="F166" s="48"/>
      <c r="G166" s="48" t="s">
        <v>30</v>
      </c>
      <c r="H166" s="51">
        <v>10000</v>
      </c>
      <c r="I166" s="49">
        <v>2000</v>
      </c>
      <c r="J166" s="48" t="s">
        <v>31</v>
      </c>
      <c r="K166" s="48" t="s">
        <v>32</v>
      </c>
      <c r="L166" s="711"/>
      <c r="M166" s="126">
        <v>2600</v>
      </c>
    </row>
    <row r="167" spans="1:16" ht="15.75" customHeight="1">
      <c r="A167" s="50">
        <v>14</v>
      </c>
      <c r="B167" s="48" t="s">
        <v>3396</v>
      </c>
      <c r="C167" s="48" t="s">
        <v>27</v>
      </c>
      <c r="D167" s="48" t="s">
        <v>2800</v>
      </c>
      <c r="E167" s="48" t="s">
        <v>36</v>
      </c>
      <c r="F167" s="48"/>
      <c r="G167" s="48" t="s">
        <v>30</v>
      </c>
      <c r="H167" s="51">
        <v>100</v>
      </c>
      <c r="I167" s="49">
        <v>20</v>
      </c>
      <c r="J167" s="48" t="s">
        <v>31</v>
      </c>
      <c r="K167" s="48" t="s">
        <v>32</v>
      </c>
      <c r="M167" s="126">
        <v>20</v>
      </c>
    </row>
    <row r="168" spans="1:16" ht="15.75" customHeight="1">
      <c r="A168" s="50">
        <v>14</v>
      </c>
      <c r="B168" s="48" t="s">
        <v>3397</v>
      </c>
      <c r="C168" s="48" t="s">
        <v>27</v>
      </c>
      <c r="D168" s="48" t="s">
        <v>200</v>
      </c>
      <c r="E168" s="48" t="s">
        <v>29</v>
      </c>
      <c r="F168" s="48"/>
      <c r="G168" s="48" t="s">
        <v>30</v>
      </c>
      <c r="H168" s="51">
        <v>500</v>
      </c>
      <c r="I168" s="49">
        <v>100</v>
      </c>
      <c r="J168" s="48" t="s">
        <v>31</v>
      </c>
      <c r="K168" s="48" t="s">
        <v>32</v>
      </c>
      <c r="M168" s="126">
        <v>100</v>
      </c>
    </row>
    <row r="169" spans="1:16" ht="15.75" customHeight="1">
      <c r="A169" s="50">
        <v>14</v>
      </c>
      <c r="B169" s="48" t="s">
        <v>3398</v>
      </c>
      <c r="C169" s="48" t="s">
        <v>27</v>
      </c>
      <c r="D169" s="48" t="s">
        <v>200</v>
      </c>
      <c r="E169" s="48" t="s">
        <v>29</v>
      </c>
      <c r="F169" s="48"/>
      <c r="G169" s="48" t="s">
        <v>30</v>
      </c>
      <c r="H169" s="51">
        <v>500</v>
      </c>
      <c r="I169" s="49">
        <v>100</v>
      </c>
      <c r="J169" s="48" t="s">
        <v>31</v>
      </c>
      <c r="K169" s="48" t="s">
        <v>32</v>
      </c>
      <c r="M169" s="126">
        <v>100</v>
      </c>
    </row>
    <row r="170" spans="1:16" ht="15.75" customHeight="1">
      <c r="A170" s="65">
        <v>14</v>
      </c>
      <c r="B170" s="58" t="s">
        <v>3399</v>
      </c>
      <c r="C170" s="58" t="s">
        <v>27</v>
      </c>
      <c r="D170" s="58" t="s">
        <v>3400</v>
      </c>
      <c r="E170" s="58" t="s">
        <v>29</v>
      </c>
      <c r="F170" s="58"/>
      <c r="G170" s="58" t="s">
        <v>30</v>
      </c>
      <c r="H170" s="59">
        <v>500</v>
      </c>
      <c r="I170" s="60">
        <v>100</v>
      </c>
      <c r="J170" s="58" t="s">
        <v>31</v>
      </c>
      <c r="K170" s="58" t="s">
        <v>32</v>
      </c>
      <c r="M170" s="126">
        <v>100</v>
      </c>
    </row>
    <row r="171" spans="1:16" ht="15.75" customHeight="1">
      <c r="A171" s="61">
        <v>15</v>
      </c>
      <c r="B171" s="62" t="s">
        <v>3401</v>
      </c>
      <c r="C171" s="62" t="s">
        <v>27</v>
      </c>
      <c r="D171" s="62" t="s">
        <v>239</v>
      </c>
      <c r="E171" s="62" t="s">
        <v>44</v>
      </c>
      <c r="F171" s="62"/>
      <c r="G171" s="62" t="s">
        <v>30</v>
      </c>
      <c r="H171" s="63">
        <v>500</v>
      </c>
      <c r="I171" s="64">
        <v>100</v>
      </c>
      <c r="J171" s="62" t="s">
        <v>31</v>
      </c>
      <c r="K171" s="62" t="s">
        <v>32</v>
      </c>
      <c r="P171" s="506"/>
    </row>
    <row r="172" spans="1:16" ht="15.75" customHeight="1">
      <c r="A172" s="50">
        <v>15</v>
      </c>
      <c r="B172" s="48" t="s">
        <v>2445</v>
      </c>
      <c r="C172" s="48" t="s">
        <v>27</v>
      </c>
      <c r="D172" s="48" t="s">
        <v>239</v>
      </c>
      <c r="E172" s="48" t="s">
        <v>44</v>
      </c>
      <c r="F172" s="48"/>
      <c r="G172" s="48" t="s">
        <v>30</v>
      </c>
      <c r="H172" s="51">
        <v>500</v>
      </c>
      <c r="I172" s="49">
        <v>100</v>
      </c>
      <c r="J172" s="48" t="s">
        <v>31</v>
      </c>
      <c r="K172" s="48" t="s">
        <v>32</v>
      </c>
      <c r="P172" s="507"/>
    </row>
    <row r="173" spans="1:16" ht="15.75" customHeight="1">
      <c r="A173" s="50">
        <v>15</v>
      </c>
      <c r="B173" s="48" t="s">
        <v>3402</v>
      </c>
      <c r="C173" s="48" t="s">
        <v>27</v>
      </c>
      <c r="D173" s="48" t="s">
        <v>1917</v>
      </c>
      <c r="E173" s="48" t="s">
        <v>68</v>
      </c>
      <c r="F173" s="48"/>
      <c r="G173" s="48" t="s">
        <v>30</v>
      </c>
      <c r="H173" s="51">
        <v>500</v>
      </c>
      <c r="I173" s="49">
        <v>100</v>
      </c>
      <c r="J173" s="48" t="s">
        <v>31</v>
      </c>
      <c r="K173" s="48" t="s">
        <v>32</v>
      </c>
      <c r="P173" s="359"/>
    </row>
    <row r="174" spans="1:16" ht="15.75" customHeight="1">
      <c r="A174" s="50">
        <v>15</v>
      </c>
      <c r="B174" s="48" t="s">
        <v>3341</v>
      </c>
      <c r="C174" s="48" t="s">
        <v>27</v>
      </c>
      <c r="D174" s="48" t="s">
        <v>1917</v>
      </c>
      <c r="E174" s="48" t="s">
        <v>68</v>
      </c>
      <c r="F174" s="48"/>
      <c r="G174" s="48" t="s">
        <v>30</v>
      </c>
      <c r="H174" s="51">
        <v>500</v>
      </c>
      <c r="I174" s="49">
        <v>100</v>
      </c>
      <c r="J174" s="48" t="s">
        <v>31</v>
      </c>
      <c r="K174" s="48" t="s">
        <v>32</v>
      </c>
      <c r="M174" s="126">
        <v>200</v>
      </c>
    </row>
    <row r="175" spans="1:16" ht="15.75" customHeight="1">
      <c r="A175" s="50">
        <v>15</v>
      </c>
      <c r="B175" s="48" t="s">
        <v>3403</v>
      </c>
      <c r="C175" s="48" t="s">
        <v>27</v>
      </c>
      <c r="D175" s="48" t="s">
        <v>1431</v>
      </c>
      <c r="E175" s="48" t="s">
        <v>44</v>
      </c>
      <c r="F175" s="48"/>
      <c r="G175" s="48" t="s">
        <v>30</v>
      </c>
      <c r="H175" s="51">
        <v>300</v>
      </c>
      <c r="I175" s="49">
        <v>60</v>
      </c>
      <c r="J175" s="48" t="s">
        <v>31</v>
      </c>
      <c r="K175" s="48" t="s">
        <v>32</v>
      </c>
    </row>
    <row r="176" spans="1:16" ht="15.75" customHeight="1">
      <c r="A176" s="65">
        <v>15</v>
      </c>
      <c r="B176" s="58" t="s">
        <v>2475</v>
      </c>
      <c r="C176" s="58" t="s">
        <v>39</v>
      </c>
      <c r="D176" s="58" t="s">
        <v>934</v>
      </c>
      <c r="E176" s="58" t="s">
        <v>44</v>
      </c>
      <c r="F176" s="58"/>
      <c r="G176" s="58" t="s">
        <v>30</v>
      </c>
      <c r="H176" s="59">
        <v>15000</v>
      </c>
      <c r="I176" s="60">
        <v>3000</v>
      </c>
      <c r="J176" s="58" t="s">
        <v>31</v>
      </c>
      <c r="K176" s="58" t="s">
        <v>32</v>
      </c>
      <c r="M176" s="126">
        <v>3000</v>
      </c>
    </row>
    <row r="177" spans="1:13" ht="15.75" customHeight="1">
      <c r="A177" s="61">
        <v>16</v>
      </c>
      <c r="B177" s="62" t="s">
        <v>3404</v>
      </c>
      <c r="C177" s="62" t="s">
        <v>27</v>
      </c>
      <c r="D177" s="62" t="s">
        <v>234</v>
      </c>
      <c r="E177" s="62" t="s">
        <v>84</v>
      </c>
      <c r="F177" s="62"/>
      <c r="G177" s="62" t="s">
        <v>30</v>
      </c>
      <c r="H177" s="63">
        <v>500</v>
      </c>
      <c r="I177" s="64" t="s">
        <v>1586</v>
      </c>
      <c r="J177" s="62" t="s">
        <v>31</v>
      </c>
      <c r="K177" s="62" t="s">
        <v>32</v>
      </c>
    </row>
    <row r="178" spans="1:13" ht="15.75" customHeight="1">
      <c r="A178" s="61">
        <v>16</v>
      </c>
      <c r="B178" s="62" t="s">
        <v>3404</v>
      </c>
      <c r="C178" s="62" t="s">
        <v>27</v>
      </c>
      <c r="D178" s="62" t="s">
        <v>234</v>
      </c>
      <c r="E178" s="62" t="s">
        <v>84</v>
      </c>
      <c r="F178" s="48"/>
      <c r="G178" s="48" t="s">
        <v>30</v>
      </c>
      <c r="H178" s="51">
        <v>1500</v>
      </c>
      <c r="I178" s="49">
        <v>300</v>
      </c>
      <c r="J178" s="62" t="s">
        <v>31</v>
      </c>
      <c r="K178" s="62" t="s">
        <v>32</v>
      </c>
    </row>
    <row r="179" spans="1:13" ht="15.75" customHeight="1">
      <c r="A179" s="61">
        <v>16</v>
      </c>
      <c r="B179" s="62" t="s">
        <v>3404</v>
      </c>
      <c r="C179" s="62" t="s">
        <v>27</v>
      </c>
      <c r="D179" s="62" t="s">
        <v>234</v>
      </c>
      <c r="E179" s="62" t="s">
        <v>84</v>
      </c>
      <c r="F179" s="48"/>
      <c r="G179" s="48" t="s">
        <v>61</v>
      </c>
      <c r="H179" s="51">
        <v>10</v>
      </c>
      <c r="I179" s="49" t="s">
        <v>1586</v>
      </c>
      <c r="J179" s="62" t="s">
        <v>31</v>
      </c>
      <c r="K179" s="62" t="s">
        <v>32</v>
      </c>
    </row>
    <row r="180" spans="1:13" ht="15.75" customHeight="1">
      <c r="A180" s="50">
        <v>16</v>
      </c>
      <c r="B180" s="48" t="s">
        <v>3405</v>
      </c>
      <c r="C180" s="48" t="s">
        <v>27</v>
      </c>
      <c r="D180" s="48" t="s">
        <v>3406</v>
      </c>
      <c r="E180" s="48" t="s">
        <v>86</v>
      </c>
      <c r="F180" s="48"/>
      <c r="G180" s="48" t="s">
        <v>30</v>
      </c>
      <c r="H180" s="51">
        <v>500</v>
      </c>
      <c r="I180" s="49">
        <v>100</v>
      </c>
      <c r="J180" s="48" t="s">
        <v>31</v>
      </c>
      <c r="K180" s="48" t="s">
        <v>32</v>
      </c>
      <c r="M180" s="126">
        <v>150</v>
      </c>
    </row>
    <row r="181" spans="1:13" ht="15.75" customHeight="1">
      <c r="A181" s="50">
        <v>16</v>
      </c>
      <c r="B181" s="48" t="s">
        <v>3407</v>
      </c>
      <c r="C181" s="48" t="s">
        <v>27</v>
      </c>
      <c r="D181" s="48" t="s">
        <v>910</v>
      </c>
      <c r="E181" s="48" t="s">
        <v>36</v>
      </c>
      <c r="F181" s="48"/>
      <c r="G181" s="48" t="s">
        <v>30</v>
      </c>
      <c r="H181" s="51">
        <v>4000</v>
      </c>
      <c r="I181" s="49">
        <v>800</v>
      </c>
      <c r="J181" s="48" t="s">
        <v>31</v>
      </c>
      <c r="K181" s="48" t="s">
        <v>32</v>
      </c>
      <c r="M181" s="126">
        <v>800</v>
      </c>
    </row>
    <row r="182" spans="1:13" ht="15.75" customHeight="1">
      <c r="A182" s="50">
        <v>16</v>
      </c>
      <c r="B182" s="48" t="s">
        <v>3408</v>
      </c>
      <c r="C182" s="48" t="s">
        <v>27</v>
      </c>
      <c r="D182" s="48" t="s">
        <v>70</v>
      </c>
      <c r="E182" s="48" t="s">
        <v>36</v>
      </c>
      <c r="F182" s="48"/>
      <c r="G182" s="48" t="s">
        <v>30</v>
      </c>
      <c r="H182" s="51">
        <v>500</v>
      </c>
      <c r="I182" s="49">
        <v>100</v>
      </c>
      <c r="J182" s="48" t="s">
        <v>31</v>
      </c>
      <c r="K182" s="48" t="s">
        <v>32</v>
      </c>
      <c r="M182" s="126">
        <v>100</v>
      </c>
    </row>
    <row r="183" spans="1:13" ht="15.75" customHeight="1">
      <c r="A183" s="50">
        <v>16</v>
      </c>
      <c r="B183" s="48" t="s">
        <v>3409</v>
      </c>
      <c r="C183" s="48" t="s">
        <v>27</v>
      </c>
      <c r="D183" s="48" t="s">
        <v>3410</v>
      </c>
      <c r="E183" s="48" t="s">
        <v>36</v>
      </c>
      <c r="F183" s="48"/>
      <c r="G183" s="48" t="s">
        <v>30</v>
      </c>
      <c r="H183" s="51">
        <v>500</v>
      </c>
      <c r="I183" s="49">
        <v>100</v>
      </c>
      <c r="J183" s="48" t="s">
        <v>31</v>
      </c>
      <c r="K183" s="48" t="s">
        <v>32</v>
      </c>
      <c r="M183" s="126">
        <v>100</v>
      </c>
    </row>
    <row r="184" spans="1:13" ht="15.75" customHeight="1">
      <c r="A184" s="50">
        <v>16</v>
      </c>
      <c r="B184" s="48" t="s">
        <v>3411</v>
      </c>
      <c r="C184" s="48" t="s">
        <v>27</v>
      </c>
      <c r="D184" s="48" t="s">
        <v>145</v>
      </c>
      <c r="E184" s="48" t="s">
        <v>824</v>
      </c>
      <c r="F184" s="48"/>
      <c r="G184" s="48" t="s">
        <v>30</v>
      </c>
      <c r="H184" s="51">
        <v>100</v>
      </c>
      <c r="I184" s="49">
        <v>20</v>
      </c>
      <c r="J184" s="48" t="s">
        <v>31</v>
      </c>
      <c r="K184" s="48" t="s">
        <v>32</v>
      </c>
      <c r="M184" s="126">
        <v>25</v>
      </c>
    </row>
    <row r="185" spans="1:13" ht="15.75" customHeight="1">
      <c r="A185" s="50">
        <v>16</v>
      </c>
      <c r="B185" s="48" t="s">
        <v>3412</v>
      </c>
      <c r="C185" s="48" t="s">
        <v>27</v>
      </c>
      <c r="D185" s="48" t="s">
        <v>326</v>
      </c>
      <c r="E185" s="48" t="s">
        <v>84</v>
      </c>
      <c r="F185" s="48"/>
      <c r="G185" s="48" t="s">
        <v>30</v>
      </c>
      <c r="H185" s="51">
        <v>500</v>
      </c>
      <c r="I185" s="49">
        <v>100</v>
      </c>
      <c r="J185" s="48" t="s">
        <v>31</v>
      </c>
      <c r="K185" s="48" t="s">
        <v>32</v>
      </c>
      <c r="M185" s="126">
        <v>100</v>
      </c>
    </row>
    <row r="186" spans="1:13" ht="15.75" customHeight="1">
      <c r="A186" s="65">
        <v>16</v>
      </c>
      <c r="B186" s="58" t="s">
        <v>1306</v>
      </c>
      <c r="C186" s="58" t="s">
        <v>27</v>
      </c>
      <c r="D186" s="58" t="s">
        <v>1307</v>
      </c>
      <c r="E186" s="58" t="s">
        <v>102</v>
      </c>
      <c r="F186" s="58"/>
      <c r="G186" s="58" t="s">
        <v>30</v>
      </c>
      <c r="H186" s="59">
        <v>2000</v>
      </c>
      <c r="I186" s="60">
        <v>400</v>
      </c>
      <c r="J186" s="58" t="s">
        <v>31</v>
      </c>
      <c r="K186" s="58" t="s">
        <v>32</v>
      </c>
      <c r="M186" s="126">
        <v>400</v>
      </c>
    </row>
    <row r="187" spans="1:13" ht="15.75" customHeight="1">
      <c r="A187" s="61">
        <v>17</v>
      </c>
      <c r="B187" s="62" t="s">
        <v>3413</v>
      </c>
      <c r="C187" s="62" t="s">
        <v>27</v>
      </c>
      <c r="D187" s="62" t="s">
        <v>81</v>
      </c>
      <c r="E187" s="62" t="s">
        <v>169</v>
      </c>
      <c r="F187" s="62"/>
      <c r="G187" s="62" t="s">
        <v>30</v>
      </c>
      <c r="H187" s="63">
        <v>500</v>
      </c>
      <c r="I187" s="64">
        <v>100</v>
      </c>
      <c r="J187" s="62" t="s">
        <v>31</v>
      </c>
      <c r="K187" s="62" t="s">
        <v>32</v>
      </c>
      <c r="M187" s="126">
        <v>300</v>
      </c>
    </row>
    <row r="188" spans="1:13" ht="15.75" customHeight="1">
      <c r="A188" s="50">
        <v>17</v>
      </c>
      <c r="B188" s="48" t="s">
        <v>3414</v>
      </c>
      <c r="C188" s="48" t="s">
        <v>39</v>
      </c>
      <c r="D188" s="48" t="s">
        <v>56</v>
      </c>
      <c r="E188" s="48" t="s">
        <v>148</v>
      </c>
      <c r="F188" s="48"/>
      <c r="G188" s="48" t="s">
        <v>61</v>
      </c>
      <c r="H188" s="51">
        <v>23</v>
      </c>
      <c r="I188" s="49">
        <v>69</v>
      </c>
      <c r="J188" s="48" t="s">
        <v>31</v>
      </c>
      <c r="K188" s="48" t="s">
        <v>32</v>
      </c>
    </row>
    <row r="189" spans="1:13" ht="15.75" customHeight="1">
      <c r="A189" s="50">
        <v>17</v>
      </c>
      <c r="B189" s="48" t="s">
        <v>3415</v>
      </c>
      <c r="C189" s="48" t="s">
        <v>27</v>
      </c>
      <c r="D189" s="48" t="s">
        <v>845</v>
      </c>
      <c r="E189" s="48" t="s">
        <v>84</v>
      </c>
      <c r="F189" s="48"/>
      <c r="G189" s="48" t="s">
        <v>30</v>
      </c>
      <c r="H189" s="51">
        <v>500</v>
      </c>
      <c r="I189" s="49">
        <v>100</v>
      </c>
      <c r="J189" s="48" t="s">
        <v>31</v>
      </c>
      <c r="K189" s="48" t="s">
        <v>32</v>
      </c>
      <c r="M189" s="126">
        <v>300</v>
      </c>
    </row>
    <row r="190" spans="1:13" ht="15.75" customHeight="1">
      <c r="A190" s="50">
        <v>17</v>
      </c>
      <c r="B190" s="48" t="s">
        <v>3416</v>
      </c>
      <c r="C190" s="48" t="s">
        <v>27</v>
      </c>
      <c r="D190" s="48"/>
      <c r="E190" s="48" t="s">
        <v>29</v>
      </c>
      <c r="F190" s="48"/>
      <c r="G190" s="48" t="s">
        <v>30</v>
      </c>
      <c r="H190" s="51">
        <v>500</v>
      </c>
      <c r="I190" s="49">
        <v>100</v>
      </c>
      <c r="J190" s="48" t="s">
        <v>31</v>
      </c>
      <c r="K190" s="48" t="s">
        <v>32</v>
      </c>
      <c r="M190" s="126">
        <v>300</v>
      </c>
    </row>
    <row r="191" spans="1:13" ht="15.75" customHeight="1">
      <c r="A191" s="65">
        <v>17</v>
      </c>
      <c r="B191" s="58" t="s">
        <v>1090</v>
      </c>
      <c r="C191" s="58" t="s">
        <v>27</v>
      </c>
      <c r="D191" s="58" t="s">
        <v>108</v>
      </c>
      <c r="E191" s="58" t="s">
        <v>169</v>
      </c>
      <c r="F191" s="58"/>
      <c r="G191" s="58" t="s">
        <v>30</v>
      </c>
      <c r="H191" s="59">
        <v>500</v>
      </c>
      <c r="I191" s="60">
        <v>100</v>
      </c>
      <c r="J191" s="58" t="s">
        <v>31</v>
      </c>
      <c r="K191" s="58" t="s">
        <v>32</v>
      </c>
      <c r="M191" s="126">
        <v>200</v>
      </c>
    </row>
    <row r="192" spans="1:13" ht="15.75" customHeight="1">
      <c r="A192" s="508">
        <v>18</v>
      </c>
      <c r="B192" s="230" t="s">
        <v>1212</v>
      </c>
      <c r="C192" s="230" t="s">
        <v>27</v>
      </c>
      <c r="D192" s="230" t="s">
        <v>1213</v>
      </c>
      <c r="E192" s="230" t="s">
        <v>73</v>
      </c>
      <c r="F192" s="230"/>
      <c r="G192" s="230" t="s">
        <v>30</v>
      </c>
      <c r="H192" s="231">
        <v>400</v>
      </c>
      <c r="I192" s="509">
        <v>80</v>
      </c>
      <c r="J192" s="230" t="s">
        <v>31</v>
      </c>
      <c r="K192" s="230" t="s">
        <v>32</v>
      </c>
    </row>
    <row r="193" spans="1:16" ht="15.75" customHeight="1">
      <c r="A193" s="61">
        <v>19</v>
      </c>
      <c r="B193" s="62" t="s">
        <v>3417</v>
      </c>
      <c r="C193" s="62" t="s">
        <v>27</v>
      </c>
      <c r="D193" s="62" t="s">
        <v>1320</v>
      </c>
      <c r="E193" s="62" t="s">
        <v>44</v>
      </c>
      <c r="F193" s="62"/>
      <c r="G193" s="62" t="s">
        <v>30</v>
      </c>
      <c r="H193" s="63">
        <v>500</v>
      </c>
      <c r="I193" s="64">
        <v>100</v>
      </c>
      <c r="J193" s="62" t="s">
        <v>31</v>
      </c>
      <c r="K193" s="62" t="s">
        <v>32</v>
      </c>
      <c r="M193" s="126">
        <v>100</v>
      </c>
    </row>
    <row r="194" spans="1:16" ht="15.75" customHeight="1">
      <c r="A194" s="50">
        <v>19</v>
      </c>
      <c r="B194" s="48" t="s">
        <v>3418</v>
      </c>
      <c r="C194" s="48" t="s">
        <v>27</v>
      </c>
      <c r="D194" s="48" t="s">
        <v>156</v>
      </c>
      <c r="E194" s="48" t="s">
        <v>102</v>
      </c>
      <c r="F194" s="48"/>
      <c r="G194" s="48" t="s">
        <v>30</v>
      </c>
      <c r="H194" s="51">
        <v>100</v>
      </c>
      <c r="I194" s="49">
        <v>20</v>
      </c>
      <c r="J194" s="48" t="s">
        <v>31</v>
      </c>
      <c r="K194" s="48" t="s">
        <v>32</v>
      </c>
      <c r="M194" s="126">
        <v>25</v>
      </c>
    </row>
    <row r="195" spans="1:16" ht="15.75" customHeight="1">
      <c r="A195" s="65">
        <v>19</v>
      </c>
      <c r="B195" s="58" t="s">
        <v>3419</v>
      </c>
      <c r="C195" s="58" t="s">
        <v>27</v>
      </c>
      <c r="D195" s="58" t="s">
        <v>100</v>
      </c>
      <c r="E195" s="58" t="s">
        <v>602</v>
      </c>
      <c r="F195" s="58"/>
      <c r="G195" s="58" t="s">
        <v>30</v>
      </c>
      <c r="H195" s="59">
        <v>2000</v>
      </c>
      <c r="I195" s="60">
        <v>400</v>
      </c>
      <c r="J195" s="58" t="s">
        <v>31</v>
      </c>
      <c r="K195" s="58" t="s">
        <v>32</v>
      </c>
    </row>
    <row r="196" spans="1:16" ht="15.75" customHeight="1">
      <c r="A196" s="61">
        <v>20</v>
      </c>
      <c r="B196" s="62" t="s">
        <v>3420</v>
      </c>
      <c r="C196" s="62" t="s">
        <v>27</v>
      </c>
      <c r="D196" s="62" t="s">
        <v>100</v>
      </c>
      <c r="E196" s="62" t="s">
        <v>51</v>
      </c>
      <c r="F196" s="62"/>
      <c r="G196" s="62" t="s">
        <v>30</v>
      </c>
      <c r="H196" s="63">
        <v>100</v>
      </c>
      <c r="I196" s="64">
        <v>20</v>
      </c>
      <c r="J196" s="62" t="s">
        <v>31</v>
      </c>
      <c r="K196" s="62" t="s">
        <v>32</v>
      </c>
      <c r="M196" s="126">
        <v>25</v>
      </c>
    </row>
    <row r="197" spans="1:16" ht="15.75" customHeight="1">
      <c r="A197" s="50">
        <v>20</v>
      </c>
      <c r="B197" s="48" t="s">
        <v>3421</v>
      </c>
      <c r="C197" s="48" t="s">
        <v>27</v>
      </c>
      <c r="D197" s="48" t="s">
        <v>326</v>
      </c>
      <c r="E197" s="48" t="s">
        <v>84</v>
      </c>
      <c r="F197" s="48"/>
      <c r="G197" s="48" t="s">
        <v>30</v>
      </c>
      <c r="H197" s="51">
        <v>500</v>
      </c>
      <c r="I197" s="49">
        <v>100</v>
      </c>
      <c r="J197" s="48" t="s">
        <v>31</v>
      </c>
      <c r="K197" s="48" t="s">
        <v>32</v>
      </c>
      <c r="M197" s="126">
        <v>100</v>
      </c>
    </row>
    <row r="198" spans="1:16" ht="15.75" customHeight="1">
      <c r="A198" s="50">
        <v>20</v>
      </c>
      <c r="B198" s="48" t="s">
        <v>3422</v>
      </c>
      <c r="C198" s="48" t="s">
        <v>27</v>
      </c>
      <c r="D198" s="48" t="s">
        <v>387</v>
      </c>
      <c r="E198" s="48" t="s">
        <v>73</v>
      </c>
      <c r="F198" s="48"/>
      <c r="G198" s="48" t="s">
        <v>30</v>
      </c>
      <c r="H198" s="51">
        <v>150</v>
      </c>
      <c r="I198" s="49">
        <v>30</v>
      </c>
      <c r="J198" s="48" t="s">
        <v>31</v>
      </c>
      <c r="K198" s="48" t="s">
        <v>32</v>
      </c>
      <c r="M198" s="126">
        <v>40</v>
      </c>
    </row>
    <row r="199" spans="1:16" ht="15.75" customHeight="1">
      <c r="A199" s="50">
        <v>20</v>
      </c>
      <c r="B199" s="48" t="s">
        <v>753</v>
      </c>
      <c r="C199" s="48" t="s">
        <v>27</v>
      </c>
      <c r="D199" s="48" t="s">
        <v>108</v>
      </c>
      <c r="E199" s="48" t="s">
        <v>36</v>
      </c>
      <c r="F199" s="48"/>
      <c r="G199" s="48" t="s">
        <v>30</v>
      </c>
      <c r="H199" s="51">
        <v>500</v>
      </c>
      <c r="I199" s="49">
        <v>100</v>
      </c>
      <c r="J199" s="48" t="s">
        <v>31</v>
      </c>
      <c r="K199" s="48" t="s">
        <v>32</v>
      </c>
      <c r="M199" s="126">
        <v>150</v>
      </c>
    </row>
    <row r="200" spans="1:16" ht="15.75" customHeight="1">
      <c r="A200" s="50">
        <v>20</v>
      </c>
      <c r="B200" s="48" t="s">
        <v>3423</v>
      </c>
      <c r="C200" s="48" t="s">
        <v>27</v>
      </c>
      <c r="D200" s="48" t="s">
        <v>1024</v>
      </c>
      <c r="E200" s="48" t="s">
        <v>223</v>
      </c>
      <c r="F200" s="48"/>
      <c r="G200" s="151" t="s">
        <v>348</v>
      </c>
      <c r="H200" s="152">
        <v>33</v>
      </c>
      <c r="I200" s="49">
        <v>99</v>
      </c>
      <c r="J200" s="48" t="s">
        <v>31</v>
      </c>
      <c r="K200" s="48" t="s">
        <v>32</v>
      </c>
    </row>
    <row r="201" spans="1:16" ht="15.75" customHeight="1">
      <c r="A201" s="50">
        <v>20</v>
      </c>
      <c r="B201" s="48" t="s">
        <v>1414</v>
      </c>
      <c r="C201" s="48" t="s">
        <v>27</v>
      </c>
      <c r="D201" s="48" t="s">
        <v>361</v>
      </c>
      <c r="E201" s="48" t="s">
        <v>79</v>
      </c>
      <c r="F201" s="48"/>
      <c r="G201" s="48" t="s">
        <v>30</v>
      </c>
      <c r="H201" s="51">
        <v>500</v>
      </c>
      <c r="I201" s="49">
        <v>100</v>
      </c>
      <c r="J201" s="48" t="s">
        <v>31</v>
      </c>
      <c r="K201" s="48" t="s">
        <v>32</v>
      </c>
      <c r="M201" s="126">
        <v>200</v>
      </c>
    </row>
    <row r="202" spans="1:16" ht="15.75" customHeight="1">
      <c r="A202" s="50">
        <v>20</v>
      </c>
      <c r="B202" s="48" t="s">
        <v>3188</v>
      </c>
      <c r="C202" s="48" t="s">
        <v>27</v>
      </c>
      <c r="D202" s="48" t="s">
        <v>70</v>
      </c>
      <c r="E202" s="48" t="s">
        <v>36</v>
      </c>
      <c r="F202" s="48"/>
      <c r="G202" s="48" t="s">
        <v>30</v>
      </c>
      <c r="H202" s="51">
        <v>1000</v>
      </c>
      <c r="I202" s="49">
        <v>200</v>
      </c>
      <c r="J202" s="48" t="s">
        <v>31</v>
      </c>
      <c r="K202" s="48" t="s">
        <v>32</v>
      </c>
      <c r="M202" s="126">
        <v>600</v>
      </c>
    </row>
    <row r="203" spans="1:16" ht="15.75" customHeight="1">
      <c r="A203" s="50">
        <v>20</v>
      </c>
      <c r="B203" s="48" t="s">
        <v>3188</v>
      </c>
      <c r="C203" s="48" t="s">
        <v>27</v>
      </c>
      <c r="D203" s="48" t="s">
        <v>70</v>
      </c>
      <c r="E203" s="48" t="s">
        <v>36</v>
      </c>
      <c r="F203" s="48"/>
      <c r="G203" s="151" t="s">
        <v>61</v>
      </c>
      <c r="H203" s="152">
        <v>15</v>
      </c>
      <c r="I203" s="49">
        <v>45</v>
      </c>
      <c r="J203" s="48" t="s">
        <v>31</v>
      </c>
      <c r="K203" s="48" t="s">
        <v>32</v>
      </c>
    </row>
    <row r="204" spans="1:16" ht="15.75" customHeight="1">
      <c r="A204" s="50">
        <v>20</v>
      </c>
      <c r="B204" s="48" t="s">
        <v>3424</v>
      </c>
      <c r="C204" s="48" t="s">
        <v>27</v>
      </c>
      <c r="D204" s="48" t="s">
        <v>369</v>
      </c>
      <c r="E204" s="48" t="s">
        <v>47</v>
      </c>
      <c r="F204" s="48"/>
      <c r="G204" s="48" t="s">
        <v>30</v>
      </c>
      <c r="H204" s="51">
        <v>1500</v>
      </c>
      <c r="I204" s="49">
        <v>300</v>
      </c>
      <c r="J204" s="48" t="s">
        <v>31</v>
      </c>
      <c r="K204" s="48" t="s">
        <v>32</v>
      </c>
      <c r="P204" s="55"/>
    </row>
    <row r="205" spans="1:16" ht="15.75" customHeight="1">
      <c r="A205" s="65">
        <v>20</v>
      </c>
      <c r="B205" s="58" t="s">
        <v>3425</v>
      </c>
      <c r="C205" s="58" t="s">
        <v>27</v>
      </c>
      <c r="D205" s="58" t="s">
        <v>195</v>
      </c>
      <c r="E205" s="58" t="s">
        <v>86</v>
      </c>
      <c r="F205" s="58"/>
      <c r="G205" s="58" t="s">
        <v>30</v>
      </c>
      <c r="H205" s="59">
        <v>500</v>
      </c>
      <c r="I205" s="60">
        <v>100</v>
      </c>
      <c r="J205" s="58" t="s">
        <v>31</v>
      </c>
      <c r="K205" s="58" t="s">
        <v>32</v>
      </c>
      <c r="P205" s="55">
        <f>SUM(H192:H199,H201:H202,H204:H208,H210:H211,H213:H216)</f>
        <v>26000</v>
      </c>
    </row>
    <row r="206" spans="1:16" ht="15.75" customHeight="1">
      <c r="A206" s="61">
        <v>21</v>
      </c>
      <c r="B206" s="62" t="s">
        <v>1623</v>
      </c>
      <c r="C206" s="62" t="s">
        <v>39</v>
      </c>
      <c r="D206" s="62" t="s">
        <v>68</v>
      </c>
      <c r="E206" s="62" t="s">
        <v>79</v>
      </c>
      <c r="F206" s="62"/>
      <c r="G206" s="62" t="s">
        <v>30</v>
      </c>
      <c r="H206" s="63">
        <v>1000</v>
      </c>
      <c r="I206" s="64">
        <v>200</v>
      </c>
      <c r="J206" s="62" t="s">
        <v>31</v>
      </c>
      <c r="K206" s="62" t="s">
        <v>32</v>
      </c>
      <c r="P206" s="55"/>
    </row>
    <row r="207" spans="1:16" ht="15.75" customHeight="1">
      <c r="A207" s="50">
        <v>21</v>
      </c>
      <c r="B207" s="48" t="s">
        <v>3426</v>
      </c>
      <c r="C207" s="48" t="s">
        <v>27</v>
      </c>
      <c r="D207" s="48" t="s">
        <v>2838</v>
      </c>
      <c r="E207" s="48" t="s">
        <v>41</v>
      </c>
      <c r="F207" s="48"/>
      <c r="G207" s="48" t="s">
        <v>30</v>
      </c>
      <c r="H207" s="51">
        <v>14000</v>
      </c>
      <c r="I207" s="49">
        <v>2800</v>
      </c>
      <c r="J207" s="48" t="s">
        <v>31</v>
      </c>
      <c r="K207" s="48" t="s">
        <v>32</v>
      </c>
      <c r="M207" s="126">
        <v>2000</v>
      </c>
    </row>
    <row r="208" spans="1:16" ht="15.75" customHeight="1">
      <c r="A208" s="50">
        <v>21</v>
      </c>
      <c r="B208" s="48" t="s">
        <v>3386</v>
      </c>
      <c r="C208" s="48" t="s">
        <v>27</v>
      </c>
      <c r="D208" s="48" t="s">
        <v>400</v>
      </c>
      <c r="E208" s="48" t="s">
        <v>36</v>
      </c>
      <c r="F208" s="48"/>
      <c r="G208" s="48" t="s">
        <v>30</v>
      </c>
      <c r="H208" s="51">
        <v>250</v>
      </c>
      <c r="I208" s="49">
        <v>50</v>
      </c>
      <c r="J208" s="48" t="s">
        <v>31</v>
      </c>
      <c r="K208" s="48" t="s">
        <v>32</v>
      </c>
    </row>
    <row r="209" spans="1:13" ht="15.75" customHeight="1">
      <c r="A209" s="50">
        <v>21</v>
      </c>
      <c r="B209" s="48" t="s">
        <v>3427</v>
      </c>
      <c r="C209" s="48" t="s">
        <v>39</v>
      </c>
      <c r="D209" s="48" t="s">
        <v>934</v>
      </c>
      <c r="E209" s="48" t="s">
        <v>44</v>
      </c>
      <c r="F209" s="48"/>
      <c r="G209" s="151" t="s">
        <v>348</v>
      </c>
      <c r="H209" s="152">
        <v>15</v>
      </c>
      <c r="I209" s="49">
        <v>45</v>
      </c>
      <c r="J209" s="48" t="s">
        <v>31</v>
      </c>
      <c r="K209" s="48" t="s">
        <v>32</v>
      </c>
    </row>
    <row r="210" spans="1:13" ht="15.75" customHeight="1">
      <c r="A210" s="50">
        <v>21</v>
      </c>
      <c r="B210" s="48" t="s">
        <v>3428</v>
      </c>
      <c r="C210" s="48" t="s">
        <v>27</v>
      </c>
      <c r="D210" s="48" t="s">
        <v>108</v>
      </c>
      <c r="E210" s="48" t="s">
        <v>36</v>
      </c>
      <c r="F210" s="48"/>
      <c r="G210" s="48" t="s">
        <v>30</v>
      </c>
      <c r="H210" s="51">
        <v>500</v>
      </c>
      <c r="I210" s="49">
        <v>100</v>
      </c>
      <c r="J210" s="48" t="s">
        <v>31</v>
      </c>
      <c r="K210" s="48" t="s">
        <v>32</v>
      </c>
      <c r="M210" s="126">
        <v>200</v>
      </c>
    </row>
    <row r="211" spans="1:13" ht="15.75" customHeight="1">
      <c r="A211" s="65">
        <v>21</v>
      </c>
      <c r="B211" s="58" t="s">
        <v>3429</v>
      </c>
      <c r="C211" s="58" t="s">
        <v>27</v>
      </c>
      <c r="D211" s="58" t="s">
        <v>3430</v>
      </c>
      <c r="E211" s="58" t="s">
        <v>29</v>
      </c>
      <c r="F211" s="58"/>
      <c r="G211" s="58" t="s">
        <v>30</v>
      </c>
      <c r="H211" s="59">
        <v>500</v>
      </c>
      <c r="I211" s="60">
        <v>100</v>
      </c>
      <c r="J211" s="58" t="s">
        <v>31</v>
      </c>
      <c r="K211" s="58" t="s">
        <v>32</v>
      </c>
      <c r="M211" s="126">
        <v>100</v>
      </c>
    </row>
    <row r="212" spans="1:13" ht="15.75" customHeight="1">
      <c r="A212" s="61">
        <v>22</v>
      </c>
      <c r="B212" s="62" t="s">
        <v>3431</v>
      </c>
      <c r="C212" s="62" t="s">
        <v>39</v>
      </c>
      <c r="D212" s="62" t="s">
        <v>108</v>
      </c>
      <c r="E212" s="62" t="s">
        <v>36</v>
      </c>
      <c r="F212" s="62"/>
      <c r="G212" s="62" t="s">
        <v>30</v>
      </c>
      <c r="H212" s="63">
        <v>500</v>
      </c>
      <c r="I212" s="64" t="s">
        <v>1586</v>
      </c>
      <c r="J212" s="62" t="s">
        <v>31</v>
      </c>
      <c r="K212" s="62" t="s">
        <v>32</v>
      </c>
      <c r="M212" s="126">
        <v>80</v>
      </c>
    </row>
    <row r="213" spans="1:13" ht="15.75" customHeight="1">
      <c r="A213" s="50">
        <v>22</v>
      </c>
      <c r="B213" s="48" t="s">
        <v>3432</v>
      </c>
      <c r="C213" s="48" t="s">
        <v>27</v>
      </c>
      <c r="D213" s="48" t="s">
        <v>373</v>
      </c>
      <c r="E213" s="48" t="s">
        <v>36</v>
      </c>
      <c r="F213" s="48"/>
      <c r="G213" s="48" t="s">
        <v>30</v>
      </c>
      <c r="H213" s="51">
        <v>500</v>
      </c>
      <c r="I213" s="49">
        <v>100</v>
      </c>
      <c r="J213" s="48" t="s">
        <v>31</v>
      </c>
      <c r="K213" s="48" t="s">
        <v>32</v>
      </c>
      <c r="M213" s="126">
        <v>200</v>
      </c>
    </row>
    <row r="214" spans="1:13" ht="15.75" customHeight="1">
      <c r="A214" s="50">
        <v>22</v>
      </c>
      <c r="B214" s="48" t="s">
        <v>3433</v>
      </c>
      <c r="C214" s="48" t="s">
        <v>27</v>
      </c>
      <c r="D214" s="48" t="s">
        <v>1558</v>
      </c>
      <c r="E214" s="48" t="s">
        <v>79</v>
      </c>
      <c r="F214" s="48"/>
      <c r="G214" s="48" t="s">
        <v>30</v>
      </c>
      <c r="H214" s="51">
        <v>500</v>
      </c>
      <c r="I214" s="49">
        <v>100</v>
      </c>
      <c r="J214" s="48" t="s">
        <v>31</v>
      </c>
      <c r="K214" s="48" t="s">
        <v>32</v>
      </c>
      <c r="M214" s="126">
        <v>100</v>
      </c>
    </row>
    <row r="215" spans="1:13" ht="15.75" customHeight="1">
      <c r="A215" s="50">
        <v>22</v>
      </c>
      <c r="B215" s="48" t="s">
        <v>2258</v>
      </c>
      <c r="C215" s="48" t="s">
        <v>27</v>
      </c>
      <c r="D215" s="48" t="s">
        <v>108</v>
      </c>
      <c r="E215" s="48" t="s">
        <v>36</v>
      </c>
      <c r="F215" s="48"/>
      <c r="G215" s="48" t="s">
        <v>30</v>
      </c>
      <c r="H215" s="51">
        <v>500</v>
      </c>
      <c r="I215" s="49">
        <v>100</v>
      </c>
      <c r="J215" s="48" t="s">
        <v>31</v>
      </c>
      <c r="K215" s="48" t="s">
        <v>32</v>
      </c>
    </row>
    <row r="216" spans="1:13" ht="15.75" customHeight="1">
      <c r="A216" s="65">
        <v>22</v>
      </c>
      <c r="B216" s="58" t="s">
        <v>3434</v>
      </c>
      <c r="C216" s="58" t="s">
        <v>39</v>
      </c>
      <c r="D216" s="58" t="s">
        <v>295</v>
      </c>
      <c r="E216" s="58" t="s">
        <v>51</v>
      </c>
      <c r="F216" s="58"/>
      <c r="G216" s="58" t="s">
        <v>30</v>
      </c>
      <c r="H216" s="59">
        <v>500</v>
      </c>
      <c r="I216" s="60">
        <v>100</v>
      </c>
      <c r="J216" s="58" t="s">
        <v>31</v>
      </c>
      <c r="K216" s="58" t="s">
        <v>32</v>
      </c>
    </row>
    <row r="217" spans="1:13" ht="15.75" customHeight="1">
      <c r="A217" s="61">
        <v>23</v>
      </c>
      <c r="B217" s="62" t="s">
        <v>3435</v>
      </c>
      <c r="C217" s="62" t="s">
        <v>27</v>
      </c>
      <c r="D217" s="62" t="s">
        <v>407</v>
      </c>
      <c r="E217" s="62" t="s">
        <v>44</v>
      </c>
      <c r="F217" s="62"/>
      <c r="G217" s="62" t="s">
        <v>30</v>
      </c>
      <c r="H217" s="63">
        <v>500</v>
      </c>
      <c r="I217" s="64">
        <v>100</v>
      </c>
      <c r="J217" s="62" t="s">
        <v>31</v>
      </c>
      <c r="K217" s="62" t="s">
        <v>32</v>
      </c>
      <c r="M217" s="126">
        <v>100</v>
      </c>
    </row>
    <row r="218" spans="1:13" ht="15.75" customHeight="1">
      <c r="A218" s="65">
        <v>23</v>
      </c>
      <c r="B218" s="58" t="s">
        <v>3436</v>
      </c>
      <c r="C218" s="58" t="s">
        <v>27</v>
      </c>
      <c r="D218" s="58" t="s">
        <v>3437</v>
      </c>
      <c r="E218" s="58" t="s">
        <v>73</v>
      </c>
      <c r="F218" s="58"/>
      <c r="G218" s="58" t="s">
        <v>30</v>
      </c>
      <c r="H218" s="59">
        <v>300</v>
      </c>
      <c r="I218" s="60">
        <v>60</v>
      </c>
      <c r="J218" s="58" t="s">
        <v>31</v>
      </c>
      <c r="K218" s="58" t="s">
        <v>32</v>
      </c>
      <c r="M218" s="126">
        <v>35</v>
      </c>
    </row>
    <row r="219" spans="1:13" ht="15.75" customHeight="1">
      <c r="A219" s="61">
        <v>24</v>
      </c>
      <c r="B219" s="62" t="s">
        <v>3438</v>
      </c>
      <c r="C219" s="62" t="s">
        <v>27</v>
      </c>
      <c r="D219" s="62" t="s">
        <v>387</v>
      </c>
      <c r="E219" s="62" t="s">
        <v>73</v>
      </c>
      <c r="F219" s="62"/>
      <c r="G219" s="292" t="s">
        <v>30</v>
      </c>
      <c r="H219" s="293">
        <v>500</v>
      </c>
      <c r="I219" s="64">
        <v>100</v>
      </c>
      <c r="J219" s="62" t="s">
        <v>31</v>
      </c>
      <c r="K219" s="62" t="s">
        <v>32</v>
      </c>
      <c r="M219" s="126">
        <v>100</v>
      </c>
    </row>
    <row r="220" spans="1:13" ht="15.75" customHeight="1">
      <c r="A220" s="50">
        <v>24</v>
      </c>
      <c r="B220" s="48" t="s">
        <v>3439</v>
      </c>
      <c r="C220" s="48" t="s">
        <v>27</v>
      </c>
      <c r="D220" s="48" t="s">
        <v>387</v>
      </c>
      <c r="E220" s="48" t="s">
        <v>73</v>
      </c>
      <c r="F220" s="48"/>
      <c r="G220" s="151" t="s">
        <v>30</v>
      </c>
      <c r="H220" s="152">
        <v>500</v>
      </c>
      <c r="I220" s="49">
        <v>100</v>
      </c>
      <c r="J220" s="48" t="s">
        <v>31</v>
      </c>
      <c r="K220" s="48" t="s">
        <v>32</v>
      </c>
      <c r="M220" s="126">
        <v>100</v>
      </c>
    </row>
    <row r="221" spans="1:13" ht="15.75" customHeight="1">
      <c r="A221" s="50">
        <v>24</v>
      </c>
      <c r="B221" s="48" t="s">
        <v>3440</v>
      </c>
      <c r="C221" s="48" t="s">
        <v>27</v>
      </c>
      <c r="D221" s="48" t="s">
        <v>469</v>
      </c>
      <c r="E221" s="48" t="s">
        <v>68</v>
      </c>
      <c r="F221" s="48"/>
      <c r="G221" s="151" t="s">
        <v>30</v>
      </c>
      <c r="H221" s="152">
        <v>500</v>
      </c>
      <c r="I221" s="49">
        <v>100</v>
      </c>
      <c r="J221" s="48" t="s">
        <v>31</v>
      </c>
      <c r="K221" s="48" t="s">
        <v>32</v>
      </c>
      <c r="M221" s="126">
        <v>100</v>
      </c>
    </row>
    <row r="222" spans="1:13" ht="15.75" customHeight="1">
      <c r="A222" s="50">
        <v>24</v>
      </c>
      <c r="B222" s="48" t="s">
        <v>3441</v>
      </c>
      <c r="C222" s="48" t="s">
        <v>27</v>
      </c>
      <c r="D222" s="48" t="s">
        <v>422</v>
      </c>
      <c r="E222" s="48" t="s">
        <v>223</v>
      </c>
      <c r="F222" s="48"/>
      <c r="G222" s="151" t="s">
        <v>61</v>
      </c>
      <c r="H222" s="152">
        <v>35</v>
      </c>
      <c r="I222" s="49">
        <v>350</v>
      </c>
      <c r="J222" s="48" t="s">
        <v>31</v>
      </c>
      <c r="K222" s="48" t="s">
        <v>32</v>
      </c>
    </row>
    <row r="223" spans="1:13" ht="15.75" customHeight="1">
      <c r="A223" s="65">
        <v>24</v>
      </c>
      <c r="B223" s="58" t="s">
        <v>3442</v>
      </c>
      <c r="C223" s="58" t="s">
        <v>27</v>
      </c>
      <c r="D223" s="58" t="s">
        <v>326</v>
      </c>
      <c r="E223" s="58" t="s">
        <v>89</v>
      </c>
      <c r="F223" s="58"/>
      <c r="G223" s="175" t="s">
        <v>30</v>
      </c>
      <c r="H223" s="176">
        <v>200</v>
      </c>
      <c r="I223" s="60">
        <v>40</v>
      </c>
      <c r="J223" s="58" t="s">
        <v>31</v>
      </c>
      <c r="K223" s="58" t="s">
        <v>32</v>
      </c>
    </row>
    <row r="224" spans="1:13" ht="15.75" customHeight="1">
      <c r="A224" s="61">
        <v>25</v>
      </c>
      <c r="B224" s="62" t="s">
        <v>3443</v>
      </c>
      <c r="C224" s="62" t="s">
        <v>27</v>
      </c>
      <c r="D224" s="62" t="s">
        <v>3444</v>
      </c>
      <c r="E224" s="62" t="s">
        <v>223</v>
      </c>
      <c r="F224" s="62"/>
      <c r="G224" s="292" t="s">
        <v>30</v>
      </c>
      <c r="H224" s="293">
        <v>300</v>
      </c>
      <c r="I224" s="64">
        <v>60</v>
      </c>
      <c r="J224" s="62" t="s">
        <v>31</v>
      </c>
      <c r="K224" s="62" t="s">
        <v>32</v>
      </c>
    </row>
    <row r="225" spans="1:26" ht="15.75" customHeight="1">
      <c r="A225" s="50">
        <v>25</v>
      </c>
      <c r="B225" s="48" t="s">
        <v>3445</v>
      </c>
      <c r="C225" s="48" t="s">
        <v>27</v>
      </c>
      <c r="D225" s="48" t="s">
        <v>499</v>
      </c>
      <c r="E225" s="48" t="s">
        <v>89</v>
      </c>
      <c r="F225" s="48"/>
      <c r="G225" s="151" t="s">
        <v>30</v>
      </c>
      <c r="H225" s="152">
        <v>500</v>
      </c>
      <c r="I225" s="49">
        <v>100</v>
      </c>
      <c r="J225" s="48" t="s">
        <v>31</v>
      </c>
      <c r="K225" s="48" t="s">
        <v>32</v>
      </c>
    </row>
    <row r="226" spans="1:26" ht="15.75" customHeight="1">
      <c r="A226" s="50">
        <v>25</v>
      </c>
      <c r="B226" s="48" t="s">
        <v>2881</v>
      </c>
      <c r="C226" s="48" t="s">
        <v>27</v>
      </c>
      <c r="D226" s="48" t="s">
        <v>193</v>
      </c>
      <c r="E226" s="48" t="s">
        <v>36</v>
      </c>
      <c r="F226" s="48"/>
      <c r="G226" s="151" t="s">
        <v>30</v>
      </c>
      <c r="H226" s="152">
        <v>500</v>
      </c>
      <c r="I226" s="49">
        <v>100</v>
      </c>
      <c r="J226" s="48" t="s">
        <v>31</v>
      </c>
      <c r="K226" s="48" t="s">
        <v>32</v>
      </c>
      <c r="M226" s="126">
        <v>200</v>
      </c>
    </row>
    <row r="227" spans="1:26" ht="15.75" customHeight="1">
      <c r="A227" s="50">
        <v>25</v>
      </c>
      <c r="B227" s="48" t="s">
        <v>3446</v>
      </c>
      <c r="C227" s="48" t="s">
        <v>27</v>
      </c>
      <c r="D227" s="48" t="s">
        <v>266</v>
      </c>
      <c r="E227" s="48" t="s">
        <v>84</v>
      </c>
      <c r="F227" s="48"/>
      <c r="G227" s="151" t="s">
        <v>30</v>
      </c>
      <c r="H227" s="152">
        <v>6000</v>
      </c>
      <c r="I227" s="49">
        <v>1200</v>
      </c>
      <c r="J227" s="48" t="s">
        <v>31</v>
      </c>
      <c r="K227" s="48" t="s">
        <v>32</v>
      </c>
      <c r="M227" s="126">
        <v>1300</v>
      </c>
    </row>
    <row r="228" spans="1:26" ht="15.75" customHeight="1">
      <c r="A228" s="50">
        <v>25</v>
      </c>
      <c r="B228" s="48" t="s">
        <v>3447</v>
      </c>
      <c r="C228" s="48" t="s">
        <v>27</v>
      </c>
      <c r="D228" s="48" t="s">
        <v>3437</v>
      </c>
      <c r="E228" s="48" t="s">
        <v>73</v>
      </c>
      <c r="F228" s="48"/>
      <c r="G228" s="151" t="s">
        <v>30</v>
      </c>
      <c r="H228" s="152">
        <v>300</v>
      </c>
      <c r="I228" s="49">
        <v>90</v>
      </c>
      <c r="J228" s="48" t="s">
        <v>31</v>
      </c>
      <c r="K228" s="48" t="s">
        <v>32</v>
      </c>
    </row>
    <row r="229" spans="1:26" ht="15.75" customHeight="1">
      <c r="A229" s="50">
        <v>25</v>
      </c>
      <c r="B229" s="48" t="s">
        <v>3448</v>
      </c>
      <c r="C229" s="48" t="s">
        <v>27</v>
      </c>
      <c r="D229" s="48" t="s">
        <v>205</v>
      </c>
      <c r="E229" s="48" t="s">
        <v>191</v>
      </c>
      <c r="F229" s="48"/>
      <c r="G229" s="151" t="s">
        <v>30</v>
      </c>
      <c r="H229" s="152">
        <v>500</v>
      </c>
      <c r="I229" s="49">
        <v>100</v>
      </c>
      <c r="J229" s="48" t="s">
        <v>31</v>
      </c>
      <c r="K229" s="48" t="s">
        <v>32</v>
      </c>
      <c r="M229" s="126">
        <v>300</v>
      </c>
    </row>
    <row r="230" spans="1:26" ht="15.75" customHeight="1">
      <c r="A230" s="50">
        <v>25</v>
      </c>
      <c r="B230" s="48" t="s">
        <v>1090</v>
      </c>
      <c r="C230" s="48" t="s">
        <v>27</v>
      </c>
      <c r="D230" s="48" t="s">
        <v>108</v>
      </c>
      <c r="E230" s="48" t="s">
        <v>36</v>
      </c>
      <c r="F230" s="48"/>
      <c r="G230" s="151" t="s">
        <v>30</v>
      </c>
      <c r="H230" s="152">
        <v>500</v>
      </c>
      <c r="I230" s="49">
        <v>100</v>
      </c>
      <c r="J230" s="48" t="s">
        <v>31</v>
      </c>
      <c r="K230" s="48" t="s">
        <v>32</v>
      </c>
      <c r="M230" s="126">
        <v>400</v>
      </c>
      <c r="P230" s="55"/>
    </row>
    <row r="231" spans="1:26" ht="15.75" customHeight="1">
      <c r="A231" s="50">
        <v>25</v>
      </c>
      <c r="B231" s="48" t="s">
        <v>3449</v>
      </c>
      <c r="C231" s="48" t="s">
        <v>27</v>
      </c>
      <c r="D231" s="48" t="s">
        <v>130</v>
      </c>
      <c r="E231" s="48" t="s">
        <v>79</v>
      </c>
      <c r="F231" s="48"/>
      <c r="G231" s="151" t="s">
        <v>30</v>
      </c>
      <c r="H231" s="152">
        <v>2000</v>
      </c>
      <c r="I231" s="49">
        <v>400</v>
      </c>
      <c r="J231" s="48" t="s">
        <v>31</v>
      </c>
      <c r="K231" s="48" t="s">
        <v>32</v>
      </c>
      <c r="M231" s="126">
        <v>500</v>
      </c>
      <c r="P231" s="55"/>
    </row>
    <row r="232" spans="1:26" ht="15.75" customHeight="1">
      <c r="A232" s="65">
        <v>25</v>
      </c>
      <c r="B232" s="58" t="s">
        <v>3450</v>
      </c>
      <c r="C232" s="58" t="s">
        <v>27</v>
      </c>
      <c r="D232" s="58" t="s">
        <v>934</v>
      </c>
      <c r="E232" s="58" t="s">
        <v>44</v>
      </c>
      <c r="F232" s="58"/>
      <c r="G232" s="175" t="s">
        <v>30</v>
      </c>
      <c r="H232" s="176">
        <v>10000</v>
      </c>
      <c r="I232" s="60" t="s">
        <v>1586</v>
      </c>
      <c r="J232" s="58" t="s">
        <v>31</v>
      </c>
      <c r="K232" s="58" t="s">
        <v>32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61">
        <v>26</v>
      </c>
      <c r="B233" s="62" t="s">
        <v>3451</v>
      </c>
      <c r="C233" s="62" t="s">
        <v>39</v>
      </c>
      <c r="D233" s="62" t="s">
        <v>666</v>
      </c>
      <c r="E233" s="62" t="s">
        <v>36</v>
      </c>
      <c r="F233" s="62"/>
      <c r="G233" s="62" t="s">
        <v>30</v>
      </c>
      <c r="H233" s="63">
        <v>500</v>
      </c>
      <c r="I233" s="64">
        <v>100</v>
      </c>
      <c r="J233" s="62" t="s">
        <v>31</v>
      </c>
      <c r="K233" s="62" t="s">
        <v>32</v>
      </c>
      <c r="M233" s="126">
        <v>150</v>
      </c>
    </row>
    <row r="234" spans="1:26" ht="15.75" customHeight="1">
      <c r="A234" s="50">
        <v>26</v>
      </c>
      <c r="B234" s="48" t="s">
        <v>3452</v>
      </c>
      <c r="C234" s="48" t="s">
        <v>27</v>
      </c>
      <c r="D234" s="48" t="s">
        <v>232</v>
      </c>
      <c r="E234" s="48" t="s">
        <v>169</v>
      </c>
      <c r="F234" s="48"/>
      <c r="G234" s="48" t="s">
        <v>30</v>
      </c>
      <c r="H234" s="51">
        <v>1000</v>
      </c>
      <c r="I234" s="49">
        <v>200</v>
      </c>
      <c r="J234" s="48" t="s">
        <v>31</v>
      </c>
      <c r="K234" s="48" t="s">
        <v>32</v>
      </c>
      <c r="M234" s="126">
        <v>300</v>
      </c>
    </row>
    <row r="235" spans="1:26" ht="15.75" customHeight="1">
      <c r="A235" s="50">
        <v>26</v>
      </c>
      <c r="B235" s="48" t="s">
        <v>3453</v>
      </c>
      <c r="C235" s="48" t="s">
        <v>27</v>
      </c>
      <c r="D235" s="48" t="s">
        <v>3454</v>
      </c>
      <c r="E235" s="48" t="s">
        <v>237</v>
      </c>
      <c r="F235" s="48"/>
      <c r="G235" s="48" t="s">
        <v>30</v>
      </c>
      <c r="H235" s="51">
        <v>500</v>
      </c>
      <c r="I235" s="49">
        <v>100</v>
      </c>
      <c r="J235" s="48" t="s">
        <v>31</v>
      </c>
      <c r="K235" s="48" t="s">
        <v>32</v>
      </c>
      <c r="M235" s="126">
        <v>100</v>
      </c>
    </row>
    <row r="236" spans="1:26" ht="15.75" customHeight="1">
      <c r="A236" s="50">
        <v>26</v>
      </c>
      <c r="B236" s="48" t="s">
        <v>2328</v>
      </c>
      <c r="C236" s="48" t="s">
        <v>27</v>
      </c>
      <c r="D236" s="48" t="s">
        <v>205</v>
      </c>
      <c r="E236" s="48" t="s">
        <v>191</v>
      </c>
      <c r="F236" s="48"/>
      <c r="G236" s="48" t="s">
        <v>30</v>
      </c>
      <c r="H236" s="51">
        <v>500</v>
      </c>
      <c r="I236" s="49">
        <v>100</v>
      </c>
      <c r="J236" s="48" t="s">
        <v>31</v>
      </c>
      <c r="K236" s="48" t="s">
        <v>32</v>
      </c>
      <c r="M236" s="126">
        <v>100</v>
      </c>
    </row>
    <row r="237" spans="1:26" ht="15.75" customHeight="1">
      <c r="A237" s="50">
        <v>26</v>
      </c>
      <c r="B237" s="48" t="s">
        <v>3455</v>
      </c>
      <c r="C237" s="48" t="s">
        <v>39</v>
      </c>
      <c r="D237" s="48" t="s">
        <v>205</v>
      </c>
      <c r="E237" s="48" t="s">
        <v>191</v>
      </c>
      <c r="F237" s="48"/>
      <c r="G237" s="48" t="s">
        <v>30</v>
      </c>
      <c r="H237" s="51">
        <v>500</v>
      </c>
      <c r="I237" s="49">
        <v>100</v>
      </c>
      <c r="J237" s="48" t="s">
        <v>31</v>
      </c>
      <c r="K237" s="48" t="s">
        <v>32</v>
      </c>
      <c r="M237" s="126">
        <v>100</v>
      </c>
    </row>
    <row r="238" spans="1:26" ht="15.75" customHeight="1">
      <c r="A238" s="50">
        <v>26</v>
      </c>
      <c r="B238" s="48" t="s">
        <v>3456</v>
      </c>
      <c r="C238" s="48" t="s">
        <v>27</v>
      </c>
      <c r="D238" s="48" t="s">
        <v>1396</v>
      </c>
      <c r="E238" s="48" t="s">
        <v>245</v>
      </c>
      <c r="F238" s="48"/>
      <c r="G238" s="48" t="s">
        <v>30</v>
      </c>
      <c r="H238" s="51">
        <v>400</v>
      </c>
      <c r="I238" s="49">
        <v>80</v>
      </c>
      <c r="J238" s="48" t="s">
        <v>31</v>
      </c>
      <c r="K238" s="48" t="s">
        <v>32</v>
      </c>
      <c r="M238" s="126">
        <v>100</v>
      </c>
    </row>
    <row r="239" spans="1:26" ht="15.75" customHeight="1">
      <c r="A239" s="50">
        <v>26</v>
      </c>
      <c r="B239" s="48" t="s">
        <v>3457</v>
      </c>
      <c r="C239" s="48" t="s">
        <v>27</v>
      </c>
      <c r="D239" s="48" t="s">
        <v>132</v>
      </c>
      <c r="E239" s="48" t="s">
        <v>29</v>
      </c>
      <c r="F239" s="48"/>
      <c r="G239" s="48" t="s">
        <v>30</v>
      </c>
      <c r="H239" s="51">
        <v>4000</v>
      </c>
      <c r="I239" s="49">
        <v>800</v>
      </c>
      <c r="J239" s="48" t="s">
        <v>31</v>
      </c>
      <c r="K239" s="48" t="s">
        <v>32</v>
      </c>
    </row>
    <row r="240" spans="1:26" ht="15.75" customHeight="1">
      <c r="A240" s="50"/>
      <c r="B240" s="48"/>
      <c r="C240" s="48"/>
      <c r="D240" s="48"/>
      <c r="E240" s="48"/>
      <c r="F240" s="48"/>
      <c r="G240" s="48"/>
      <c r="H240" s="51"/>
      <c r="I240" s="49"/>
      <c r="J240" s="48"/>
      <c r="K240" s="48"/>
    </row>
    <row r="241" spans="1:26" ht="15.75" customHeight="1">
      <c r="A241" s="4"/>
      <c r="B241" s="2"/>
      <c r="C241" s="2"/>
      <c r="D241" s="2"/>
      <c r="E241" s="2"/>
      <c r="F241" s="2"/>
      <c r="G241" s="2"/>
      <c r="H241" s="2"/>
      <c r="I241" s="81"/>
      <c r="J241" s="2"/>
      <c r="K241" s="2"/>
    </row>
    <row r="242" spans="1:26" ht="15.75" customHeight="1">
      <c r="A242" s="4"/>
      <c r="B242" s="2"/>
      <c r="C242" s="2"/>
      <c r="D242" s="2"/>
      <c r="E242" s="2"/>
      <c r="F242" s="2"/>
      <c r="G242" s="2"/>
      <c r="H242" s="2"/>
      <c r="I242" s="82" t="s">
        <v>508</v>
      </c>
      <c r="J242" s="8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4"/>
      <c r="B243" s="2" t="s">
        <v>509</v>
      </c>
      <c r="C243" s="2"/>
      <c r="D243" s="2"/>
      <c r="E243" s="2" t="s">
        <v>510</v>
      </c>
      <c r="F243" s="2"/>
      <c r="G243" s="2"/>
      <c r="H243" s="2"/>
      <c r="I243" s="7" t="s">
        <v>942</v>
      </c>
      <c r="J243" s="8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4"/>
      <c r="B244" s="2"/>
      <c r="C244" s="2"/>
      <c r="D244" s="2"/>
      <c r="E244" s="2"/>
      <c r="F244" s="2"/>
      <c r="G244" s="2"/>
      <c r="H244" s="2"/>
      <c r="I244" s="7" t="s">
        <v>944</v>
      </c>
      <c r="J244" s="8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4"/>
      <c r="B245" s="2"/>
      <c r="C245" s="2"/>
      <c r="D245" s="2"/>
      <c r="E245" s="2"/>
      <c r="F245" s="2"/>
      <c r="G245" s="2"/>
      <c r="H245" s="2"/>
      <c r="I245" s="7" t="s">
        <v>946</v>
      </c>
      <c r="J245" s="8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4"/>
      <c r="B246" s="86" t="s">
        <v>516</v>
      </c>
      <c r="C246" s="2"/>
      <c r="D246" s="2"/>
      <c r="E246" s="731" t="s">
        <v>517</v>
      </c>
      <c r="F246" s="711"/>
      <c r="G246" s="711"/>
      <c r="H246" s="2"/>
      <c r="I246" s="7" t="s">
        <v>947</v>
      </c>
      <c r="J246" s="8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4"/>
      <c r="B247" s="4" t="s">
        <v>949</v>
      </c>
      <c r="C247" s="2"/>
      <c r="D247" s="2"/>
      <c r="E247" s="732" t="s">
        <v>521</v>
      </c>
      <c r="F247" s="711"/>
      <c r="G247" s="711"/>
      <c r="H247" s="711"/>
      <c r="I247" s="7" t="s">
        <v>950</v>
      </c>
      <c r="J247" s="8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4"/>
      <c r="B248" s="2"/>
      <c r="C248" s="2"/>
      <c r="D248" s="2"/>
      <c r="E248" s="2"/>
      <c r="F248" s="2"/>
      <c r="G248" s="2"/>
      <c r="H248" s="2"/>
      <c r="I248" s="7" t="s">
        <v>564</v>
      </c>
      <c r="J248" s="8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4"/>
      <c r="B249" s="2"/>
      <c r="C249" s="2"/>
      <c r="D249" s="2"/>
      <c r="E249" s="2"/>
      <c r="F249" s="2"/>
      <c r="G249" s="2"/>
      <c r="H249" s="2"/>
      <c r="I249" s="7" t="s">
        <v>525</v>
      </c>
      <c r="J249" s="8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4"/>
      <c r="B250" s="2"/>
      <c r="C250" s="2"/>
      <c r="D250" s="2"/>
      <c r="E250" s="2"/>
      <c r="F250" s="2"/>
      <c r="G250" s="2"/>
      <c r="H250" s="2"/>
      <c r="I250" s="88" t="s">
        <v>565</v>
      </c>
      <c r="J250" s="90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4"/>
      <c r="B251" s="2"/>
      <c r="C251" s="2"/>
      <c r="D251" s="2"/>
      <c r="E251" s="2"/>
      <c r="F251" s="2"/>
      <c r="G251" s="2"/>
      <c r="H251" s="2"/>
      <c r="I251" s="88" t="s">
        <v>953</v>
      </c>
      <c r="J251" s="90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4"/>
      <c r="B252" s="2"/>
      <c r="C252" s="2"/>
      <c r="D252" s="2"/>
      <c r="E252" s="2"/>
      <c r="F252" s="2"/>
      <c r="G252" s="2"/>
      <c r="H252" s="2"/>
      <c r="I252" s="8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4"/>
      <c r="B253" s="2"/>
      <c r="C253" s="2"/>
      <c r="D253" s="2"/>
      <c r="E253" s="2"/>
      <c r="F253" s="2"/>
      <c r="G253" s="2"/>
      <c r="H253" s="2"/>
      <c r="I253" s="8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4"/>
      <c r="B254" s="2"/>
      <c r="C254" s="2"/>
      <c r="D254" s="2"/>
      <c r="E254" s="2"/>
      <c r="F254" s="2"/>
      <c r="G254" s="2"/>
      <c r="H254" s="2"/>
      <c r="I254" s="8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4"/>
      <c r="B255" s="2"/>
      <c r="C255" s="2"/>
      <c r="D255" s="2"/>
      <c r="E255" s="2"/>
      <c r="F255" s="2"/>
      <c r="G255" s="2"/>
      <c r="H255" s="2"/>
      <c r="I255" s="8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4"/>
      <c r="B256" s="2"/>
      <c r="C256" s="2"/>
      <c r="D256" s="2"/>
      <c r="E256" s="2"/>
      <c r="F256" s="2"/>
      <c r="G256" s="2"/>
      <c r="H256" s="2"/>
      <c r="I256" s="8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4"/>
      <c r="B257" s="2"/>
      <c r="C257" s="2"/>
      <c r="D257" s="2"/>
      <c r="E257" s="2"/>
      <c r="F257" s="2"/>
      <c r="G257" s="2"/>
      <c r="H257" s="2"/>
      <c r="I257" s="8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4"/>
      <c r="B258" s="2"/>
      <c r="C258" s="2"/>
      <c r="D258" s="2"/>
      <c r="E258" s="2"/>
      <c r="F258" s="2"/>
      <c r="G258" s="2"/>
      <c r="H258" s="2"/>
      <c r="I258" s="8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4"/>
      <c r="B259" s="2"/>
      <c r="C259" s="2"/>
      <c r="D259" s="2"/>
      <c r="E259" s="2"/>
      <c r="F259" s="2"/>
      <c r="G259" s="2"/>
      <c r="H259" s="2"/>
      <c r="I259" s="8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4"/>
      <c r="B260" s="2"/>
      <c r="C260" s="2"/>
      <c r="D260" s="2"/>
      <c r="E260" s="2"/>
      <c r="F260" s="2"/>
      <c r="G260" s="2"/>
      <c r="H260" s="2"/>
      <c r="I260" s="8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"/>
      <c r="B261" s="2"/>
      <c r="C261" s="2"/>
      <c r="D261" s="2"/>
      <c r="E261" s="2"/>
      <c r="F261" s="2"/>
      <c r="G261" s="2"/>
      <c r="H261" s="2"/>
      <c r="I261" s="8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"/>
      <c r="B262" s="2"/>
      <c r="C262" s="2"/>
      <c r="D262" s="2"/>
      <c r="E262" s="2"/>
      <c r="F262" s="2"/>
      <c r="G262" s="2"/>
      <c r="H262" s="2"/>
      <c r="I262" s="8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"/>
      <c r="B263" s="2"/>
      <c r="C263" s="2"/>
      <c r="D263" s="2"/>
      <c r="E263" s="2"/>
      <c r="F263" s="2"/>
      <c r="G263" s="2"/>
      <c r="H263" s="2"/>
      <c r="I263" s="8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"/>
      <c r="B264" s="2"/>
      <c r="C264" s="2"/>
      <c r="D264" s="2"/>
      <c r="E264" s="2"/>
      <c r="F264" s="2"/>
      <c r="G264" s="2"/>
      <c r="H264" s="2"/>
      <c r="I264" s="8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"/>
      <c r="B265" s="2"/>
      <c r="C265" s="2"/>
      <c r="D265" s="2"/>
      <c r="E265" s="2"/>
      <c r="F265" s="2"/>
      <c r="G265" s="2"/>
      <c r="H265" s="2"/>
      <c r="I265" s="8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"/>
      <c r="B266" s="2"/>
      <c r="C266" s="2"/>
      <c r="D266" s="2"/>
      <c r="E266" s="2"/>
      <c r="F266" s="2"/>
      <c r="G266" s="2"/>
      <c r="H266" s="2"/>
      <c r="I266" s="8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4"/>
      <c r="B267" s="2"/>
      <c r="C267" s="2"/>
      <c r="D267" s="2"/>
      <c r="E267" s="2"/>
      <c r="F267" s="2"/>
      <c r="G267" s="2"/>
      <c r="H267" s="2"/>
      <c r="I267" s="8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4"/>
      <c r="B268" s="2"/>
      <c r="C268" s="2"/>
      <c r="D268" s="2"/>
      <c r="E268" s="2"/>
      <c r="F268" s="2"/>
      <c r="G268" s="2"/>
      <c r="H268" s="2"/>
      <c r="I268" s="8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"/>
      <c r="B269" s="2"/>
      <c r="C269" s="2"/>
      <c r="D269" s="2"/>
      <c r="E269" s="2"/>
      <c r="F269" s="2"/>
      <c r="G269" s="2"/>
      <c r="H269" s="2"/>
      <c r="I269" s="81"/>
      <c r="J269" s="2"/>
      <c r="K269" s="253"/>
    </row>
    <row r="270" spans="1:26" ht="15.75" customHeight="1">
      <c r="A270" s="4"/>
      <c r="B270" s="2"/>
      <c r="C270" s="2"/>
      <c r="D270" s="2"/>
      <c r="E270" s="2"/>
      <c r="F270" s="2"/>
      <c r="G270" s="2"/>
      <c r="H270" s="2"/>
      <c r="I270" s="81"/>
      <c r="J270" s="2"/>
      <c r="K270" s="253"/>
    </row>
    <row r="271" spans="1:26" ht="15.75" customHeight="1">
      <c r="A271" s="4"/>
      <c r="B271" s="2"/>
      <c r="C271" s="2"/>
      <c r="D271" s="2"/>
      <c r="E271" s="2"/>
      <c r="F271" s="2"/>
      <c r="G271" s="2"/>
      <c r="H271" s="2"/>
      <c r="I271" s="81"/>
      <c r="J271" s="2"/>
      <c r="K271" s="253"/>
    </row>
    <row r="272" spans="1:26" ht="15.75" customHeight="1">
      <c r="A272" s="4"/>
      <c r="B272" s="2"/>
      <c r="C272" s="2"/>
      <c r="D272" s="2"/>
      <c r="E272" s="2"/>
      <c r="F272" s="2"/>
      <c r="G272" s="2"/>
      <c r="H272" s="2"/>
      <c r="I272" s="81"/>
      <c r="J272" s="2"/>
      <c r="K272" s="253"/>
    </row>
    <row r="273" spans="1:11" ht="15.75" customHeight="1">
      <c r="A273" s="4"/>
      <c r="B273" s="2"/>
      <c r="C273" s="2"/>
      <c r="D273" s="2"/>
      <c r="E273" s="2"/>
      <c r="F273" s="2"/>
      <c r="G273" s="2"/>
      <c r="H273" s="2"/>
      <c r="I273" s="81"/>
      <c r="J273" s="2"/>
      <c r="K273" s="253"/>
    </row>
    <row r="274" spans="1:11" ht="15.75" customHeight="1">
      <c r="A274" s="4"/>
      <c r="B274" s="2"/>
      <c r="C274" s="2"/>
      <c r="D274" s="2"/>
      <c r="E274" s="2"/>
      <c r="F274" s="2"/>
      <c r="G274" s="2"/>
      <c r="H274" s="2"/>
      <c r="I274" s="81"/>
      <c r="J274" s="2"/>
      <c r="K274" s="253"/>
    </row>
    <row r="275" spans="1:11" ht="15.75" customHeight="1">
      <c r="A275" s="4"/>
      <c r="B275" s="2"/>
      <c r="C275" s="2"/>
      <c r="D275" s="2"/>
      <c r="E275" s="2"/>
      <c r="F275" s="2"/>
      <c r="G275" s="2"/>
      <c r="H275" s="2"/>
      <c r="I275" s="81"/>
      <c r="J275" s="2"/>
      <c r="K275" s="253"/>
    </row>
    <row r="276" spans="1:11" ht="15.75" customHeight="1">
      <c r="A276" s="4"/>
      <c r="B276" s="2"/>
      <c r="C276" s="2"/>
      <c r="D276" s="2"/>
      <c r="E276" s="2"/>
      <c r="F276" s="2"/>
      <c r="G276" s="2"/>
      <c r="H276" s="2"/>
      <c r="I276" s="81"/>
      <c r="J276" s="2"/>
      <c r="K276" s="253"/>
    </row>
    <row r="277" spans="1:11" ht="15.75" customHeight="1">
      <c r="A277" s="4"/>
      <c r="B277" s="2"/>
      <c r="C277" s="2"/>
      <c r="D277" s="2"/>
      <c r="E277" s="2"/>
      <c r="F277" s="2"/>
      <c r="G277" s="2"/>
      <c r="H277" s="2"/>
      <c r="I277" s="81"/>
      <c r="J277" s="2"/>
      <c r="K277" s="253"/>
    </row>
    <row r="278" spans="1:11" ht="15.75" customHeight="1">
      <c r="A278" s="4"/>
      <c r="B278" s="2"/>
      <c r="C278" s="2"/>
      <c r="D278" s="2"/>
      <c r="E278" s="2"/>
      <c r="F278" s="2"/>
      <c r="G278" s="2"/>
      <c r="H278" s="2"/>
      <c r="I278" s="81"/>
      <c r="J278" s="2"/>
      <c r="K278" s="253"/>
    </row>
    <row r="279" spans="1:11" ht="15.75" customHeight="1">
      <c r="A279" s="4"/>
      <c r="B279" s="2"/>
      <c r="C279" s="2"/>
      <c r="D279" s="2"/>
      <c r="E279" s="2"/>
      <c r="F279" s="2"/>
      <c r="G279" s="2"/>
      <c r="H279" s="2"/>
      <c r="I279" s="81"/>
      <c r="J279" s="2"/>
      <c r="K279" s="253"/>
    </row>
    <row r="280" spans="1:11" ht="15.75" customHeight="1">
      <c r="A280" s="4"/>
      <c r="B280" s="2"/>
      <c r="C280" s="2"/>
      <c r="D280" s="2"/>
      <c r="E280" s="2"/>
      <c r="F280" s="2"/>
      <c r="G280" s="2"/>
      <c r="H280" s="2"/>
      <c r="I280" s="81"/>
      <c r="J280" s="2"/>
      <c r="K280" s="253"/>
    </row>
    <row r="281" spans="1:11" ht="15.75" customHeight="1">
      <c r="A281" s="4"/>
      <c r="B281" s="2"/>
      <c r="C281" s="2"/>
      <c r="D281" s="2"/>
      <c r="E281" s="2"/>
      <c r="F281" s="2"/>
      <c r="G281" s="2"/>
      <c r="H281" s="2"/>
      <c r="I281" s="81"/>
      <c r="J281" s="2"/>
      <c r="K281" s="253"/>
    </row>
    <row r="282" spans="1:11" ht="15.75" customHeight="1">
      <c r="A282" s="4"/>
      <c r="B282" s="2"/>
      <c r="C282" s="2"/>
      <c r="D282" s="2"/>
      <c r="E282" s="2"/>
      <c r="F282" s="2"/>
      <c r="G282" s="2"/>
      <c r="H282" s="2"/>
      <c r="I282" s="81"/>
      <c r="J282" s="2"/>
      <c r="K282" s="253"/>
    </row>
    <row r="283" spans="1:11" ht="15.75" customHeight="1">
      <c r="A283" s="4"/>
      <c r="B283" s="2"/>
      <c r="C283" s="2"/>
      <c r="D283" s="2"/>
      <c r="E283" s="2"/>
      <c r="F283" s="2"/>
      <c r="G283" s="2"/>
      <c r="H283" s="2"/>
      <c r="I283" s="81"/>
      <c r="J283" s="2"/>
      <c r="K283" s="253"/>
    </row>
    <row r="284" spans="1:11" ht="15.75" customHeight="1">
      <c r="A284" s="4"/>
      <c r="B284" s="2"/>
      <c r="C284" s="2"/>
      <c r="D284" s="2"/>
      <c r="E284" s="2"/>
      <c r="F284" s="2"/>
      <c r="G284" s="2"/>
      <c r="H284" s="2"/>
      <c r="I284" s="81"/>
      <c r="J284" s="2"/>
      <c r="K284" s="253"/>
    </row>
    <row r="285" spans="1:11" ht="15.75" customHeight="1">
      <c r="A285" s="4"/>
      <c r="B285" s="2"/>
      <c r="C285" s="2"/>
      <c r="D285" s="2"/>
      <c r="E285" s="2"/>
      <c r="F285" s="2"/>
      <c r="G285" s="2"/>
      <c r="H285" s="2"/>
      <c r="I285" s="81"/>
      <c r="J285" s="2"/>
      <c r="K285" s="253"/>
    </row>
    <row r="286" spans="1:11" ht="15.75" customHeight="1">
      <c r="A286" s="4"/>
      <c r="B286" s="2"/>
      <c r="C286" s="2"/>
      <c r="D286" s="2"/>
      <c r="E286" s="2"/>
      <c r="F286" s="2"/>
      <c r="G286" s="2"/>
      <c r="H286" s="2"/>
      <c r="I286" s="81"/>
      <c r="J286" s="2"/>
      <c r="K286" s="253"/>
    </row>
    <row r="287" spans="1:11" ht="15.75" customHeight="1">
      <c r="A287" s="4"/>
      <c r="B287" s="2"/>
      <c r="C287" s="2"/>
      <c r="D287" s="2"/>
      <c r="E287" s="2"/>
      <c r="F287" s="2"/>
      <c r="G287" s="2"/>
      <c r="H287" s="2"/>
      <c r="I287" s="81"/>
      <c r="J287" s="2"/>
      <c r="K287" s="253"/>
    </row>
    <row r="288" spans="1:11" ht="15.75" customHeight="1">
      <c r="A288" s="4"/>
      <c r="B288" s="2"/>
      <c r="C288" s="2"/>
      <c r="D288" s="2"/>
      <c r="E288" s="2"/>
      <c r="F288" s="2"/>
      <c r="G288" s="2"/>
      <c r="H288" s="2"/>
      <c r="I288" s="81"/>
      <c r="J288" s="2"/>
      <c r="K288" s="253"/>
    </row>
    <row r="289" spans="1:11" ht="15.75" customHeight="1">
      <c r="A289" s="4"/>
      <c r="B289" s="2"/>
      <c r="C289" s="2"/>
      <c r="D289" s="2"/>
      <c r="E289" s="2"/>
      <c r="F289" s="2"/>
      <c r="G289" s="2"/>
      <c r="H289" s="2"/>
      <c r="I289" s="81"/>
      <c r="J289" s="2"/>
      <c r="K289" s="253"/>
    </row>
    <row r="290" spans="1:11" ht="15.75" customHeight="1">
      <c r="A290" s="4"/>
      <c r="B290" s="2"/>
      <c r="C290" s="2"/>
      <c r="D290" s="2"/>
      <c r="E290" s="2"/>
      <c r="F290" s="2"/>
      <c r="G290" s="2"/>
      <c r="H290" s="2"/>
      <c r="I290" s="81"/>
      <c r="J290" s="2"/>
      <c r="K290" s="253"/>
    </row>
    <row r="291" spans="1:11" ht="15.75" customHeight="1">
      <c r="A291" s="4"/>
      <c r="B291" s="2"/>
      <c r="C291" s="2"/>
      <c r="D291" s="2"/>
      <c r="E291" s="2"/>
      <c r="F291" s="2"/>
      <c r="G291" s="2"/>
      <c r="H291" s="2"/>
      <c r="I291" s="81"/>
      <c r="J291" s="2"/>
      <c r="K291" s="253"/>
    </row>
    <row r="292" spans="1:11" ht="15.75" customHeight="1">
      <c r="A292" s="4"/>
      <c r="B292" s="2"/>
      <c r="C292" s="2"/>
      <c r="D292" s="2"/>
      <c r="E292" s="2"/>
      <c r="F292" s="2"/>
      <c r="G292" s="2"/>
      <c r="H292" s="2"/>
      <c r="I292" s="81"/>
      <c r="J292" s="2"/>
      <c r="K292" s="253"/>
    </row>
    <row r="293" spans="1:11" ht="15.75" customHeight="1">
      <c r="A293" s="4"/>
      <c r="B293" s="2"/>
      <c r="C293" s="2"/>
      <c r="D293" s="2"/>
      <c r="E293" s="2"/>
      <c r="F293" s="2"/>
      <c r="G293" s="2"/>
      <c r="H293" s="2"/>
      <c r="I293" s="81"/>
      <c r="J293" s="2"/>
      <c r="K293" s="253"/>
    </row>
    <row r="294" spans="1:11" ht="15.75" customHeight="1">
      <c r="A294" s="4"/>
      <c r="B294" s="2"/>
      <c r="C294" s="2"/>
      <c r="D294" s="2"/>
      <c r="E294" s="2"/>
      <c r="F294" s="2"/>
      <c r="G294" s="2"/>
      <c r="H294" s="2"/>
      <c r="I294" s="81"/>
      <c r="J294" s="2"/>
      <c r="K294" s="253"/>
    </row>
    <row r="295" spans="1:11" ht="15.75" customHeight="1">
      <c r="A295" s="4"/>
      <c r="B295" s="2"/>
      <c r="C295" s="2"/>
      <c r="D295" s="2"/>
      <c r="E295" s="2"/>
      <c r="F295" s="2"/>
      <c r="G295" s="2"/>
      <c r="H295" s="2"/>
      <c r="I295" s="81"/>
      <c r="J295" s="2"/>
      <c r="K295" s="253"/>
    </row>
    <row r="296" spans="1:11" ht="15.75" customHeight="1">
      <c r="A296" s="4"/>
      <c r="B296" s="2"/>
      <c r="C296" s="2"/>
      <c r="D296" s="2"/>
      <c r="E296" s="2"/>
      <c r="F296" s="2"/>
      <c r="G296" s="2"/>
      <c r="H296" s="2"/>
      <c r="I296" s="81"/>
      <c r="J296" s="2"/>
      <c r="K296" s="253"/>
    </row>
    <row r="297" spans="1:11" ht="15.75" customHeight="1">
      <c r="A297" s="4"/>
      <c r="B297" s="2"/>
      <c r="C297" s="2"/>
      <c r="D297" s="2"/>
      <c r="E297" s="2"/>
      <c r="F297" s="2"/>
      <c r="G297" s="2"/>
      <c r="H297" s="2"/>
      <c r="I297" s="81"/>
      <c r="J297" s="2"/>
      <c r="K297" s="253"/>
    </row>
    <row r="298" spans="1:11" ht="15.75" customHeight="1">
      <c r="A298" s="4"/>
      <c r="B298" s="2"/>
      <c r="C298" s="2"/>
      <c r="D298" s="2"/>
      <c r="E298" s="2"/>
      <c r="F298" s="2"/>
      <c r="G298" s="2"/>
      <c r="H298" s="2"/>
      <c r="I298" s="81"/>
      <c r="J298" s="2"/>
      <c r="K298" s="253"/>
    </row>
    <row r="299" spans="1:11" ht="15.75" customHeight="1">
      <c r="A299" s="4"/>
      <c r="B299" s="2"/>
      <c r="C299" s="2"/>
      <c r="D299" s="2"/>
      <c r="E299" s="2"/>
      <c r="F299" s="2"/>
      <c r="G299" s="2"/>
      <c r="H299" s="2"/>
      <c r="I299" s="81"/>
      <c r="J299" s="2"/>
      <c r="K299" s="253"/>
    </row>
    <row r="300" spans="1:11" ht="15.75" customHeight="1">
      <c r="A300" s="4"/>
      <c r="B300" s="2"/>
      <c r="C300" s="2"/>
      <c r="D300" s="2"/>
      <c r="E300" s="2"/>
      <c r="F300" s="2"/>
      <c r="G300" s="2"/>
      <c r="H300" s="2"/>
      <c r="I300" s="81"/>
      <c r="J300" s="2"/>
      <c r="K300" s="253"/>
    </row>
    <row r="301" spans="1:11" ht="15.75" customHeight="1">
      <c r="A301" s="4"/>
      <c r="B301" s="2"/>
      <c r="C301" s="2"/>
      <c r="D301" s="2"/>
      <c r="E301" s="2"/>
      <c r="F301" s="2"/>
      <c r="G301" s="2"/>
      <c r="H301" s="2"/>
      <c r="I301" s="81"/>
      <c r="J301" s="2"/>
      <c r="K301" s="253"/>
    </row>
    <row r="302" spans="1:11" ht="15.75" customHeight="1">
      <c r="A302" s="4"/>
      <c r="B302" s="2"/>
      <c r="C302" s="2"/>
      <c r="D302" s="2"/>
      <c r="E302" s="2"/>
      <c r="F302" s="2"/>
      <c r="G302" s="2"/>
      <c r="H302" s="2"/>
      <c r="I302" s="81"/>
      <c r="J302" s="2"/>
      <c r="K302" s="253"/>
    </row>
    <row r="303" spans="1:11" ht="15.75" customHeight="1">
      <c r="A303" s="4"/>
      <c r="B303" s="2"/>
      <c r="C303" s="2"/>
      <c r="D303" s="2"/>
      <c r="E303" s="2"/>
      <c r="F303" s="2"/>
      <c r="G303" s="2"/>
      <c r="H303" s="2"/>
      <c r="I303" s="81"/>
      <c r="J303" s="2"/>
      <c r="K303" s="253"/>
    </row>
    <row r="304" spans="1:11" ht="15.75" customHeight="1">
      <c r="A304" s="4"/>
      <c r="B304" s="2"/>
      <c r="C304" s="2"/>
      <c r="D304" s="2"/>
      <c r="E304" s="2"/>
      <c r="F304" s="2"/>
      <c r="G304" s="2"/>
      <c r="H304" s="2"/>
      <c r="I304" s="81"/>
      <c r="J304" s="2"/>
      <c r="K304" s="253"/>
    </row>
    <row r="305" spans="1:11" ht="15.75" customHeight="1">
      <c r="A305" s="4"/>
      <c r="B305" s="2"/>
      <c r="C305" s="2"/>
      <c r="D305" s="2"/>
      <c r="E305" s="2"/>
      <c r="F305" s="2"/>
      <c r="G305" s="2"/>
      <c r="H305" s="2"/>
      <c r="I305" s="81"/>
      <c r="J305" s="2"/>
      <c r="K305" s="253"/>
    </row>
    <row r="306" spans="1:11" ht="15.75" customHeight="1">
      <c r="A306" s="4"/>
      <c r="B306" s="2"/>
      <c r="C306" s="2"/>
      <c r="D306" s="2"/>
      <c r="E306" s="2"/>
      <c r="F306" s="2"/>
      <c r="G306" s="2"/>
      <c r="H306" s="2"/>
      <c r="I306" s="81"/>
      <c r="J306" s="2"/>
      <c r="K306" s="253"/>
    </row>
    <row r="307" spans="1:11" ht="15.75" customHeight="1">
      <c r="A307" s="4"/>
      <c r="B307" s="2"/>
      <c r="C307" s="2"/>
      <c r="D307" s="2"/>
      <c r="E307" s="2"/>
      <c r="F307" s="2"/>
      <c r="G307" s="2"/>
      <c r="H307" s="2"/>
      <c r="I307" s="81"/>
      <c r="J307" s="2"/>
      <c r="K307" s="253"/>
    </row>
    <row r="308" spans="1:11" ht="15.75" customHeight="1">
      <c r="A308" s="4"/>
      <c r="B308" s="2"/>
      <c r="C308" s="2"/>
      <c r="D308" s="2"/>
      <c r="E308" s="2"/>
      <c r="F308" s="2"/>
      <c r="G308" s="2"/>
      <c r="H308" s="2"/>
      <c r="I308" s="81"/>
      <c r="J308" s="2"/>
      <c r="K308" s="253"/>
    </row>
    <row r="309" spans="1:11" ht="15.75" customHeight="1">
      <c r="A309" s="4"/>
      <c r="B309" s="2"/>
      <c r="C309" s="2"/>
      <c r="D309" s="2"/>
      <c r="E309" s="2"/>
      <c r="F309" s="2"/>
      <c r="G309" s="2"/>
      <c r="H309" s="2"/>
      <c r="I309" s="81"/>
      <c r="J309" s="2"/>
      <c r="K309" s="253"/>
    </row>
    <row r="310" spans="1:11" ht="15.75" customHeight="1">
      <c r="A310" s="4"/>
      <c r="B310" s="2"/>
      <c r="C310" s="2"/>
      <c r="D310" s="2"/>
      <c r="E310" s="2"/>
      <c r="F310" s="2"/>
      <c r="G310" s="2"/>
      <c r="H310" s="2"/>
      <c r="I310" s="81"/>
      <c r="J310" s="2"/>
      <c r="K310" s="253"/>
    </row>
    <row r="311" spans="1:11" ht="15.75" customHeight="1">
      <c r="A311" s="4"/>
      <c r="B311" s="2"/>
      <c r="C311" s="2"/>
      <c r="D311" s="2"/>
      <c r="E311" s="2"/>
      <c r="F311" s="2"/>
      <c r="G311" s="2"/>
      <c r="H311" s="2"/>
      <c r="I311" s="81"/>
      <c r="J311" s="2"/>
      <c r="K311" s="253"/>
    </row>
    <row r="312" spans="1:11" ht="15.75" customHeight="1">
      <c r="A312" s="4"/>
      <c r="B312" s="2"/>
      <c r="C312" s="2"/>
      <c r="D312" s="2"/>
      <c r="E312" s="2"/>
      <c r="F312" s="2"/>
      <c r="G312" s="2"/>
      <c r="H312" s="2"/>
      <c r="I312" s="81"/>
      <c r="J312" s="2"/>
      <c r="K312" s="253"/>
    </row>
    <row r="313" spans="1:11" ht="15.75" customHeight="1">
      <c r="A313" s="4"/>
      <c r="B313" s="2"/>
      <c r="C313" s="2"/>
      <c r="D313" s="2"/>
      <c r="E313" s="2"/>
      <c r="F313" s="2"/>
      <c r="G313" s="2"/>
      <c r="H313" s="2"/>
      <c r="I313" s="81"/>
      <c r="J313" s="2"/>
      <c r="K313" s="253"/>
    </row>
    <row r="314" spans="1:11" ht="15.75" customHeight="1">
      <c r="A314" s="4"/>
      <c r="B314" s="2"/>
      <c r="C314" s="2"/>
      <c r="D314" s="2"/>
      <c r="E314" s="2"/>
      <c r="F314" s="2"/>
      <c r="G314" s="2"/>
      <c r="H314" s="2"/>
      <c r="I314" s="81"/>
      <c r="J314" s="2"/>
      <c r="K314" s="253"/>
    </row>
    <row r="315" spans="1:11" ht="15.75" customHeight="1">
      <c r="A315" s="4"/>
      <c r="B315" s="2"/>
      <c r="C315" s="2"/>
      <c r="D315" s="2"/>
      <c r="E315" s="2"/>
      <c r="F315" s="2"/>
      <c r="G315" s="2"/>
      <c r="H315" s="2"/>
      <c r="I315" s="81"/>
      <c r="J315" s="2"/>
      <c r="K315" s="253"/>
    </row>
    <row r="316" spans="1:11" ht="15.75" customHeight="1">
      <c r="A316" s="4"/>
      <c r="B316" s="2"/>
      <c r="C316" s="2"/>
      <c r="D316" s="2"/>
      <c r="E316" s="2"/>
      <c r="F316" s="2"/>
      <c r="G316" s="2"/>
      <c r="H316" s="2"/>
      <c r="I316" s="81"/>
      <c r="J316" s="2"/>
      <c r="K316" s="253"/>
    </row>
    <row r="317" spans="1:11" ht="15.75" customHeight="1">
      <c r="A317" s="4"/>
      <c r="B317" s="2"/>
      <c r="C317" s="2"/>
      <c r="D317" s="2"/>
      <c r="E317" s="2"/>
      <c r="F317" s="2"/>
      <c r="G317" s="2"/>
      <c r="H317" s="2"/>
      <c r="I317" s="81"/>
      <c r="J317" s="2"/>
      <c r="K317" s="253"/>
    </row>
    <row r="318" spans="1:11" ht="15.75" customHeight="1">
      <c r="A318" s="4"/>
      <c r="B318" s="2"/>
      <c r="C318" s="2"/>
      <c r="D318" s="2"/>
      <c r="E318" s="2"/>
      <c r="F318" s="2"/>
      <c r="G318" s="2"/>
      <c r="H318" s="2"/>
      <c r="I318" s="81"/>
      <c r="J318" s="2"/>
      <c r="K318" s="253"/>
    </row>
    <row r="319" spans="1:11" ht="15.75" customHeight="1">
      <c r="A319" s="4"/>
      <c r="B319" s="2"/>
      <c r="C319" s="2"/>
      <c r="D319" s="2"/>
      <c r="E319" s="2"/>
      <c r="F319" s="2"/>
      <c r="G319" s="2"/>
      <c r="H319" s="2"/>
      <c r="I319" s="81"/>
      <c r="J319" s="2"/>
      <c r="K319" s="253"/>
    </row>
    <row r="320" spans="1:11" ht="15.75" customHeight="1">
      <c r="A320" s="4"/>
      <c r="B320" s="2"/>
      <c r="C320" s="2"/>
      <c r="D320" s="2"/>
      <c r="E320" s="2"/>
      <c r="F320" s="2"/>
      <c r="G320" s="2"/>
      <c r="H320" s="2"/>
      <c r="I320" s="81"/>
      <c r="J320" s="2"/>
      <c r="K320" s="253"/>
    </row>
    <row r="321" spans="1:11" ht="15.75" customHeight="1">
      <c r="A321" s="4"/>
      <c r="B321" s="2"/>
      <c r="C321" s="2"/>
      <c r="D321" s="2"/>
      <c r="E321" s="2"/>
      <c r="F321" s="2"/>
      <c r="G321" s="2"/>
      <c r="H321" s="2"/>
      <c r="I321" s="81"/>
      <c r="J321" s="2"/>
      <c r="K321" s="253"/>
    </row>
    <row r="322" spans="1:11" ht="15.75" customHeight="1">
      <c r="A322" s="4"/>
      <c r="B322" s="2"/>
      <c r="C322" s="2"/>
      <c r="D322" s="2"/>
      <c r="E322" s="2"/>
      <c r="F322" s="2"/>
      <c r="G322" s="2"/>
      <c r="H322" s="2"/>
      <c r="I322" s="81"/>
      <c r="J322" s="2"/>
      <c r="K322" s="253"/>
    </row>
    <row r="323" spans="1:11" ht="15.75" customHeight="1">
      <c r="A323" s="4"/>
      <c r="B323" s="2"/>
      <c r="C323" s="2"/>
      <c r="D323" s="2"/>
      <c r="E323" s="2"/>
      <c r="F323" s="2"/>
      <c r="G323" s="2"/>
      <c r="H323" s="2"/>
      <c r="I323" s="81"/>
      <c r="J323" s="2"/>
      <c r="K323" s="253"/>
    </row>
    <row r="324" spans="1:11" ht="15.75" customHeight="1">
      <c r="A324" s="4"/>
      <c r="B324" s="2"/>
      <c r="C324" s="2"/>
      <c r="D324" s="2"/>
      <c r="E324" s="2"/>
      <c r="F324" s="2"/>
      <c r="G324" s="2"/>
      <c r="H324" s="2"/>
      <c r="I324" s="81"/>
      <c r="J324" s="2"/>
      <c r="K324" s="253"/>
    </row>
    <row r="325" spans="1:11" ht="15.75" customHeight="1">
      <c r="A325" s="4"/>
      <c r="B325" s="2"/>
      <c r="C325" s="2"/>
      <c r="D325" s="2"/>
      <c r="E325" s="2"/>
      <c r="F325" s="2"/>
      <c r="G325" s="2"/>
      <c r="H325" s="2"/>
      <c r="I325" s="81"/>
      <c r="J325" s="2"/>
      <c r="K325" s="253"/>
    </row>
    <row r="326" spans="1:11" ht="15.75" customHeight="1">
      <c r="A326" s="4"/>
      <c r="B326" s="2"/>
      <c r="C326" s="2"/>
      <c r="D326" s="2"/>
      <c r="E326" s="2"/>
      <c r="F326" s="2"/>
      <c r="G326" s="2"/>
      <c r="H326" s="2"/>
      <c r="I326" s="81"/>
      <c r="J326" s="2"/>
      <c r="K326" s="253"/>
    </row>
    <row r="327" spans="1:11" ht="15.75" customHeight="1">
      <c r="A327" s="4"/>
      <c r="B327" s="2"/>
      <c r="C327" s="2"/>
      <c r="D327" s="2"/>
      <c r="E327" s="2"/>
      <c r="F327" s="2"/>
      <c r="G327" s="2"/>
      <c r="H327" s="2"/>
      <c r="I327" s="81"/>
      <c r="J327" s="2"/>
      <c r="K327" s="253"/>
    </row>
    <row r="328" spans="1:11" ht="15.75" customHeight="1">
      <c r="A328" s="4"/>
      <c r="B328" s="2"/>
      <c r="C328" s="2"/>
      <c r="D328" s="2"/>
      <c r="E328" s="2"/>
      <c r="F328" s="2"/>
      <c r="G328" s="2"/>
      <c r="H328" s="2"/>
      <c r="I328" s="81"/>
      <c r="J328" s="2"/>
      <c r="K328" s="253"/>
    </row>
    <row r="329" spans="1:11" ht="15.75" customHeight="1">
      <c r="A329" s="4"/>
      <c r="B329" s="2"/>
      <c r="C329" s="2"/>
      <c r="D329" s="2"/>
      <c r="E329" s="2"/>
      <c r="F329" s="2"/>
      <c r="G329" s="2"/>
      <c r="H329" s="2"/>
      <c r="I329" s="81"/>
      <c r="J329" s="2"/>
      <c r="K329" s="253"/>
    </row>
    <row r="330" spans="1:11" ht="15.75" customHeight="1">
      <c r="A330" s="4"/>
      <c r="B330" s="2"/>
      <c r="C330" s="2"/>
      <c r="D330" s="2"/>
      <c r="E330" s="2"/>
      <c r="F330" s="2"/>
      <c r="G330" s="2"/>
      <c r="H330" s="2"/>
      <c r="I330" s="81"/>
      <c r="J330" s="2"/>
      <c r="K330" s="253"/>
    </row>
    <row r="331" spans="1:11" ht="15.75" customHeight="1">
      <c r="A331" s="4"/>
      <c r="B331" s="2"/>
      <c r="C331" s="2"/>
      <c r="D331" s="2"/>
      <c r="E331" s="2"/>
      <c r="F331" s="2"/>
      <c r="G331" s="2"/>
      <c r="H331" s="2"/>
      <c r="I331" s="81"/>
      <c r="J331" s="2"/>
      <c r="K331" s="253"/>
    </row>
    <row r="332" spans="1:11" ht="15.75" customHeight="1">
      <c r="A332" s="4"/>
      <c r="B332" s="2"/>
      <c r="C332" s="2"/>
      <c r="D332" s="2"/>
      <c r="E332" s="2"/>
      <c r="F332" s="2"/>
      <c r="G332" s="2"/>
      <c r="H332" s="2"/>
      <c r="I332" s="81"/>
      <c r="J332" s="2"/>
      <c r="K332" s="253"/>
    </row>
    <row r="333" spans="1:11" ht="15.75" customHeight="1">
      <c r="A333" s="4"/>
      <c r="B333" s="2"/>
      <c r="C333" s="2"/>
      <c r="D333" s="2"/>
      <c r="E333" s="2"/>
      <c r="F333" s="2"/>
      <c r="G333" s="2"/>
      <c r="H333" s="2"/>
      <c r="I333" s="81"/>
      <c r="J333" s="2"/>
      <c r="K333" s="253"/>
    </row>
    <row r="334" spans="1:11" ht="15.75" customHeight="1">
      <c r="A334" s="4"/>
      <c r="B334" s="2"/>
      <c r="C334" s="2"/>
      <c r="D334" s="2"/>
      <c r="E334" s="2"/>
      <c r="F334" s="2"/>
      <c r="G334" s="2"/>
      <c r="H334" s="2"/>
      <c r="I334" s="81"/>
      <c r="J334" s="2"/>
      <c r="K334" s="253"/>
    </row>
    <row r="335" spans="1:11" ht="15.75" customHeight="1">
      <c r="A335" s="4"/>
      <c r="B335" s="2"/>
      <c r="C335" s="2"/>
      <c r="D335" s="2"/>
      <c r="E335" s="2"/>
      <c r="F335" s="2"/>
      <c r="G335" s="2"/>
      <c r="H335" s="2"/>
      <c r="I335" s="81"/>
      <c r="J335" s="2"/>
      <c r="K335" s="253"/>
    </row>
    <row r="336" spans="1:11" ht="15.75" customHeight="1">
      <c r="A336" s="4"/>
      <c r="B336" s="2"/>
      <c r="C336" s="2"/>
      <c r="D336" s="2"/>
      <c r="E336" s="2"/>
      <c r="F336" s="2"/>
      <c r="G336" s="2"/>
      <c r="H336" s="2"/>
      <c r="I336" s="81"/>
      <c r="J336" s="2"/>
      <c r="K336" s="253"/>
    </row>
    <row r="337" spans="1:11" ht="15.75" customHeight="1">
      <c r="A337" s="4"/>
      <c r="B337" s="2"/>
      <c r="C337" s="2"/>
      <c r="D337" s="2"/>
      <c r="E337" s="2"/>
      <c r="F337" s="2"/>
      <c r="G337" s="2"/>
      <c r="H337" s="2"/>
      <c r="I337" s="81"/>
      <c r="J337" s="2"/>
      <c r="K337" s="253"/>
    </row>
    <row r="338" spans="1:11" ht="15.75" customHeight="1">
      <c r="A338" s="4"/>
      <c r="B338" s="2"/>
      <c r="C338" s="2"/>
      <c r="D338" s="2"/>
      <c r="E338" s="2"/>
      <c r="F338" s="2"/>
      <c r="G338" s="2"/>
      <c r="H338" s="2"/>
      <c r="I338" s="81"/>
      <c r="J338" s="2"/>
      <c r="K338" s="253"/>
    </row>
    <row r="339" spans="1:11" ht="15.75" customHeight="1">
      <c r="A339" s="4"/>
      <c r="B339" s="2"/>
      <c r="C339" s="2"/>
      <c r="D339" s="2"/>
      <c r="E339" s="2"/>
      <c r="F339" s="2"/>
      <c r="G339" s="2"/>
      <c r="H339" s="2"/>
      <c r="I339" s="81"/>
      <c r="J339" s="2"/>
      <c r="K339" s="253"/>
    </row>
    <row r="340" spans="1:11" ht="15.75" customHeight="1">
      <c r="A340" s="4"/>
      <c r="B340" s="2"/>
      <c r="C340" s="2"/>
      <c r="D340" s="2"/>
      <c r="E340" s="2"/>
      <c r="F340" s="2"/>
      <c r="G340" s="2"/>
      <c r="H340" s="2"/>
      <c r="I340" s="81"/>
      <c r="J340" s="2"/>
      <c r="K340" s="253"/>
    </row>
    <row r="341" spans="1:11" ht="15.75" customHeight="1">
      <c r="A341" s="4"/>
      <c r="B341" s="2"/>
      <c r="C341" s="2"/>
      <c r="D341" s="2"/>
      <c r="E341" s="2"/>
      <c r="F341" s="2"/>
      <c r="G341" s="2"/>
      <c r="H341" s="2"/>
      <c r="I341" s="81"/>
      <c r="J341" s="2"/>
      <c r="K341" s="253"/>
    </row>
    <row r="342" spans="1:11" ht="15.75" customHeight="1">
      <c r="A342" s="4"/>
      <c r="B342" s="2"/>
      <c r="C342" s="2"/>
      <c r="D342" s="2"/>
      <c r="E342" s="2"/>
      <c r="F342" s="2"/>
      <c r="G342" s="2"/>
      <c r="H342" s="2"/>
      <c r="I342" s="81"/>
      <c r="J342" s="2"/>
      <c r="K342" s="253"/>
    </row>
    <row r="343" spans="1:11" ht="15.75" customHeight="1">
      <c r="A343" s="4"/>
      <c r="B343" s="2"/>
      <c r="C343" s="2"/>
      <c r="D343" s="2"/>
      <c r="E343" s="2"/>
      <c r="F343" s="2"/>
      <c r="G343" s="2"/>
      <c r="H343" s="2"/>
      <c r="I343" s="81"/>
      <c r="J343" s="2"/>
      <c r="K343" s="253"/>
    </row>
    <row r="344" spans="1:11" ht="15.75" customHeight="1">
      <c r="A344" s="4"/>
      <c r="B344" s="2"/>
      <c r="C344" s="2"/>
      <c r="D344" s="2"/>
      <c r="E344" s="2"/>
      <c r="F344" s="2"/>
      <c r="G344" s="2"/>
      <c r="H344" s="2"/>
      <c r="I344" s="81"/>
      <c r="J344" s="2"/>
      <c r="K344" s="253"/>
    </row>
    <row r="345" spans="1:11" ht="15.75" customHeight="1">
      <c r="A345" s="4"/>
      <c r="B345" s="2"/>
      <c r="C345" s="2"/>
      <c r="D345" s="2"/>
      <c r="E345" s="2"/>
      <c r="F345" s="2"/>
      <c r="G345" s="2"/>
      <c r="H345" s="2"/>
      <c r="I345" s="81"/>
      <c r="J345" s="2"/>
      <c r="K345" s="253"/>
    </row>
    <row r="346" spans="1:11" ht="15.75" customHeight="1">
      <c r="A346" s="4"/>
      <c r="B346" s="2"/>
      <c r="C346" s="2"/>
      <c r="D346" s="2"/>
      <c r="E346" s="2"/>
      <c r="F346" s="2"/>
      <c r="G346" s="2"/>
      <c r="H346" s="2"/>
      <c r="I346" s="81"/>
      <c r="J346" s="2"/>
      <c r="K346" s="253"/>
    </row>
    <row r="347" spans="1:11" ht="15.75" customHeight="1">
      <c r="A347" s="4"/>
      <c r="B347" s="2"/>
      <c r="C347" s="2"/>
      <c r="D347" s="2"/>
      <c r="E347" s="2"/>
      <c r="F347" s="2"/>
      <c r="G347" s="2"/>
      <c r="H347" s="2"/>
      <c r="I347" s="81"/>
      <c r="J347" s="2"/>
      <c r="K347" s="253"/>
    </row>
    <row r="348" spans="1:11" ht="15.75" customHeight="1">
      <c r="A348" s="4"/>
      <c r="B348" s="2"/>
      <c r="C348" s="2"/>
      <c r="D348" s="2"/>
      <c r="E348" s="2"/>
      <c r="F348" s="2"/>
      <c r="G348" s="2"/>
      <c r="H348" s="2"/>
      <c r="I348" s="81"/>
      <c r="J348" s="2"/>
      <c r="K348" s="253"/>
    </row>
    <row r="349" spans="1:11" ht="15.75" customHeight="1">
      <c r="A349" s="4"/>
      <c r="B349" s="2"/>
      <c r="C349" s="2"/>
      <c r="D349" s="2"/>
      <c r="E349" s="2"/>
      <c r="F349" s="2"/>
      <c r="G349" s="2"/>
      <c r="H349" s="2"/>
      <c r="I349" s="81"/>
      <c r="J349" s="2"/>
      <c r="K349" s="253"/>
    </row>
    <row r="350" spans="1:11" ht="15.75" customHeight="1">
      <c r="A350" s="4"/>
      <c r="B350" s="2"/>
      <c r="C350" s="2"/>
      <c r="D350" s="2"/>
      <c r="E350" s="2"/>
      <c r="F350" s="2"/>
      <c r="G350" s="2"/>
      <c r="H350" s="2"/>
      <c r="I350" s="81"/>
      <c r="J350" s="2"/>
      <c r="K350" s="253"/>
    </row>
    <row r="351" spans="1:11" ht="15.75" customHeight="1">
      <c r="A351" s="4"/>
      <c r="B351" s="2"/>
      <c r="C351" s="2"/>
      <c r="D351" s="2"/>
      <c r="E351" s="2"/>
      <c r="F351" s="2"/>
      <c r="G351" s="2"/>
      <c r="H351" s="2"/>
      <c r="I351" s="81"/>
      <c r="J351" s="2"/>
      <c r="K351" s="253"/>
    </row>
    <row r="352" spans="1:11" ht="15.75" customHeight="1">
      <c r="A352" s="4"/>
      <c r="B352" s="2"/>
      <c r="C352" s="2"/>
      <c r="D352" s="2"/>
      <c r="E352" s="2"/>
      <c r="F352" s="2"/>
      <c r="G352" s="2"/>
      <c r="H352" s="2"/>
      <c r="I352" s="81"/>
      <c r="J352" s="2"/>
      <c r="K352" s="253"/>
    </row>
    <row r="353" spans="1:11" ht="15.75" customHeight="1">
      <c r="A353" s="4"/>
      <c r="B353" s="2"/>
      <c r="C353" s="2"/>
      <c r="D353" s="2"/>
      <c r="E353" s="2"/>
      <c r="F353" s="2"/>
      <c r="G353" s="2"/>
      <c r="H353" s="2"/>
      <c r="I353" s="81"/>
      <c r="J353" s="2"/>
      <c r="K353" s="253"/>
    </row>
    <row r="354" spans="1:11" ht="15.75" customHeight="1">
      <c r="A354" s="4"/>
      <c r="B354" s="2"/>
      <c r="C354" s="2"/>
      <c r="D354" s="2"/>
      <c r="E354" s="2"/>
      <c r="F354" s="2"/>
      <c r="G354" s="2"/>
      <c r="H354" s="2"/>
      <c r="I354" s="81"/>
      <c r="J354" s="2"/>
      <c r="K354" s="253"/>
    </row>
    <row r="355" spans="1:11" ht="15.75" customHeight="1">
      <c r="A355" s="4"/>
      <c r="B355" s="2"/>
      <c r="C355" s="2"/>
      <c r="D355" s="2"/>
      <c r="E355" s="2"/>
      <c r="F355" s="2"/>
      <c r="G355" s="2"/>
      <c r="H355" s="2"/>
      <c r="I355" s="81"/>
      <c r="J355" s="2"/>
      <c r="K355" s="253"/>
    </row>
    <row r="356" spans="1:11" ht="15.75" customHeight="1">
      <c r="A356" s="4"/>
      <c r="B356" s="2"/>
      <c r="C356" s="2"/>
      <c r="D356" s="2"/>
      <c r="E356" s="2"/>
      <c r="F356" s="2"/>
      <c r="G356" s="2"/>
      <c r="H356" s="2"/>
      <c r="I356" s="81"/>
      <c r="J356" s="2"/>
      <c r="K356" s="253"/>
    </row>
    <row r="357" spans="1:11" ht="15.75" customHeight="1">
      <c r="A357" s="4"/>
      <c r="B357" s="2"/>
      <c r="C357" s="2"/>
      <c r="D357" s="2"/>
      <c r="E357" s="2"/>
      <c r="F357" s="2"/>
      <c r="G357" s="2"/>
      <c r="H357" s="2"/>
      <c r="I357" s="81"/>
      <c r="J357" s="2"/>
      <c r="K357" s="253"/>
    </row>
    <row r="358" spans="1:11" ht="15.75" customHeight="1">
      <c r="A358" s="4"/>
      <c r="B358" s="2"/>
      <c r="C358" s="2"/>
      <c r="D358" s="2"/>
      <c r="E358" s="2"/>
      <c r="F358" s="2"/>
      <c r="G358" s="2"/>
      <c r="H358" s="2"/>
      <c r="I358" s="81"/>
      <c r="J358" s="2"/>
      <c r="K358" s="253"/>
    </row>
    <row r="359" spans="1:11" ht="15.75" customHeight="1">
      <c r="A359" s="4"/>
      <c r="B359" s="2"/>
      <c r="C359" s="2"/>
      <c r="D359" s="2"/>
      <c r="E359" s="2"/>
      <c r="F359" s="2"/>
      <c r="G359" s="2"/>
      <c r="H359" s="2"/>
      <c r="I359" s="81"/>
      <c r="J359" s="2"/>
      <c r="K359" s="253"/>
    </row>
    <row r="360" spans="1:11" ht="15.75" customHeight="1">
      <c r="A360" s="4"/>
      <c r="B360" s="2"/>
      <c r="C360" s="2"/>
      <c r="D360" s="2"/>
      <c r="E360" s="2"/>
      <c r="F360" s="2"/>
      <c r="G360" s="2"/>
      <c r="H360" s="2"/>
      <c r="I360" s="81"/>
      <c r="J360" s="2"/>
      <c r="K360" s="253"/>
    </row>
    <row r="361" spans="1:11" ht="15.75" customHeight="1">
      <c r="A361" s="4"/>
      <c r="B361" s="2"/>
      <c r="C361" s="2"/>
      <c r="D361" s="2"/>
      <c r="E361" s="2"/>
      <c r="F361" s="2"/>
      <c r="G361" s="2"/>
      <c r="H361" s="2"/>
      <c r="I361" s="81"/>
      <c r="J361" s="2"/>
      <c r="K361" s="253"/>
    </row>
    <row r="362" spans="1:11" ht="15.75" customHeight="1">
      <c r="A362" s="4"/>
      <c r="B362" s="2"/>
      <c r="C362" s="2"/>
      <c r="D362" s="2"/>
      <c r="E362" s="2"/>
      <c r="F362" s="2"/>
      <c r="G362" s="2"/>
      <c r="H362" s="2"/>
      <c r="I362" s="81"/>
      <c r="J362" s="2"/>
      <c r="K362" s="253"/>
    </row>
    <row r="363" spans="1:11" ht="15.75" customHeight="1">
      <c r="A363" s="4"/>
      <c r="B363" s="2"/>
      <c r="C363" s="2"/>
      <c r="D363" s="2"/>
      <c r="E363" s="2"/>
      <c r="F363" s="2"/>
      <c r="G363" s="2"/>
      <c r="H363" s="2"/>
      <c r="I363" s="81"/>
      <c r="J363" s="2"/>
      <c r="K363" s="253"/>
    </row>
    <row r="364" spans="1:11" ht="15.75" customHeight="1">
      <c r="A364" s="4"/>
      <c r="B364" s="2"/>
      <c r="C364" s="2"/>
      <c r="D364" s="2"/>
      <c r="E364" s="2"/>
      <c r="F364" s="2"/>
      <c r="G364" s="2"/>
      <c r="H364" s="2"/>
      <c r="I364" s="81"/>
      <c r="J364" s="2"/>
      <c r="K364" s="253"/>
    </row>
    <row r="365" spans="1:11" ht="15.75" customHeight="1">
      <c r="A365" s="4"/>
      <c r="B365" s="2"/>
      <c r="C365" s="2"/>
      <c r="D365" s="2"/>
      <c r="E365" s="2"/>
      <c r="F365" s="2"/>
      <c r="G365" s="2"/>
      <c r="H365" s="2"/>
      <c r="I365" s="81"/>
      <c r="J365" s="2"/>
      <c r="K365" s="253"/>
    </row>
    <row r="366" spans="1:11" ht="15.75" customHeight="1">
      <c r="A366" s="4"/>
      <c r="B366" s="2"/>
      <c r="C366" s="2"/>
      <c r="D366" s="2"/>
      <c r="E366" s="2"/>
      <c r="F366" s="2"/>
      <c r="G366" s="2"/>
      <c r="H366" s="2"/>
      <c r="I366" s="81"/>
      <c r="J366" s="2"/>
      <c r="K366" s="253"/>
    </row>
    <row r="367" spans="1:11" ht="15.75" customHeight="1">
      <c r="A367" s="4"/>
      <c r="B367" s="2"/>
      <c r="C367" s="2"/>
      <c r="D367" s="2"/>
      <c r="E367" s="2"/>
      <c r="F367" s="2"/>
      <c r="G367" s="2"/>
      <c r="H367" s="2"/>
      <c r="I367" s="81"/>
      <c r="J367" s="2"/>
      <c r="K367" s="253"/>
    </row>
    <row r="368" spans="1:11" ht="15.75" customHeight="1">
      <c r="A368" s="4"/>
      <c r="B368" s="2"/>
      <c r="C368" s="2"/>
      <c r="D368" s="2"/>
      <c r="E368" s="2"/>
      <c r="F368" s="2"/>
      <c r="G368" s="2"/>
      <c r="H368" s="2"/>
      <c r="I368" s="81"/>
      <c r="J368" s="2"/>
      <c r="K368" s="253"/>
    </row>
    <row r="369" spans="1:11" ht="15.75" customHeight="1">
      <c r="A369" s="4"/>
      <c r="B369" s="2"/>
      <c r="C369" s="2"/>
      <c r="D369" s="2"/>
      <c r="E369" s="2"/>
      <c r="F369" s="2"/>
      <c r="G369" s="2"/>
      <c r="H369" s="2"/>
      <c r="I369" s="81"/>
      <c r="J369" s="2"/>
      <c r="K369" s="253"/>
    </row>
    <row r="370" spans="1:11" ht="15.75" customHeight="1">
      <c r="A370" s="4"/>
      <c r="B370" s="2"/>
      <c r="C370" s="2"/>
      <c r="D370" s="2"/>
      <c r="E370" s="2"/>
      <c r="F370" s="2"/>
      <c r="G370" s="2"/>
      <c r="H370" s="2"/>
      <c r="I370" s="81"/>
      <c r="J370" s="2"/>
      <c r="K370" s="253"/>
    </row>
    <row r="371" spans="1:11" ht="15.75" customHeight="1">
      <c r="A371" s="4"/>
      <c r="B371" s="2"/>
      <c r="C371" s="2"/>
      <c r="D371" s="2"/>
      <c r="E371" s="2"/>
      <c r="F371" s="2"/>
      <c r="G371" s="2"/>
      <c r="H371" s="2"/>
      <c r="I371" s="81"/>
      <c r="J371" s="2"/>
      <c r="K371" s="253"/>
    </row>
    <row r="372" spans="1:11" ht="15.75" customHeight="1">
      <c r="A372" s="4"/>
      <c r="B372" s="2"/>
      <c r="C372" s="2"/>
      <c r="D372" s="2"/>
      <c r="E372" s="2"/>
      <c r="F372" s="2"/>
      <c r="G372" s="2"/>
      <c r="H372" s="2"/>
      <c r="I372" s="81"/>
      <c r="J372" s="2"/>
      <c r="K372" s="253"/>
    </row>
    <row r="373" spans="1:11" ht="15.75" customHeight="1">
      <c r="A373" s="4"/>
      <c r="B373" s="2"/>
      <c r="C373" s="2"/>
      <c r="D373" s="2"/>
      <c r="E373" s="2"/>
      <c r="F373" s="2"/>
      <c r="G373" s="2"/>
      <c r="H373" s="2"/>
      <c r="I373" s="81"/>
      <c r="J373" s="2"/>
      <c r="K373" s="253"/>
    </row>
    <row r="374" spans="1:11" ht="15.75" customHeight="1">
      <c r="A374" s="4"/>
      <c r="B374" s="2"/>
      <c r="C374" s="2"/>
      <c r="D374" s="2"/>
      <c r="E374" s="2"/>
      <c r="F374" s="2"/>
      <c r="G374" s="2"/>
      <c r="H374" s="2"/>
      <c r="I374" s="81"/>
      <c r="J374" s="2"/>
      <c r="K374" s="253"/>
    </row>
    <row r="375" spans="1:11" ht="15.75" customHeight="1">
      <c r="A375" s="4"/>
      <c r="B375" s="2"/>
      <c r="C375" s="2"/>
      <c r="D375" s="2"/>
      <c r="E375" s="2"/>
      <c r="F375" s="2"/>
      <c r="G375" s="2"/>
      <c r="H375" s="2"/>
      <c r="I375" s="81"/>
      <c r="J375" s="2"/>
      <c r="K375" s="253"/>
    </row>
    <row r="376" spans="1:11" ht="15.75" customHeight="1">
      <c r="A376" s="4"/>
      <c r="B376" s="2"/>
      <c r="C376" s="2"/>
      <c r="D376" s="2"/>
      <c r="E376" s="2"/>
      <c r="F376" s="2"/>
      <c r="G376" s="2"/>
      <c r="H376" s="2"/>
      <c r="I376" s="81"/>
      <c r="J376" s="2"/>
      <c r="K376" s="253"/>
    </row>
    <row r="377" spans="1:11" ht="15.75" customHeight="1">
      <c r="A377" s="4"/>
      <c r="B377" s="2"/>
      <c r="C377" s="2"/>
      <c r="D377" s="2"/>
      <c r="E377" s="2"/>
      <c r="F377" s="2"/>
      <c r="G377" s="2"/>
      <c r="H377" s="2"/>
      <c r="I377" s="81"/>
      <c r="J377" s="2"/>
      <c r="K377" s="253"/>
    </row>
    <row r="378" spans="1:11" ht="15.75" customHeight="1">
      <c r="A378" s="4"/>
      <c r="B378" s="2"/>
      <c r="C378" s="2"/>
      <c r="D378" s="2"/>
      <c r="E378" s="2"/>
      <c r="F378" s="2"/>
      <c r="G378" s="2"/>
      <c r="H378" s="2"/>
      <c r="I378" s="81"/>
      <c r="J378" s="2"/>
      <c r="K378" s="253"/>
    </row>
    <row r="379" spans="1:11" ht="15.75" customHeight="1">
      <c r="A379" s="4"/>
      <c r="B379" s="2"/>
      <c r="C379" s="2"/>
      <c r="D379" s="2"/>
      <c r="E379" s="2"/>
      <c r="F379" s="2"/>
      <c r="G379" s="2"/>
      <c r="H379" s="2"/>
      <c r="I379" s="81"/>
      <c r="J379" s="2"/>
      <c r="K379" s="253"/>
    </row>
    <row r="380" spans="1:11" ht="15.75" customHeight="1">
      <c r="A380" s="4"/>
      <c r="B380" s="2"/>
      <c r="C380" s="2"/>
      <c r="D380" s="2"/>
      <c r="E380" s="2"/>
      <c r="F380" s="2"/>
      <c r="G380" s="2"/>
      <c r="H380" s="2"/>
      <c r="I380" s="81"/>
      <c r="J380" s="2"/>
      <c r="K380" s="253"/>
    </row>
    <row r="381" spans="1:11" ht="15.75" customHeight="1">
      <c r="A381" s="4"/>
      <c r="B381" s="2"/>
      <c r="C381" s="2"/>
      <c r="D381" s="2"/>
      <c r="E381" s="2"/>
      <c r="F381" s="2"/>
      <c r="G381" s="2"/>
      <c r="H381" s="2"/>
      <c r="I381" s="81"/>
      <c r="J381" s="2"/>
      <c r="K381" s="253"/>
    </row>
    <row r="382" spans="1:11" ht="15.75" customHeight="1">
      <c r="A382" s="4"/>
      <c r="B382" s="2"/>
      <c r="C382" s="2"/>
      <c r="D382" s="2"/>
      <c r="E382" s="2"/>
      <c r="F382" s="2"/>
      <c r="G382" s="2"/>
      <c r="H382" s="2"/>
      <c r="I382" s="81"/>
      <c r="J382" s="2"/>
      <c r="K382" s="253"/>
    </row>
    <row r="383" spans="1:11" ht="15.75" customHeight="1">
      <c r="A383" s="4"/>
      <c r="B383" s="2"/>
      <c r="C383" s="2"/>
      <c r="D383" s="2"/>
      <c r="E383" s="2"/>
      <c r="F383" s="2"/>
      <c r="G383" s="2"/>
      <c r="H383" s="2"/>
      <c r="I383" s="81"/>
      <c r="J383" s="2"/>
      <c r="K383" s="253"/>
    </row>
    <row r="384" spans="1:11" ht="15.75" customHeight="1">
      <c r="A384" s="4"/>
      <c r="B384" s="2"/>
      <c r="C384" s="2"/>
      <c r="D384" s="2"/>
      <c r="E384" s="2"/>
      <c r="F384" s="2"/>
      <c r="G384" s="2"/>
      <c r="H384" s="2"/>
      <c r="I384" s="81"/>
      <c r="J384" s="2"/>
      <c r="K384" s="253"/>
    </row>
    <row r="385" spans="1:11" ht="15.75" customHeight="1">
      <c r="A385" s="4"/>
      <c r="B385" s="2"/>
      <c r="C385" s="2"/>
      <c r="D385" s="2"/>
      <c r="E385" s="2"/>
      <c r="F385" s="2"/>
      <c r="G385" s="2"/>
      <c r="H385" s="2"/>
      <c r="I385" s="81"/>
      <c r="J385" s="2"/>
      <c r="K385" s="253"/>
    </row>
    <row r="386" spans="1:11" ht="15.75" customHeight="1">
      <c r="A386" s="4"/>
      <c r="B386" s="2"/>
      <c r="C386" s="2"/>
      <c r="D386" s="2"/>
      <c r="E386" s="2"/>
      <c r="F386" s="2"/>
      <c r="G386" s="2"/>
      <c r="H386" s="2"/>
      <c r="I386" s="81"/>
      <c r="J386" s="2"/>
      <c r="K386" s="253"/>
    </row>
    <row r="387" spans="1:11" ht="15.75" customHeight="1">
      <c r="A387" s="4"/>
      <c r="B387" s="2"/>
      <c r="C387" s="2"/>
      <c r="D387" s="2"/>
      <c r="E387" s="2"/>
      <c r="F387" s="2"/>
      <c r="G387" s="2"/>
      <c r="H387" s="2"/>
      <c r="I387" s="81"/>
      <c r="J387" s="2"/>
      <c r="K387" s="253"/>
    </row>
    <row r="388" spans="1:11" ht="15.75" customHeight="1">
      <c r="A388" s="4"/>
      <c r="B388" s="2"/>
      <c r="C388" s="2"/>
      <c r="D388" s="2"/>
      <c r="E388" s="2"/>
      <c r="F388" s="2"/>
      <c r="G388" s="2"/>
      <c r="H388" s="2"/>
      <c r="I388" s="81"/>
      <c r="J388" s="2"/>
      <c r="K388" s="253"/>
    </row>
    <row r="389" spans="1:11" ht="15.75" customHeight="1">
      <c r="A389" s="4"/>
      <c r="B389" s="2"/>
      <c r="C389" s="2"/>
      <c r="D389" s="2"/>
      <c r="E389" s="2"/>
      <c r="F389" s="2"/>
      <c r="G389" s="2"/>
      <c r="H389" s="2"/>
      <c r="I389" s="81"/>
      <c r="J389" s="2"/>
      <c r="K389" s="253"/>
    </row>
    <row r="390" spans="1:11" ht="15.75" customHeight="1">
      <c r="A390" s="4"/>
      <c r="B390" s="2"/>
      <c r="C390" s="2"/>
      <c r="D390" s="2"/>
      <c r="E390" s="2"/>
      <c r="F390" s="2"/>
      <c r="G390" s="2"/>
      <c r="H390" s="2"/>
      <c r="I390" s="81"/>
      <c r="J390" s="2"/>
      <c r="K390" s="253"/>
    </row>
    <row r="391" spans="1:11" ht="15.75" customHeight="1">
      <c r="A391" s="4"/>
      <c r="B391" s="2"/>
      <c r="C391" s="2"/>
      <c r="D391" s="2"/>
      <c r="E391" s="2"/>
      <c r="F391" s="2"/>
      <c r="G391" s="2"/>
      <c r="H391" s="2"/>
      <c r="I391" s="81"/>
      <c r="J391" s="2"/>
      <c r="K391" s="253"/>
    </row>
    <row r="392" spans="1:11" ht="15.75" customHeight="1">
      <c r="A392" s="4"/>
      <c r="B392" s="2"/>
      <c r="C392" s="2"/>
      <c r="D392" s="2"/>
      <c r="E392" s="2"/>
      <c r="F392" s="2"/>
      <c r="G392" s="2"/>
      <c r="H392" s="2"/>
      <c r="I392" s="81"/>
      <c r="J392" s="2"/>
      <c r="K392" s="253"/>
    </row>
    <row r="393" spans="1:11" ht="15.75" customHeight="1">
      <c r="A393" s="4"/>
      <c r="B393" s="2"/>
      <c r="C393" s="2"/>
      <c r="D393" s="2"/>
      <c r="E393" s="2"/>
      <c r="F393" s="2"/>
      <c r="G393" s="2"/>
      <c r="H393" s="2"/>
      <c r="I393" s="81"/>
      <c r="J393" s="2"/>
      <c r="K393" s="253"/>
    </row>
    <row r="394" spans="1:11" ht="15.75" customHeight="1">
      <c r="A394" s="4"/>
      <c r="B394" s="2"/>
      <c r="C394" s="2"/>
      <c r="D394" s="2"/>
      <c r="E394" s="2"/>
      <c r="F394" s="2"/>
      <c r="G394" s="2"/>
      <c r="H394" s="2"/>
      <c r="I394" s="81"/>
      <c r="J394" s="2"/>
      <c r="K394" s="253"/>
    </row>
    <row r="395" spans="1:11" ht="15.75" customHeight="1">
      <c r="A395" s="4"/>
      <c r="B395" s="2"/>
      <c r="C395" s="2"/>
      <c r="D395" s="2"/>
      <c r="E395" s="2"/>
      <c r="F395" s="2"/>
      <c r="G395" s="2"/>
      <c r="H395" s="2"/>
      <c r="I395" s="81"/>
      <c r="J395" s="2"/>
      <c r="K395" s="253"/>
    </row>
    <row r="396" spans="1:11" ht="15.75" customHeight="1">
      <c r="A396" s="4"/>
      <c r="B396" s="2"/>
      <c r="C396" s="2"/>
      <c r="D396" s="2"/>
      <c r="E396" s="2"/>
      <c r="F396" s="2"/>
      <c r="G396" s="2"/>
      <c r="H396" s="2"/>
      <c r="I396" s="81"/>
      <c r="J396" s="2"/>
      <c r="K396" s="253"/>
    </row>
    <row r="397" spans="1:11" ht="15.75" customHeight="1">
      <c r="A397" s="4"/>
      <c r="B397" s="2"/>
      <c r="C397" s="2"/>
      <c r="D397" s="2"/>
      <c r="E397" s="2"/>
      <c r="F397" s="2"/>
      <c r="G397" s="2"/>
      <c r="H397" s="2"/>
      <c r="I397" s="81"/>
      <c r="J397" s="2"/>
      <c r="K397" s="253"/>
    </row>
    <row r="398" spans="1:11" ht="15.75" customHeight="1">
      <c r="A398" s="4"/>
      <c r="B398" s="2"/>
      <c r="C398" s="2"/>
      <c r="D398" s="2"/>
      <c r="E398" s="2"/>
      <c r="F398" s="2"/>
      <c r="G398" s="2"/>
      <c r="H398" s="2"/>
      <c r="I398" s="81"/>
      <c r="J398" s="2"/>
      <c r="K398" s="253"/>
    </row>
    <row r="399" spans="1:11" ht="15.75" customHeight="1">
      <c r="A399" s="4"/>
      <c r="B399" s="2"/>
      <c r="C399" s="2"/>
      <c r="D399" s="2"/>
      <c r="E399" s="2"/>
      <c r="F399" s="2"/>
      <c r="G399" s="2"/>
      <c r="H399" s="2"/>
      <c r="I399" s="81"/>
      <c r="J399" s="2"/>
      <c r="K399" s="253"/>
    </row>
    <row r="400" spans="1:11" ht="15.75" customHeight="1">
      <c r="A400" s="4"/>
      <c r="B400" s="2"/>
      <c r="C400" s="2"/>
      <c r="D400" s="2"/>
      <c r="E400" s="2"/>
      <c r="F400" s="2"/>
      <c r="G400" s="2"/>
      <c r="H400" s="2"/>
      <c r="I400" s="81"/>
      <c r="J400" s="2"/>
      <c r="K400" s="253"/>
    </row>
    <row r="401" spans="1:11" ht="15.75" customHeight="1">
      <c r="A401" s="4"/>
      <c r="B401" s="2"/>
      <c r="C401" s="2"/>
      <c r="D401" s="2"/>
      <c r="E401" s="2"/>
      <c r="F401" s="2"/>
      <c r="G401" s="2"/>
      <c r="H401" s="2"/>
      <c r="I401" s="81"/>
      <c r="J401" s="2"/>
      <c r="K401" s="253"/>
    </row>
    <row r="402" spans="1:11" ht="15.75" customHeight="1">
      <c r="A402" s="4"/>
      <c r="B402" s="2"/>
      <c r="C402" s="2"/>
      <c r="D402" s="2"/>
      <c r="E402" s="2"/>
      <c r="F402" s="2"/>
      <c r="G402" s="2"/>
      <c r="H402" s="2"/>
      <c r="I402" s="81"/>
      <c r="J402" s="2"/>
      <c r="K402" s="253"/>
    </row>
    <row r="403" spans="1:11" ht="15.75" customHeight="1">
      <c r="A403" s="4"/>
      <c r="B403" s="2"/>
      <c r="C403" s="2"/>
      <c r="D403" s="2"/>
      <c r="E403" s="2"/>
      <c r="F403" s="2"/>
      <c r="G403" s="2"/>
      <c r="H403" s="2"/>
      <c r="I403" s="81"/>
      <c r="J403" s="2"/>
      <c r="K403" s="253"/>
    </row>
    <row r="404" spans="1:11" ht="15.75" customHeight="1">
      <c r="A404" s="4"/>
      <c r="B404" s="2"/>
      <c r="C404" s="2"/>
      <c r="D404" s="2"/>
      <c r="E404" s="2"/>
      <c r="F404" s="2"/>
      <c r="G404" s="2"/>
      <c r="H404" s="2"/>
      <c r="I404" s="81"/>
      <c r="J404" s="2"/>
      <c r="K404" s="253"/>
    </row>
    <row r="405" spans="1:11" ht="15.75" customHeight="1">
      <c r="A405" s="4"/>
      <c r="B405" s="2"/>
      <c r="C405" s="2"/>
      <c r="D405" s="2"/>
      <c r="E405" s="2"/>
      <c r="F405" s="2"/>
      <c r="G405" s="2"/>
      <c r="H405" s="2"/>
      <c r="I405" s="81"/>
      <c r="J405" s="2"/>
      <c r="K405" s="253"/>
    </row>
    <row r="406" spans="1:11" ht="15.75" customHeight="1">
      <c r="A406" s="4"/>
      <c r="B406" s="2"/>
      <c r="C406" s="2"/>
      <c r="D406" s="2"/>
      <c r="E406" s="2"/>
      <c r="F406" s="2"/>
      <c r="G406" s="2"/>
      <c r="H406" s="2"/>
      <c r="I406" s="81"/>
      <c r="J406" s="2"/>
      <c r="K406" s="253"/>
    </row>
    <row r="407" spans="1:11" ht="15.75" customHeight="1">
      <c r="A407" s="4"/>
      <c r="B407" s="2"/>
      <c r="C407" s="2"/>
      <c r="D407" s="2"/>
      <c r="E407" s="2"/>
      <c r="F407" s="2"/>
      <c r="G407" s="2"/>
      <c r="H407" s="2"/>
      <c r="I407" s="81"/>
      <c r="J407" s="2"/>
      <c r="K407" s="253"/>
    </row>
    <row r="408" spans="1:11" ht="15.75" customHeight="1">
      <c r="A408" s="4"/>
      <c r="B408" s="2"/>
      <c r="C408" s="2"/>
      <c r="D408" s="2"/>
      <c r="E408" s="2"/>
      <c r="F408" s="2"/>
      <c r="G408" s="2"/>
      <c r="H408" s="2"/>
      <c r="I408" s="81"/>
      <c r="J408" s="2"/>
      <c r="K408" s="253"/>
    </row>
    <row r="409" spans="1:11" ht="15.75" customHeight="1">
      <c r="A409" s="4"/>
      <c r="B409" s="2"/>
      <c r="C409" s="2"/>
      <c r="D409" s="2"/>
      <c r="E409" s="2"/>
      <c r="F409" s="2"/>
      <c r="G409" s="2"/>
      <c r="H409" s="2"/>
      <c r="I409" s="81"/>
      <c r="J409" s="2"/>
      <c r="K409" s="253"/>
    </row>
    <row r="410" spans="1:11" ht="15.75" customHeight="1">
      <c r="A410" s="4"/>
      <c r="B410" s="2"/>
      <c r="C410" s="2"/>
      <c r="D410" s="2"/>
      <c r="E410" s="2"/>
      <c r="F410" s="2"/>
      <c r="G410" s="2"/>
      <c r="H410" s="2"/>
      <c r="I410" s="81"/>
      <c r="J410" s="2"/>
      <c r="K410" s="253"/>
    </row>
    <row r="411" spans="1:11" ht="15.75" customHeight="1">
      <c r="A411" s="4"/>
      <c r="B411" s="2"/>
      <c r="C411" s="2"/>
      <c r="D411" s="2"/>
      <c r="E411" s="2"/>
      <c r="F411" s="2"/>
      <c r="G411" s="2"/>
      <c r="H411" s="2"/>
      <c r="I411" s="81"/>
      <c r="J411" s="2"/>
      <c r="K411" s="253"/>
    </row>
    <row r="412" spans="1:11" ht="15.75" customHeight="1">
      <c r="A412" s="4"/>
      <c r="B412" s="2"/>
      <c r="C412" s="2"/>
      <c r="D412" s="2"/>
      <c r="E412" s="2"/>
      <c r="F412" s="2"/>
      <c r="G412" s="2"/>
      <c r="H412" s="2"/>
      <c r="I412" s="81"/>
      <c r="J412" s="2"/>
      <c r="K412" s="253"/>
    </row>
    <row r="413" spans="1:11" ht="15.75" customHeight="1">
      <c r="A413" s="4"/>
      <c r="B413" s="2"/>
      <c r="C413" s="2"/>
      <c r="D413" s="2"/>
      <c r="E413" s="2"/>
      <c r="F413" s="2"/>
      <c r="G413" s="2"/>
      <c r="H413" s="2"/>
      <c r="I413" s="81"/>
      <c r="J413" s="2"/>
      <c r="K413" s="253"/>
    </row>
    <row r="414" spans="1:11" ht="15.75" customHeight="1">
      <c r="A414" s="4"/>
      <c r="B414" s="2"/>
      <c r="C414" s="2"/>
      <c r="D414" s="2"/>
      <c r="E414" s="2"/>
      <c r="F414" s="2"/>
      <c r="G414" s="2"/>
      <c r="H414" s="2"/>
      <c r="I414" s="81"/>
      <c r="J414" s="2"/>
      <c r="K414" s="253"/>
    </row>
    <row r="415" spans="1:11" ht="15.75" customHeight="1">
      <c r="A415" s="4"/>
      <c r="B415" s="2"/>
      <c r="C415" s="2"/>
      <c r="D415" s="2"/>
      <c r="E415" s="2"/>
      <c r="F415" s="2"/>
      <c r="G415" s="2"/>
      <c r="H415" s="2"/>
      <c r="I415" s="81"/>
      <c r="J415" s="2"/>
      <c r="K415" s="253"/>
    </row>
    <row r="416" spans="1:11" ht="15.75" customHeight="1">
      <c r="A416" s="4"/>
      <c r="B416" s="2"/>
      <c r="C416" s="2"/>
      <c r="D416" s="2"/>
      <c r="E416" s="2"/>
      <c r="F416" s="2"/>
      <c r="G416" s="2"/>
      <c r="H416" s="2"/>
      <c r="I416" s="81"/>
      <c r="J416" s="2"/>
      <c r="K416" s="253"/>
    </row>
    <row r="417" spans="1:11" ht="15.75" customHeight="1">
      <c r="A417" s="4"/>
      <c r="B417" s="2"/>
      <c r="C417" s="2"/>
      <c r="D417" s="2"/>
      <c r="E417" s="2"/>
      <c r="F417" s="2"/>
      <c r="G417" s="2"/>
      <c r="H417" s="2"/>
      <c r="I417" s="81"/>
      <c r="J417" s="2"/>
      <c r="K417" s="253"/>
    </row>
    <row r="418" spans="1:11" ht="15.75" customHeight="1">
      <c r="A418" s="4"/>
      <c r="B418" s="2"/>
      <c r="C418" s="2"/>
      <c r="D418" s="2"/>
      <c r="E418" s="2"/>
      <c r="F418" s="2"/>
      <c r="G418" s="2"/>
      <c r="H418" s="2"/>
      <c r="I418" s="81"/>
      <c r="J418" s="2"/>
      <c r="K418" s="253"/>
    </row>
    <row r="419" spans="1:11" ht="15.75" customHeight="1">
      <c r="A419" s="4"/>
      <c r="B419" s="2"/>
      <c r="C419" s="2"/>
      <c r="D419" s="2"/>
      <c r="E419" s="2"/>
      <c r="F419" s="2"/>
      <c r="G419" s="2"/>
      <c r="H419" s="2"/>
      <c r="I419" s="81"/>
      <c r="J419" s="2"/>
      <c r="K419" s="253"/>
    </row>
    <row r="420" spans="1:11" ht="15.75" customHeight="1">
      <c r="A420" s="4"/>
      <c r="B420" s="2"/>
      <c r="C420" s="2"/>
      <c r="D420" s="2"/>
      <c r="E420" s="2"/>
      <c r="F420" s="2"/>
      <c r="G420" s="2"/>
      <c r="H420" s="2"/>
      <c r="I420" s="81"/>
      <c r="J420" s="2"/>
      <c r="K420" s="253"/>
    </row>
    <row r="421" spans="1:11" ht="15.75" customHeight="1">
      <c r="A421" s="4"/>
      <c r="B421" s="2"/>
      <c r="C421" s="2"/>
      <c r="D421" s="2"/>
      <c r="E421" s="2"/>
      <c r="F421" s="2"/>
      <c r="G421" s="2"/>
      <c r="H421" s="2"/>
      <c r="I421" s="81"/>
      <c r="J421" s="2"/>
      <c r="K421" s="253"/>
    </row>
    <row r="422" spans="1:11" ht="15.75" customHeight="1">
      <c r="A422" s="4"/>
      <c r="B422" s="2"/>
      <c r="C422" s="2"/>
      <c r="D422" s="2"/>
      <c r="E422" s="2"/>
      <c r="F422" s="2"/>
      <c r="G422" s="2"/>
      <c r="H422" s="2"/>
      <c r="I422" s="81"/>
      <c r="J422" s="2"/>
      <c r="K422" s="253"/>
    </row>
    <row r="423" spans="1:11" ht="15.75" customHeight="1">
      <c r="A423" s="4"/>
      <c r="B423" s="2"/>
      <c r="C423" s="2"/>
      <c r="D423" s="2"/>
      <c r="E423" s="2"/>
      <c r="F423" s="2"/>
      <c r="G423" s="2"/>
      <c r="H423" s="2"/>
      <c r="I423" s="81"/>
      <c r="J423" s="2"/>
      <c r="K423" s="253"/>
    </row>
    <row r="424" spans="1:11" ht="15.75" customHeight="1">
      <c r="A424" s="4"/>
      <c r="B424" s="2"/>
      <c r="C424" s="2"/>
      <c r="D424" s="2"/>
      <c r="E424" s="2"/>
      <c r="F424" s="2"/>
      <c r="G424" s="2"/>
      <c r="H424" s="2"/>
      <c r="I424" s="81"/>
      <c r="J424" s="2"/>
      <c r="K424" s="253"/>
    </row>
    <row r="425" spans="1:11" ht="15.75" customHeight="1">
      <c r="A425" s="4"/>
      <c r="B425" s="2"/>
      <c r="C425" s="2"/>
      <c r="D425" s="2"/>
      <c r="E425" s="2"/>
      <c r="F425" s="2"/>
      <c r="G425" s="2"/>
      <c r="H425" s="2"/>
      <c r="I425" s="81"/>
      <c r="J425" s="2"/>
      <c r="K425" s="253"/>
    </row>
    <row r="426" spans="1:11" ht="15.75" customHeight="1">
      <c r="A426" s="4"/>
      <c r="B426" s="2"/>
      <c r="C426" s="2"/>
      <c r="D426" s="2"/>
      <c r="E426" s="2"/>
      <c r="F426" s="2"/>
      <c r="G426" s="2"/>
      <c r="H426" s="2"/>
      <c r="I426" s="81"/>
      <c r="J426" s="2"/>
      <c r="K426" s="253"/>
    </row>
    <row r="427" spans="1:11" ht="15.75" customHeight="1">
      <c r="A427" s="4"/>
      <c r="B427" s="2"/>
      <c r="C427" s="2"/>
      <c r="D427" s="2"/>
      <c r="E427" s="2"/>
      <c r="F427" s="2"/>
      <c r="G427" s="2"/>
      <c r="H427" s="2"/>
      <c r="I427" s="81"/>
      <c r="J427" s="2"/>
      <c r="K427" s="253"/>
    </row>
    <row r="428" spans="1:11" ht="15.75" customHeight="1">
      <c r="A428" s="4"/>
      <c r="B428" s="2"/>
      <c r="C428" s="2"/>
      <c r="D428" s="2"/>
      <c r="E428" s="2"/>
      <c r="F428" s="2"/>
      <c r="G428" s="2"/>
      <c r="H428" s="2"/>
      <c r="I428" s="81"/>
      <c r="J428" s="2"/>
      <c r="K428" s="253"/>
    </row>
    <row r="429" spans="1:11" ht="15.75" customHeight="1">
      <c r="A429" s="4"/>
      <c r="B429" s="2"/>
      <c r="C429" s="2"/>
      <c r="D429" s="2"/>
      <c r="E429" s="2"/>
      <c r="F429" s="2"/>
      <c r="G429" s="2"/>
      <c r="H429" s="2"/>
      <c r="I429" s="81"/>
      <c r="J429" s="2"/>
      <c r="K429" s="253"/>
    </row>
    <row r="430" spans="1:11" ht="15.75" customHeight="1">
      <c r="A430" s="4"/>
      <c r="B430" s="2"/>
      <c r="C430" s="2"/>
      <c r="D430" s="2"/>
      <c r="E430" s="2"/>
      <c r="F430" s="2"/>
      <c r="G430" s="2"/>
      <c r="H430" s="2"/>
      <c r="I430" s="81"/>
      <c r="J430" s="2"/>
      <c r="K430" s="253"/>
    </row>
    <row r="431" spans="1:11" ht="15.75" customHeight="1">
      <c r="A431" s="4"/>
      <c r="B431" s="2"/>
      <c r="C431" s="2"/>
      <c r="D431" s="2"/>
      <c r="E431" s="2"/>
      <c r="F431" s="2"/>
      <c r="G431" s="2"/>
      <c r="H431" s="2"/>
      <c r="I431" s="81"/>
      <c r="J431" s="2"/>
      <c r="K431" s="253"/>
    </row>
    <row r="432" spans="1:11" ht="15.75" customHeight="1">
      <c r="A432" s="4"/>
      <c r="B432" s="2"/>
      <c r="C432" s="2"/>
      <c r="D432" s="2"/>
      <c r="E432" s="2"/>
      <c r="F432" s="2"/>
      <c r="G432" s="2"/>
      <c r="H432" s="2"/>
      <c r="I432" s="81"/>
      <c r="J432" s="2"/>
      <c r="K432" s="253"/>
    </row>
    <row r="433" spans="1:11" ht="15.75" customHeight="1">
      <c r="A433" s="4"/>
      <c r="B433" s="2"/>
      <c r="C433" s="2"/>
      <c r="D433" s="2"/>
      <c r="E433" s="2"/>
      <c r="F433" s="2"/>
      <c r="G433" s="2"/>
      <c r="H433" s="2"/>
      <c r="I433" s="81"/>
      <c r="J433" s="2"/>
      <c r="K433" s="253"/>
    </row>
    <row r="434" spans="1:11" ht="15.75" customHeight="1">
      <c r="A434" s="4"/>
      <c r="B434" s="2"/>
      <c r="C434" s="2"/>
      <c r="D434" s="2"/>
      <c r="E434" s="2"/>
      <c r="F434" s="2"/>
      <c r="G434" s="2"/>
      <c r="H434" s="2"/>
      <c r="I434" s="81"/>
      <c r="J434" s="2"/>
      <c r="K434" s="253"/>
    </row>
    <row r="435" spans="1:11" ht="15.75" customHeight="1">
      <c r="A435" s="4"/>
      <c r="B435" s="2"/>
      <c r="C435" s="2"/>
      <c r="D435" s="2"/>
      <c r="E435" s="2"/>
      <c r="F435" s="2"/>
      <c r="G435" s="2"/>
      <c r="H435" s="2"/>
      <c r="I435" s="81"/>
      <c r="J435" s="2"/>
      <c r="K435" s="253"/>
    </row>
    <row r="436" spans="1:11" ht="15.75" customHeight="1">
      <c r="A436" s="4"/>
      <c r="B436" s="2"/>
      <c r="C436" s="2"/>
      <c r="D436" s="2"/>
      <c r="E436" s="2"/>
      <c r="F436" s="2"/>
      <c r="G436" s="2"/>
      <c r="H436" s="2"/>
      <c r="I436" s="81"/>
      <c r="J436" s="2"/>
      <c r="K436" s="253"/>
    </row>
    <row r="437" spans="1:11" ht="15.75" customHeight="1">
      <c r="A437" s="4"/>
      <c r="B437" s="2"/>
      <c r="C437" s="2"/>
      <c r="D437" s="2"/>
      <c r="E437" s="2"/>
      <c r="F437" s="2"/>
      <c r="G437" s="2"/>
      <c r="H437" s="2"/>
      <c r="I437" s="81"/>
      <c r="J437" s="2"/>
      <c r="K437" s="253"/>
    </row>
    <row r="438" spans="1:11" ht="15.75" customHeight="1">
      <c r="A438" s="4"/>
      <c r="B438" s="2"/>
      <c r="C438" s="2"/>
      <c r="D438" s="2"/>
      <c r="E438" s="2"/>
      <c r="F438" s="2"/>
      <c r="G438" s="2"/>
      <c r="H438" s="2"/>
      <c r="I438" s="81"/>
      <c r="J438" s="2"/>
      <c r="K438" s="253"/>
    </row>
    <row r="439" spans="1:11" ht="15.75" customHeight="1">
      <c r="A439" s="4"/>
      <c r="B439" s="2"/>
      <c r="C439" s="2"/>
      <c r="D439" s="2"/>
      <c r="E439" s="2"/>
      <c r="F439" s="2"/>
      <c r="G439" s="2"/>
      <c r="H439" s="2"/>
      <c r="I439" s="81"/>
      <c r="J439" s="2"/>
      <c r="K439" s="253"/>
    </row>
    <row r="440" spans="1:11" ht="15.75" customHeight="1">
      <c r="A440" s="4"/>
      <c r="B440" s="2"/>
      <c r="C440" s="2"/>
      <c r="D440" s="2"/>
      <c r="E440" s="2"/>
      <c r="F440" s="2"/>
      <c r="G440" s="2"/>
      <c r="H440" s="2"/>
      <c r="I440" s="81"/>
      <c r="J440" s="2"/>
      <c r="K440" s="253"/>
    </row>
    <row r="441" spans="1:11" ht="15.75" customHeight="1">
      <c r="A441" s="4"/>
      <c r="B441" s="2"/>
      <c r="C441" s="2"/>
      <c r="D441" s="2"/>
      <c r="E441" s="2"/>
      <c r="F441" s="2"/>
      <c r="G441" s="2"/>
      <c r="H441" s="2"/>
      <c r="I441" s="81"/>
      <c r="J441" s="2"/>
      <c r="K441" s="253"/>
    </row>
    <row r="442" spans="1:11" ht="15.75" customHeight="1">
      <c r="A442" s="4"/>
      <c r="B442" s="2"/>
      <c r="C442" s="2"/>
      <c r="D442" s="2"/>
      <c r="E442" s="2"/>
      <c r="F442" s="2"/>
      <c r="G442" s="2"/>
      <c r="H442" s="2"/>
      <c r="I442" s="81"/>
      <c r="J442" s="2"/>
      <c r="K442" s="253"/>
    </row>
    <row r="443" spans="1:11" ht="15.75" customHeight="1">
      <c r="A443" s="4"/>
      <c r="B443" s="2"/>
      <c r="C443" s="2"/>
      <c r="D443" s="2"/>
      <c r="E443" s="2"/>
      <c r="F443" s="2"/>
      <c r="G443" s="2"/>
      <c r="H443" s="2"/>
      <c r="I443" s="81"/>
      <c r="J443" s="2"/>
      <c r="K443" s="253"/>
    </row>
    <row r="444" spans="1:11" ht="15.75" customHeight="1">
      <c r="A444" s="4"/>
      <c r="B444" s="2"/>
      <c r="C444" s="2"/>
      <c r="D444" s="2"/>
      <c r="E444" s="2"/>
      <c r="F444" s="2"/>
      <c r="G444" s="2"/>
      <c r="H444" s="2"/>
      <c r="I444" s="81"/>
      <c r="J444" s="2"/>
      <c r="K444" s="253"/>
    </row>
    <row r="445" spans="1:11" ht="15.75" customHeight="1">
      <c r="A445" s="4"/>
      <c r="B445" s="2"/>
      <c r="C445" s="2"/>
      <c r="D445" s="2"/>
      <c r="E445" s="2"/>
      <c r="F445" s="2"/>
      <c r="G445" s="2"/>
      <c r="H445" s="2"/>
      <c r="I445" s="81"/>
      <c r="J445" s="2"/>
      <c r="K445" s="253"/>
    </row>
    <row r="446" spans="1:11" ht="15.75" customHeight="1">
      <c r="A446" s="4"/>
      <c r="B446" s="2"/>
      <c r="C446" s="2"/>
      <c r="D446" s="2"/>
      <c r="E446" s="2"/>
      <c r="F446" s="2"/>
      <c r="G446" s="2"/>
      <c r="H446" s="2"/>
      <c r="I446" s="81"/>
      <c r="J446" s="2"/>
      <c r="K446" s="253"/>
    </row>
    <row r="447" spans="1:11" ht="15.75" customHeight="1">
      <c r="A447" s="4"/>
      <c r="B447" s="2"/>
      <c r="C447" s="2"/>
      <c r="D447" s="2"/>
      <c r="E447" s="2"/>
      <c r="F447" s="2"/>
      <c r="G447" s="2"/>
      <c r="H447" s="2"/>
      <c r="I447" s="81"/>
      <c r="J447" s="2"/>
      <c r="K447" s="253"/>
    </row>
    <row r="448" spans="1:11" ht="15.75" customHeight="1">
      <c r="A448" s="4"/>
      <c r="B448" s="2"/>
      <c r="C448" s="2"/>
      <c r="D448" s="2"/>
      <c r="E448" s="2"/>
      <c r="F448" s="2"/>
      <c r="G448" s="2"/>
      <c r="H448" s="2"/>
      <c r="I448" s="81"/>
      <c r="J448" s="2"/>
      <c r="K448" s="253"/>
    </row>
    <row r="449" spans="1:11" ht="15.75" customHeight="1">
      <c r="A449" s="4"/>
      <c r="B449" s="2"/>
      <c r="C449" s="2"/>
      <c r="D449" s="2"/>
      <c r="E449" s="2"/>
      <c r="F449" s="2"/>
      <c r="G449" s="2"/>
      <c r="H449" s="2"/>
      <c r="I449" s="81"/>
      <c r="J449" s="2"/>
      <c r="K449" s="253"/>
    </row>
    <row r="450" spans="1:11" ht="15.75" customHeight="1">
      <c r="A450" s="4"/>
      <c r="B450" s="2"/>
      <c r="C450" s="2"/>
      <c r="D450" s="2"/>
      <c r="E450" s="2"/>
      <c r="F450" s="2"/>
      <c r="G450" s="2"/>
      <c r="H450" s="2"/>
      <c r="I450" s="81"/>
      <c r="J450" s="2"/>
      <c r="K450" s="253"/>
    </row>
    <row r="451" spans="1:11" ht="15.75" customHeight="1">
      <c r="A451" s="4"/>
      <c r="B451" s="2"/>
      <c r="C451" s="2"/>
      <c r="D451" s="2"/>
      <c r="E451" s="2"/>
      <c r="F451" s="2"/>
      <c r="G451" s="2"/>
      <c r="H451" s="2"/>
      <c r="I451" s="81"/>
      <c r="J451" s="2"/>
      <c r="K451" s="253"/>
    </row>
    <row r="452" spans="1:11" ht="15.75" customHeight="1">
      <c r="A452" s="4"/>
      <c r="B452" s="2"/>
      <c r="C452" s="2"/>
      <c r="D452" s="2"/>
      <c r="E452" s="2"/>
      <c r="F452" s="2"/>
      <c r="G452" s="2"/>
      <c r="H452" s="2"/>
      <c r="I452" s="81"/>
      <c r="J452" s="2"/>
      <c r="K452" s="253"/>
    </row>
    <row r="453" spans="1:11" ht="15.75" customHeight="1">
      <c r="A453" s="4"/>
      <c r="B453" s="2"/>
      <c r="C453" s="2"/>
      <c r="D453" s="2"/>
      <c r="E453" s="2"/>
      <c r="F453" s="2"/>
      <c r="G453" s="2"/>
      <c r="H453" s="2"/>
      <c r="I453" s="81"/>
      <c r="J453" s="2"/>
      <c r="K453" s="253"/>
    </row>
    <row r="454" spans="1:11" ht="15.75" customHeight="1">
      <c r="A454" s="4"/>
      <c r="B454" s="2"/>
      <c r="C454" s="2"/>
      <c r="D454" s="2"/>
      <c r="E454" s="2"/>
      <c r="F454" s="2"/>
      <c r="G454" s="2"/>
      <c r="H454" s="2"/>
      <c r="I454" s="81"/>
      <c r="J454" s="2"/>
      <c r="K454" s="253"/>
    </row>
    <row r="455" spans="1:11" ht="15.75" customHeight="1">
      <c r="A455" s="4"/>
      <c r="B455" s="2"/>
      <c r="C455" s="2"/>
      <c r="D455" s="2"/>
      <c r="E455" s="2"/>
      <c r="F455" s="2"/>
      <c r="G455" s="2"/>
      <c r="H455" s="2"/>
      <c r="I455" s="81"/>
      <c r="J455" s="2"/>
      <c r="K455" s="253"/>
    </row>
    <row r="456" spans="1:11" ht="15.75" customHeight="1">
      <c r="A456" s="4"/>
      <c r="B456" s="2"/>
      <c r="C456" s="2"/>
      <c r="D456" s="2"/>
      <c r="E456" s="2"/>
      <c r="F456" s="2"/>
      <c r="G456" s="2"/>
      <c r="H456" s="2"/>
      <c r="I456" s="81"/>
      <c r="J456" s="2"/>
      <c r="K456" s="253"/>
    </row>
    <row r="457" spans="1:11" ht="15.75" customHeight="1">
      <c r="A457" s="4"/>
      <c r="B457" s="2"/>
      <c r="C457" s="2"/>
      <c r="D457" s="2"/>
      <c r="E457" s="2"/>
      <c r="F457" s="2"/>
      <c r="G457" s="2"/>
      <c r="H457" s="2"/>
      <c r="I457" s="81"/>
      <c r="J457" s="2"/>
      <c r="K457" s="253"/>
    </row>
    <row r="458" spans="1:11" ht="15.75" customHeight="1">
      <c r="A458" s="4"/>
      <c r="B458" s="2"/>
      <c r="C458" s="2"/>
      <c r="D458" s="2"/>
      <c r="E458" s="2"/>
      <c r="F458" s="2"/>
      <c r="G458" s="2"/>
      <c r="H458" s="2"/>
      <c r="I458" s="81"/>
      <c r="J458" s="2"/>
      <c r="K458" s="253"/>
    </row>
    <row r="459" spans="1:11" ht="15.75" customHeight="1">
      <c r="A459" s="4"/>
      <c r="B459" s="2"/>
      <c r="C459" s="2"/>
      <c r="D459" s="2"/>
      <c r="E459" s="2"/>
      <c r="F459" s="2"/>
      <c r="G459" s="2"/>
      <c r="H459" s="2"/>
      <c r="I459" s="81"/>
      <c r="J459" s="2"/>
      <c r="K459" s="253"/>
    </row>
    <row r="460" spans="1:11" ht="15.75" customHeight="1">
      <c r="A460" s="4"/>
      <c r="B460" s="2"/>
      <c r="C460" s="2"/>
      <c r="D460" s="2"/>
      <c r="E460" s="2"/>
      <c r="F460" s="2"/>
      <c r="G460" s="2"/>
      <c r="H460" s="2"/>
      <c r="I460" s="81"/>
      <c r="J460" s="2"/>
      <c r="K460" s="253"/>
    </row>
    <row r="461" spans="1:11" ht="15.75" customHeight="1">
      <c r="A461" s="4"/>
      <c r="B461" s="2"/>
      <c r="C461" s="2"/>
      <c r="D461" s="2"/>
      <c r="E461" s="2"/>
      <c r="F461" s="2"/>
      <c r="G461" s="2"/>
      <c r="H461" s="2"/>
      <c r="I461" s="81"/>
      <c r="J461" s="2"/>
      <c r="K461" s="253"/>
    </row>
    <row r="462" spans="1:11" ht="15.75" customHeight="1">
      <c r="A462" s="4"/>
      <c r="B462" s="2"/>
      <c r="C462" s="2"/>
      <c r="D462" s="2"/>
      <c r="E462" s="2"/>
      <c r="F462" s="2"/>
      <c r="G462" s="2"/>
      <c r="H462" s="2"/>
      <c r="I462" s="81"/>
      <c r="J462" s="2"/>
      <c r="K462" s="253"/>
    </row>
    <row r="463" spans="1:11" ht="15.75" customHeight="1">
      <c r="A463" s="4"/>
      <c r="B463" s="2"/>
      <c r="C463" s="2"/>
      <c r="D463" s="2"/>
      <c r="E463" s="2"/>
      <c r="F463" s="2"/>
      <c r="G463" s="2"/>
      <c r="H463" s="2"/>
      <c r="I463" s="81"/>
      <c r="J463" s="2"/>
      <c r="K463" s="253"/>
    </row>
    <row r="464" spans="1:11" ht="15.75" customHeight="1">
      <c r="A464" s="4"/>
      <c r="B464" s="2"/>
      <c r="C464" s="2"/>
      <c r="D464" s="2"/>
      <c r="E464" s="2"/>
      <c r="F464" s="2"/>
      <c r="G464" s="2"/>
      <c r="H464" s="2"/>
      <c r="I464" s="81"/>
      <c r="J464" s="2"/>
      <c r="K464" s="253"/>
    </row>
    <row r="465" spans="1:11" ht="15.75" customHeight="1">
      <c r="A465" s="4"/>
      <c r="B465" s="2"/>
      <c r="C465" s="2"/>
      <c r="D465" s="2"/>
      <c r="E465" s="2"/>
      <c r="F465" s="2"/>
      <c r="G465" s="2"/>
      <c r="H465" s="2"/>
      <c r="I465" s="81"/>
      <c r="J465" s="2"/>
      <c r="K465" s="253"/>
    </row>
    <row r="466" spans="1:11" ht="15.75" customHeight="1">
      <c r="A466" s="4"/>
      <c r="B466" s="2"/>
      <c r="C466" s="2"/>
      <c r="D466" s="2"/>
      <c r="E466" s="2"/>
      <c r="F466" s="2"/>
      <c r="G466" s="2"/>
      <c r="H466" s="2"/>
      <c r="I466" s="81"/>
      <c r="J466" s="2"/>
      <c r="K466" s="253"/>
    </row>
    <row r="467" spans="1:11" ht="15.75" customHeight="1">
      <c r="A467" s="4"/>
      <c r="B467" s="2"/>
      <c r="C467" s="2"/>
      <c r="D467" s="2"/>
      <c r="E467" s="2"/>
      <c r="F467" s="2"/>
      <c r="G467" s="2"/>
      <c r="H467" s="2"/>
      <c r="I467" s="81"/>
      <c r="J467" s="2"/>
      <c r="K467" s="253"/>
    </row>
    <row r="468" spans="1:11" ht="15.75" customHeight="1">
      <c r="A468" s="4"/>
      <c r="B468" s="2"/>
      <c r="C468" s="2"/>
      <c r="D468" s="2"/>
      <c r="E468" s="2"/>
      <c r="F468" s="2"/>
      <c r="G468" s="2"/>
      <c r="H468" s="2"/>
      <c r="I468" s="81"/>
      <c r="J468" s="2"/>
      <c r="K468" s="253"/>
    </row>
    <row r="469" spans="1:11" ht="15.75" customHeight="1">
      <c r="A469" s="4"/>
      <c r="B469" s="2"/>
      <c r="C469" s="2"/>
      <c r="D469" s="2"/>
      <c r="E469" s="2"/>
      <c r="F469" s="2"/>
      <c r="G469" s="2"/>
      <c r="H469" s="2"/>
      <c r="I469" s="81"/>
      <c r="J469" s="2"/>
      <c r="K469" s="253"/>
    </row>
    <row r="470" spans="1:11" ht="15.75" customHeight="1">
      <c r="A470" s="4"/>
      <c r="B470" s="2"/>
      <c r="C470" s="2"/>
      <c r="D470" s="2"/>
      <c r="E470" s="2"/>
      <c r="F470" s="2"/>
      <c r="G470" s="2"/>
      <c r="H470" s="2"/>
      <c r="I470" s="81"/>
      <c r="J470" s="2"/>
      <c r="K470" s="253"/>
    </row>
    <row r="471" spans="1:11" ht="15.75" customHeight="1">
      <c r="A471" s="4"/>
      <c r="B471" s="2"/>
      <c r="C471" s="2"/>
      <c r="D471" s="2"/>
      <c r="E471" s="2"/>
      <c r="F471" s="2"/>
      <c r="G471" s="2"/>
      <c r="H471" s="2"/>
      <c r="I471" s="81"/>
      <c r="J471" s="2"/>
      <c r="K471" s="253"/>
    </row>
    <row r="472" spans="1:11" ht="15.75" customHeight="1">
      <c r="A472" s="4"/>
      <c r="B472" s="2"/>
      <c r="C472" s="2"/>
      <c r="D472" s="2"/>
      <c r="E472" s="2"/>
      <c r="F472" s="2"/>
      <c r="G472" s="2"/>
      <c r="H472" s="2"/>
      <c r="I472" s="81"/>
      <c r="J472" s="2"/>
      <c r="K472" s="253"/>
    </row>
    <row r="473" spans="1:11" ht="15.75" customHeight="1">
      <c r="A473" s="4"/>
      <c r="B473" s="2"/>
      <c r="C473" s="2"/>
      <c r="D473" s="2"/>
      <c r="E473" s="2"/>
      <c r="F473" s="2"/>
      <c r="G473" s="2"/>
      <c r="H473" s="2"/>
      <c r="I473" s="81"/>
      <c r="J473" s="2"/>
      <c r="K473" s="253"/>
    </row>
    <row r="474" spans="1:11" ht="15.75" customHeight="1">
      <c r="A474" s="4"/>
      <c r="B474" s="2"/>
      <c r="C474" s="2"/>
      <c r="D474" s="2"/>
      <c r="E474" s="2"/>
      <c r="F474" s="2"/>
      <c r="G474" s="2"/>
      <c r="H474" s="2"/>
      <c r="I474" s="81"/>
      <c r="J474" s="2"/>
      <c r="K474" s="253"/>
    </row>
    <row r="475" spans="1:11" ht="15.75" customHeight="1">
      <c r="A475" s="4"/>
      <c r="B475" s="2"/>
      <c r="C475" s="2"/>
      <c r="D475" s="2"/>
      <c r="E475" s="2"/>
      <c r="F475" s="2"/>
      <c r="G475" s="2"/>
      <c r="H475" s="2"/>
      <c r="I475" s="81"/>
      <c r="J475" s="2"/>
      <c r="K475" s="253"/>
    </row>
    <row r="476" spans="1:11" ht="15.75" customHeight="1">
      <c r="A476" s="4"/>
      <c r="B476" s="2"/>
      <c r="C476" s="2"/>
      <c r="D476" s="2"/>
      <c r="E476" s="2"/>
      <c r="F476" s="2"/>
      <c r="G476" s="2"/>
      <c r="H476" s="2"/>
      <c r="I476" s="81"/>
      <c r="J476" s="2"/>
      <c r="K476" s="253"/>
    </row>
    <row r="477" spans="1:11" ht="15.75" customHeight="1">
      <c r="A477" s="4"/>
      <c r="B477" s="2"/>
      <c r="C477" s="2"/>
      <c r="D477" s="2"/>
      <c r="E477" s="2"/>
      <c r="F477" s="2"/>
      <c r="G477" s="2"/>
      <c r="H477" s="2"/>
      <c r="I477" s="81"/>
      <c r="J477" s="2"/>
      <c r="K477" s="253"/>
    </row>
    <row r="478" spans="1:11" ht="15.75" customHeight="1">
      <c r="A478" s="4"/>
      <c r="B478" s="2"/>
      <c r="C478" s="2"/>
      <c r="D478" s="2"/>
      <c r="E478" s="2"/>
      <c r="F478" s="2"/>
      <c r="G478" s="2"/>
      <c r="H478" s="2"/>
      <c r="I478" s="81"/>
      <c r="J478" s="2"/>
      <c r="K478" s="253"/>
    </row>
    <row r="479" spans="1:11" ht="15.75" customHeight="1">
      <c r="A479" s="4"/>
      <c r="B479" s="2"/>
      <c r="C479" s="2"/>
      <c r="D479" s="2"/>
      <c r="E479" s="2"/>
      <c r="F479" s="2"/>
      <c r="G479" s="2"/>
      <c r="H479" s="2"/>
      <c r="I479" s="81"/>
      <c r="J479" s="2"/>
      <c r="K479" s="253"/>
    </row>
    <row r="480" spans="1:11" ht="15.75" customHeight="1">
      <c r="A480" s="4"/>
      <c r="B480" s="2"/>
      <c r="C480" s="2"/>
      <c r="D480" s="2"/>
      <c r="E480" s="2"/>
      <c r="F480" s="2"/>
      <c r="G480" s="2"/>
      <c r="H480" s="2"/>
      <c r="I480" s="81"/>
      <c r="J480" s="2"/>
      <c r="K480" s="253"/>
    </row>
    <row r="481" spans="1:11" ht="15.75" customHeight="1">
      <c r="A481" s="4"/>
      <c r="B481" s="2"/>
      <c r="C481" s="2"/>
      <c r="D481" s="2"/>
      <c r="E481" s="2"/>
      <c r="F481" s="2"/>
      <c r="G481" s="2"/>
      <c r="H481" s="2"/>
      <c r="I481" s="81"/>
      <c r="J481" s="2"/>
      <c r="K481" s="253"/>
    </row>
    <row r="482" spans="1:11" ht="15.75" customHeight="1">
      <c r="A482" s="4"/>
      <c r="B482" s="2"/>
      <c r="C482" s="2"/>
      <c r="D482" s="2"/>
      <c r="E482" s="2"/>
      <c r="F482" s="2"/>
      <c r="G482" s="2"/>
      <c r="H482" s="2"/>
      <c r="I482" s="81"/>
      <c r="J482" s="2"/>
      <c r="K482" s="253"/>
    </row>
    <row r="483" spans="1:11" ht="15.75" customHeight="1">
      <c r="A483" s="4"/>
      <c r="B483" s="2"/>
      <c r="C483" s="2"/>
      <c r="D483" s="2"/>
      <c r="E483" s="2"/>
      <c r="F483" s="2"/>
      <c r="G483" s="2"/>
      <c r="H483" s="2"/>
      <c r="I483" s="81"/>
      <c r="J483" s="2"/>
      <c r="K483" s="253"/>
    </row>
    <row r="484" spans="1:11" ht="15.75" customHeight="1">
      <c r="A484" s="4"/>
      <c r="B484" s="2"/>
      <c r="C484" s="2"/>
      <c r="D484" s="2"/>
      <c r="E484" s="2"/>
      <c r="F484" s="2"/>
      <c r="G484" s="2"/>
      <c r="H484" s="2"/>
      <c r="I484" s="81"/>
      <c r="J484" s="2"/>
      <c r="K484" s="253"/>
    </row>
    <row r="485" spans="1:11" ht="15.75" customHeight="1">
      <c r="A485" s="4"/>
      <c r="B485" s="2"/>
      <c r="C485" s="2"/>
      <c r="D485" s="2"/>
      <c r="E485" s="2"/>
      <c r="F485" s="2"/>
      <c r="G485" s="2"/>
      <c r="H485" s="2"/>
      <c r="I485" s="81"/>
      <c r="J485" s="2"/>
      <c r="K485" s="253"/>
    </row>
    <row r="486" spans="1:11" ht="15.75" customHeight="1">
      <c r="A486" s="4"/>
      <c r="B486" s="2"/>
      <c r="C486" s="2"/>
      <c r="D486" s="2"/>
      <c r="E486" s="2"/>
      <c r="F486" s="2"/>
      <c r="G486" s="2"/>
      <c r="H486" s="2"/>
      <c r="I486" s="81"/>
      <c r="J486" s="2"/>
      <c r="K486" s="253"/>
    </row>
    <row r="487" spans="1:11" ht="15.75" customHeight="1">
      <c r="A487" s="4"/>
      <c r="B487" s="2"/>
      <c r="C487" s="2"/>
      <c r="D487" s="2"/>
      <c r="E487" s="2"/>
      <c r="F487" s="2"/>
      <c r="G487" s="2"/>
      <c r="H487" s="2"/>
      <c r="I487" s="81"/>
      <c r="J487" s="2"/>
      <c r="K487" s="253"/>
    </row>
    <row r="488" spans="1:11" ht="15.75" customHeight="1">
      <c r="A488" s="4"/>
      <c r="B488" s="2"/>
      <c r="C488" s="2"/>
      <c r="D488" s="2"/>
      <c r="E488" s="2"/>
      <c r="F488" s="2"/>
      <c r="G488" s="2"/>
      <c r="H488" s="2"/>
      <c r="I488" s="81"/>
      <c r="J488" s="2"/>
      <c r="K488" s="253"/>
    </row>
    <row r="489" spans="1:11" ht="15.75" customHeight="1">
      <c r="A489" s="4"/>
      <c r="B489" s="2"/>
      <c r="C489" s="2"/>
      <c r="D489" s="2"/>
      <c r="E489" s="2"/>
      <c r="F489" s="2"/>
      <c r="G489" s="2"/>
      <c r="H489" s="2"/>
      <c r="I489" s="81"/>
      <c r="J489" s="2"/>
      <c r="K489" s="253"/>
    </row>
    <row r="490" spans="1:11" ht="15.75" customHeight="1">
      <c r="A490" s="4"/>
      <c r="B490" s="2"/>
      <c r="C490" s="2"/>
      <c r="D490" s="2"/>
      <c r="E490" s="2"/>
      <c r="F490" s="2"/>
      <c r="G490" s="2"/>
      <c r="H490" s="2"/>
      <c r="I490" s="81"/>
      <c r="J490" s="2"/>
      <c r="K490" s="253"/>
    </row>
    <row r="491" spans="1:11" ht="15.75" customHeight="1">
      <c r="A491" s="4"/>
      <c r="B491" s="2"/>
      <c r="C491" s="2"/>
      <c r="D491" s="2"/>
      <c r="E491" s="2"/>
      <c r="F491" s="2"/>
      <c r="G491" s="2"/>
      <c r="H491" s="2"/>
      <c r="I491" s="81"/>
      <c r="J491" s="2"/>
      <c r="K491" s="253"/>
    </row>
    <row r="492" spans="1:11" ht="15.75" customHeight="1">
      <c r="A492" s="4"/>
      <c r="B492" s="2"/>
      <c r="C492" s="2"/>
      <c r="D492" s="2"/>
      <c r="E492" s="2"/>
      <c r="F492" s="2"/>
      <c r="G492" s="2"/>
      <c r="H492" s="2"/>
      <c r="I492" s="81"/>
      <c r="J492" s="2"/>
      <c r="K492" s="253"/>
    </row>
    <row r="493" spans="1:11" ht="15.75" customHeight="1">
      <c r="A493" s="4"/>
      <c r="B493" s="2"/>
      <c r="C493" s="2"/>
      <c r="D493" s="2"/>
      <c r="E493" s="2"/>
      <c r="F493" s="2"/>
      <c r="G493" s="2"/>
      <c r="H493" s="2"/>
      <c r="I493" s="81"/>
      <c r="J493" s="2"/>
      <c r="K493" s="253"/>
    </row>
    <row r="494" spans="1:11" ht="15.75" customHeight="1">
      <c r="A494" s="4"/>
      <c r="B494" s="2"/>
      <c r="C494" s="2"/>
      <c r="D494" s="2"/>
      <c r="E494" s="2"/>
      <c r="F494" s="2"/>
      <c r="G494" s="2"/>
      <c r="H494" s="2"/>
      <c r="I494" s="81"/>
      <c r="J494" s="2"/>
      <c r="K494" s="253"/>
    </row>
    <row r="495" spans="1:11" ht="15.75" customHeight="1">
      <c r="A495" s="4"/>
      <c r="B495" s="2"/>
      <c r="C495" s="2"/>
      <c r="D495" s="2"/>
      <c r="E495" s="2"/>
      <c r="F495" s="2"/>
      <c r="G495" s="2"/>
      <c r="H495" s="2"/>
      <c r="I495" s="81"/>
      <c r="J495" s="2"/>
      <c r="K495" s="253"/>
    </row>
    <row r="496" spans="1:11" ht="15.75" customHeight="1">
      <c r="A496" s="4"/>
      <c r="B496" s="2"/>
      <c r="C496" s="2"/>
      <c r="D496" s="2"/>
      <c r="E496" s="2"/>
      <c r="F496" s="2"/>
      <c r="G496" s="2"/>
      <c r="H496" s="2"/>
      <c r="I496" s="81"/>
      <c r="J496" s="2"/>
      <c r="K496" s="253"/>
    </row>
    <row r="497" spans="1:11" ht="15.75" customHeight="1">
      <c r="A497" s="4"/>
      <c r="B497" s="2"/>
      <c r="C497" s="2"/>
      <c r="D497" s="2"/>
      <c r="E497" s="2"/>
      <c r="F497" s="2"/>
      <c r="G497" s="2"/>
      <c r="H497" s="2"/>
      <c r="I497" s="81"/>
      <c r="J497" s="2"/>
      <c r="K497" s="253"/>
    </row>
    <row r="498" spans="1:11" ht="15.75" customHeight="1">
      <c r="A498" s="4"/>
      <c r="B498" s="2"/>
      <c r="C498" s="2"/>
      <c r="D498" s="2"/>
      <c r="E498" s="2"/>
      <c r="F498" s="2"/>
      <c r="G498" s="2"/>
      <c r="H498" s="2"/>
      <c r="I498" s="81"/>
      <c r="J498" s="2"/>
      <c r="K498" s="253"/>
    </row>
    <row r="499" spans="1:11" ht="15.75" customHeight="1">
      <c r="A499" s="4"/>
      <c r="B499" s="2"/>
      <c r="C499" s="2"/>
      <c r="D499" s="2"/>
      <c r="E499" s="2"/>
      <c r="F499" s="2"/>
      <c r="G499" s="2"/>
      <c r="H499" s="2"/>
      <c r="I499" s="81"/>
      <c r="J499" s="2"/>
      <c r="K499" s="253"/>
    </row>
    <row r="500" spans="1:11" ht="15.75" customHeight="1">
      <c r="A500" s="4"/>
      <c r="B500" s="2"/>
      <c r="C500" s="2"/>
      <c r="D500" s="2"/>
      <c r="E500" s="2"/>
      <c r="F500" s="2"/>
      <c r="G500" s="2"/>
      <c r="H500" s="2"/>
      <c r="I500" s="81"/>
      <c r="J500" s="2"/>
      <c r="K500" s="253"/>
    </row>
    <row r="501" spans="1:11" ht="15.75" customHeight="1">
      <c r="A501" s="4"/>
      <c r="B501" s="2"/>
      <c r="C501" s="2"/>
      <c r="D501" s="2"/>
      <c r="E501" s="2"/>
      <c r="F501" s="2"/>
      <c r="G501" s="2"/>
      <c r="H501" s="2"/>
      <c r="I501" s="81"/>
      <c r="J501" s="2"/>
      <c r="K501" s="253"/>
    </row>
    <row r="502" spans="1:11" ht="15.75" customHeight="1">
      <c r="A502" s="4"/>
      <c r="B502" s="2"/>
      <c r="C502" s="2"/>
      <c r="D502" s="2"/>
      <c r="E502" s="2"/>
      <c r="F502" s="2"/>
      <c r="G502" s="2"/>
      <c r="H502" s="2"/>
      <c r="I502" s="81"/>
      <c r="J502" s="2"/>
      <c r="K502" s="253"/>
    </row>
    <row r="503" spans="1:11" ht="15.75" customHeight="1">
      <c r="A503" s="4"/>
      <c r="B503" s="2"/>
      <c r="C503" s="2"/>
      <c r="D503" s="2"/>
      <c r="E503" s="2"/>
      <c r="F503" s="2"/>
      <c r="G503" s="2"/>
      <c r="H503" s="2"/>
      <c r="I503" s="81"/>
      <c r="J503" s="2"/>
      <c r="K503" s="253"/>
    </row>
    <row r="504" spans="1:11" ht="15.75" customHeight="1">
      <c r="A504" s="4"/>
      <c r="B504" s="2"/>
      <c r="C504" s="2"/>
      <c r="D504" s="2"/>
      <c r="E504" s="2"/>
      <c r="F504" s="2"/>
      <c r="G504" s="2"/>
      <c r="H504" s="2"/>
      <c r="I504" s="81"/>
      <c r="J504" s="2"/>
      <c r="K504" s="253"/>
    </row>
    <row r="505" spans="1:11" ht="15.75" customHeight="1">
      <c r="A505" s="4"/>
      <c r="B505" s="2"/>
      <c r="C505" s="2"/>
      <c r="D505" s="2"/>
      <c r="E505" s="2"/>
      <c r="F505" s="2"/>
      <c r="G505" s="2"/>
      <c r="H505" s="2"/>
      <c r="I505" s="81"/>
      <c r="J505" s="2"/>
      <c r="K505" s="253"/>
    </row>
    <row r="506" spans="1:11" ht="15.75" customHeight="1">
      <c r="A506" s="4"/>
      <c r="B506" s="2"/>
      <c r="C506" s="2"/>
      <c r="D506" s="2"/>
      <c r="E506" s="2"/>
      <c r="F506" s="2"/>
      <c r="G506" s="2"/>
      <c r="H506" s="2"/>
      <c r="I506" s="81"/>
      <c r="J506" s="2"/>
      <c r="K506" s="253"/>
    </row>
    <row r="507" spans="1:11" ht="15.75" customHeight="1">
      <c r="A507" s="4"/>
      <c r="B507" s="2"/>
      <c r="C507" s="2"/>
      <c r="D507" s="2"/>
      <c r="E507" s="2"/>
      <c r="F507" s="2"/>
      <c r="G507" s="2"/>
      <c r="H507" s="2"/>
      <c r="I507" s="81"/>
      <c r="J507" s="2"/>
      <c r="K507" s="253"/>
    </row>
    <row r="508" spans="1:11" ht="15.75" customHeight="1">
      <c r="A508" s="4"/>
      <c r="B508" s="2"/>
      <c r="C508" s="2"/>
      <c r="D508" s="2"/>
      <c r="E508" s="2"/>
      <c r="F508" s="2"/>
      <c r="G508" s="2"/>
      <c r="H508" s="2"/>
      <c r="I508" s="81"/>
      <c r="J508" s="2"/>
      <c r="K508" s="253"/>
    </row>
    <row r="509" spans="1:11" ht="15.75" customHeight="1">
      <c r="A509" s="4"/>
      <c r="B509" s="2"/>
      <c r="C509" s="2"/>
      <c r="D509" s="2"/>
      <c r="E509" s="2"/>
      <c r="F509" s="2"/>
      <c r="G509" s="2"/>
      <c r="H509" s="2"/>
      <c r="I509" s="81"/>
      <c r="J509" s="2"/>
      <c r="K509" s="253"/>
    </row>
    <row r="510" spans="1:11" ht="15.75" customHeight="1">
      <c r="A510" s="4"/>
      <c r="B510" s="2"/>
      <c r="C510" s="2"/>
      <c r="D510" s="2"/>
      <c r="E510" s="2"/>
      <c r="F510" s="2"/>
      <c r="G510" s="2"/>
      <c r="H510" s="2"/>
      <c r="I510" s="81"/>
      <c r="J510" s="2"/>
      <c r="K510" s="253"/>
    </row>
    <row r="511" spans="1:11" ht="15.75" customHeight="1">
      <c r="A511" s="4"/>
      <c r="B511" s="2"/>
      <c r="C511" s="2"/>
      <c r="D511" s="2"/>
      <c r="E511" s="2"/>
      <c r="F511" s="2"/>
      <c r="G511" s="2"/>
      <c r="H511" s="2"/>
      <c r="I511" s="81"/>
      <c r="J511" s="2"/>
      <c r="K511" s="253"/>
    </row>
    <row r="512" spans="1:11" ht="15.75" customHeight="1">
      <c r="A512" s="4"/>
      <c r="B512" s="2"/>
      <c r="C512" s="2"/>
      <c r="D512" s="2"/>
      <c r="E512" s="2"/>
      <c r="F512" s="2"/>
      <c r="G512" s="2"/>
      <c r="H512" s="2"/>
      <c r="I512" s="81"/>
      <c r="J512" s="2"/>
      <c r="K512" s="253"/>
    </row>
    <row r="513" spans="1:11" ht="15.75" customHeight="1">
      <c r="A513" s="4"/>
      <c r="B513" s="2"/>
      <c r="C513" s="2"/>
      <c r="D513" s="2"/>
      <c r="E513" s="2"/>
      <c r="F513" s="2"/>
      <c r="G513" s="2"/>
      <c r="H513" s="2"/>
      <c r="I513" s="81"/>
      <c r="J513" s="2"/>
      <c r="K513" s="253"/>
    </row>
    <row r="514" spans="1:11" ht="15.75" customHeight="1">
      <c r="A514" s="4"/>
      <c r="B514" s="2"/>
      <c r="C514" s="2"/>
      <c r="D514" s="2"/>
      <c r="E514" s="2"/>
      <c r="F514" s="2"/>
      <c r="G514" s="2"/>
      <c r="H514" s="2"/>
      <c r="I514" s="81"/>
      <c r="J514" s="2"/>
      <c r="K514" s="253"/>
    </row>
    <row r="515" spans="1:11" ht="15.75" customHeight="1">
      <c r="A515" s="4"/>
      <c r="B515" s="2"/>
      <c r="C515" s="2"/>
      <c r="D515" s="2"/>
      <c r="E515" s="2"/>
      <c r="F515" s="2"/>
      <c r="G515" s="2"/>
      <c r="H515" s="2"/>
      <c r="I515" s="81"/>
      <c r="J515" s="2"/>
      <c r="K515" s="253"/>
    </row>
    <row r="516" spans="1:11" ht="15.75" customHeight="1">
      <c r="A516" s="4"/>
      <c r="B516" s="2"/>
      <c r="C516" s="2"/>
      <c r="D516" s="2"/>
      <c r="E516" s="2"/>
      <c r="F516" s="2"/>
      <c r="G516" s="2"/>
      <c r="H516" s="2"/>
      <c r="I516" s="81"/>
      <c r="J516" s="2"/>
      <c r="K516" s="253"/>
    </row>
    <row r="517" spans="1:11" ht="15.75" customHeight="1">
      <c r="A517" s="4"/>
      <c r="B517" s="2"/>
      <c r="C517" s="2"/>
      <c r="D517" s="2"/>
      <c r="E517" s="2"/>
      <c r="F517" s="2"/>
      <c r="G517" s="2"/>
      <c r="H517" s="2"/>
      <c r="I517" s="81"/>
      <c r="J517" s="2"/>
      <c r="K517" s="253"/>
    </row>
    <row r="518" spans="1:11" ht="15.75" customHeight="1">
      <c r="A518" s="4"/>
      <c r="B518" s="2"/>
      <c r="C518" s="2"/>
      <c r="D518" s="2"/>
      <c r="E518" s="2"/>
      <c r="F518" s="2"/>
      <c r="G518" s="2"/>
      <c r="H518" s="2"/>
      <c r="I518" s="81"/>
      <c r="J518" s="2"/>
      <c r="K518" s="253"/>
    </row>
    <row r="519" spans="1:11" ht="15.75" customHeight="1">
      <c r="A519" s="4"/>
      <c r="B519" s="2"/>
      <c r="C519" s="2"/>
      <c r="D519" s="2"/>
      <c r="E519" s="2"/>
      <c r="F519" s="2"/>
      <c r="G519" s="2"/>
      <c r="H519" s="2"/>
      <c r="I519" s="81"/>
      <c r="J519" s="2"/>
      <c r="K519" s="253"/>
    </row>
    <row r="520" spans="1:11" ht="15.75" customHeight="1">
      <c r="A520" s="4"/>
      <c r="B520" s="2"/>
      <c r="C520" s="2"/>
      <c r="D520" s="2"/>
      <c r="E520" s="2"/>
      <c r="F520" s="2"/>
      <c r="G520" s="2"/>
      <c r="H520" s="2"/>
      <c r="I520" s="81"/>
      <c r="J520" s="2"/>
      <c r="K520" s="253"/>
    </row>
    <row r="521" spans="1:11" ht="15.75" customHeight="1">
      <c r="A521" s="4"/>
      <c r="B521" s="2"/>
      <c r="C521" s="2"/>
      <c r="D521" s="2"/>
      <c r="E521" s="2"/>
      <c r="F521" s="2"/>
      <c r="G521" s="2"/>
      <c r="H521" s="2"/>
      <c r="I521" s="81"/>
      <c r="J521" s="2"/>
      <c r="K521" s="253"/>
    </row>
    <row r="522" spans="1:11" ht="15.75" customHeight="1">
      <c r="A522" s="4"/>
      <c r="B522" s="2"/>
      <c r="C522" s="2"/>
      <c r="D522" s="2"/>
      <c r="E522" s="2"/>
      <c r="F522" s="2"/>
      <c r="G522" s="2"/>
      <c r="H522" s="2"/>
      <c r="I522" s="81"/>
      <c r="J522" s="2"/>
      <c r="K522" s="253"/>
    </row>
    <row r="523" spans="1:11" ht="15.75" customHeight="1">
      <c r="A523" s="4"/>
      <c r="B523" s="2"/>
      <c r="C523" s="2"/>
      <c r="D523" s="2"/>
      <c r="E523" s="2"/>
      <c r="F523" s="2"/>
      <c r="G523" s="2"/>
      <c r="H523" s="2"/>
      <c r="I523" s="81"/>
      <c r="J523" s="2"/>
      <c r="K523" s="253"/>
    </row>
    <row r="524" spans="1:11" ht="15.75" customHeight="1">
      <c r="A524" s="4"/>
      <c r="B524" s="2"/>
      <c r="C524" s="2"/>
      <c r="D524" s="2"/>
      <c r="E524" s="2"/>
      <c r="F524" s="2"/>
      <c r="G524" s="2"/>
      <c r="H524" s="2"/>
      <c r="I524" s="81"/>
      <c r="J524" s="2"/>
      <c r="K524" s="253"/>
    </row>
    <row r="525" spans="1:11" ht="15.75" customHeight="1">
      <c r="A525" s="4"/>
      <c r="B525" s="2"/>
      <c r="C525" s="2"/>
      <c r="D525" s="2"/>
      <c r="E525" s="2"/>
      <c r="F525" s="2"/>
      <c r="G525" s="2"/>
      <c r="H525" s="2"/>
      <c r="I525" s="81"/>
      <c r="J525" s="2"/>
      <c r="K525" s="253"/>
    </row>
    <row r="526" spans="1:11" ht="15.75" customHeight="1">
      <c r="A526" s="4"/>
      <c r="B526" s="2"/>
      <c r="C526" s="2"/>
      <c r="D526" s="2"/>
      <c r="E526" s="2"/>
      <c r="F526" s="2"/>
      <c r="G526" s="2"/>
      <c r="H526" s="2"/>
      <c r="I526" s="81"/>
      <c r="J526" s="2"/>
      <c r="K526" s="253"/>
    </row>
    <row r="527" spans="1:11" ht="15.75" customHeight="1">
      <c r="A527" s="4"/>
      <c r="B527" s="2"/>
      <c r="C527" s="2"/>
      <c r="D527" s="2"/>
      <c r="E527" s="2"/>
      <c r="F527" s="2"/>
      <c r="G527" s="2"/>
      <c r="H527" s="2"/>
      <c r="I527" s="81"/>
      <c r="J527" s="2"/>
      <c r="K527" s="253"/>
    </row>
    <row r="528" spans="1:11" ht="15.75" customHeight="1">
      <c r="A528" s="4"/>
      <c r="B528" s="2"/>
      <c r="C528" s="2"/>
      <c r="D528" s="2"/>
      <c r="E528" s="2"/>
      <c r="F528" s="2"/>
      <c r="G528" s="2"/>
      <c r="H528" s="2"/>
      <c r="I528" s="81"/>
      <c r="J528" s="2"/>
      <c r="K528" s="253"/>
    </row>
    <row r="529" spans="1:11" ht="15.75" customHeight="1">
      <c r="A529" s="4"/>
      <c r="B529" s="2"/>
      <c r="C529" s="2"/>
      <c r="D529" s="2"/>
      <c r="E529" s="2"/>
      <c r="F529" s="2"/>
      <c r="G529" s="2"/>
      <c r="H529" s="2"/>
      <c r="I529" s="81"/>
      <c r="J529" s="2"/>
      <c r="K529" s="253"/>
    </row>
    <row r="530" spans="1:11" ht="15.75" customHeight="1">
      <c r="A530" s="4"/>
      <c r="B530" s="2"/>
      <c r="C530" s="2"/>
      <c r="D530" s="2"/>
      <c r="E530" s="2"/>
      <c r="F530" s="2"/>
      <c r="G530" s="2"/>
      <c r="H530" s="2"/>
      <c r="I530" s="81"/>
      <c r="J530" s="2"/>
      <c r="K530" s="253"/>
    </row>
    <row r="531" spans="1:11" ht="15.75" customHeight="1">
      <c r="A531" s="4"/>
      <c r="B531" s="2"/>
      <c r="C531" s="2"/>
      <c r="D531" s="2"/>
      <c r="E531" s="2"/>
      <c r="F531" s="2"/>
      <c r="G531" s="2"/>
      <c r="H531" s="2"/>
      <c r="I531" s="81"/>
      <c r="J531" s="2"/>
      <c r="K531" s="253"/>
    </row>
    <row r="532" spans="1:11" ht="15.75" customHeight="1">
      <c r="A532" s="4"/>
      <c r="B532" s="2"/>
      <c r="C532" s="2"/>
      <c r="D532" s="2"/>
      <c r="E532" s="2"/>
      <c r="F532" s="2"/>
      <c r="G532" s="2"/>
      <c r="H532" s="2"/>
      <c r="I532" s="81"/>
      <c r="J532" s="2"/>
      <c r="K532" s="253"/>
    </row>
    <row r="533" spans="1:11" ht="15.75" customHeight="1">
      <c r="A533" s="4"/>
      <c r="B533" s="2"/>
      <c r="C533" s="2"/>
      <c r="D533" s="2"/>
      <c r="E533" s="2"/>
      <c r="F533" s="2"/>
      <c r="G533" s="2"/>
      <c r="H533" s="2"/>
      <c r="I533" s="81"/>
      <c r="J533" s="2"/>
      <c r="K533" s="253"/>
    </row>
    <row r="534" spans="1:11" ht="15.75" customHeight="1">
      <c r="A534" s="4"/>
      <c r="B534" s="2"/>
      <c r="C534" s="2"/>
      <c r="D534" s="2"/>
      <c r="E534" s="2"/>
      <c r="F534" s="2"/>
      <c r="G534" s="2"/>
      <c r="H534" s="2"/>
      <c r="I534" s="81"/>
      <c r="J534" s="2"/>
      <c r="K534" s="253"/>
    </row>
    <row r="535" spans="1:11" ht="15.75" customHeight="1">
      <c r="A535" s="4"/>
      <c r="B535" s="2"/>
      <c r="C535" s="2"/>
      <c r="D535" s="2"/>
      <c r="E535" s="2"/>
      <c r="F535" s="2"/>
      <c r="G535" s="2"/>
      <c r="H535" s="2"/>
      <c r="I535" s="81"/>
      <c r="J535" s="2"/>
      <c r="K535" s="253"/>
    </row>
    <row r="536" spans="1:11" ht="15.75" customHeight="1">
      <c r="A536" s="4"/>
      <c r="B536" s="2"/>
      <c r="C536" s="2"/>
      <c r="D536" s="2"/>
      <c r="E536" s="2"/>
      <c r="F536" s="2"/>
      <c r="G536" s="2"/>
      <c r="H536" s="2"/>
      <c r="I536" s="81"/>
      <c r="J536" s="2"/>
      <c r="K536" s="253"/>
    </row>
    <row r="537" spans="1:11" ht="15.75" customHeight="1">
      <c r="A537" s="4"/>
      <c r="B537" s="2"/>
      <c r="C537" s="2"/>
      <c r="D537" s="2"/>
      <c r="E537" s="2"/>
      <c r="F537" s="2"/>
      <c r="G537" s="2"/>
      <c r="H537" s="2"/>
      <c r="I537" s="81"/>
      <c r="J537" s="2"/>
      <c r="K537" s="253"/>
    </row>
    <row r="538" spans="1:11" ht="15.75" customHeight="1">
      <c r="A538" s="4"/>
      <c r="B538" s="2"/>
      <c r="C538" s="2"/>
      <c r="D538" s="2"/>
      <c r="E538" s="2"/>
      <c r="F538" s="2"/>
      <c r="G538" s="2"/>
      <c r="H538" s="2"/>
      <c r="I538" s="81"/>
      <c r="J538" s="2"/>
      <c r="K538" s="253"/>
    </row>
    <row r="539" spans="1:11" ht="15.75" customHeight="1">
      <c r="A539" s="4"/>
      <c r="B539" s="2"/>
      <c r="C539" s="2"/>
      <c r="D539" s="2"/>
      <c r="E539" s="2"/>
      <c r="F539" s="2"/>
      <c r="G539" s="2"/>
      <c r="H539" s="2"/>
      <c r="I539" s="81"/>
      <c r="J539" s="2"/>
      <c r="K539" s="253"/>
    </row>
    <row r="540" spans="1:11" ht="15.75" customHeight="1">
      <c r="A540" s="4"/>
      <c r="B540" s="2"/>
      <c r="C540" s="2"/>
      <c r="D540" s="2"/>
      <c r="E540" s="2"/>
      <c r="F540" s="2"/>
      <c r="G540" s="2"/>
      <c r="H540" s="2"/>
      <c r="I540" s="81"/>
      <c r="J540" s="2"/>
      <c r="K540" s="253"/>
    </row>
    <row r="541" spans="1:11" ht="15.75" customHeight="1">
      <c r="A541" s="4"/>
      <c r="B541" s="2"/>
      <c r="C541" s="2"/>
      <c r="D541" s="2"/>
      <c r="E541" s="2"/>
      <c r="F541" s="2"/>
      <c r="G541" s="2"/>
      <c r="H541" s="2"/>
      <c r="I541" s="81"/>
      <c r="J541" s="2"/>
      <c r="K541" s="253"/>
    </row>
    <row r="542" spans="1:11" ht="15.75" customHeight="1">
      <c r="A542" s="4"/>
      <c r="B542" s="2"/>
      <c r="C542" s="2"/>
      <c r="D542" s="2"/>
      <c r="E542" s="2"/>
      <c r="F542" s="2"/>
      <c r="G542" s="2"/>
      <c r="H542" s="2"/>
      <c r="I542" s="81"/>
      <c r="J542" s="2"/>
      <c r="K542" s="253"/>
    </row>
    <row r="543" spans="1:11" ht="15.75" customHeight="1">
      <c r="A543" s="4"/>
      <c r="B543" s="2"/>
      <c r="C543" s="2"/>
      <c r="D543" s="2"/>
      <c r="E543" s="2"/>
      <c r="F543" s="2"/>
      <c r="G543" s="2"/>
      <c r="H543" s="2"/>
      <c r="I543" s="81"/>
      <c r="J543" s="2"/>
      <c r="K543" s="253"/>
    </row>
    <row r="544" spans="1:11" ht="15.75" customHeight="1">
      <c r="A544" s="4"/>
      <c r="B544" s="2"/>
      <c r="C544" s="2"/>
      <c r="D544" s="2"/>
      <c r="E544" s="2"/>
      <c r="F544" s="2"/>
      <c r="G544" s="2"/>
      <c r="H544" s="2"/>
      <c r="I544" s="81"/>
      <c r="J544" s="2"/>
      <c r="K544" s="253"/>
    </row>
    <row r="545" spans="1:11" ht="15.75" customHeight="1">
      <c r="A545" s="4"/>
      <c r="B545" s="2"/>
      <c r="C545" s="2"/>
      <c r="D545" s="2"/>
      <c r="E545" s="2"/>
      <c r="F545" s="2"/>
      <c r="G545" s="2"/>
      <c r="H545" s="2"/>
      <c r="I545" s="81"/>
      <c r="J545" s="2"/>
      <c r="K545" s="253"/>
    </row>
    <row r="546" spans="1:11" ht="15.75" customHeight="1">
      <c r="A546" s="4"/>
      <c r="B546" s="2"/>
      <c r="C546" s="2"/>
      <c r="D546" s="2"/>
      <c r="E546" s="2"/>
      <c r="F546" s="2"/>
      <c r="G546" s="2"/>
      <c r="H546" s="2"/>
      <c r="I546" s="81"/>
      <c r="J546" s="2"/>
      <c r="K546" s="253"/>
    </row>
    <row r="547" spans="1:11" ht="15.75" customHeight="1">
      <c r="A547" s="4"/>
      <c r="B547" s="2"/>
      <c r="C547" s="2"/>
      <c r="D547" s="2"/>
      <c r="E547" s="2"/>
      <c r="F547" s="2"/>
      <c r="G547" s="2"/>
      <c r="H547" s="2"/>
      <c r="I547" s="81"/>
      <c r="J547" s="2"/>
      <c r="K547" s="253"/>
    </row>
    <row r="548" spans="1:11" ht="15.75" customHeight="1">
      <c r="A548" s="4"/>
      <c r="B548" s="2"/>
      <c r="C548" s="2"/>
      <c r="D548" s="2"/>
      <c r="E548" s="2"/>
      <c r="F548" s="2"/>
      <c r="G548" s="2"/>
      <c r="H548" s="2"/>
      <c r="I548" s="81"/>
      <c r="J548" s="2"/>
      <c r="K548" s="253"/>
    </row>
    <row r="549" spans="1:11" ht="15.75" customHeight="1">
      <c r="A549" s="4"/>
      <c r="B549" s="2"/>
      <c r="C549" s="2"/>
      <c r="D549" s="2"/>
      <c r="E549" s="2"/>
      <c r="F549" s="2"/>
      <c r="G549" s="2"/>
      <c r="H549" s="2"/>
      <c r="I549" s="81"/>
      <c r="J549" s="2"/>
      <c r="K549" s="253"/>
    </row>
    <row r="550" spans="1:11" ht="15.75" customHeight="1">
      <c r="A550" s="4"/>
      <c r="B550" s="2"/>
      <c r="C550" s="2"/>
      <c r="D550" s="2"/>
      <c r="E550" s="2"/>
      <c r="F550" s="2"/>
      <c r="G550" s="2"/>
      <c r="H550" s="2"/>
      <c r="I550" s="81"/>
      <c r="J550" s="2"/>
      <c r="K550" s="253"/>
    </row>
    <row r="551" spans="1:11" ht="15.75" customHeight="1">
      <c r="A551" s="4"/>
      <c r="B551" s="2"/>
      <c r="C551" s="2"/>
      <c r="D551" s="2"/>
      <c r="E551" s="2"/>
      <c r="F551" s="2"/>
      <c r="G551" s="2"/>
      <c r="H551" s="2"/>
      <c r="I551" s="81"/>
      <c r="J551" s="2"/>
      <c r="K551" s="253"/>
    </row>
    <row r="552" spans="1:11" ht="15.75" customHeight="1">
      <c r="A552" s="4"/>
      <c r="B552" s="2"/>
      <c r="C552" s="2"/>
      <c r="D552" s="2"/>
      <c r="E552" s="2"/>
      <c r="F552" s="2"/>
      <c r="G552" s="2"/>
      <c r="H552" s="2"/>
      <c r="I552" s="81"/>
      <c r="J552" s="2"/>
      <c r="K552" s="253"/>
    </row>
    <row r="553" spans="1:11" ht="15.75" customHeight="1">
      <c r="A553" s="4"/>
      <c r="B553" s="2"/>
      <c r="C553" s="2"/>
      <c r="D553" s="2"/>
      <c r="E553" s="2"/>
      <c r="F553" s="2"/>
      <c r="G553" s="2"/>
      <c r="H553" s="2"/>
      <c r="I553" s="81"/>
      <c r="J553" s="2"/>
      <c r="K553" s="253"/>
    </row>
    <row r="554" spans="1:11" ht="15.75" customHeight="1">
      <c r="A554" s="4"/>
      <c r="B554" s="2"/>
      <c r="C554" s="2"/>
      <c r="D554" s="2"/>
      <c r="E554" s="2"/>
      <c r="F554" s="2"/>
      <c r="G554" s="2"/>
      <c r="H554" s="2"/>
      <c r="I554" s="81"/>
      <c r="J554" s="2"/>
      <c r="K554" s="253"/>
    </row>
    <row r="555" spans="1:11" ht="15.75" customHeight="1">
      <c r="A555" s="4"/>
      <c r="B555" s="2"/>
      <c r="C555" s="2"/>
      <c r="D555" s="2"/>
      <c r="E555" s="2"/>
      <c r="F555" s="2"/>
      <c r="G555" s="2"/>
      <c r="H555" s="2"/>
      <c r="I555" s="81"/>
      <c r="J555" s="2"/>
      <c r="K555" s="253"/>
    </row>
    <row r="556" spans="1:11" ht="15.75" customHeight="1">
      <c r="A556" s="4"/>
      <c r="B556" s="2"/>
      <c r="C556" s="2"/>
      <c r="D556" s="2"/>
      <c r="E556" s="2"/>
      <c r="F556" s="2"/>
      <c r="G556" s="2"/>
      <c r="H556" s="2"/>
      <c r="I556" s="81"/>
      <c r="J556" s="2"/>
      <c r="K556" s="253"/>
    </row>
    <row r="557" spans="1:11" ht="15.75" customHeight="1">
      <c r="A557" s="4"/>
      <c r="B557" s="2"/>
      <c r="C557" s="2"/>
      <c r="D557" s="2"/>
      <c r="E557" s="2"/>
      <c r="F557" s="2"/>
      <c r="G557" s="2"/>
      <c r="H557" s="2"/>
      <c r="I557" s="81"/>
      <c r="J557" s="2"/>
      <c r="K557" s="253"/>
    </row>
    <row r="558" spans="1:11" ht="15.75" customHeight="1">
      <c r="A558" s="4"/>
      <c r="B558" s="2"/>
      <c r="C558" s="2"/>
      <c r="D558" s="2"/>
      <c r="E558" s="2"/>
      <c r="F558" s="2"/>
      <c r="G558" s="2"/>
      <c r="H558" s="2"/>
      <c r="I558" s="81"/>
      <c r="J558" s="2"/>
      <c r="K558" s="253"/>
    </row>
    <row r="559" spans="1:11" ht="15.75" customHeight="1">
      <c r="A559" s="4"/>
      <c r="B559" s="2"/>
      <c r="C559" s="2"/>
      <c r="D559" s="2"/>
      <c r="E559" s="2"/>
      <c r="F559" s="2"/>
      <c r="G559" s="2"/>
      <c r="H559" s="2"/>
      <c r="I559" s="81"/>
      <c r="J559" s="2"/>
      <c r="K559" s="253"/>
    </row>
    <row r="560" spans="1:11" ht="15.75" customHeight="1">
      <c r="A560" s="4"/>
      <c r="B560" s="2"/>
      <c r="C560" s="2"/>
      <c r="D560" s="2"/>
      <c r="E560" s="2"/>
      <c r="F560" s="2"/>
      <c r="G560" s="2"/>
      <c r="H560" s="2"/>
      <c r="I560" s="81"/>
      <c r="J560" s="2"/>
      <c r="K560" s="253"/>
    </row>
    <row r="561" spans="1:11" ht="15.75" customHeight="1">
      <c r="A561" s="4"/>
      <c r="B561" s="2"/>
      <c r="C561" s="2"/>
      <c r="D561" s="2"/>
      <c r="E561" s="2"/>
      <c r="F561" s="2"/>
      <c r="G561" s="2"/>
      <c r="H561" s="2"/>
      <c r="I561" s="81"/>
      <c r="J561" s="2"/>
      <c r="K561" s="253"/>
    </row>
    <row r="562" spans="1:11" ht="15.75" customHeight="1">
      <c r="A562" s="4"/>
      <c r="B562" s="2"/>
      <c r="C562" s="2"/>
      <c r="D562" s="2"/>
      <c r="E562" s="2"/>
      <c r="F562" s="2"/>
      <c r="G562" s="2"/>
      <c r="H562" s="2"/>
      <c r="I562" s="81"/>
      <c r="J562" s="2"/>
      <c r="K562" s="253"/>
    </row>
    <row r="563" spans="1:11" ht="15.75" customHeight="1">
      <c r="A563" s="4"/>
      <c r="B563" s="2"/>
      <c r="C563" s="2"/>
      <c r="D563" s="2"/>
      <c r="E563" s="2"/>
      <c r="F563" s="2"/>
      <c r="G563" s="2"/>
      <c r="H563" s="2"/>
      <c r="I563" s="81"/>
      <c r="J563" s="2"/>
      <c r="K563" s="253"/>
    </row>
    <row r="564" spans="1:11" ht="15.75" customHeight="1">
      <c r="A564" s="4"/>
      <c r="B564" s="2"/>
      <c r="C564" s="2"/>
      <c r="D564" s="2"/>
      <c r="E564" s="2"/>
      <c r="F564" s="2"/>
      <c r="G564" s="2"/>
      <c r="H564" s="2"/>
      <c r="I564" s="81"/>
      <c r="J564" s="2"/>
      <c r="K564" s="253"/>
    </row>
    <row r="565" spans="1:11" ht="15.75" customHeight="1">
      <c r="A565" s="4"/>
      <c r="B565" s="2"/>
      <c r="C565" s="2"/>
      <c r="D565" s="2"/>
      <c r="E565" s="2"/>
      <c r="F565" s="2"/>
      <c r="G565" s="2"/>
      <c r="H565" s="2"/>
      <c r="I565" s="81"/>
      <c r="J565" s="2"/>
      <c r="K565" s="253"/>
    </row>
    <row r="566" spans="1:11" ht="15.75" customHeight="1">
      <c r="A566" s="4"/>
      <c r="B566" s="2"/>
      <c r="C566" s="2"/>
      <c r="D566" s="2"/>
      <c r="E566" s="2"/>
      <c r="F566" s="2"/>
      <c r="G566" s="2"/>
      <c r="H566" s="2"/>
      <c r="I566" s="81"/>
      <c r="J566" s="2"/>
      <c r="K566" s="253"/>
    </row>
    <row r="567" spans="1:11" ht="15.75" customHeight="1">
      <c r="A567" s="4"/>
      <c r="B567" s="2"/>
      <c r="C567" s="2"/>
      <c r="D567" s="2"/>
      <c r="E567" s="2"/>
      <c r="F567" s="2"/>
      <c r="G567" s="2"/>
      <c r="H567" s="2"/>
      <c r="I567" s="81"/>
      <c r="J567" s="2"/>
      <c r="K567" s="253"/>
    </row>
    <row r="568" spans="1:11" ht="15.75" customHeight="1">
      <c r="A568" s="4"/>
      <c r="B568" s="2"/>
      <c r="C568" s="2"/>
      <c r="D568" s="2"/>
      <c r="E568" s="2"/>
      <c r="F568" s="2"/>
      <c r="G568" s="2"/>
      <c r="H568" s="2"/>
      <c r="I568" s="81"/>
      <c r="J568" s="2"/>
      <c r="K568" s="253"/>
    </row>
    <row r="569" spans="1:11" ht="15.75" customHeight="1">
      <c r="A569" s="4"/>
      <c r="B569" s="2"/>
      <c r="C569" s="2"/>
      <c r="D569" s="2"/>
      <c r="E569" s="2"/>
      <c r="F569" s="2"/>
      <c r="G569" s="2"/>
      <c r="H569" s="2"/>
      <c r="I569" s="81"/>
      <c r="J569" s="2"/>
      <c r="K569" s="253"/>
    </row>
    <row r="570" spans="1:11" ht="15.75" customHeight="1">
      <c r="A570" s="4"/>
      <c r="B570" s="2"/>
      <c r="C570" s="2"/>
      <c r="D570" s="2"/>
      <c r="E570" s="2"/>
      <c r="F570" s="2"/>
      <c r="G570" s="2"/>
      <c r="H570" s="2"/>
      <c r="I570" s="81"/>
      <c r="J570" s="2"/>
      <c r="K570" s="253"/>
    </row>
    <row r="571" spans="1:11" ht="15.75" customHeight="1">
      <c r="A571" s="4"/>
      <c r="B571" s="2"/>
      <c r="C571" s="2"/>
      <c r="D571" s="2"/>
      <c r="E571" s="2"/>
      <c r="F571" s="2"/>
      <c r="G571" s="2"/>
      <c r="H571" s="2"/>
      <c r="I571" s="81"/>
      <c r="J571" s="2"/>
      <c r="K571" s="253"/>
    </row>
    <row r="572" spans="1:11" ht="15.75" customHeight="1">
      <c r="A572" s="4"/>
      <c r="B572" s="2"/>
      <c r="C572" s="2"/>
      <c r="D572" s="2"/>
      <c r="E572" s="2"/>
      <c r="F572" s="2"/>
      <c r="G572" s="2"/>
      <c r="H572" s="2"/>
      <c r="I572" s="81"/>
      <c r="J572" s="2"/>
      <c r="K572" s="253"/>
    </row>
    <row r="573" spans="1:11" ht="15.75" customHeight="1">
      <c r="A573" s="4"/>
      <c r="B573" s="2"/>
      <c r="C573" s="2"/>
      <c r="D573" s="2"/>
      <c r="E573" s="2"/>
      <c r="F573" s="2"/>
      <c r="G573" s="2"/>
      <c r="H573" s="2"/>
      <c r="I573" s="81"/>
      <c r="J573" s="2"/>
      <c r="K573" s="253"/>
    </row>
    <row r="574" spans="1:11" ht="15.75" customHeight="1">
      <c r="A574" s="4"/>
      <c r="B574" s="2"/>
      <c r="C574" s="2"/>
      <c r="D574" s="2"/>
      <c r="E574" s="2"/>
      <c r="F574" s="2"/>
      <c r="G574" s="2"/>
      <c r="H574" s="2"/>
      <c r="I574" s="81"/>
      <c r="J574" s="2"/>
      <c r="K574" s="253"/>
    </row>
    <row r="575" spans="1:11" ht="15.75" customHeight="1">
      <c r="A575" s="4"/>
      <c r="B575" s="2"/>
      <c r="C575" s="2"/>
      <c r="D575" s="2"/>
      <c r="E575" s="2"/>
      <c r="F575" s="2"/>
      <c r="G575" s="2"/>
      <c r="H575" s="2"/>
      <c r="I575" s="81"/>
      <c r="J575" s="2"/>
      <c r="K575" s="253"/>
    </row>
    <row r="576" spans="1:11" ht="15.75" customHeight="1">
      <c r="A576" s="4"/>
      <c r="B576" s="2"/>
      <c r="C576" s="2"/>
      <c r="D576" s="2"/>
      <c r="E576" s="2"/>
      <c r="F576" s="2"/>
      <c r="G576" s="2"/>
      <c r="H576" s="2"/>
      <c r="I576" s="81"/>
      <c r="J576" s="2"/>
      <c r="K576" s="253"/>
    </row>
    <row r="577" spans="1:11" ht="15.75" customHeight="1">
      <c r="A577" s="4"/>
      <c r="B577" s="2"/>
      <c r="C577" s="2"/>
      <c r="D577" s="2"/>
      <c r="E577" s="2"/>
      <c r="F577" s="2"/>
      <c r="G577" s="2"/>
      <c r="H577" s="2"/>
      <c r="I577" s="81"/>
      <c r="J577" s="2"/>
      <c r="K577" s="253"/>
    </row>
    <row r="578" spans="1:11" ht="15.75" customHeight="1">
      <c r="A578" s="4"/>
      <c r="B578" s="2"/>
      <c r="C578" s="2"/>
      <c r="D578" s="2"/>
      <c r="E578" s="2"/>
      <c r="F578" s="2"/>
      <c r="G578" s="2"/>
      <c r="H578" s="2"/>
      <c r="I578" s="81"/>
      <c r="J578" s="2"/>
      <c r="K578" s="253"/>
    </row>
    <row r="579" spans="1:11" ht="15.75" customHeight="1">
      <c r="A579" s="4"/>
      <c r="B579" s="2"/>
      <c r="C579" s="2"/>
      <c r="D579" s="2"/>
      <c r="E579" s="2"/>
      <c r="F579" s="2"/>
      <c r="G579" s="2"/>
      <c r="H579" s="2"/>
      <c r="I579" s="81"/>
      <c r="J579" s="2"/>
      <c r="K579" s="253"/>
    </row>
    <row r="580" spans="1:11" ht="15.75" customHeight="1">
      <c r="A580" s="4"/>
      <c r="B580" s="2"/>
      <c r="C580" s="2"/>
      <c r="D580" s="2"/>
      <c r="E580" s="2"/>
      <c r="F580" s="2"/>
      <c r="G580" s="2"/>
      <c r="H580" s="2"/>
      <c r="I580" s="81"/>
      <c r="J580" s="2"/>
      <c r="K580" s="253"/>
    </row>
    <row r="581" spans="1:11" ht="15.75" customHeight="1">
      <c r="A581" s="4"/>
      <c r="B581" s="2"/>
      <c r="C581" s="2"/>
      <c r="D581" s="2"/>
      <c r="E581" s="2"/>
      <c r="F581" s="2"/>
      <c r="G581" s="2"/>
      <c r="H581" s="2"/>
      <c r="I581" s="81"/>
      <c r="J581" s="2"/>
      <c r="K581" s="253"/>
    </row>
    <row r="582" spans="1:11" ht="15.75" customHeight="1">
      <c r="A582" s="4"/>
      <c r="B582" s="2"/>
      <c r="C582" s="2"/>
      <c r="D582" s="2"/>
      <c r="E582" s="2"/>
      <c r="F582" s="2"/>
      <c r="G582" s="2"/>
      <c r="H582" s="2"/>
      <c r="I582" s="81"/>
      <c r="J582" s="2"/>
      <c r="K582" s="253"/>
    </row>
    <row r="583" spans="1:11" ht="15.75" customHeight="1">
      <c r="A583" s="4"/>
      <c r="B583" s="2"/>
      <c r="C583" s="2"/>
      <c r="D583" s="2"/>
      <c r="E583" s="2"/>
      <c r="F583" s="2"/>
      <c r="G583" s="2"/>
      <c r="H583" s="2"/>
      <c r="I583" s="81"/>
      <c r="J583" s="2"/>
      <c r="K583" s="253"/>
    </row>
    <row r="584" spans="1:11" ht="15.75" customHeight="1">
      <c r="A584" s="4"/>
      <c r="B584" s="2"/>
      <c r="C584" s="2"/>
      <c r="D584" s="2"/>
      <c r="E584" s="2"/>
      <c r="F584" s="2"/>
      <c r="G584" s="2"/>
      <c r="H584" s="2"/>
      <c r="I584" s="81"/>
      <c r="J584" s="2"/>
      <c r="K584" s="253"/>
    </row>
    <row r="585" spans="1:11" ht="15.75" customHeight="1">
      <c r="A585" s="4"/>
      <c r="B585" s="2"/>
      <c r="C585" s="2"/>
      <c r="D585" s="2"/>
      <c r="E585" s="2"/>
      <c r="F585" s="2"/>
      <c r="G585" s="2"/>
      <c r="H585" s="2"/>
      <c r="I585" s="81"/>
      <c r="J585" s="2"/>
      <c r="K585" s="253"/>
    </row>
    <row r="586" spans="1:11" ht="15.75" customHeight="1">
      <c r="A586" s="4"/>
      <c r="B586" s="2"/>
      <c r="C586" s="2"/>
      <c r="D586" s="2"/>
      <c r="E586" s="2"/>
      <c r="F586" s="2"/>
      <c r="G586" s="2"/>
      <c r="H586" s="2"/>
      <c r="I586" s="81"/>
      <c r="J586" s="2"/>
      <c r="K586" s="253"/>
    </row>
    <row r="587" spans="1:11" ht="15.75" customHeight="1">
      <c r="A587" s="4"/>
      <c r="B587" s="2"/>
      <c r="C587" s="2"/>
      <c r="D587" s="2"/>
      <c r="E587" s="2"/>
      <c r="F587" s="2"/>
      <c r="G587" s="2"/>
      <c r="H587" s="2"/>
      <c r="I587" s="81"/>
      <c r="J587" s="2"/>
      <c r="K587" s="253"/>
    </row>
    <row r="588" spans="1:11" ht="15.75" customHeight="1">
      <c r="A588" s="4"/>
      <c r="B588" s="2"/>
      <c r="C588" s="2"/>
      <c r="D588" s="2"/>
      <c r="E588" s="2"/>
      <c r="F588" s="2"/>
      <c r="G588" s="2"/>
      <c r="H588" s="2"/>
      <c r="I588" s="81"/>
      <c r="J588" s="2"/>
      <c r="K588" s="253"/>
    </row>
    <row r="589" spans="1:11" ht="15.75" customHeight="1">
      <c r="A589" s="4"/>
      <c r="B589" s="2"/>
      <c r="C589" s="2"/>
      <c r="D589" s="2"/>
      <c r="E589" s="2"/>
      <c r="F589" s="2"/>
      <c r="G589" s="2"/>
      <c r="H589" s="2"/>
      <c r="I589" s="81"/>
      <c r="J589" s="2"/>
      <c r="K589" s="253"/>
    </row>
    <row r="590" spans="1:11" ht="15.75" customHeight="1">
      <c r="A590" s="4"/>
      <c r="B590" s="2"/>
      <c r="C590" s="2"/>
      <c r="D590" s="2"/>
      <c r="E590" s="2"/>
      <c r="F590" s="2"/>
      <c r="G590" s="2"/>
      <c r="H590" s="2"/>
      <c r="I590" s="81"/>
      <c r="J590" s="2"/>
      <c r="K590" s="253"/>
    </row>
    <row r="591" spans="1:11" ht="15.75" customHeight="1">
      <c r="A591" s="4"/>
      <c r="B591" s="2"/>
      <c r="C591" s="2"/>
      <c r="D591" s="2"/>
      <c r="E591" s="2"/>
      <c r="F591" s="2"/>
      <c r="G591" s="2"/>
      <c r="H591" s="2"/>
      <c r="I591" s="81"/>
      <c r="J591" s="2"/>
      <c r="K591" s="253"/>
    </row>
    <row r="592" spans="1:11" ht="15.75" customHeight="1">
      <c r="A592" s="4"/>
      <c r="B592" s="2"/>
      <c r="C592" s="2"/>
      <c r="D592" s="2"/>
      <c r="E592" s="2"/>
      <c r="F592" s="2"/>
      <c r="G592" s="2"/>
      <c r="H592" s="2"/>
      <c r="I592" s="81"/>
      <c r="J592" s="2"/>
      <c r="K592" s="253"/>
    </row>
    <row r="593" spans="1:11" ht="15.75" customHeight="1">
      <c r="A593" s="4"/>
      <c r="B593" s="2"/>
      <c r="C593" s="2"/>
      <c r="D593" s="2"/>
      <c r="E593" s="2"/>
      <c r="F593" s="2"/>
      <c r="G593" s="2"/>
      <c r="H593" s="2"/>
      <c r="I593" s="81"/>
      <c r="J593" s="2"/>
      <c r="K593" s="253"/>
    </row>
    <row r="594" spans="1:11" ht="15.75" customHeight="1">
      <c r="A594" s="4"/>
      <c r="B594" s="2"/>
      <c r="C594" s="2"/>
      <c r="D594" s="2"/>
      <c r="E594" s="2"/>
      <c r="F594" s="2"/>
      <c r="G594" s="2"/>
      <c r="H594" s="2"/>
      <c r="I594" s="81"/>
      <c r="J594" s="2"/>
      <c r="K594" s="253"/>
    </row>
    <row r="595" spans="1:11" ht="15.75" customHeight="1">
      <c r="A595" s="4"/>
      <c r="B595" s="2"/>
      <c r="C595" s="2"/>
      <c r="D595" s="2"/>
      <c r="E595" s="2"/>
      <c r="F595" s="2"/>
      <c r="G595" s="2"/>
      <c r="H595" s="2"/>
      <c r="I595" s="81"/>
      <c r="J595" s="2"/>
      <c r="K595" s="253"/>
    </row>
    <row r="596" spans="1:11" ht="15.75" customHeight="1">
      <c r="A596" s="4"/>
      <c r="B596" s="2"/>
      <c r="C596" s="2"/>
      <c r="D596" s="2"/>
      <c r="E596" s="2"/>
      <c r="F596" s="2"/>
      <c r="G596" s="2"/>
      <c r="H596" s="2"/>
      <c r="I596" s="81"/>
      <c r="J596" s="2"/>
      <c r="K596" s="253"/>
    </row>
    <row r="597" spans="1:11" ht="15.75" customHeight="1">
      <c r="A597" s="4"/>
      <c r="B597" s="2"/>
      <c r="C597" s="2"/>
      <c r="D597" s="2"/>
      <c r="E597" s="2"/>
      <c r="F597" s="2"/>
      <c r="G597" s="2"/>
      <c r="H597" s="2"/>
      <c r="I597" s="81"/>
      <c r="J597" s="2"/>
      <c r="K597" s="253"/>
    </row>
    <row r="598" spans="1:11" ht="15.75" customHeight="1">
      <c r="A598" s="4"/>
      <c r="B598" s="2"/>
      <c r="C598" s="2"/>
      <c r="D598" s="2"/>
      <c r="E598" s="2"/>
      <c r="F598" s="2"/>
      <c r="G598" s="2"/>
      <c r="H598" s="2"/>
      <c r="I598" s="81"/>
      <c r="J598" s="2"/>
      <c r="K598" s="253"/>
    </row>
    <row r="599" spans="1:11" ht="15.75" customHeight="1">
      <c r="A599" s="4"/>
      <c r="B599" s="2"/>
      <c r="C599" s="2"/>
      <c r="D599" s="2"/>
      <c r="E599" s="2"/>
      <c r="F599" s="2"/>
      <c r="G599" s="2"/>
      <c r="H599" s="2"/>
      <c r="I599" s="81"/>
      <c r="J599" s="2"/>
      <c r="K599" s="253"/>
    </row>
    <row r="600" spans="1:11" ht="15.75" customHeight="1">
      <c r="A600" s="4"/>
      <c r="B600" s="2"/>
      <c r="C600" s="2"/>
      <c r="D600" s="2"/>
      <c r="E600" s="2"/>
      <c r="F600" s="2"/>
      <c r="G600" s="2"/>
      <c r="H600" s="2"/>
      <c r="I600" s="81"/>
      <c r="J600" s="2"/>
      <c r="K600" s="253"/>
    </row>
    <row r="601" spans="1:11" ht="15.75" customHeight="1">
      <c r="A601" s="4"/>
      <c r="B601" s="2"/>
      <c r="C601" s="2"/>
      <c r="D601" s="2"/>
      <c r="E601" s="2"/>
      <c r="F601" s="2"/>
      <c r="G601" s="2"/>
      <c r="H601" s="2"/>
      <c r="I601" s="81"/>
      <c r="J601" s="2"/>
      <c r="K601" s="253"/>
    </row>
    <row r="602" spans="1:11" ht="15.75" customHeight="1">
      <c r="A602" s="4"/>
      <c r="B602" s="2"/>
      <c r="C602" s="2"/>
      <c r="D602" s="2"/>
      <c r="E602" s="2"/>
      <c r="F602" s="2"/>
      <c r="G602" s="2"/>
      <c r="H602" s="2"/>
      <c r="I602" s="81"/>
      <c r="J602" s="2"/>
      <c r="K602" s="253"/>
    </row>
    <row r="603" spans="1:11" ht="15.75" customHeight="1">
      <c r="A603" s="4"/>
      <c r="B603" s="2"/>
      <c r="C603" s="2"/>
      <c r="D603" s="2"/>
      <c r="E603" s="2"/>
      <c r="F603" s="2"/>
      <c r="G603" s="2"/>
      <c r="H603" s="2"/>
      <c r="I603" s="81"/>
      <c r="J603" s="2"/>
      <c r="K603" s="253"/>
    </row>
    <row r="604" spans="1:11" ht="15.75" customHeight="1">
      <c r="A604" s="4"/>
      <c r="B604" s="2"/>
      <c r="C604" s="2"/>
      <c r="D604" s="2"/>
      <c r="E604" s="2"/>
      <c r="F604" s="2"/>
      <c r="G604" s="2"/>
      <c r="H604" s="2"/>
      <c r="I604" s="81"/>
      <c r="J604" s="2"/>
      <c r="K604" s="253"/>
    </row>
    <row r="605" spans="1:11" ht="15.75" customHeight="1">
      <c r="A605" s="4"/>
      <c r="B605" s="2"/>
      <c r="C605" s="2"/>
      <c r="D605" s="2"/>
      <c r="E605" s="2"/>
      <c r="F605" s="2"/>
      <c r="G605" s="2"/>
      <c r="H605" s="2"/>
      <c r="I605" s="81"/>
      <c r="J605" s="2"/>
      <c r="K605" s="253"/>
    </row>
    <row r="606" spans="1:11" ht="15.75" customHeight="1">
      <c r="A606" s="4"/>
      <c r="B606" s="2"/>
      <c r="C606" s="2"/>
      <c r="D606" s="2"/>
      <c r="E606" s="2"/>
      <c r="F606" s="2"/>
      <c r="G606" s="2"/>
      <c r="H606" s="2"/>
      <c r="I606" s="81"/>
      <c r="J606" s="2"/>
      <c r="K606" s="253"/>
    </row>
    <row r="607" spans="1:11" ht="15.75" customHeight="1">
      <c r="A607" s="4"/>
      <c r="B607" s="2"/>
      <c r="C607" s="2"/>
      <c r="D607" s="2"/>
      <c r="E607" s="2"/>
      <c r="F607" s="2"/>
      <c r="G607" s="2"/>
      <c r="H607" s="2"/>
      <c r="I607" s="81"/>
      <c r="J607" s="2"/>
      <c r="K607" s="253"/>
    </row>
    <row r="608" spans="1:11" ht="15.75" customHeight="1">
      <c r="A608" s="4"/>
      <c r="B608" s="2"/>
      <c r="C608" s="2"/>
      <c r="D608" s="2"/>
      <c r="E608" s="2"/>
      <c r="F608" s="2"/>
      <c r="G608" s="2"/>
      <c r="H608" s="2"/>
      <c r="I608" s="81"/>
      <c r="J608" s="2"/>
      <c r="K608" s="253"/>
    </row>
    <row r="609" spans="1:11" ht="15.75" customHeight="1">
      <c r="A609" s="4"/>
      <c r="B609" s="2"/>
      <c r="C609" s="2"/>
      <c r="D609" s="2"/>
      <c r="E609" s="2"/>
      <c r="F609" s="2"/>
      <c r="G609" s="2"/>
      <c r="H609" s="2"/>
      <c r="I609" s="81"/>
      <c r="J609" s="2"/>
      <c r="K609" s="253"/>
    </row>
    <row r="610" spans="1:11" ht="15.75" customHeight="1">
      <c r="A610" s="4"/>
      <c r="B610" s="2"/>
      <c r="C610" s="2"/>
      <c r="D610" s="2"/>
      <c r="E610" s="2"/>
      <c r="F610" s="2"/>
      <c r="G610" s="2"/>
      <c r="H610" s="2"/>
      <c r="I610" s="81"/>
      <c r="J610" s="2"/>
      <c r="K610" s="253"/>
    </row>
    <row r="611" spans="1:11" ht="15.75" customHeight="1">
      <c r="A611" s="4"/>
      <c r="B611" s="2"/>
      <c r="C611" s="2"/>
      <c r="D611" s="2"/>
      <c r="E611" s="2"/>
      <c r="F611" s="2"/>
      <c r="G611" s="2"/>
      <c r="H611" s="2"/>
      <c r="I611" s="81"/>
      <c r="J611" s="2"/>
      <c r="K611" s="253"/>
    </row>
    <row r="612" spans="1:11" ht="15.75" customHeight="1">
      <c r="A612" s="4"/>
      <c r="B612" s="2"/>
      <c r="C612" s="2"/>
      <c r="D612" s="2"/>
      <c r="E612" s="2"/>
      <c r="F612" s="2"/>
      <c r="G612" s="2"/>
      <c r="H612" s="2"/>
      <c r="I612" s="81"/>
      <c r="J612" s="2"/>
      <c r="K612" s="253"/>
    </row>
    <row r="613" spans="1:11" ht="15.75" customHeight="1">
      <c r="A613" s="4"/>
      <c r="B613" s="2"/>
      <c r="C613" s="2"/>
      <c r="D613" s="2"/>
      <c r="E613" s="2"/>
      <c r="F613" s="2"/>
      <c r="G613" s="2"/>
      <c r="H613" s="2"/>
      <c r="I613" s="81"/>
      <c r="J613" s="2"/>
      <c r="K613" s="253"/>
    </row>
    <row r="614" spans="1:11" ht="15.75" customHeight="1">
      <c r="A614" s="4"/>
      <c r="B614" s="2"/>
      <c r="C614" s="2"/>
      <c r="D614" s="2"/>
      <c r="E614" s="2"/>
      <c r="F614" s="2"/>
      <c r="G614" s="2"/>
      <c r="H614" s="2"/>
      <c r="I614" s="81"/>
      <c r="J614" s="2"/>
      <c r="K614" s="253"/>
    </row>
    <row r="615" spans="1:11" ht="15.75" customHeight="1">
      <c r="A615" s="4"/>
      <c r="B615" s="2"/>
      <c r="C615" s="2"/>
      <c r="D615" s="2"/>
      <c r="E615" s="2"/>
      <c r="F615" s="2"/>
      <c r="G615" s="2"/>
      <c r="H615" s="2"/>
      <c r="I615" s="81"/>
      <c r="J615" s="2"/>
      <c r="K615" s="253"/>
    </row>
    <row r="616" spans="1:11" ht="15.75" customHeight="1">
      <c r="A616" s="4"/>
      <c r="B616" s="2"/>
      <c r="C616" s="2"/>
      <c r="D616" s="2"/>
      <c r="E616" s="2"/>
      <c r="F616" s="2"/>
      <c r="G616" s="2"/>
      <c r="H616" s="2"/>
      <c r="I616" s="81"/>
      <c r="J616" s="2"/>
      <c r="K616" s="253"/>
    </row>
    <row r="617" spans="1:11" ht="15.75" customHeight="1">
      <c r="A617" s="4"/>
      <c r="B617" s="2"/>
      <c r="C617" s="2"/>
      <c r="D617" s="2"/>
      <c r="E617" s="2"/>
      <c r="F617" s="2"/>
      <c r="G617" s="2"/>
      <c r="H617" s="2"/>
      <c r="I617" s="81"/>
      <c r="J617" s="2"/>
      <c r="K617" s="253"/>
    </row>
    <row r="618" spans="1:11" ht="15.75" customHeight="1">
      <c r="A618" s="4"/>
      <c r="B618" s="2"/>
      <c r="C618" s="2"/>
      <c r="D618" s="2"/>
      <c r="E618" s="2"/>
      <c r="F618" s="2"/>
      <c r="G618" s="2"/>
      <c r="H618" s="2"/>
      <c r="I618" s="81"/>
      <c r="J618" s="2"/>
      <c r="K618" s="253"/>
    </row>
    <row r="619" spans="1:11" ht="15.75" customHeight="1">
      <c r="A619" s="4"/>
      <c r="B619" s="2"/>
      <c r="C619" s="2"/>
      <c r="D619" s="2"/>
      <c r="E619" s="2"/>
      <c r="F619" s="2"/>
      <c r="G619" s="2"/>
      <c r="H619" s="2"/>
      <c r="I619" s="81"/>
      <c r="J619" s="2"/>
      <c r="K619" s="253"/>
    </row>
    <row r="620" spans="1:11" ht="15.75" customHeight="1">
      <c r="A620" s="4"/>
      <c r="B620" s="2"/>
      <c r="C620" s="2"/>
      <c r="D620" s="2"/>
      <c r="E620" s="2"/>
      <c r="F620" s="2"/>
      <c r="G620" s="2"/>
      <c r="H620" s="2"/>
      <c r="I620" s="81"/>
      <c r="J620" s="2"/>
      <c r="K620" s="253"/>
    </row>
    <row r="621" spans="1:11" ht="15.75" customHeight="1">
      <c r="A621" s="4"/>
      <c r="B621" s="2"/>
      <c r="C621" s="2"/>
      <c r="D621" s="2"/>
      <c r="E621" s="2"/>
      <c r="F621" s="2"/>
      <c r="G621" s="2"/>
      <c r="H621" s="2"/>
      <c r="I621" s="81"/>
      <c r="J621" s="2"/>
      <c r="K621" s="253"/>
    </row>
    <row r="622" spans="1:11" ht="15.75" customHeight="1">
      <c r="A622" s="4"/>
      <c r="B622" s="2"/>
      <c r="C622" s="2"/>
      <c r="D622" s="2"/>
      <c r="E622" s="2"/>
      <c r="F622" s="2"/>
      <c r="G622" s="2"/>
      <c r="H622" s="2"/>
      <c r="I622" s="81"/>
      <c r="J622" s="2"/>
      <c r="K622" s="253"/>
    </row>
    <row r="623" spans="1:11" ht="15.75" customHeight="1">
      <c r="A623" s="4"/>
      <c r="B623" s="2"/>
      <c r="C623" s="2"/>
      <c r="D623" s="2"/>
      <c r="E623" s="2"/>
      <c r="F623" s="2"/>
      <c r="G623" s="2"/>
      <c r="H623" s="2"/>
      <c r="I623" s="81"/>
      <c r="J623" s="2"/>
      <c r="K623" s="253"/>
    </row>
    <row r="624" spans="1:11" ht="15.75" customHeight="1">
      <c r="A624" s="4"/>
      <c r="B624" s="2"/>
      <c r="C624" s="2"/>
      <c r="D624" s="2"/>
      <c r="E624" s="2"/>
      <c r="F624" s="2"/>
      <c r="G624" s="2"/>
      <c r="H624" s="2"/>
      <c r="I624" s="81"/>
      <c r="J624" s="2"/>
      <c r="K624" s="253"/>
    </row>
    <row r="625" spans="1:11" ht="15.75" customHeight="1">
      <c r="A625" s="4"/>
      <c r="B625" s="2"/>
      <c r="C625" s="2"/>
      <c r="D625" s="2"/>
      <c r="E625" s="2"/>
      <c r="F625" s="2"/>
      <c r="G625" s="2"/>
      <c r="H625" s="2"/>
      <c r="I625" s="81"/>
      <c r="J625" s="2"/>
      <c r="K625" s="253"/>
    </row>
    <row r="626" spans="1:11" ht="15.75" customHeight="1">
      <c r="A626" s="4"/>
      <c r="B626" s="2"/>
      <c r="C626" s="2"/>
      <c r="D626" s="2"/>
      <c r="E626" s="2"/>
      <c r="F626" s="2"/>
      <c r="G626" s="2"/>
      <c r="H626" s="2"/>
      <c r="I626" s="81"/>
      <c r="J626" s="2"/>
      <c r="K626" s="253"/>
    </row>
    <row r="627" spans="1:11" ht="15.75" customHeight="1">
      <c r="A627" s="4"/>
      <c r="B627" s="2"/>
      <c r="C627" s="2"/>
      <c r="D627" s="2"/>
      <c r="E627" s="2"/>
      <c r="F627" s="2"/>
      <c r="G627" s="2"/>
      <c r="H627" s="2"/>
      <c r="I627" s="81"/>
      <c r="J627" s="2"/>
      <c r="K627" s="253"/>
    </row>
    <row r="628" spans="1:11" ht="15.75" customHeight="1">
      <c r="A628" s="4"/>
      <c r="B628" s="2"/>
      <c r="C628" s="2"/>
      <c r="D628" s="2"/>
      <c r="E628" s="2"/>
      <c r="F628" s="2"/>
      <c r="G628" s="2"/>
      <c r="H628" s="2"/>
      <c r="I628" s="81"/>
      <c r="J628" s="2"/>
      <c r="K628" s="253"/>
    </row>
    <row r="629" spans="1:11" ht="15.75" customHeight="1">
      <c r="A629" s="4"/>
      <c r="B629" s="2"/>
      <c r="C629" s="2"/>
      <c r="D629" s="2"/>
      <c r="E629" s="2"/>
      <c r="F629" s="2"/>
      <c r="G629" s="2"/>
      <c r="H629" s="2"/>
      <c r="I629" s="81"/>
      <c r="J629" s="2"/>
      <c r="K629" s="253"/>
    </row>
    <row r="630" spans="1:11" ht="15.75" customHeight="1">
      <c r="A630" s="4"/>
      <c r="B630" s="2"/>
      <c r="C630" s="2"/>
      <c r="D630" s="2"/>
      <c r="E630" s="2"/>
      <c r="F630" s="2"/>
      <c r="G630" s="2"/>
      <c r="H630" s="2"/>
      <c r="I630" s="81"/>
      <c r="J630" s="2"/>
      <c r="K630" s="253"/>
    </row>
    <row r="631" spans="1:11" ht="15.75" customHeight="1">
      <c r="A631" s="4"/>
      <c r="B631" s="2"/>
      <c r="C631" s="2"/>
      <c r="D631" s="2"/>
      <c r="E631" s="2"/>
      <c r="F631" s="2"/>
      <c r="G631" s="2"/>
      <c r="H631" s="2"/>
      <c r="I631" s="81"/>
      <c r="J631" s="2"/>
      <c r="K631" s="253"/>
    </row>
    <row r="632" spans="1:11" ht="15.75" customHeight="1">
      <c r="A632" s="4"/>
      <c r="B632" s="2"/>
      <c r="C632" s="2"/>
      <c r="D632" s="2"/>
      <c r="E632" s="2"/>
      <c r="F632" s="2"/>
      <c r="G632" s="2"/>
      <c r="H632" s="2"/>
      <c r="I632" s="81"/>
      <c r="J632" s="2"/>
      <c r="K632" s="253"/>
    </row>
    <row r="633" spans="1:11" ht="15.75" customHeight="1">
      <c r="A633" s="4"/>
      <c r="B633" s="2"/>
      <c r="C633" s="2"/>
      <c r="D633" s="2"/>
      <c r="E633" s="2"/>
      <c r="F633" s="2"/>
      <c r="G633" s="2"/>
      <c r="H633" s="2"/>
      <c r="I633" s="81"/>
      <c r="J633" s="2"/>
      <c r="K633" s="253"/>
    </row>
    <row r="634" spans="1:11" ht="15.75" customHeight="1">
      <c r="A634" s="4"/>
      <c r="B634" s="2"/>
      <c r="C634" s="2"/>
      <c r="D634" s="2"/>
      <c r="E634" s="2"/>
      <c r="F634" s="2"/>
      <c r="G634" s="2"/>
      <c r="H634" s="2"/>
      <c r="I634" s="81"/>
      <c r="J634" s="2"/>
      <c r="K634" s="253"/>
    </row>
    <row r="635" spans="1:11" ht="15.75" customHeight="1">
      <c r="A635" s="4"/>
      <c r="B635" s="2"/>
      <c r="C635" s="2"/>
      <c r="D635" s="2"/>
      <c r="E635" s="2"/>
      <c r="F635" s="2"/>
      <c r="G635" s="2"/>
      <c r="H635" s="2"/>
      <c r="I635" s="81"/>
      <c r="J635" s="2"/>
      <c r="K635" s="253"/>
    </row>
    <row r="636" spans="1:11" ht="15.75" customHeight="1">
      <c r="A636" s="4"/>
      <c r="B636" s="2"/>
      <c r="C636" s="2"/>
      <c r="D636" s="2"/>
      <c r="E636" s="2"/>
      <c r="F636" s="2"/>
      <c r="G636" s="2"/>
      <c r="H636" s="2"/>
      <c r="I636" s="81"/>
      <c r="J636" s="2"/>
      <c r="K636" s="253"/>
    </row>
    <row r="637" spans="1:11" ht="15.75" customHeight="1">
      <c r="A637" s="4"/>
      <c r="B637" s="2"/>
      <c r="C637" s="2"/>
      <c r="D637" s="2"/>
      <c r="E637" s="2"/>
      <c r="F637" s="2"/>
      <c r="G637" s="2"/>
      <c r="H637" s="2"/>
      <c r="I637" s="81"/>
      <c r="J637" s="2"/>
      <c r="K637" s="253"/>
    </row>
    <row r="638" spans="1:11" ht="15.75" customHeight="1">
      <c r="A638" s="4"/>
      <c r="B638" s="2"/>
      <c r="C638" s="2"/>
      <c r="D638" s="2"/>
      <c r="E638" s="2"/>
      <c r="F638" s="2"/>
      <c r="G638" s="2"/>
      <c r="H638" s="2"/>
      <c r="I638" s="81"/>
      <c r="J638" s="2"/>
      <c r="K638" s="253"/>
    </row>
    <row r="639" spans="1:11" ht="15.75" customHeight="1">
      <c r="A639" s="4"/>
      <c r="B639" s="2"/>
      <c r="C639" s="2"/>
      <c r="D639" s="2"/>
      <c r="E639" s="2"/>
      <c r="F639" s="2"/>
      <c r="G639" s="2"/>
      <c r="H639" s="2"/>
      <c r="I639" s="81"/>
      <c r="J639" s="2"/>
      <c r="K639" s="253"/>
    </row>
    <row r="640" spans="1:11" ht="15.75" customHeight="1">
      <c r="A640" s="4"/>
      <c r="B640" s="2"/>
      <c r="C640" s="2"/>
      <c r="D640" s="2"/>
      <c r="E640" s="2"/>
      <c r="F640" s="2"/>
      <c r="G640" s="2"/>
      <c r="H640" s="2"/>
      <c r="I640" s="81"/>
      <c r="J640" s="2"/>
      <c r="K640" s="253"/>
    </row>
    <row r="641" spans="1:11" ht="15.75" customHeight="1">
      <c r="A641" s="4"/>
      <c r="B641" s="2"/>
      <c r="C641" s="2"/>
      <c r="D641" s="2"/>
      <c r="E641" s="2"/>
      <c r="F641" s="2"/>
      <c r="G641" s="2"/>
      <c r="H641" s="2"/>
      <c r="I641" s="81"/>
      <c r="J641" s="2"/>
      <c r="K641" s="253"/>
    </row>
    <row r="642" spans="1:11" ht="15.75" customHeight="1">
      <c r="A642" s="4"/>
      <c r="B642" s="2"/>
      <c r="C642" s="2"/>
      <c r="D642" s="2"/>
      <c r="E642" s="2"/>
      <c r="F642" s="2"/>
      <c r="G642" s="2"/>
      <c r="H642" s="2"/>
      <c r="I642" s="81"/>
      <c r="J642" s="2"/>
      <c r="K642" s="253"/>
    </row>
    <row r="643" spans="1:11" ht="15.75" customHeight="1">
      <c r="A643" s="4"/>
      <c r="B643" s="2"/>
      <c r="C643" s="2"/>
      <c r="D643" s="2"/>
      <c r="E643" s="2"/>
      <c r="F643" s="2"/>
      <c r="G643" s="2"/>
      <c r="H643" s="2"/>
      <c r="I643" s="81"/>
      <c r="J643" s="2"/>
      <c r="K643" s="253"/>
    </row>
    <row r="644" spans="1:11" ht="15.75" customHeight="1">
      <c r="A644" s="4"/>
      <c r="B644" s="2"/>
      <c r="C644" s="2"/>
      <c r="D644" s="2"/>
      <c r="E644" s="2"/>
      <c r="F644" s="2"/>
      <c r="G644" s="2"/>
      <c r="H644" s="2"/>
      <c r="I644" s="81"/>
      <c r="J644" s="2"/>
      <c r="K644" s="253"/>
    </row>
    <row r="645" spans="1:11" ht="15.75" customHeight="1">
      <c r="A645" s="4"/>
      <c r="B645" s="2"/>
      <c r="C645" s="2"/>
      <c r="D645" s="2"/>
      <c r="E645" s="2"/>
      <c r="F645" s="2"/>
      <c r="G645" s="2"/>
      <c r="H645" s="2"/>
      <c r="I645" s="81"/>
      <c r="J645" s="2"/>
      <c r="K645" s="253"/>
    </row>
    <row r="646" spans="1:11" ht="15.75" customHeight="1">
      <c r="A646" s="4"/>
      <c r="B646" s="2"/>
      <c r="C646" s="2"/>
      <c r="D646" s="2"/>
      <c r="E646" s="2"/>
      <c r="F646" s="2"/>
      <c r="G646" s="2"/>
      <c r="H646" s="2"/>
      <c r="I646" s="81"/>
      <c r="J646" s="2"/>
      <c r="K646" s="253"/>
    </row>
    <row r="647" spans="1:11" ht="15.75" customHeight="1">
      <c r="A647" s="4"/>
      <c r="B647" s="2"/>
      <c r="C647" s="2"/>
      <c r="D647" s="2"/>
      <c r="E647" s="2"/>
      <c r="F647" s="2"/>
      <c r="G647" s="2"/>
      <c r="H647" s="2"/>
      <c r="I647" s="81"/>
      <c r="J647" s="2"/>
      <c r="K647" s="253"/>
    </row>
    <row r="648" spans="1:11" ht="15.75" customHeight="1">
      <c r="A648" s="4"/>
      <c r="B648" s="2"/>
      <c r="C648" s="2"/>
      <c r="D648" s="2"/>
      <c r="E648" s="2"/>
      <c r="F648" s="2"/>
      <c r="G648" s="2"/>
      <c r="H648" s="2"/>
      <c r="I648" s="81"/>
      <c r="J648" s="2"/>
      <c r="K648" s="253"/>
    </row>
    <row r="649" spans="1:11" ht="15.75" customHeight="1">
      <c r="A649" s="4"/>
      <c r="B649" s="2"/>
      <c r="C649" s="2"/>
      <c r="D649" s="2"/>
      <c r="E649" s="2"/>
      <c r="F649" s="2"/>
      <c r="G649" s="2"/>
      <c r="H649" s="2"/>
      <c r="I649" s="81"/>
      <c r="J649" s="2"/>
      <c r="K649" s="253"/>
    </row>
    <row r="650" spans="1:11" ht="15.75" customHeight="1">
      <c r="A650" s="4"/>
      <c r="B650" s="2"/>
      <c r="C650" s="2"/>
      <c r="D650" s="2"/>
      <c r="E650" s="2"/>
      <c r="F650" s="2"/>
      <c r="G650" s="2"/>
      <c r="H650" s="2"/>
      <c r="I650" s="81"/>
      <c r="J650" s="2"/>
      <c r="K650" s="253"/>
    </row>
    <row r="651" spans="1:11" ht="15.75" customHeight="1">
      <c r="A651" s="4"/>
      <c r="B651" s="2"/>
      <c r="C651" s="2"/>
      <c r="D651" s="2"/>
      <c r="E651" s="2"/>
      <c r="F651" s="2"/>
      <c r="G651" s="2"/>
      <c r="H651" s="2"/>
      <c r="I651" s="81"/>
      <c r="J651" s="2"/>
      <c r="K651" s="253"/>
    </row>
    <row r="652" spans="1:11" ht="15.75" customHeight="1">
      <c r="A652" s="4"/>
      <c r="B652" s="2"/>
      <c r="C652" s="2"/>
      <c r="D652" s="2"/>
      <c r="E652" s="2"/>
      <c r="F652" s="2"/>
      <c r="G652" s="2"/>
      <c r="H652" s="2"/>
      <c r="I652" s="81"/>
      <c r="J652" s="2"/>
      <c r="K652" s="253"/>
    </row>
    <row r="653" spans="1:11" ht="15.75" customHeight="1">
      <c r="A653" s="4"/>
      <c r="B653" s="2"/>
      <c r="C653" s="2"/>
      <c r="D653" s="2"/>
      <c r="E653" s="2"/>
      <c r="F653" s="2"/>
      <c r="G653" s="2"/>
      <c r="H653" s="2"/>
      <c r="I653" s="81"/>
      <c r="J653" s="2"/>
      <c r="K653" s="253"/>
    </row>
    <row r="654" spans="1:11" ht="15.75" customHeight="1">
      <c r="A654" s="4"/>
      <c r="B654" s="2"/>
      <c r="C654" s="2"/>
      <c r="D654" s="2"/>
      <c r="E654" s="2"/>
      <c r="F654" s="2"/>
      <c r="G654" s="2"/>
      <c r="H654" s="2"/>
      <c r="I654" s="81"/>
      <c r="J654" s="2"/>
      <c r="K654" s="253"/>
    </row>
    <row r="655" spans="1:11" ht="15.75" customHeight="1">
      <c r="A655" s="4"/>
      <c r="B655" s="2"/>
      <c r="C655" s="2"/>
      <c r="D655" s="2"/>
      <c r="E655" s="2"/>
      <c r="F655" s="2"/>
      <c r="G655" s="2"/>
      <c r="H655" s="2"/>
      <c r="I655" s="81"/>
      <c r="J655" s="2"/>
      <c r="K655" s="253"/>
    </row>
    <row r="656" spans="1:11" ht="15.75" customHeight="1">
      <c r="A656" s="4"/>
      <c r="B656" s="2"/>
      <c r="C656" s="2"/>
      <c r="D656" s="2"/>
      <c r="E656" s="2"/>
      <c r="F656" s="2"/>
      <c r="G656" s="2"/>
      <c r="H656" s="2"/>
      <c r="I656" s="81"/>
      <c r="J656" s="2"/>
      <c r="K656" s="253"/>
    </row>
    <row r="657" spans="1:11" ht="15.75" customHeight="1">
      <c r="A657" s="4"/>
      <c r="B657" s="2"/>
      <c r="C657" s="2"/>
      <c r="D657" s="2"/>
      <c r="E657" s="2"/>
      <c r="F657" s="2"/>
      <c r="G657" s="2"/>
      <c r="H657" s="2"/>
      <c r="I657" s="81"/>
      <c r="J657" s="2"/>
      <c r="K657" s="253"/>
    </row>
    <row r="658" spans="1:11" ht="15.75" customHeight="1">
      <c r="A658" s="4"/>
      <c r="B658" s="2"/>
      <c r="C658" s="2"/>
      <c r="D658" s="2"/>
      <c r="E658" s="2"/>
      <c r="F658" s="2"/>
      <c r="G658" s="2"/>
      <c r="H658" s="2"/>
      <c r="I658" s="81"/>
      <c r="J658" s="2"/>
      <c r="K658" s="253"/>
    </row>
    <row r="659" spans="1:11" ht="15.75" customHeight="1">
      <c r="A659" s="4"/>
      <c r="B659" s="2"/>
      <c r="C659" s="2"/>
      <c r="D659" s="2"/>
      <c r="E659" s="2"/>
      <c r="F659" s="2"/>
      <c r="G659" s="2"/>
      <c r="H659" s="2"/>
      <c r="I659" s="81"/>
      <c r="J659" s="2"/>
      <c r="K659" s="253"/>
    </row>
    <row r="660" spans="1:11" ht="15.75" customHeight="1">
      <c r="A660" s="4"/>
      <c r="B660" s="2"/>
      <c r="C660" s="2"/>
      <c r="D660" s="2"/>
      <c r="E660" s="2"/>
      <c r="F660" s="2"/>
      <c r="G660" s="2"/>
      <c r="H660" s="2"/>
      <c r="I660" s="81"/>
      <c r="J660" s="2"/>
      <c r="K660" s="253"/>
    </row>
    <row r="661" spans="1:11" ht="15.75" customHeight="1">
      <c r="A661" s="4"/>
      <c r="B661" s="2"/>
      <c r="C661" s="2"/>
      <c r="D661" s="2"/>
      <c r="E661" s="2"/>
      <c r="F661" s="2"/>
      <c r="G661" s="2"/>
      <c r="H661" s="2"/>
      <c r="I661" s="81"/>
      <c r="J661" s="2"/>
      <c r="K661" s="253"/>
    </row>
    <row r="662" spans="1:11" ht="15.75" customHeight="1">
      <c r="A662" s="4"/>
      <c r="B662" s="2"/>
      <c r="C662" s="2"/>
      <c r="D662" s="2"/>
      <c r="E662" s="2"/>
      <c r="F662" s="2"/>
      <c r="G662" s="2"/>
      <c r="H662" s="2"/>
      <c r="I662" s="81"/>
      <c r="J662" s="2"/>
      <c r="K662" s="253"/>
    </row>
    <row r="663" spans="1:11" ht="15.75" customHeight="1">
      <c r="A663" s="4"/>
      <c r="B663" s="2"/>
      <c r="C663" s="2"/>
      <c r="D663" s="2"/>
      <c r="E663" s="2"/>
      <c r="F663" s="2"/>
      <c r="G663" s="2"/>
      <c r="H663" s="2"/>
      <c r="I663" s="81"/>
      <c r="J663" s="2"/>
      <c r="K663" s="253"/>
    </row>
    <row r="664" spans="1:11" ht="15.75" customHeight="1">
      <c r="A664" s="4"/>
      <c r="B664" s="2"/>
      <c r="C664" s="2"/>
      <c r="D664" s="2"/>
      <c r="E664" s="2"/>
      <c r="F664" s="2"/>
      <c r="G664" s="2"/>
      <c r="H664" s="2"/>
      <c r="I664" s="81"/>
      <c r="J664" s="2"/>
      <c r="K664" s="253"/>
    </row>
    <row r="665" spans="1:11" ht="15.75" customHeight="1">
      <c r="A665" s="4"/>
      <c r="B665" s="2"/>
      <c r="C665" s="2"/>
      <c r="D665" s="2"/>
      <c r="E665" s="2"/>
      <c r="F665" s="2"/>
      <c r="G665" s="2"/>
      <c r="H665" s="2"/>
      <c r="I665" s="81"/>
      <c r="J665" s="2"/>
      <c r="K665" s="253"/>
    </row>
    <row r="666" spans="1:11" ht="15.75" customHeight="1">
      <c r="A666" s="4"/>
      <c r="B666" s="2"/>
      <c r="C666" s="2"/>
      <c r="D666" s="2"/>
      <c r="E666" s="2"/>
      <c r="F666" s="2"/>
      <c r="G666" s="2"/>
      <c r="H666" s="2"/>
      <c r="I666" s="81"/>
      <c r="J666" s="2"/>
      <c r="K666" s="253"/>
    </row>
    <row r="667" spans="1:11" ht="15.75" customHeight="1">
      <c r="A667" s="4"/>
      <c r="B667" s="2"/>
      <c r="C667" s="2"/>
      <c r="D667" s="2"/>
      <c r="E667" s="2"/>
      <c r="F667" s="2"/>
      <c r="G667" s="2"/>
      <c r="H667" s="2"/>
      <c r="I667" s="81"/>
      <c r="J667" s="2"/>
      <c r="K667" s="253"/>
    </row>
    <row r="668" spans="1:11" ht="15.75" customHeight="1">
      <c r="A668" s="4"/>
      <c r="B668" s="2"/>
      <c r="C668" s="2"/>
      <c r="D668" s="2"/>
      <c r="E668" s="2"/>
      <c r="F668" s="2"/>
      <c r="G668" s="2"/>
      <c r="H668" s="2"/>
      <c r="I668" s="81"/>
      <c r="J668" s="2"/>
      <c r="K668" s="253"/>
    </row>
    <row r="669" spans="1:11" ht="15.75" customHeight="1">
      <c r="A669" s="4"/>
      <c r="B669" s="2"/>
      <c r="C669" s="2"/>
      <c r="D669" s="2"/>
      <c r="E669" s="2"/>
      <c r="F669" s="2"/>
      <c r="G669" s="2"/>
      <c r="H669" s="2"/>
      <c r="I669" s="81"/>
      <c r="J669" s="2"/>
      <c r="K669" s="253"/>
    </row>
    <row r="670" spans="1:11" ht="15.75" customHeight="1">
      <c r="A670" s="4"/>
      <c r="B670" s="2"/>
      <c r="C670" s="2"/>
      <c r="D670" s="2"/>
      <c r="E670" s="2"/>
      <c r="F670" s="2"/>
      <c r="G670" s="2"/>
      <c r="H670" s="2"/>
      <c r="I670" s="81"/>
      <c r="J670" s="2"/>
      <c r="K670" s="253"/>
    </row>
    <row r="671" spans="1:11" ht="15.75" customHeight="1">
      <c r="A671" s="4"/>
      <c r="B671" s="2"/>
      <c r="C671" s="2"/>
      <c r="D671" s="2"/>
      <c r="E671" s="2"/>
      <c r="F671" s="2"/>
      <c r="G671" s="2"/>
      <c r="H671" s="2"/>
      <c r="I671" s="81"/>
      <c r="J671" s="2"/>
      <c r="K671" s="253"/>
    </row>
    <row r="672" spans="1:11" ht="15.75" customHeight="1">
      <c r="A672" s="4"/>
      <c r="B672" s="2"/>
      <c r="C672" s="2"/>
      <c r="D672" s="2"/>
      <c r="E672" s="2"/>
      <c r="F672" s="2"/>
      <c r="G672" s="2"/>
      <c r="H672" s="2"/>
      <c r="I672" s="81"/>
      <c r="J672" s="2"/>
      <c r="K672" s="253"/>
    </row>
    <row r="673" spans="1:11" ht="15.75" customHeight="1">
      <c r="A673" s="4"/>
      <c r="B673" s="2"/>
      <c r="C673" s="2"/>
      <c r="D673" s="2"/>
      <c r="E673" s="2"/>
      <c r="F673" s="2"/>
      <c r="G673" s="2"/>
      <c r="H673" s="2"/>
      <c r="I673" s="81"/>
      <c r="J673" s="2"/>
      <c r="K673" s="253"/>
    </row>
    <row r="674" spans="1:11" ht="15.75" customHeight="1">
      <c r="A674" s="4"/>
      <c r="B674" s="2"/>
      <c r="C674" s="2"/>
      <c r="D674" s="2"/>
      <c r="E674" s="2"/>
      <c r="F674" s="2"/>
      <c r="G674" s="2"/>
      <c r="H674" s="2"/>
      <c r="I674" s="81"/>
      <c r="J674" s="2"/>
      <c r="K674" s="253"/>
    </row>
    <row r="675" spans="1:11" ht="15.75" customHeight="1">
      <c r="A675" s="4"/>
      <c r="B675" s="2"/>
      <c r="C675" s="2"/>
      <c r="D675" s="2"/>
      <c r="E675" s="2"/>
      <c r="F675" s="2"/>
      <c r="G675" s="2"/>
      <c r="H675" s="2"/>
      <c r="I675" s="81"/>
      <c r="J675" s="2"/>
      <c r="K675" s="253"/>
    </row>
    <row r="676" spans="1:11" ht="15.75" customHeight="1">
      <c r="A676" s="4"/>
      <c r="B676" s="2"/>
      <c r="C676" s="2"/>
      <c r="D676" s="2"/>
      <c r="E676" s="2"/>
      <c r="F676" s="2"/>
      <c r="G676" s="2"/>
      <c r="H676" s="2"/>
      <c r="I676" s="81"/>
      <c r="J676" s="2"/>
      <c r="K676" s="253"/>
    </row>
    <row r="677" spans="1:11" ht="15.75" customHeight="1">
      <c r="A677" s="4"/>
      <c r="B677" s="2"/>
      <c r="C677" s="2"/>
      <c r="D677" s="2"/>
      <c r="E677" s="2"/>
      <c r="F677" s="2"/>
      <c r="G677" s="2"/>
      <c r="H677" s="2"/>
      <c r="I677" s="81"/>
      <c r="J677" s="2"/>
      <c r="K677" s="253"/>
    </row>
    <row r="678" spans="1:11" ht="15.75" customHeight="1">
      <c r="A678" s="4"/>
      <c r="B678" s="2"/>
      <c r="C678" s="2"/>
      <c r="D678" s="2"/>
      <c r="E678" s="2"/>
      <c r="F678" s="2"/>
      <c r="G678" s="2"/>
      <c r="H678" s="2"/>
      <c r="I678" s="81"/>
      <c r="J678" s="2"/>
      <c r="K678" s="253"/>
    </row>
    <row r="679" spans="1:11" ht="15.75" customHeight="1">
      <c r="A679" s="4"/>
      <c r="B679" s="2"/>
      <c r="C679" s="2"/>
      <c r="D679" s="2"/>
      <c r="E679" s="2"/>
      <c r="F679" s="2"/>
      <c r="G679" s="2"/>
      <c r="H679" s="2"/>
      <c r="I679" s="81"/>
      <c r="J679" s="2"/>
      <c r="K679" s="253"/>
    </row>
    <row r="680" spans="1:11" ht="15.75" customHeight="1">
      <c r="A680" s="4"/>
      <c r="B680" s="2"/>
      <c r="C680" s="2"/>
      <c r="D680" s="2"/>
      <c r="E680" s="2"/>
      <c r="F680" s="2"/>
      <c r="G680" s="2"/>
      <c r="H680" s="2"/>
      <c r="I680" s="81"/>
      <c r="J680" s="2"/>
      <c r="K680" s="253"/>
    </row>
    <row r="681" spans="1:11" ht="15.75" customHeight="1">
      <c r="A681" s="4"/>
      <c r="B681" s="2"/>
      <c r="C681" s="2"/>
      <c r="D681" s="2"/>
      <c r="E681" s="2"/>
      <c r="F681" s="2"/>
      <c r="G681" s="2"/>
      <c r="H681" s="2"/>
      <c r="I681" s="81"/>
      <c r="J681" s="2"/>
      <c r="K681" s="253"/>
    </row>
    <row r="682" spans="1:11" ht="15.75" customHeight="1">
      <c r="A682" s="4"/>
      <c r="B682" s="2"/>
      <c r="C682" s="2"/>
      <c r="D682" s="2"/>
      <c r="E682" s="2"/>
      <c r="F682" s="2"/>
      <c r="G682" s="2"/>
      <c r="H682" s="2"/>
      <c r="I682" s="81"/>
      <c r="J682" s="2"/>
      <c r="K682" s="253"/>
    </row>
    <row r="683" spans="1:11" ht="15.75" customHeight="1">
      <c r="A683" s="4"/>
      <c r="B683" s="2"/>
      <c r="C683" s="2"/>
      <c r="D683" s="2"/>
      <c r="E683" s="2"/>
      <c r="F683" s="2"/>
      <c r="G683" s="2"/>
      <c r="H683" s="2"/>
      <c r="I683" s="81"/>
      <c r="J683" s="2"/>
      <c r="K683" s="253"/>
    </row>
    <row r="684" spans="1:11" ht="15.75" customHeight="1">
      <c r="A684" s="4"/>
      <c r="B684" s="2"/>
      <c r="C684" s="2"/>
      <c r="D684" s="2"/>
      <c r="E684" s="2"/>
      <c r="F684" s="2"/>
      <c r="G684" s="2"/>
      <c r="H684" s="2"/>
      <c r="I684" s="81"/>
      <c r="J684" s="2"/>
      <c r="K684" s="253"/>
    </row>
    <row r="685" spans="1:11" ht="15.75" customHeight="1">
      <c r="A685" s="4"/>
      <c r="B685" s="2"/>
      <c r="C685" s="2"/>
      <c r="D685" s="2"/>
      <c r="E685" s="2"/>
      <c r="F685" s="2"/>
      <c r="G685" s="2"/>
      <c r="H685" s="2"/>
      <c r="I685" s="81"/>
      <c r="J685" s="2"/>
      <c r="K685" s="253"/>
    </row>
    <row r="686" spans="1:11" ht="15.75" customHeight="1">
      <c r="A686" s="4"/>
      <c r="B686" s="2"/>
      <c r="C686" s="2"/>
      <c r="D686" s="2"/>
      <c r="E686" s="2"/>
      <c r="F686" s="2"/>
      <c r="G686" s="2"/>
      <c r="H686" s="2"/>
      <c r="I686" s="81"/>
      <c r="J686" s="2"/>
      <c r="K686" s="253"/>
    </row>
    <row r="687" spans="1:11" ht="15.75" customHeight="1">
      <c r="A687" s="4"/>
      <c r="B687" s="2"/>
      <c r="C687" s="2"/>
      <c r="D687" s="2"/>
      <c r="E687" s="2"/>
      <c r="F687" s="2"/>
      <c r="G687" s="2"/>
      <c r="H687" s="2"/>
      <c r="I687" s="81"/>
      <c r="J687" s="2"/>
      <c r="K687" s="253"/>
    </row>
    <row r="688" spans="1:11" ht="15.75" customHeight="1">
      <c r="A688" s="4"/>
      <c r="B688" s="2"/>
      <c r="C688" s="2"/>
      <c r="D688" s="2"/>
      <c r="E688" s="2"/>
      <c r="F688" s="2"/>
      <c r="G688" s="2"/>
      <c r="H688" s="2"/>
      <c r="I688" s="81"/>
      <c r="J688" s="2"/>
      <c r="K688" s="253"/>
    </row>
    <row r="689" spans="1:11" ht="15.75" customHeight="1">
      <c r="A689" s="4"/>
      <c r="B689" s="2"/>
      <c r="C689" s="2"/>
      <c r="D689" s="2"/>
      <c r="E689" s="2"/>
      <c r="F689" s="2"/>
      <c r="G689" s="2"/>
      <c r="H689" s="2"/>
      <c r="I689" s="81"/>
      <c r="J689" s="2"/>
      <c r="K689" s="253"/>
    </row>
    <row r="690" spans="1:11" ht="15.75" customHeight="1">
      <c r="A690" s="4"/>
      <c r="B690" s="2"/>
      <c r="C690" s="2"/>
      <c r="D690" s="2"/>
      <c r="E690" s="2"/>
      <c r="F690" s="2"/>
      <c r="G690" s="2"/>
      <c r="H690" s="2"/>
      <c r="I690" s="81"/>
      <c r="J690" s="2"/>
      <c r="K690" s="253"/>
    </row>
    <row r="691" spans="1:11" ht="15.75" customHeight="1">
      <c r="A691" s="4"/>
      <c r="B691" s="2"/>
      <c r="C691" s="2"/>
      <c r="D691" s="2"/>
      <c r="E691" s="2"/>
      <c r="F691" s="2"/>
      <c r="G691" s="2"/>
      <c r="H691" s="2"/>
      <c r="I691" s="81"/>
      <c r="J691" s="2"/>
      <c r="K691" s="253"/>
    </row>
    <row r="692" spans="1:11" ht="15.75" customHeight="1">
      <c r="A692" s="4"/>
      <c r="B692" s="2"/>
      <c r="C692" s="2"/>
      <c r="D692" s="2"/>
      <c r="E692" s="2"/>
      <c r="F692" s="2"/>
      <c r="G692" s="2"/>
      <c r="H692" s="2"/>
      <c r="I692" s="81"/>
      <c r="J692" s="2"/>
      <c r="K692" s="253"/>
    </row>
    <row r="693" spans="1:11" ht="15.75" customHeight="1">
      <c r="A693" s="4"/>
      <c r="B693" s="2"/>
      <c r="C693" s="2"/>
      <c r="D693" s="2"/>
      <c r="E693" s="2"/>
      <c r="F693" s="2"/>
      <c r="G693" s="2"/>
      <c r="H693" s="2"/>
      <c r="I693" s="81"/>
      <c r="J693" s="2"/>
      <c r="K693" s="253"/>
    </row>
    <row r="694" spans="1:11" ht="15.75" customHeight="1">
      <c r="A694" s="4"/>
      <c r="B694" s="2"/>
      <c r="C694" s="2"/>
      <c r="D694" s="2"/>
      <c r="E694" s="2"/>
      <c r="F694" s="2"/>
      <c r="G694" s="2"/>
      <c r="H694" s="2"/>
      <c r="I694" s="81"/>
      <c r="J694" s="2"/>
      <c r="K694" s="253"/>
    </row>
    <row r="695" spans="1:11" ht="15.75" customHeight="1">
      <c r="A695" s="4"/>
      <c r="B695" s="2"/>
      <c r="C695" s="2"/>
      <c r="D695" s="2"/>
      <c r="E695" s="2"/>
      <c r="F695" s="2"/>
      <c r="G695" s="2"/>
      <c r="H695" s="2"/>
      <c r="I695" s="81"/>
      <c r="J695" s="2"/>
      <c r="K695" s="253"/>
    </row>
    <row r="696" spans="1:11" ht="15.75" customHeight="1">
      <c r="A696" s="4"/>
      <c r="B696" s="2"/>
      <c r="C696" s="2"/>
      <c r="D696" s="2"/>
      <c r="E696" s="2"/>
      <c r="F696" s="2"/>
      <c r="G696" s="2"/>
      <c r="H696" s="2"/>
      <c r="I696" s="81"/>
      <c r="J696" s="2"/>
      <c r="K696" s="253"/>
    </row>
    <row r="697" spans="1:11" ht="15.75" customHeight="1">
      <c r="A697" s="4"/>
      <c r="B697" s="2"/>
      <c r="C697" s="2"/>
      <c r="D697" s="2"/>
      <c r="E697" s="2"/>
      <c r="F697" s="2"/>
      <c r="G697" s="2"/>
      <c r="H697" s="2"/>
      <c r="I697" s="81"/>
      <c r="J697" s="2"/>
      <c r="K697" s="253"/>
    </row>
    <row r="698" spans="1:11" ht="15.75" customHeight="1">
      <c r="A698" s="4"/>
      <c r="B698" s="2"/>
      <c r="C698" s="2"/>
      <c r="D698" s="2"/>
      <c r="E698" s="2"/>
      <c r="F698" s="2"/>
      <c r="G698" s="2"/>
      <c r="H698" s="2"/>
      <c r="I698" s="81"/>
      <c r="J698" s="2"/>
      <c r="K698" s="253"/>
    </row>
    <row r="699" spans="1:11" ht="15.75" customHeight="1">
      <c r="A699" s="4"/>
      <c r="B699" s="2"/>
      <c r="C699" s="2"/>
      <c r="D699" s="2"/>
      <c r="E699" s="2"/>
      <c r="F699" s="2"/>
      <c r="G699" s="2"/>
      <c r="H699" s="2"/>
      <c r="I699" s="81"/>
      <c r="J699" s="2"/>
      <c r="K699" s="253"/>
    </row>
    <row r="700" spans="1:11" ht="15.75" customHeight="1">
      <c r="A700" s="4"/>
      <c r="B700" s="2"/>
      <c r="C700" s="2"/>
      <c r="D700" s="2"/>
      <c r="E700" s="2"/>
      <c r="F700" s="2"/>
      <c r="G700" s="2"/>
      <c r="H700" s="2"/>
      <c r="I700" s="81"/>
      <c r="J700" s="2"/>
      <c r="K700" s="253"/>
    </row>
    <row r="701" spans="1:11" ht="15.75" customHeight="1">
      <c r="A701" s="4"/>
      <c r="B701" s="2"/>
      <c r="C701" s="2"/>
      <c r="D701" s="2"/>
      <c r="E701" s="2"/>
      <c r="F701" s="2"/>
      <c r="G701" s="2"/>
      <c r="H701" s="2"/>
      <c r="I701" s="81"/>
      <c r="J701" s="2"/>
      <c r="K701" s="253"/>
    </row>
    <row r="702" spans="1:11" ht="15.75" customHeight="1">
      <c r="A702" s="4"/>
      <c r="B702" s="2"/>
      <c r="C702" s="2"/>
      <c r="D702" s="2"/>
      <c r="E702" s="2"/>
      <c r="F702" s="2"/>
      <c r="G702" s="2"/>
      <c r="H702" s="2"/>
      <c r="I702" s="81"/>
      <c r="J702" s="2"/>
      <c r="K702" s="253"/>
    </row>
    <row r="703" spans="1:11" ht="15.75" customHeight="1">
      <c r="A703" s="4"/>
      <c r="B703" s="2"/>
      <c r="C703" s="2"/>
      <c r="D703" s="2"/>
      <c r="E703" s="2"/>
      <c r="F703" s="2"/>
      <c r="G703" s="2"/>
      <c r="H703" s="2"/>
      <c r="I703" s="81"/>
      <c r="J703" s="2"/>
      <c r="K703" s="253"/>
    </row>
    <row r="704" spans="1:11" ht="15.75" customHeight="1">
      <c r="A704" s="4"/>
      <c r="B704" s="2"/>
      <c r="C704" s="2"/>
      <c r="D704" s="2"/>
      <c r="E704" s="2"/>
      <c r="F704" s="2"/>
      <c r="G704" s="2"/>
      <c r="H704" s="2"/>
      <c r="I704" s="81"/>
      <c r="J704" s="2"/>
      <c r="K704" s="253"/>
    </row>
    <row r="705" spans="1:11" ht="15.75" customHeight="1">
      <c r="A705" s="4"/>
      <c r="B705" s="2"/>
      <c r="C705" s="2"/>
      <c r="D705" s="2"/>
      <c r="E705" s="2"/>
      <c r="F705" s="2"/>
      <c r="G705" s="2"/>
      <c r="H705" s="2"/>
      <c r="I705" s="81"/>
      <c r="J705" s="2"/>
      <c r="K705" s="253"/>
    </row>
    <row r="706" spans="1:11" ht="15.75" customHeight="1">
      <c r="A706" s="4"/>
      <c r="B706" s="2"/>
      <c r="C706" s="2"/>
      <c r="D706" s="2"/>
      <c r="E706" s="2"/>
      <c r="F706" s="2"/>
      <c r="G706" s="2"/>
      <c r="H706" s="2"/>
      <c r="I706" s="81"/>
      <c r="J706" s="2"/>
      <c r="K706" s="253"/>
    </row>
    <row r="707" spans="1:11" ht="15.75" customHeight="1">
      <c r="A707" s="4"/>
      <c r="B707" s="2"/>
      <c r="C707" s="2"/>
      <c r="D707" s="2"/>
      <c r="E707" s="2"/>
      <c r="F707" s="2"/>
      <c r="G707" s="2"/>
      <c r="H707" s="2"/>
      <c r="I707" s="81"/>
      <c r="J707" s="2"/>
      <c r="K707" s="253"/>
    </row>
    <row r="708" spans="1:11" ht="15.75" customHeight="1">
      <c r="A708" s="4"/>
      <c r="B708" s="2"/>
      <c r="C708" s="2"/>
      <c r="D708" s="2"/>
      <c r="E708" s="2"/>
      <c r="F708" s="2"/>
      <c r="G708" s="2"/>
      <c r="H708" s="2"/>
      <c r="I708" s="81"/>
      <c r="J708" s="2"/>
      <c r="K708" s="253"/>
    </row>
    <row r="709" spans="1:11" ht="15.75" customHeight="1">
      <c r="A709" s="4"/>
      <c r="B709" s="2"/>
      <c r="C709" s="2"/>
      <c r="D709" s="2"/>
      <c r="E709" s="2"/>
      <c r="F709" s="2"/>
      <c r="G709" s="2"/>
      <c r="H709" s="2"/>
      <c r="I709" s="81"/>
      <c r="J709" s="2"/>
      <c r="K709" s="253"/>
    </row>
    <row r="710" spans="1:11" ht="15.75" customHeight="1">
      <c r="A710" s="4"/>
      <c r="B710" s="2"/>
      <c r="C710" s="2"/>
      <c r="D710" s="2"/>
      <c r="E710" s="2"/>
      <c r="F710" s="2"/>
      <c r="G710" s="2"/>
      <c r="H710" s="2"/>
      <c r="I710" s="81"/>
      <c r="J710" s="2"/>
      <c r="K710" s="253"/>
    </row>
    <row r="711" spans="1:11" ht="15.75" customHeight="1">
      <c r="A711" s="4"/>
      <c r="B711" s="2"/>
      <c r="C711" s="2"/>
      <c r="D711" s="2"/>
      <c r="E711" s="2"/>
      <c r="F711" s="2"/>
      <c r="G711" s="2"/>
      <c r="H711" s="2"/>
      <c r="I711" s="81"/>
      <c r="J711" s="2"/>
      <c r="K711" s="253"/>
    </row>
    <row r="712" spans="1:11" ht="15.75" customHeight="1">
      <c r="A712" s="4"/>
      <c r="B712" s="2"/>
      <c r="C712" s="2"/>
      <c r="D712" s="2"/>
      <c r="E712" s="2"/>
      <c r="F712" s="2"/>
      <c r="G712" s="2"/>
      <c r="H712" s="2"/>
      <c r="I712" s="81"/>
      <c r="J712" s="2"/>
      <c r="K712" s="253"/>
    </row>
    <row r="713" spans="1:11" ht="15.75" customHeight="1">
      <c r="A713" s="4"/>
      <c r="B713" s="2"/>
      <c r="C713" s="2"/>
      <c r="D713" s="2"/>
      <c r="E713" s="2"/>
      <c r="F713" s="2"/>
      <c r="G713" s="2"/>
      <c r="H713" s="2"/>
      <c r="I713" s="81"/>
      <c r="J713" s="2"/>
      <c r="K713" s="253"/>
    </row>
    <row r="714" spans="1:11" ht="15.75" customHeight="1">
      <c r="A714" s="4"/>
      <c r="B714" s="2"/>
      <c r="C714" s="2"/>
      <c r="D714" s="2"/>
      <c r="E714" s="2"/>
      <c r="F714" s="2"/>
      <c r="G714" s="2"/>
      <c r="H714" s="2"/>
      <c r="I714" s="81"/>
      <c r="J714" s="2"/>
      <c r="K714" s="253"/>
    </row>
    <row r="715" spans="1:11" ht="15.75" customHeight="1">
      <c r="A715" s="4"/>
      <c r="B715" s="2"/>
      <c r="C715" s="2"/>
      <c r="D715" s="2"/>
      <c r="E715" s="2"/>
      <c r="F715" s="2"/>
      <c r="G715" s="2"/>
      <c r="H715" s="2"/>
      <c r="I715" s="81"/>
      <c r="J715" s="2"/>
      <c r="K715" s="253"/>
    </row>
    <row r="716" spans="1:11" ht="15.75" customHeight="1">
      <c r="A716" s="4"/>
      <c r="B716" s="2"/>
      <c r="C716" s="2"/>
      <c r="D716" s="2"/>
      <c r="E716" s="2"/>
      <c r="F716" s="2"/>
      <c r="G716" s="2"/>
      <c r="H716" s="2"/>
      <c r="I716" s="81"/>
      <c r="J716" s="2"/>
      <c r="K716" s="253"/>
    </row>
    <row r="717" spans="1:11" ht="15.75" customHeight="1">
      <c r="A717" s="4"/>
      <c r="B717" s="2"/>
      <c r="C717" s="2"/>
      <c r="D717" s="2"/>
      <c r="E717" s="2"/>
      <c r="F717" s="2"/>
      <c r="G717" s="2"/>
      <c r="H717" s="2"/>
      <c r="I717" s="81"/>
      <c r="J717" s="2"/>
      <c r="K717" s="253"/>
    </row>
    <row r="718" spans="1:11" ht="15.75" customHeight="1">
      <c r="A718" s="4"/>
      <c r="B718" s="2"/>
      <c r="C718" s="2"/>
      <c r="D718" s="2"/>
      <c r="E718" s="2"/>
      <c r="F718" s="2"/>
      <c r="G718" s="2"/>
      <c r="H718" s="2"/>
      <c r="I718" s="81"/>
      <c r="J718" s="2"/>
      <c r="K718" s="253"/>
    </row>
    <row r="719" spans="1:11" ht="15.75" customHeight="1">
      <c r="A719" s="4"/>
      <c r="B719" s="2"/>
      <c r="C719" s="2"/>
      <c r="D719" s="2"/>
      <c r="E719" s="2"/>
      <c r="F719" s="2"/>
      <c r="G719" s="2"/>
      <c r="H719" s="2"/>
      <c r="I719" s="81"/>
      <c r="J719" s="2"/>
      <c r="K719" s="253"/>
    </row>
    <row r="720" spans="1:11" ht="15.75" customHeight="1">
      <c r="A720" s="4"/>
      <c r="B720" s="2"/>
      <c r="C720" s="2"/>
      <c r="D720" s="2"/>
      <c r="E720" s="2"/>
      <c r="F720" s="2"/>
      <c r="G720" s="2"/>
      <c r="H720" s="2"/>
      <c r="I720" s="81"/>
      <c r="J720" s="2"/>
      <c r="K720" s="253"/>
    </row>
    <row r="721" spans="1:11" ht="15.75" customHeight="1">
      <c r="A721" s="4"/>
      <c r="B721" s="2"/>
      <c r="C721" s="2"/>
      <c r="D721" s="2"/>
      <c r="E721" s="2"/>
      <c r="F721" s="2"/>
      <c r="G721" s="2"/>
      <c r="H721" s="2"/>
      <c r="I721" s="81"/>
      <c r="J721" s="2"/>
      <c r="K721" s="253"/>
    </row>
    <row r="722" spans="1:11" ht="15.75" customHeight="1">
      <c r="A722" s="4"/>
      <c r="B722" s="2"/>
      <c r="C722" s="2"/>
      <c r="D722" s="2"/>
      <c r="E722" s="2"/>
      <c r="F722" s="2"/>
      <c r="G722" s="2"/>
      <c r="H722" s="2"/>
      <c r="I722" s="81"/>
      <c r="J722" s="2"/>
      <c r="K722" s="253"/>
    </row>
    <row r="723" spans="1:11" ht="15.75" customHeight="1">
      <c r="A723" s="4"/>
      <c r="B723" s="2"/>
      <c r="C723" s="2"/>
      <c r="D723" s="2"/>
      <c r="E723" s="2"/>
      <c r="F723" s="2"/>
      <c r="G723" s="2"/>
      <c r="H723" s="2"/>
      <c r="I723" s="81"/>
      <c r="J723" s="2"/>
      <c r="K723" s="253"/>
    </row>
    <row r="724" spans="1:11" ht="15.75" customHeight="1">
      <c r="A724" s="4"/>
      <c r="B724" s="2"/>
      <c r="C724" s="2"/>
      <c r="D724" s="2"/>
      <c r="E724" s="2"/>
      <c r="F724" s="2"/>
      <c r="G724" s="2"/>
      <c r="H724" s="2"/>
      <c r="I724" s="81"/>
      <c r="J724" s="2"/>
      <c r="K724" s="253"/>
    </row>
    <row r="725" spans="1:11" ht="15.75" customHeight="1">
      <c r="A725" s="4"/>
      <c r="B725" s="2"/>
      <c r="C725" s="2"/>
      <c r="D725" s="2"/>
      <c r="E725" s="2"/>
      <c r="F725" s="2"/>
      <c r="G725" s="2"/>
      <c r="H725" s="2"/>
      <c r="I725" s="81"/>
      <c r="J725" s="2"/>
      <c r="K725" s="253"/>
    </row>
    <row r="726" spans="1:11" ht="15.75" customHeight="1">
      <c r="A726" s="4"/>
      <c r="B726" s="2"/>
      <c r="C726" s="2"/>
      <c r="D726" s="2"/>
      <c r="E726" s="2"/>
      <c r="F726" s="2"/>
      <c r="G726" s="2"/>
      <c r="H726" s="2"/>
      <c r="I726" s="81"/>
      <c r="J726" s="2"/>
      <c r="K726" s="253"/>
    </row>
    <row r="727" spans="1:11" ht="15.75" customHeight="1">
      <c r="A727" s="4"/>
      <c r="B727" s="2"/>
      <c r="C727" s="2"/>
      <c r="D727" s="2"/>
      <c r="E727" s="2"/>
      <c r="F727" s="2"/>
      <c r="G727" s="2"/>
      <c r="H727" s="2"/>
      <c r="I727" s="81"/>
      <c r="J727" s="2"/>
      <c r="K727" s="253"/>
    </row>
    <row r="728" spans="1:11" ht="15.75" customHeight="1">
      <c r="A728" s="4"/>
      <c r="B728" s="2"/>
      <c r="C728" s="2"/>
      <c r="D728" s="2"/>
      <c r="E728" s="2"/>
      <c r="F728" s="2"/>
      <c r="G728" s="2"/>
      <c r="H728" s="2"/>
      <c r="I728" s="81"/>
      <c r="J728" s="2"/>
      <c r="K728" s="253"/>
    </row>
    <row r="729" spans="1:11" ht="15.75" customHeight="1">
      <c r="A729" s="4"/>
      <c r="B729" s="2"/>
      <c r="C729" s="2"/>
      <c r="D729" s="2"/>
      <c r="E729" s="2"/>
      <c r="F729" s="2"/>
      <c r="G729" s="2"/>
      <c r="H729" s="2"/>
      <c r="I729" s="81"/>
      <c r="J729" s="2"/>
      <c r="K729" s="253"/>
    </row>
    <row r="730" spans="1:11" ht="15.75" customHeight="1">
      <c r="A730" s="4"/>
      <c r="B730" s="2"/>
      <c r="C730" s="2"/>
      <c r="D730" s="2"/>
      <c r="E730" s="2"/>
      <c r="F730" s="2"/>
      <c r="G730" s="2"/>
      <c r="H730" s="2"/>
      <c r="I730" s="81"/>
      <c r="J730" s="2"/>
      <c r="K730" s="253"/>
    </row>
    <row r="731" spans="1:11" ht="15.75" customHeight="1">
      <c r="A731" s="4"/>
      <c r="B731" s="2"/>
      <c r="C731" s="2"/>
      <c r="D731" s="2"/>
      <c r="E731" s="2"/>
      <c r="F731" s="2"/>
      <c r="G731" s="2"/>
      <c r="H731" s="2"/>
      <c r="I731" s="81"/>
      <c r="J731" s="2"/>
      <c r="K731" s="253"/>
    </row>
    <row r="732" spans="1:11" ht="15.75" customHeight="1">
      <c r="A732" s="4"/>
      <c r="B732" s="2"/>
      <c r="C732" s="2"/>
      <c r="D732" s="2"/>
      <c r="E732" s="2"/>
      <c r="F732" s="2"/>
      <c r="G732" s="2"/>
      <c r="H732" s="2"/>
      <c r="I732" s="81"/>
      <c r="J732" s="2"/>
      <c r="K732" s="253"/>
    </row>
    <row r="733" spans="1:11" ht="15.75" customHeight="1">
      <c r="A733" s="4"/>
      <c r="B733" s="2"/>
      <c r="C733" s="2"/>
      <c r="D733" s="2"/>
      <c r="E733" s="2"/>
      <c r="F733" s="2"/>
      <c r="G733" s="2"/>
      <c r="H733" s="2"/>
      <c r="I733" s="81"/>
      <c r="J733" s="2"/>
      <c r="K733" s="253"/>
    </row>
    <row r="734" spans="1:11" ht="15.75" customHeight="1">
      <c r="A734" s="4"/>
      <c r="B734" s="2"/>
      <c r="C734" s="2"/>
      <c r="D734" s="2"/>
      <c r="E734" s="2"/>
      <c r="F734" s="2"/>
      <c r="G734" s="2"/>
      <c r="H734" s="2"/>
      <c r="I734" s="81"/>
      <c r="J734" s="2"/>
      <c r="K734" s="253"/>
    </row>
    <row r="735" spans="1:11" ht="15.75" customHeight="1">
      <c r="A735" s="4"/>
      <c r="B735" s="2"/>
      <c r="C735" s="2"/>
      <c r="D735" s="2"/>
      <c r="E735" s="2"/>
      <c r="F735" s="2"/>
      <c r="G735" s="2"/>
      <c r="H735" s="2"/>
      <c r="I735" s="81"/>
      <c r="J735" s="2"/>
      <c r="K735" s="253"/>
    </row>
    <row r="736" spans="1:11" ht="15.75" customHeight="1">
      <c r="A736" s="4"/>
      <c r="B736" s="2"/>
      <c r="C736" s="2"/>
      <c r="D736" s="2"/>
      <c r="E736" s="2"/>
      <c r="F736" s="2"/>
      <c r="G736" s="2"/>
      <c r="H736" s="2"/>
      <c r="I736" s="81"/>
      <c r="J736" s="2"/>
      <c r="K736" s="253"/>
    </row>
    <row r="737" spans="1:11" ht="15.75" customHeight="1">
      <c r="A737" s="4"/>
      <c r="B737" s="2"/>
      <c r="C737" s="2"/>
      <c r="D737" s="2"/>
      <c r="E737" s="2"/>
      <c r="F737" s="2"/>
      <c r="G737" s="2"/>
      <c r="H737" s="2"/>
      <c r="I737" s="81"/>
      <c r="J737" s="2"/>
      <c r="K737" s="253"/>
    </row>
    <row r="738" spans="1:11" ht="15.75" customHeight="1">
      <c r="A738" s="4"/>
      <c r="B738" s="2"/>
      <c r="C738" s="2"/>
      <c r="D738" s="2"/>
      <c r="E738" s="2"/>
      <c r="F738" s="2"/>
      <c r="G738" s="2"/>
      <c r="H738" s="2"/>
      <c r="I738" s="81"/>
      <c r="J738" s="2"/>
      <c r="K738" s="253"/>
    </row>
    <row r="739" spans="1:11" ht="15.75" customHeight="1">
      <c r="A739" s="4"/>
      <c r="B739" s="2"/>
      <c r="C739" s="2"/>
      <c r="D739" s="2"/>
      <c r="E739" s="2"/>
      <c r="F739" s="2"/>
      <c r="G739" s="2"/>
      <c r="H739" s="2"/>
      <c r="I739" s="81"/>
      <c r="J739" s="2"/>
      <c r="K739" s="253"/>
    </row>
    <row r="740" spans="1:11" ht="15.75" customHeight="1">
      <c r="A740" s="4"/>
      <c r="B740" s="2"/>
      <c r="C740" s="2"/>
      <c r="D740" s="2"/>
      <c r="E740" s="2"/>
      <c r="F740" s="2"/>
      <c r="G740" s="2"/>
      <c r="H740" s="2"/>
      <c r="I740" s="81"/>
      <c r="J740" s="2"/>
      <c r="K740" s="253"/>
    </row>
    <row r="741" spans="1:11" ht="15.75" customHeight="1">
      <c r="A741" s="4"/>
      <c r="B741" s="2"/>
      <c r="C741" s="2"/>
      <c r="D741" s="2"/>
      <c r="E741" s="2"/>
      <c r="F741" s="2"/>
      <c r="G741" s="2"/>
      <c r="H741" s="2"/>
      <c r="I741" s="81"/>
      <c r="J741" s="2"/>
      <c r="K741" s="253"/>
    </row>
    <row r="742" spans="1:11" ht="15.75" customHeight="1">
      <c r="A742" s="4"/>
      <c r="B742" s="2"/>
      <c r="C742" s="2"/>
      <c r="D742" s="2"/>
      <c r="E742" s="2"/>
      <c r="F742" s="2"/>
      <c r="G742" s="2"/>
      <c r="H742" s="2"/>
      <c r="I742" s="81"/>
      <c r="J742" s="2"/>
      <c r="K742" s="253"/>
    </row>
    <row r="743" spans="1:11" ht="15.75" customHeight="1">
      <c r="A743" s="4"/>
      <c r="B743" s="2"/>
      <c r="C743" s="2"/>
      <c r="D743" s="2"/>
      <c r="E743" s="2"/>
      <c r="F743" s="2"/>
      <c r="G743" s="2"/>
      <c r="H743" s="2"/>
      <c r="I743" s="81"/>
      <c r="J743" s="2"/>
      <c r="K743" s="253"/>
    </row>
    <row r="744" spans="1:11" ht="15.75" customHeight="1">
      <c r="A744" s="4"/>
      <c r="B744" s="2"/>
      <c r="C744" s="2"/>
      <c r="D744" s="2"/>
      <c r="E744" s="2"/>
      <c r="F744" s="2"/>
      <c r="G744" s="2"/>
      <c r="H744" s="2"/>
      <c r="I744" s="81"/>
      <c r="J744" s="2"/>
      <c r="K744" s="253"/>
    </row>
    <row r="745" spans="1:11" ht="15.75" customHeight="1">
      <c r="A745" s="4"/>
      <c r="B745" s="2"/>
      <c r="C745" s="2"/>
      <c r="D745" s="2"/>
      <c r="E745" s="2"/>
      <c r="F745" s="2"/>
      <c r="G745" s="2"/>
      <c r="H745" s="2"/>
      <c r="I745" s="81"/>
      <c r="J745" s="2"/>
      <c r="K745" s="253"/>
    </row>
    <row r="746" spans="1:11" ht="15.75" customHeight="1">
      <c r="A746" s="4"/>
      <c r="B746" s="2"/>
      <c r="C746" s="2"/>
      <c r="D746" s="2"/>
      <c r="E746" s="2"/>
      <c r="F746" s="2"/>
      <c r="G746" s="2"/>
      <c r="H746" s="2"/>
      <c r="I746" s="81"/>
      <c r="J746" s="2"/>
      <c r="K746" s="253"/>
    </row>
    <row r="747" spans="1:11" ht="15.75" customHeight="1">
      <c r="A747" s="4"/>
      <c r="B747" s="2"/>
      <c r="C747" s="2"/>
      <c r="D747" s="2"/>
      <c r="E747" s="2"/>
      <c r="F747" s="2"/>
      <c r="G747" s="2"/>
      <c r="H747" s="2"/>
      <c r="I747" s="81"/>
      <c r="J747" s="2"/>
      <c r="K747" s="253"/>
    </row>
    <row r="748" spans="1:11" ht="15.75" customHeight="1">
      <c r="A748" s="4"/>
      <c r="B748" s="2"/>
      <c r="C748" s="2"/>
      <c r="D748" s="2"/>
      <c r="E748" s="2"/>
      <c r="F748" s="2"/>
      <c r="G748" s="2"/>
      <c r="H748" s="2"/>
      <c r="I748" s="81"/>
      <c r="J748" s="2"/>
      <c r="K748" s="253"/>
    </row>
    <row r="749" spans="1:11" ht="15.75" customHeight="1">
      <c r="A749" s="4"/>
      <c r="B749" s="2"/>
      <c r="C749" s="2"/>
      <c r="D749" s="2"/>
      <c r="E749" s="2"/>
      <c r="F749" s="2"/>
      <c r="G749" s="2"/>
      <c r="H749" s="2"/>
      <c r="I749" s="81"/>
      <c r="J749" s="2"/>
      <c r="K749" s="253"/>
    </row>
    <row r="750" spans="1:11" ht="15.75" customHeight="1">
      <c r="A750" s="4"/>
      <c r="B750" s="2"/>
      <c r="C750" s="2"/>
      <c r="D750" s="2"/>
      <c r="E750" s="2"/>
      <c r="F750" s="2"/>
      <c r="G750" s="2"/>
      <c r="H750" s="2"/>
      <c r="I750" s="81"/>
      <c r="J750" s="2"/>
      <c r="K750" s="253"/>
    </row>
    <row r="751" spans="1:11" ht="15.75" customHeight="1">
      <c r="A751" s="4"/>
      <c r="B751" s="2"/>
      <c r="C751" s="2"/>
      <c r="D751" s="2"/>
      <c r="E751" s="2"/>
      <c r="F751" s="2"/>
      <c r="G751" s="2"/>
      <c r="H751" s="2"/>
      <c r="I751" s="81"/>
      <c r="J751" s="2"/>
      <c r="K751" s="253"/>
    </row>
    <row r="752" spans="1:11" ht="15.75" customHeight="1">
      <c r="A752" s="4"/>
      <c r="B752" s="2"/>
      <c r="C752" s="2"/>
      <c r="D752" s="2"/>
      <c r="E752" s="2"/>
      <c r="F752" s="2"/>
      <c r="G752" s="2"/>
      <c r="H752" s="2"/>
      <c r="I752" s="81"/>
      <c r="J752" s="2"/>
      <c r="K752" s="253"/>
    </row>
    <row r="753" spans="1:11" ht="15.75" customHeight="1">
      <c r="A753" s="4"/>
      <c r="B753" s="2"/>
      <c r="C753" s="2"/>
      <c r="D753" s="2"/>
      <c r="E753" s="2"/>
      <c r="F753" s="2"/>
      <c r="G753" s="2"/>
      <c r="H753" s="2"/>
      <c r="I753" s="81"/>
      <c r="J753" s="2"/>
      <c r="K753" s="253"/>
    </row>
    <row r="754" spans="1:11" ht="15.75" customHeight="1">
      <c r="A754" s="4"/>
      <c r="B754" s="2"/>
      <c r="C754" s="2"/>
      <c r="D754" s="2"/>
      <c r="E754" s="2"/>
      <c r="F754" s="2"/>
      <c r="G754" s="2"/>
      <c r="H754" s="2"/>
      <c r="I754" s="81"/>
      <c r="J754" s="2"/>
      <c r="K754" s="253"/>
    </row>
    <row r="755" spans="1:11" ht="15.75" customHeight="1">
      <c r="A755" s="4"/>
      <c r="B755" s="2"/>
      <c r="C755" s="2"/>
      <c r="D755" s="2"/>
      <c r="E755" s="2"/>
      <c r="F755" s="2"/>
      <c r="G755" s="2"/>
      <c r="H755" s="2"/>
      <c r="I755" s="81"/>
      <c r="J755" s="2"/>
      <c r="K755" s="253"/>
    </row>
    <row r="756" spans="1:11" ht="15.75" customHeight="1">
      <c r="A756" s="4"/>
      <c r="B756" s="2"/>
      <c r="C756" s="2"/>
      <c r="D756" s="2"/>
      <c r="E756" s="2"/>
      <c r="F756" s="2"/>
      <c r="G756" s="2"/>
      <c r="H756" s="2"/>
      <c r="I756" s="81"/>
      <c r="J756" s="2"/>
      <c r="K756" s="253"/>
    </row>
    <row r="757" spans="1:11" ht="15.75" customHeight="1">
      <c r="A757" s="4"/>
      <c r="B757" s="2"/>
      <c r="C757" s="2"/>
      <c r="D757" s="2"/>
      <c r="E757" s="2"/>
      <c r="F757" s="2"/>
      <c r="G757" s="2"/>
      <c r="H757" s="2"/>
      <c r="I757" s="81"/>
      <c r="J757" s="2"/>
      <c r="K757" s="253"/>
    </row>
    <row r="758" spans="1:11" ht="15.75" customHeight="1">
      <c r="A758" s="4"/>
      <c r="B758" s="2"/>
      <c r="C758" s="2"/>
      <c r="D758" s="2"/>
      <c r="E758" s="2"/>
      <c r="F758" s="2"/>
      <c r="G758" s="2"/>
      <c r="H758" s="2"/>
      <c r="I758" s="81"/>
      <c r="J758" s="2"/>
      <c r="K758" s="253"/>
    </row>
    <row r="759" spans="1:11" ht="15.75" customHeight="1">
      <c r="A759" s="4"/>
      <c r="B759" s="2"/>
      <c r="C759" s="2"/>
      <c r="D759" s="2"/>
      <c r="E759" s="2"/>
      <c r="F759" s="2"/>
      <c r="G759" s="2"/>
      <c r="H759" s="2"/>
      <c r="I759" s="81"/>
      <c r="J759" s="2"/>
      <c r="K759" s="253"/>
    </row>
    <row r="760" spans="1:11" ht="15.75" customHeight="1">
      <c r="A760" s="4"/>
      <c r="B760" s="2"/>
      <c r="C760" s="2"/>
      <c r="D760" s="2"/>
      <c r="E760" s="2"/>
      <c r="F760" s="2"/>
      <c r="G760" s="2"/>
      <c r="H760" s="2"/>
      <c r="I760" s="81"/>
      <c r="J760" s="2"/>
      <c r="K760" s="253"/>
    </row>
    <row r="761" spans="1:11" ht="15.75" customHeight="1">
      <c r="A761" s="4"/>
      <c r="B761" s="2"/>
      <c r="C761" s="2"/>
      <c r="D761" s="2"/>
      <c r="E761" s="2"/>
      <c r="F761" s="2"/>
      <c r="G761" s="2"/>
      <c r="H761" s="2"/>
      <c r="I761" s="81"/>
      <c r="J761" s="2"/>
      <c r="K761" s="253"/>
    </row>
    <row r="762" spans="1:11" ht="15.75" customHeight="1">
      <c r="A762" s="4"/>
      <c r="B762" s="2"/>
      <c r="C762" s="2"/>
      <c r="D762" s="2"/>
      <c r="E762" s="2"/>
      <c r="F762" s="2"/>
      <c r="G762" s="2"/>
      <c r="H762" s="2"/>
      <c r="I762" s="81"/>
      <c r="J762" s="2"/>
      <c r="K762" s="253"/>
    </row>
    <row r="763" spans="1:11" ht="15.75" customHeight="1">
      <c r="A763" s="4"/>
      <c r="B763" s="2"/>
      <c r="C763" s="2"/>
      <c r="D763" s="2"/>
      <c r="E763" s="2"/>
      <c r="F763" s="2"/>
      <c r="G763" s="2"/>
      <c r="H763" s="2"/>
      <c r="I763" s="81"/>
      <c r="J763" s="2"/>
      <c r="K763" s="253"/>
    </row>
    <row r="764" spans="1:11" ht="15.75" customHeight="1">
      <c r="A764" s="4"/>
      <c r="B764" s="2"/>
      <c r="C764" s="2"/>
      <c r="D764" s="2"/>
      <c r="E764" s="2"/>
      <c r="F764" s="2"/>
      <c r="G764" s="2"/>
      <c r="H764" s="2"/>
      <c r="I764" s="81"/>
      <c r="J764" s="2"/>
      <c r="K764" s="253"/>
    </row>
    <row r="765" spans="1:11" ht="15.75" customHeight="1">
      <c r="A765" s="4"/>
      <c r="B765" s="2"/>
      <c r="C765" s="2"/>
      <c r="D765" s="2"/>
      <c r="E765" s="2"/>
      <c r="F765" s="2"/>
      <c r="G765" s="2"/>
      <c r="H765" s="2"/>
      <c r="I765" s="81"/>
      <c r="J765" s="2"/>
      <c r="K765" s="253"/>
    </row>
    <row r="766" spans="1:11" ht="15.75" customHeight="1">
      <c r="A766" s="4"/>
      <c r="B766" s="2"/>
      <c r="C766" s="2"/>
      <c r="D766" s="2"/>
      <c r="E766" s="2"/>
      <c r="F766" s="2"/>
      <c r="G766" s="2"/>
      <c r="H766" s="2"/>
      <c r="I766" s="81"/>
      <c r="J766" s="2"/>
      <c r="K766" s="253"/>
    </row>
    <row r="767" spans="1:11" ht="15.75" customHeight="1">
      <c r="A767" s="4"/>
      <c r="B767" s="2"/>
      <c r="C767" s="2"/>
      <c r="D767" s="2"/>
      <c r="E767" s="2"/>
      <c r="F767" s="2"/>
      <c r="G767" s="2"/>
      <c r="H767" s="2"/>
      <c r="I767" s="81"/>
      <c r="J767" s="2"/>
      <c r="K767" s="253"/>
    </row>
    <row r="768" spans="1:11" ht="15.75" customHeight="1">
      <c r="A768" s="4"/>
      <c r="B768" s="2"/>
      <c r="C768" s="2"/>
      <c r="D768" s="2"/>
      <c r="E768" s="2"/>
      <c r="F768" s="2"/>
      <c r="G768" s="2"/>
      <c r="H768" s="2"/>
      <c r="I768" s="81"/>
      <c r="J768" s="2"/>
      <c r="K768" s="253"/>
    </row>
    <row r="769" spans="1:11" ht="15.75" customHeight="1">
      <c r="A769" s="4"/>
      <c r="B769" s="2"/>
      <c r="C769" s="2"/>
      <c r="D769" s="2"/>
      <c r="E769" s="2"/>
      <c r="F769" s="2"/>
      <c r="G769" s="2"/>
      <c r="H769" s="2"/>
      <c r="I769" s="81"/>
      <c r="J769" s="2"/>
      <c r="K769" s="253"/>
    </row>
    <row r="770" spans="1:11" ht="15.75" customHeight="1">
      <c r="A770" s="4"/>
      <c r="B770" s="2"/>
      <c r="C770" s="2"/>
      <c r="D770" s="2"/>
      <c r="E770" s="2"/>
      <c r="F770" s="2"/>
      <c r="G770" s="2"/>
      <c r="H770" s="2"/>
      <c r="I770" s="81"/>
      <c r="J770" s="2"/>
      <c r="K770" s="253"/>
    </row>
    <row r="771" spans="1:11" ht="15.75" customHeight="1">
      <c r="A771" s="4"/>
      <c r="B771" s="2"/>
      <c r="C771" s="2"/>
      <c r="D771" s="2"/>
      <c r="E771" s="2"/>
      <c r="F771" s="2"/>
      <c r="G771" s="2"/>
      <c r="H771" s="2"/>
      <c r="I771" s="81"/>
      <c r="J771" s="2"/>
      <c r="K771" s="253"/>
    </row>
    <row r="772" spans="1:11" ht="15.75" customHeight="1">
      <c r="A772" s="4"/>
      <c r="B772" s="2"/>
      <c r="C772" s="2"/>
      <c r="D772" s="2"/>
      <c r="E772" s="2"/>
      <c r="F772" s="2"/>
      <c r="G772" s="2"/>
      <c r="H772" s="2"/>
      <c r="I772" s="81"/>
      <c r="J772" s="2"/>
      <c r="K772" s="253"/>
    </row>
    <row r="773" spans="1:11" ht="15.75" customHeight="1">
      <c r="A773" s="4"/>
      <c r="B773" s="2"/>
      <c r="C773" s="2"/>
      <c r="D773" s="2"/>
      <c r="E773" s="2"/>
      <c r="F773" s="2"/>
      <c r="G773" s="2"/>
      <c r="H773" s="2"/>
      <c r="I773" s="81"/>
      <c r="J773" s="2"/>
      <c r="K773" s="253"/>
    </row>
    <row r="774" spans="1:11" ht="15.75" customHeight="1">
      <c r="A774" s="4"/>
      <c r="B774" s="2"/>
      <c r="C774" s="2"/>
      <c r="D774" s="2"/>
      <c r="E774" s="2"/>
      <c r="F774" s="2"/>
      <c r="G774" s="2"/>
      <c r="H774" s="2"/>
      <c r="I774" s="81"/>
      <c r="J774" s="2"/>
      <c r="K774" s="253"/>
    </row>
    <row r="775" spans="1:11" ht="15.75" customHeight="1">
      <c r="A775" s="4"/>
      <c r="B775" s="2"/>
      <c r="C775" s="2"/>
      <c r="D775" s="2"/>
      <c r="E775" s="2"/>
      <c r="F775" s="2"/>
      <c r="G775" s="2"/>
      <c r="H775" s="2"/>
      <c r="I775" s="81"/>
      <c r="J775" s="2"/>
      <c r="K775" s="253"/>
    </row>
    <row r="776" spans="1:11" ht="15.75" customHeight="1">
      <c r="A776" s="4"/>
      <c r="B776" s="2"/>
      <c r="C776" s="2"/>
      <c r="D776" s="2"/>
      <c r="E776" s="2"/>
      <c r="F776" s="2"/>
      <c r="G776" s="2"/>
      <c r="H776" s="2"/>
      <c r="I776" s="81"/>
      <c r="J776" s="2"/>
      <c r="K776" s="253"/>
    </row>
    <row r="777" spans="1:11" ht="15.75" customHeight="1">
      <c r="A777" s="4"/>
      <c r="B777" s="2"/>
      <c r="C777" s="2"/>
      <c r="D777" s="2"/>
      <c r="E777" s="2"/>
      <c r="F777" s="2"/>
      <c r="G777" s="2"/>
      <c r="H777" s="2"/>
      <c r="I777" s="81"/>
      <c r="J777" s="2"/>
      <c r="K777" s="253"/>
    </row>
    <row r="778" spans="1:11" ht="15.75" customHeight="1">
      <c r="A778" s="4"/>
      <c r="B778" s="2"/>
      <c r="C778" s="2"/>
      <c r="D778" s="2"/>
      <c r="E778" s="2"/>
      <c r="F778" s="2"/>
      <c r="G778" s="2"/>
      <c r="H778" s="2"/>
      <c r="I778" s="81"/>
      <c r="J778" s="2"/>
      <c r="K778" s="253"/>
    </row>
    <row r="779" spans="1:11" ht="15.75" customHeight="1">
      <c r="A779" s="4"/>
      <c r="B779" s="2"/>
      <c r="C779" s="2"/>
      <c r="D779" s="2"/>
      <c r="E779" s="2"/>
      <c r="F779" s="2"/>
      <c r="G779" s="2"/>
      <c r="H779" s="2"/>
      <c r="I779" s="81"/>
      <c r="J779" s="2"/>
      <c r="K779" s="253"/>
    </row>
    <row r="780" spans="1:11" ht="15.75" customHeight="1">
      <c r="A780" s="4"/>
      <c r="B780" s="2"/>
      <c r="C780" s="2"/>
      <c r="D780" s="2"/>
      <c r="E780" s="2"/>
      <c r="F780" s="2"/>
      <c r="G780" s="2"/>
      <c r="H780" s="2"/>
      <c r="I780" s="81"/>
      <c r="J780" s="2"/>
      <c r="K780" s="253"/>
    </row>
    <row r="781" spans="1:11" ht="15.75" customHeight="1">
      <c r="A781" s="4"/>
      <c r="B781" s="2"/>
      <c r="C781" s="2"/>
      <c r="D781" s="2"/>
      <c r="E781" s="2"/>
      <c r="F781" s="2"/>
      <c r="G781" s="2"/>
      <c r="H781" s="2"/>
      <c r="I781" s="81"/>
      <c r="J781" s="2"/>
      <c r="K781" s="253"/>
    </row>
    <row r="782" spans="1:11" ht="15.75" customHeight="1">
      <c r="A782" s="4"/>
      <c r="B782" s="2"/>
      <c r="C782" s="2"/>
      <c r="D782" s="2"/>
      <c r="E782" s="2"/>
      <c r="F782" s="2"/>
      <c r="G782" s="2"/>
      <c r="H782" s="2"/>
      <c r="I782" s="81"/>
      <c r="J782" s="2"/>
      <c r="K782" s="253"/>
    </row>
    <row r="783" spans="1:11" ht="15.75" customHeight="1">
      <c r="A783" s="4"/>
      <c r="B783" s="2"/>
      <c r="C783" s="2"/>
      <c r="D783" s="2"/>
      <c r="E783" s="2"/>
      <c r="F783" s="2"/>
      <c r="G783" s="2"/>
      <c r="H783" s="2"/>
      <c r="I783" s="81"/>
      <c r="J783" s="2"/>
      <c r="K783" s="253"/>
    </row>
    <row r="784" spans="1:11" ht="15.75" customHeight="1">
      <c r="A784" s="4"/>
      <c r="B784" s="2"/>
      <c r="C784" s="2"/>
      <c r="D784" s="2"/>
      <c r="E784" s="2"/>
      <c r="F784" s="2"/>
      <c r="G784" s="2"/>
      <c r="H784" s="2"/>
      <c r="I784" s="81"/>
      <c r="J784" s="2"/>
      <c r="K784" s="253"/>
    </row>
    <row r="785" spans="1:11" ht="15.75" customHeight="1">
      <c r="A785" s="4"/>
      <c r="B785" s="2"/>
      <c r="C785" s="2"/>
      <c r="D785" s="2"/>
      <c r="E785" s="2"/>
      <c r="F785" s="2"/>
      <c r="G785" s="2"/>
      <c r="H785" s="2"/>
      <c r="I785" s="81"/>
      <c r="J785" s="2"/>
      <c r="K785" s="253"/>
    </row>
    <row r="786" spans="1:11" ht="15.75" customHeight="1">
      <c r="A786" s="4"/>
      <c r="B786" s="2"/>
      <c r="C786" s="2"/>
      <c r="D786" s="2"/>
      <c r="E786" s="2"/>
      <c r="F786" s="2"/>
      <c r="G786" s="2"/>
      <c r="H786" s="2"/>
      <c r="I786" s="81"/>
      <c r="J786" s="2"/>
      <c r="K786" s="253"/>
    </row>
    <row r="787" spans="1:11" ht="15.75" customHeight="1">
      <c r="A787" s="4"/>
      <c r="B787" s="2"/>
      <c r="C787" s="2"/>
      <c r="D787" s="2"/>
      <c r="E787" s="2"/>
      <c r="F787" s="2"/>
      <c r="G787" s="2"/>
      <c r="H787" s="2"/>
      <c r="I787" s="81"/>
      <c r="J787" s="2"/>
      <c r="K787" s="253"/>
    </row>
    <row r="788" spans="1:11" ht="15.75" customHeight="1">
      <c r="A788" s="4"/>
      <c r="B788" s="2"/>
      <c r="C788" s="2"/>
      <c r="D788" s="2"/>
      <c r="E788" s="2"/>
      <c r="F788" s="2"/>
      <c r="G788" s="2"/>
      <c r="H788" s="2"/>
      <c r="I788" s="81"/>
      <c r="J788" s="2"/>
      <c r="K788" s="253"/>
    </row>
    <row r="789" spans="1:11" ht="15.75" customHeight="1">
      <c r="A789" s="4"/>
      <c r="B789" s="2"/>
      <c r="C789" s="2"/>
      <c r="D789" s="2"/>
      <c r="E789" s="2"/>
      <c r="F789" s="2"/>
      <c r="G789" s="2"/>
      <c r="H789" s="2"/>
      <c r="I789" s="81"/>
      <c r="J789" s="2"/>
      <c r="K789" s="253"/>
    </row>
    <row r="790" spans="1:11" ht="15.75" customHeight="1">
      <c r="A790" s="4"/>
      <c r="B790" s="2"/>
      <c r="C790" s="2"/>
      <c r="D790" s="2"/>
      <c r="E790" s="2"/>
      <c r="F790" s="2"/>
      <c r="G790" s="2"/>
      <c r="H790" s="2"/>
      <c r="I790" s="81"/>
      <c r="J790" s="2"/>
      <c r="K790" s="253"/>
    </row>
    <row r="791" spans="1:11" ht="15.75" customHeight="1">
      <c r="A791" s="4"/>
      <c r="B791" s="2"/>
      <c r="C791" s="2"/>
      <c r="D791" s="2"/>
      <c r="E791" s="2"/>
      <c r="F791" s="2"/>
      <c r="G791" s="2"/>
      <c r="H791" s="2"/>
      <c r="I791" s="81"/>
      <c r="J791" s="2"/>
      <c r="K791" s="253"/>
    </row>
    <row r="792" spans="1:11" ht="15.75" customHeight="1">
      <c r="A792" s="4"/>
      <c r="B792" s="2"/>
      <c r="C792" s="2"/>
      <c r="D792" s="2"/>
      <c r="E792" s="2"/>
      <c r="F792" s="2"/>
      <c r="G792" s="2"/>
      <c r="H792" s="2"/>
      <c r="I792" s="81"/>
      <c r="J792" s="2"/>
      <c r="K792" s="253"/>
    </row>
    <row r="793" spans="1:11" ht="15.75" customHeight="1">
      <c r="A793" s="4"/>
      <c r="B793" s="2"/>
      <c r="C793" s="2"/>
      <c r="D793" s="2"/>
      <c r="E793" s="2"/>
      <c r="F793" s="2"/>
      <c r="G793" s="2"/>
      <c r="H793" s="2"/>
      <c r="I793" s="81"/>
      <c r="J793" s="2"/>
      <c r="K793" s="253"/>
    </row>
    <row r="794" spans="1:11" ht="15.75" customHeight="1">
      <c r="A794" s="4"/>
      <c r="B794" s="2"/>
      <c r="C794" s="2"/>
      <c r="D794" s="2"/>
      <c r="E794" s="2"/>
      <c r="F794" s="2"/>
      <c r="G794" s="2"/>
      <c r="H794" s="2"/>
      <c r="I794" s="81"/>
      <c r="J794" s="2"/>
      <c r="K794" s="253"/>
    </row>
    <row r="795" spans="1:11" ht="15.75" customHeight="1">
      <c r="A795" s="4"/>
      <c r="B795" s="2"/>
      <c r="C795" s="2"/>
      <c r="D795" s="2"/>
      <c r="E795" s="2"/>
      <c r="F795" s="2"/>
      <c r="G795" s="2"/>
      <c r="H795" s="2"/>
      <c r="I795" s="81"/>
      <c r="J795" s="2"/>
      <c r="K795" s="253"/>
    </row>
    <row r="796" spans="1:11" ht="15.75" customHeight="1">
      <c r="A796" s="4"/>
      <c r="B796" s="2"/>
      <c r="C796" s="2"/>
      <c r="D796" s="2"/>
      <c r="E796" s="2"/>
      <c r="F796" s="2"/>
      <c r="G796" s="2"/>
      <c r="H796" s="2"/>
      <c r="I796" s="81"/>
      <c r="J796" s="2"/>
      <c r="K796" s="253"/>
    </row>
    <row r="797" spans="1:11" ht="15.75" customHeight="1">
      <c r="A797" s="4"/>
      <c r="B797" s="2"/>
      <c r="C797" s="2"/>
      <c r="D797" s="2"/>
      <c r="E797" s="2"/>
      <c r="F797" s="2"/>
      <c r="G797" s="2"/>
      <c r="H797" s="2"/>
      <c r="I797" s="81"/>
      <c r="J797" s="2"/>
      <c r="K797" s="253"/>
    </row>
    <row r="798" spans="1:11" ht="15.75" customHeight="1">
      <c r="A798" s="4"/>
      <c r="B798" s="2"/>
      <c r="C798" s="2"/>
      <c r="D798" s="2"/>
      <c r="E798" s="2"/>
      <c r="F798" s="2"/>
      <c r="G798" s="2"/>
      <c r="H798" s="2"/>
      <c r="I798" s="81"/>
      <c r="J798" s="2"/>
      <c r="K798" s="253"/>
    </row>
    <row r="799" spans="1:11" ht="15.75" customHeight="1">
      <c r="A799" s="4"/>
      <c r="B799" s="2"/>
      <c r="C799" s="2"/>
      <c r="D799" s="2"/>
      <c r="E799" s="2"/>
      <c r="F799" s="2"/>
      <c r="G799" s="2"/>
      <c r="H799" s="2"/>
      <c r="I799" s="81"/>
      <c r="J799" s="2"/>
      <c r="K799" s="253"/>
    </row>
    <row r="800" spans="1:11" ht="15.75" customHeight="1">
      <c r="A800" s="4"/>
      <c r="B800" s="2"/>
      <c r="C800" s="2"/>
      <c r="D800" s="2"/>
      <c r="E800" s="2"/>
      <c r="F800" s="2"/>
      <c r="G800" s="2"/>
      <c r="H800" s="2"/>
      <c r="I800" s="81"/>
      <c r="J800" s="2"/>
      <c r="K800" s="253"/>
    </row>
    <row r="801" spans="1:11" ht="15.75" customHeight="1">
      <c r="A801" s="4"/>
      <c r="B801" s="2"/>
      <c r="C801" s="2"/>
      <c r="D801" s="2"/>
      <c r="E801" s="2"/>
      <c r="F801" s="2"/>
      <c r="G801" s="2"/>
      <c r="H801" s="2"/>
      <c r="I801" s="81"/>
      <c r="J801" s="2"/>
      <c r="K801" s="253"/>
    </row>
    <row r="802" spans="1:11" ht="15.75" customHeight="1">
      <c r="A802" s="4"/>
      <c r="B802" s="2"/>
      <c r="C802" s="2"/>
      <c r="D802" s="2"/>
      <c r="E802" s="2"/>
      <c r="F802" s="2"/>
      <c r="G802" s="2"/>
      <c r="H802" s="2"/>
      <c r="I802" s="81"/>
      <c r="J802" s="2"/>
      <c r="K802" s="253"/>
    </row>
    <row r="803" spans="1:11" ht="15.75" customHeight="1">
      <c r="A803" s="4"/>
      <c r="B803" s="2"/>
      <c r="C803" s="2"/>
      <c r="D803" s="2"/>
      <c r="E803" s="2"/>
      <c r="F803" s="2"/>
      <c r="G803" s="2"/>
      <c r="H803" s="2"/>
      <c r="I803" s="81"/>
      <c r="J803" s="2"/>
      <c r="K803" s="253"/>
    </row>
    <row r="804" spans="1:11" ht="15.75" customHeight="1">
      <c r="A804" s="4"/>
      <c r="B804" s="2"/>
      <c r="C804" s="2"/>
      <c r="D804" s="2"/>
      <c r="E804" s="2"/>
      <c r="F804" s="2"/>
      <c r="G804" s="2"/>
      <c r="H804" s="2"/>
      <c r="I804" s="81"/>
      <c r="J804" s="2"/>
      <c r="K804" s="253"/>
    </row>
    <row r="805" spans="1:11" ht="15.75" customHeight="1">
      <c r="A805" s="4"/>
      <c r="B805" s="2"/>
      <c r="C805" s="2"/>
      <c r="D805" s="2"/>
      <c r="E805" s="2"/>
      <c r="F805" s="2"/>
      <c r="G805" s="2"/>
      <c r="H805" s="2"/>
      <c r="I805" s="81"/>
      <c r="J805" s="2"/>
      <c r="K805" s="253"/>
    </row>
    <row r="806" spans="1:11" ht="15.75" customHeight="1">
      <c r="A806" s="4"/>
      <c r="B806" s="2"/>
      <c r="C806" s="2"/>
      <c r="D806" s="2"/>
      <c r="E806" s="2"/>
      <c r="F806" s="2"/>
      <c r="G806" s="2"/>
      <c r="H806" s="2"/>
      <c r="I806" s="81"/>
      <c r="J806" s="2"/>
      <c r="K806" s="253"/>
    </row>
    <row r="807" spans="1:11" ht="15.75" customHeight="1">
      <c r="A807" s="4"/>
      <c r="B807" s="2"/>
      <c r="C807" s="2"/>
      <c r="D807" s="2"/>
      <c r="E807" s="2"/>
      <c r="F807" s="2"/>
      <c r="G807" s="2"/>
      <c r="H807" s="2"/>
      <c r="I807" s="81"/>
      <c r="J807" s="2"/>
      <c r="K807" s="253"/>
    </row>
    <row r="808" spans="1:11" ht="15.75" customHeight="1">
      <c r="A808" s="4"/>
      <c r="B808" s="2"/>
      <c r="C808" s="2"/>
      <c r="D808" s="2"/>
      <c r="E808" s="2"/>
      <c r="F808" s="2"/>
      <c r="G808" s="2"/>
      <c r="H808" s="2"/>
      <c r="I808" s="81"/>
      <c r="J808" s="2"/>
      <c r="K808" s="253"/>
    </row>
    <row r="809" spans="1:11" ht="15.75" customHeight="1">
      <c r="A809" s="4"/>
      <c r="B809" s="2"/>
      <c r="C809" s="2"/>
      <c r="D809" s="2"/>
      <c r="E809" s="2"/>
      <c r="F809" s="2"/>
      <c r="G809" s="2"/>
      <c r="H809" s="2"/>
      <c r="I809" s="81"/>
      <c r="J809" s="2"/>
      <c r="K809" s="253"/>
    </row>
    <row r="810" spans="1:11" ht="15.75" customHeight="1">
      <c r="A810" s="4"/>
      <c r="B810" s="2"/>
      <c r="C810" s="2"/>
      <c r="D810" s="2"/>
      <c r="E810" s="2"/>
      <c r="F810" s="2"/>
      <c r="G810" s="2"/>
      <c r="H810" s="2"/>
      <c r="I810" s="81"/>
      <c r="J810" s="2"/>
      <c r="K810" s="253"/>
    </row>
    <row r="811" spans="1:11" ht="15.75" customHeight="1">
      <c r="A811" s="4"/>
      <c r="B811" s="2"/>
      <c r="C811" s="2"/>
      <c r="D811" s="2"/>
      <c r="E811" s="2"/>
      <c r="F811" s="2"/>
      <c r="G811" s="2"/>
      <c r="H811" s="2"/>
      <c r="I811" s="81"/>
      <c r="J811" s="2"/>
      <c r="K811" s="253"/>
    </row>
    <row r="812" spans="1:11" ht="15.75" customHeight="1">
      <c r="A812" s="4"/>
      <c r="B812" s="2"/>
      <c r="C812" s="2"/>
      <c r="D812" s="2"/>
      <c r="E812" s="2"/>
      <c r="F812" s="2"/>
      <c r="G812" s="2"/>
      <c r="H812" s="2"/>
      <c r="I812" s="81"/>
      <c r="J812" s="2"/>
      <c r="K812" s="253"/>
    </row>
    <row r="813" spans="1:11" ht="15.75" customHeight="1">
      <c r="A813" s="4"/>
      <c r="B813" s="2"/>
      <c r="C813" s="2"/>
      <c r="D813" s="2"/>
      <c r="E813" s="2"/>
      <c r="F813" s="2"/>
      <c r="G813" s="2"/>
      <c r="H813" s="2"/>
      <c r="I813" s="81"/>
      <c r="J813" s="2"/>
      <c r="K813" s="253"/>
    </row>
    <row r="814" spans="1:11" ht="15.75" customHeight="1">
      <c r="A814" s="4"/>
      <c r="B814" s="2"/>
      <c r="C814" s="2"/>
      <c r="D814" s="2"/>
      <c r="E814" s="2"/>
      <c r="F814" s="2"/>
      <c r="G814" s="2"/>
      <c r="H814" s="2"/>
      <c r="I814" s="81"/>
      <c r="J814" s="2"/>
      <c r="K814" s="253"/>
    </row>
    <row r="815" spans="1:11" ht="15.75" customHeight="1">
      <c r="A815" s="4"/>
      <c r="B815" s="2"/>
      <c r="C815" s="2"/>
      <c r="D815" s="2"/>
      <c r="E815" s="2"/>
      <c r="F815" s="2"/>
      <c r="G815" s="2"/>
      <c r="H815" s="2"/>
      <c r="I815" s="81"/>
      <c r="J815" s="2"/>
      <c r="K815" s="253"/>
    </row>
    <row r="816" spans="1:11" ht="15.75" customHeight="1">
      <c r="A816" s="4"/>
      <c r="B816" s="2"/>
      <c r="C816" s="2"/>
      <c r="D816" s="2"/>
      <c r="E816" s="2"/>
      <c r="F816" s="2"/>
      <c r="G816" s="2"/>
      <c r="H816" s="2"/>
      <c r="I816" s="81"/>
      <c r="J816" s="2"/>
      <c r="K816" s="253"/>
    </row>
    <row r="817" spans="1:11" ht="15.75" customHeight="1">
      <c r="A817" s="4"/>
      <c r="B817" s="2"/>
      <c r="C817" s="2"/>
      <c r="D817" s="2"/>
      <c r="E817" s="2"/>
      <c r="F817" s="2"/>
      <c r="G817" s="2"/>
      <c r="H817" s="2"/>
      <c r="I817" s="81"/>
      <c r="J817" s="2"/>
      <c r="K817" s="253"/>
    </row>
    <row r="818" spans="1:11" ht="15.75" customHeight="1">
      <c r="A818" s="4"/>
      <c r="B818" s="2"/>
      <c r="C818" s="2"/>
      <c r="D818" s="2"/>
      <c r="E818" s="2"/>
      <c r="F818" s="2"/>
      <c r="G818" s="2"/>
      <c r="H818" s="2"/>
      <c r="I818" s="81"/>
      <c r="J818" s="2"/>
      <c r="K818" s="253"/>
    </row>
    <row r="819" spans="1:11" ht="15.75" customHeight="1">
      <c r="A819" s="4"/>
      <c r="B819" s="2"/>
      <c r="C819" s="2"/>
      <c r="D819" s="2"/>
      <c r="E819" s="2"/>
      <c r="F819" s="2"/>
      <c r="G819" s="2"/>
      <c r="H819" s="2"/>
      <c r="I819" s="81"/>
      <c r="J819" s="2"/>
      <c r="K819" s="253"/>
    </row>
    <row r="820" spans="1:11" ht="15.75" customHeight="1">
      <c r="A820" s="4"/>
      <c r="B820" s="2"/>
      <c r="C820" s="2"/>
      <c r="D820" s="2"/>
      <c r="E820" s="2"/>
      <c r="F820" s="2"/>
      <c r="G820" s="2"/>
      <c r="H820" s="2"/>
      <c r="I820" s="81"/>
      <c r="J820" s="2"/>
      <c r="K820" s="253"/>
    </row>
    <row r="821" spans="1:11" ht="15.75" customHeight="1">
      <c r="A821" s="4"/>
      <c r="B821" s="2"/>
      <c r="C821" s="2"/>
      <c r="D821" s="2"/>
      <c r="E821" s="2"/>
      <c r="F821" s="2"/>
      <c r="G821" s="2"/>
      <c r="H821" s="2"/>
      <c r="I821" s="81"/>
      <c r="J821" s="2"/>
      <c r="K821" s="253"/>
    </row>
    <row r="822" spans="1:11" ht="15.75" customHeight="1">
      <c r="A822" s="4"/>
      <c r="B822" s="2"/>
      <c r="C822" s="2"/>
      <c r="D822" s="2"/>
      <c r="E822" s="2"/>
      <c r="F822" s="2"/>
      <c r="G822" s="2"/>
      <c r="H822" s="2"/>
      <c r="I822" s="81"/>
      <c r="J822" s="2"/>
      <c r="K822" s="253"/>
    </row>
    <row r="823" spans="1:11" ht="15.75" customHeight="1">
      <c r="A823" s="4"/>
      <c r="B823" s="2"/>
      <c r="C823" s="2"/>
      <c r="D823" s="2"/>
      <c r="E823" s="2"/>
      <c r="F823" s="2"/>
      <c r="G823" s="2"/>
      <c r="H823" s="2"/>
      <c r="I823" s="81"/>
      <c r="J823" s="2"/>
      <c r="K823" s="253"/>
    </row>
    <row r="824" spans="1:11" ht="15.75" customHeight="1">
      <c r="A824" s="4"/>
      <c r="B824" s="2"/>
      <c r="C824" s="2"/>
      <c r="D824" s="2"/>
      <c r="E824" s="2"/>
      <c r="F824" s="2"/>
      <c r="G824" s="2"/>
      <c r="H824" s="2"/>
      <c r="I824" s="81"/>
      <c r="J824" s="2"/>
      <c r="K824" s="253"/>
    </row>
    <row r="825" spans="1:11" ht="15.75" customHeight="1">
      <c r="A825" s="4"/>
      <c r="B825" s="2"/>
      <c r="C825" s="2"/>
      <c r="D825" s="2"/>
      <c r="E825" s="2"/>
      <c r="F825" s="2"/>
      <c r="G825" s="2"/>
      <c r="H825" s="2"/>
      <c r="I825" s="81"/>
      <c r="J825" s="2"/>
      <c r="K825" s="253"/>
    </row>
    <row r="826" spans="1:11" ht="15.75" customHeight="1">
      <c r="A826" s="4"/>
      <c r="B826" s="2"/>
      <c r="C826" s="2"/>
      <c r="D826" s="2"/>
      <c r="E826" s="2"/>
      <c r="F826" s="2"/>
      <c r="G826" s="2"/>
      <c r="H826" s="2"/>
      <c r="I826" s="81"/>
      <c r="J826" s="2"/>
      <c r="K826" s="253"/>
    </row>
    <row r="827" spans="1:11" ht="15.75" customHeight="1">
      <c r="A827" s="4"/>
      <c r="B827" s="2"/>
      <c r="C827" s="2"/>
      <c r="D827" s="2"/>
      <c r="E827" s="2"/>
      <c r="F827" s="2"/>
      <c r="G827" s="2"/>
      <c r="H827" s="2"/>
      <c r="I827" s="81"/>
      <c r="J827" s="2"/>
      <c r="K827" s="253"/>
    </row>
    <row r="828" spans="1:11" ht="15.75" customHeight="1">
      <c r="A828" s="4"/>
      <c r="B828" s="2"/>
      <c r="C828" s="2"/>
      <c r="D828" s="2"/>
      <c r="E828" s="2"/>
      <c r="F828" s="2"/>
      <c r="G828" s="2"/>
      <c r="H828" s="2"/>
      <c r="I828" s="81"/>
      <c r="J828" s="2"/>
      <c r="K828" s="253"/>
    </row>
    <row r="829" spans="1:11" ht="15.75" customHeight="1">
      <c r="A829" s="4"/>
      <c r="B829" s="2"/>
      <c r="C829" s="2"/>
      <c r="D829" s="2"/>
      <c r="E829" s="2"/>
      <c r="F829" s="2"/>
      <c r="G829" s="2"/>
      <c r="H829" s="2"/>
      <c r="I829" s="81"/>
      <c r="J829" s="2"/>
      <c r="K829" s="253"/>
    </row>
    <row r="830" spans="1:11" ht="15.75" customHeight="1">
      <c r="A830" s="4"/>
      <c r="B830" s="2"/>
      <c r="C830" s="2"/>
      <c r="D830" s="2"/>
      <c r="E830" s="2"/>
      <c r="F830" s="2"/>
      <c r="G830" s="2"/>
      <c r="H830" s="2"/>
      <c r="I830" s="81"/>
      <c r="J830" s="2"/>
      <c r="K830" s="253"/>
    </row>
    <row r="831" spans="1:11" ht="15.75" customHeight="1">
      <c r="A831" s="4"/>
      <c r="B831" s="2"/>
      <c r="C831" s="2"/>
      <c r="D831" s="2"/>
      <c r="E831" s="2"/>
      <c r="F831" s="2"/>
      <c r="G831" s="2"/>
      <c r="H831" s="2"/>
      <c r="I831" s="81"/>
      <c r="J831" s="2"/>
      <c r="K831" s="253"/>
    </row>
    <row r="832" spans="1:11" ht="15.75" customHeight="1">
      <c r="A832" s="4"/>
      <c r="B832" s="2"/>
      <c r="C832" s="2"/>
      <c r="D832" s="2"/>
      <c r="E832" s="2"/>
      <c r="F832" s="2"/>
      <c r="G832" s="2"/>
      <c r="H832" s="2"/>
      <c r="I832" s="81"/>
      <c r="J832" s="2"/>
      <c r="K832" s="253"/>
    </row>
    <row r="833" spans="1:11" ht="15.75" customHeight="1">
      <c r="A833" s="4"/>
      <c r="B833" s="2"/>
      <c r="C833" s="2"/>
      <c r="D833" s="2"/>
      <c r="E833" s="2"/>
      <c r="F833" s="2"/>
      <c r="G833" s="2"/>
      <c r="H833" s="2"/>
      <c r="I833" s="81"/>
      <c r="J833" s="2"/>
      <c r="K833" s="253"/>
    </row>
    <row r="834" spans="1:11" ht="15.75" customHeight="1">
      <c r="A834" s="4"/>
      <c r="B834" s="2"/>
      <c r="C834" s="2"/>
      <c r="D834" s="2"/>
      <c r="E834" s="2"/>
      <c r="F834" s="2"/>
      <c r="G834" s="2"/>
      <c r="H834" s="2"/>
      <c r="I834" s="81"/>
      <c r="J834" s="2"/>
      <c r="K834" s="253"/>
    </row>
    <row r="835" spans="1:11" ht="15.75" customHeight="1">
      <c r="A835" s="4"/>
      <c r="B835" s="2"/>
      <c r="C835" s="2"/>
      <c r="D835" s="2"/>
      <c r="E835" s="2"/>
      <c r="F835" s="2"/>
      <c r="G835" s="2"/>
      <c r="H835" s="2"/>
      <c r="I835" s="81"/>
      <c r="J835" s="2"/>
      <c r="K835" s="253"/>
    </row>
    <row r="836" spans="1:11" ht="15.75" customHeight="1">
      <c r="A836" s="4"/>
      <c r="B836" s="2"/>
      <c r="C836" s="2"/>
      <c r="D836" s="2"/>
      <c r="E836" s="2"/>
      <c r="F836" s="2"/>
      <c r="G836" s="2"/>
      <c r="H836" s="2"/>
      <c r="I836" s="81"/>
      <c r="J836" s="2"/>
      <c r="K836" s="253"/>
    </row>
    <row r="837" spans="1:11" ht="15.75" customHeight="1">
      <c r="A837" s="4"/>
      <c r="B837" s="2"/>
      <c r="C837" s="2"/>
      <c r="D837" s="2"/>
      <c r="E837" s="2"/>
      <c r="F837" s="2"/>
      <c r="G837" s="2"/>
      <c r="H837" s="2"/>
      <c r="I837" s="81"/>
      <c r="J837" s="2"/>
      <c r="K837" s="253"/>
    </row>
    <row r="838" spans="1:11" ht="15.75" customHeight="1">
      <c r="A838" s="4"/>
      <c r="B838" s="2"/>
      <c r="C838" s="2"/>
      <c r="D838" s="2"/>
      <c r="E838" s="2"/>
      <c r="F838" s="2"/>
      <c r="G838" s="2"/>
      <c r="H838" s="2"/>
      <c r="I838" s="81"/>
      <c r="J838" s="2"/>
      <c r="K838" s="253"/>
    </row>
    <row r="839" spans="1:11" ht="15.75" customHeight="1">
      <c r="A839" s="4"/>
      <c r="B839" s="2"/>
      <c r="C839" s="2"/>
      <c r="D839" s="2"/>
      <c r="E839" s="2"/>
      <c r="F839" s="2"/>
      <c r="G839" s="2"/>
      <c r="H839" s="2"/>
      <c r="I839" s="81"/>
      <c r="J839" s="2"/>
      <c r="K839" s="253"/>
    </row>
    <row r="840" spans="1:11" ht="15.75" customHeight="1">
      <c r="A840" s="4"/>
      <c r="B840" s="2"/>
      <c r="C840" s="2"/>
      <c r="D840" s="2"/>
      <c r="E840" s="2"/>
      <c r="F840" s="2"/>
      <c r="G840" s="2"/>
      <c r="H840" s="2"/>
      <c r="I840" s="81"/>
      <c r="J840" s="2"/>
      <c r="K840" s="253"/>
    </row>
    <row r="841" spans="1:11" ht="15.75" customHeight="1">
      <c r="A841" s="4"/>
      <c r="B841" s="2"/>
      <c r="C841" s="2"/>
      <c r="D841" s="2"/>
      <c r="E841" s="2"/>
      <c r="F841" s="2"/>
      <c r="G841" s="2"/>
      <c r="H841" s="2"/>
      <c r="I841" s="81"/>
      <c r="J841" s="2"/>
      <c r="K841" s="253"/>
    </row>
    <row r="842" spans="1:11" ht="15.75" customHeight="1">
      <c r="A842" s="4"/>
      <c r="B842" s="2"/>
      <c r="C842" s="2"/>
      <c r="D842" s="2"/>
      <c r="E842" s="2"/>
      <c r="F842" s="2"/>
      <c r="G842" s="2"/>
      <c r="H842" s="2"/>
      <c r="I842" s="81"/>
      <c r="J842" s="2"/>
      <c r="K842" s="253"/>
    </row>
    <row r="843" spans="1:11" ht="15.75" customHeight="1">
      <c r="A843" s="4"/>
      <c r="B843" s="2"/>
      <c r="C843" s="2"/>
      <c r="D843" s="2"/>
      <c r="E843" s="2"/>
      <c r="F843" s="2"/>
      <c r="G843" s="2"/>
      <c r="H843" s="2"/>
      <c r="I843" s="81"/>
      <c r="J843" s="2"/>
      <c r="K843" s="253"/>
    </row>
    <row r="844" spans="1:11" ht="15.75" customHeight="1">
      <c r="A844" s="4"/>
      <c r="B844" s="2"/>
      <c r="C844" s="2"/>
      <c r="D844" s="2"/>
      <c r="E844" s="2"/>
      <c r="F844" s="2"/>
      <c r="G844" s="2"/>
      <c r="H844" s="2"/>
      <c r="I844" s="81"/>
      <c r="J844" s="2"/>
      <c r="K844" s="253"/>
    </row>
    <row r="845" spans="1:11" ht="15.75" customHeight="1">
      <c r="A845" s="4"/>
      <c r="B845" s="2"/>
      <c r="C845" s="2"/>
      <c r="D845" s="2"/>
      <c r="E845" s="2"/>
      <c r="F845" s="2"/>
      <c r="G845" s="2"/>
      <c r="H845" s="2"/>
      <c r="I845" s="81"/>
      <c r="J845" s="2"/>
      <c r="K845" s="253"/>
    </row>
    <row r="846" spans="1:11" ht="15.75" customHeight="1">
      <c r="A846" s="4"/>
      <c r="B846" s="2"/>
      <c r="C846" s="2"/>
      <c r="D846" s="2"/>
      <c r="E846" s="2"/>
      <c r="F846" s="2"/>
      <c r="G846" s="2"/>
      <c r="H846" s="2"/>
      <c r="I846" s="81"/>
      <c r="J846" s="2"/>
      <c r="K846" s="253"/>
    </row>
    <row r="847" spans="1:11" ht="15.75" customHeight="1">
      <c r="A847" s="4"/>
      <c r="B847" s="2"/>
      <c r="C847" s="2"/>
      <c r="D847" s="2"/>
      <c r="E847" s="2"/>
      <c r="F847" s="2"/>
      <c r="G847" s="2"/>
      <c r="H847" s="2"/>
      <c r="I847" s="81"/>
      <c r="J847" s="2"/>
      <c r="K847" s="253"/>
    </row>
    <row r="848" spans="1:11" ht="15.75" customHeight="1">
      <c r="A848" s="4"/>
      <c r="B848" s="2"/>
      <c r="C848" s="2"/>
      <c r="D848" s="2"/>
      <c r="E848" s="2"/>
      <c r="F848" s="2"/>
      <c r="G848" s="2"/>
      <c r="H848" s="2"/>
      <c r="I848" s="81"/>
      <c r="J848" s="2"/>
      <c r="K848" s="253"/>
    </row>
    <row r="849" spans="1:11" ht="15.75" customHeight="1">
      <c r="A849" s="4"/>
      <c r="B849" s="2"/>
      <c r="C849" s="2"/>
      <c r="D849" s="2"/>
      <c r="E849" s="2"/>
      <c r="F849" s="2"/>
      <c r="G849" s="2"/>
      <c r="H849" s="2"/>
      <c r="I849" s="81"/>
      <c r="J849" s="2"/>
      <c r="K849" s="253"/>
    </row>
    <row r="850" spans="1:11" ht="15.75" customHeight="1">
      <c r="A850" s="4"/>
      <c r="B850" s="2"/>
      <c r="C850" s="2"/>
      <c r="D850" s="2"/>
      <c r="E850" s="2"/>
      <c r="F850" s="2"/>
      <c r="G850" s="2"/>
      <c r="H850" s="2"/>
      <c r="I850" s="81"/>
      <c r="J850" s="2"/>
      <c r="K850" s="253"/>
    </row>
    <row r="851" spans="1:11" ht="15.75" customHeight="1">
      <c r="A851" s="4"/>
      <c r="B851" s="2"/>
      <c r="C851" s="2"/>
      <c r="D851" s="2"/>
      <c r="E851" s="2"/>
      <c r="F851" s="2"/>
      <c r="G851" s="2"/>
      <c r="H851" s="2"/>
      <c r="I851" s="81"/>
      <c r="J851" s="2"/>
      <c r="K851" s="253"/>
    </row>
    <row r="852" spans="1:11" ht="15.75" customHeight="1">
      <c r="A852" s="4"/>
      <c r="B852" s="2"/>
      <c r="C852" s="2"/>
      <c r="D852" s="2"/>
      <c r="E852" s="2"/>
      <c r="F852" s="2"/>
      <c r="G852" s="2"/>
      <c r="H852" s="2"/>
      <c r="I852" s="81"/>
      <c r="J852" s="2"/>
      <c r="K852" s="253"/>
    </row>
    <row r="853" spans="1:11" ht="15.75" customHeight="1">
      <c r="A853" s="4"/>
      <c r="B853" s="2"/>
      <c r="C853" s="2"/>
      <c r="D853" s="2"/>
      <c r="E853" s="2"/>
      <c r="F853" s="2"/>
      <c r="G853" s="2"/>
      <c r="H853" s="2"/>
      <c r="I853" s="81"/>
      <c r="J853" s="2"/>
      <c r="K853" s="253"/>
    </row>
    <row r="854" spans="1:11" ht="15.75" customHeight="1">
      <c r="A854" s="4"/>
      <c r="B854" s="2"/>
      <c r="C854" s="2"/>
      <c r="D854" s="2"/>
      <c r="E854" s="2"/>
      <c r="F854" s="2"/>
      <c r="G854" s="2"/>
      <c r="H854" s="2"/>
      <c r="I854" s="81"/>
      <c r="J854" s="2"/>
      <c r="K854" s="253"/>
    </row>
    <row r="855" spans="1:11" ht="15.75" customHeight="1">
      <c r="A855" s="4"/>
      <c r="B855" s="2"/>
      <c r="C855" s="2"/>
      <c r="D855" s="2"/>
      <c r="E855" s="2"/>
      <c r="F855" s="2"/>
      <c r="G855" s="2"/>
      <c r="H855" s="2"/>
      <c r="I855" s="81"/>
      <c r="J855" s="2"/>
      <c r="K855" s="253"/>
    </row>
    <row r="856" spans="1:11" ht="15.75" customHeight="1">
      <c r="A856" s="4"/>
      <c r="B856" s="2"/>
      <c r="C856" s="2"/>
      <c r="D856" s="2"/>
      <c r="E856" s="2"/>
      <c r="F856" s="2"/>
      <c r="G856" s="2"/>
      <c r="H856" s="2"/>
      <c r="I856" s="81"/>
      <c r="J856" s="2"/>
      <c r="K856" s="253"/>
    </row>
    <row r="857" spans="1:11" ht="15.75" customHeight="1">
      <c r="A857" s="4"/>
      <c r="B857" s="2"/>
      <c r="C857" s="2"/>
      <c r="D857" s="2"/>
      <c r="E857" s="2"/>
      <c r="F857" s="2"/>
      <c r="G857" s="2"/>
      <c r="H857" s="2"/>
      <c r="I857" s="81"/>
      <c r="J857" s="2"/>
      <c r="K857" s="253"/>
    </row>
    <row r="858" spans="1:11" ht="15.75" customHeight="1">
      <c r="A858" s="4"/>
      <c r="B858" s="2"/>
      <c r="C858" s="2"/>
      <c r="D858" s="2"/>
      <c r="E858" s="2"/>
      <c r="F858" s="2"/>
      <c r="G858" s="2"/>
      <c r="H858" s="2"/>
      <c r="I858" s="81"/>
      <c r="J858" s="2"/>
      <c r="K858" s="253"/>
    </row>
    <row r="859" spans="1:11" ht="15.75" customHeight="1">
      <c r="A859" s="4"/>
      <c r="B859" s="2"/>
      <c r="C859" s="2"/>
      <c r="D859" s="2"/>
      <c r="E859" s="2"/>
      <c r="F859" s="2"/>
      <c r="G859" s="2"/>
      <c r="H859" s="2"/>
      <c r="I859" s="81"/>
      <c r="J859" s="2"/>
      <c r="K859" s="253"/>
    </row>
    <row r="860" spans="1:11" ht="15.75" customHeight="1">
      <c r="A860" s="4"/>
      <c r="B860" s="2"/>
      <c r="C860" s="2"/>
      <c r="D860" s="2"/>
      <c r="E860" s="2"/>
      <c r="F860" s="2"/>
      <c r="G860" s="2"/>
      <c r="H860" s="2"/>
      <c r="I860" s="81"/>
      <c r="J860" s="2"/>
      <c r="K860" s="253"/>
    </row>
    <row r="861" spans="1:11" ht="15.75" customHeight="1">
      <c r="A861" s="4"/>
      <c r="B861" s="2"/>
      <c r="C861" s="2"/>
      <c r="D861" s="2"/>
      <c r="E861" s="2"/>
      <c r="F861" s="2"/>
      <c r="G861" s="2"/>
      <c r="H861" s="2"/>
      <c r="I861" s="81"/>
      <c r="J861" s="2"/>
      <c r="K861" s="253"/>
    </row>
    <row r="862" spans="1:11" ht="15.75" customHeight="1">
      <c r="A862" s="4"/>
      <c r="B862" s="2"/>
      <c r="C862" s="2"/>
      <c r="D862" s="2"/>
      <c r="E862" s="2"/>
      <c r="F862" s="2"/>
      <c r="G862" s="2"/>
      <c r="H862" s="2"/>
      <c r="I862" s="81"/>
      <c r="J862" s="2"/>
      <c r="K862" s="253"/>
    </row>
    <row r="863" spans="1:11" ht="15.75" customHeight="1">
      <c r="A863" s="4"/>
      <c r="B863" s="2"/>
      <c r="C863" s="2"/>
      <c r="D863" s="2"/>
      <c r="E863" s="2"/>
      <c r="F863" s="2"/>
      <c r="G863" s="2"/>
      <c r="H863" s="2"/>
      <c r="I863" s="81"/>
      <c r="J863" s="2"/>
      <c r="K863" s="253"/>
    </row>
    <row r="864" spans="1:11" ht="15.75" customHeight="1">
      <c r="A864" s="4"/>
      <c r="B864" s="2"/>
      <c r="C864" s="2"/>
      <c r="D864" s="2"/>
      <c r="E864" s="2"/>
      <c r="F864" s="2"/>
      <c r="G864" s="2"/>
      <c r="H864" s="2"/>
      <c r="I864" s="81"/>
      <c r="J864" s="2"/>
      <c r="K864" s="253"/>
    </row>
    <row r="865" spans="1:11" ht="15.75" customHeight="1">
      <c r="A865" s="4"/>
      <c r="B865" s="2"/>
      <c r="C865" s="2"/>
      <c r="D865" s="2"/>
      <c r="E865" s="2"/>
      <c r="F865" s="2"/>
      <c r="G865" s="2"/>
      <c r="H865" s="2"/>
      <c r="I865" s="81"/>
      <c r="J865" s="2"/>
      <c r="K865" s="253"/>
    </row>
    <row r="866" spans="1:11" ht="15.75" customHeight="1">
      <c r="A866" s="4"/>
      <c r="B866" s="2"/>
      <c r="C866" s="2"/>
      <c r="D866" s="2"/>
      <c r="E866" s="2"/>
      <c r="F866" s="2"/>
      <c r="G866" s="2"/>
      <c r="H866" s="2"/>
      <c r="I866" s="81"/>
      <c r="J866" s="2"/>
      <c r="K866" s="253"/>
    </row>
    <row r="867" spans="1:11" ht="15.75" customHeight="1">
      <c r="A867" s="4"/>
      <c r="B867" s="2"/>
      <c r="C867" s="2"/>
      <c r="D867" s="2"/>
      <c r="E867" s="2"/>
      <c r="F867" s="2"/>
      <c r="G867" s="2"/>
      <c r="H867" s="2"/>
      <c r="I867" s="81"/>
      <c r="J867" s="2"/>
      <c r="K867" s="253"/>
    </row>
    <row r="868" spans="1:11" ht="15.75" customHeight="1">
      <c r="A868" s="4"/>
      <c r="B868" s="2"/>
      <c r="C868" s="2"/>
      <c r="D868" s="2"/>
      <c r="E868" s="2"/>
      <c r="F868" s="2"/>
      <c r="G868" s="2"/>
      <c r="H868" s="2"/>
      <c r="I868" s="81"/>
      <c r="J868" s="2"/>
      <c r="K868" s="253"/>
    </row>
    <row r="869" spans="1:11" ht="15.75" customHeight="1">
      <c r="A869" s="4"/>
      <c r="B869" s="2"/>
      <c r="C869" s="2"/>
      <c r="D869" s="2"/>
      <c r="E869" s="2"/>
      <c r="F869" s="2"/>
      <c r="G869" s="2"/>
      <c r="H869" s="2"/>
      <c r="I869" s="81"/>
      <c r="J869" s="2"/>
      <c r="K869" s="253"/>
    </row>
    <row r="870" spans="1:11" ht="15.75" customHeight="1">
      <c r="A870" s="4"/>
      <c r="B870" s="2"/>
      <c r="C870" s="2"/>
      <c r="D870" s="2"/>
      <c r="E870" s="2"/>
      <c r="F870" s="2"/>
      <c r="G870" s="2"/>
      <c r="H870" s="2"/>
      <c r="I870" s="81"/>
      <c r="J870" s="2"/>
      <c r="K870" s="253"/>
    </row>
    <row r="871" spans="1:11" ht="15.75" customHeight="1">
      <c r="A871" s="4"/>
      <c r="B871" s="2"/>
      <c r="C871" s="2"/>
      <c r="D871" s="2"/>
      <c r="E871" s="2"/>
      <c r="F871" s="2"/>
      <c r="G871" s="2"/>
      <c r="H871" s="2"/>
      <c r="I871" s="81"/>
      <c r="J871" s="2"/>
      <c r="K871" s="253"/>
    </row>
    <row r="872" spans="1:11" ht="15.75" customHeight="1">
      <c r="A872" s="4"/>
      <c r="B872" s="2"/>
      <c r="C872" s="2"/>
      <c r="D872" s="2"/>
      <c r="E872" s="2"/>
      <c r="F872" s="2"/>
      <c r="G872" s="2"/>
      <c r="H872" s="2"/>
      <c r="I872" s="81"/>
      <c r="J872" s="2"/>
      <c r="K872" s="253"/>
    </row>
    <row r="873" spans="1:11" ht="15.75" customHeight="1">
      <c r="A873" s="4"/>
      <c r="B873" s="2"/>
      <c r="C873" s="2"/>
      <c r="D873" s="2"/>
      <c r="E873" s="2"/>
      <c r="F873" s="2"/>
      <c r="G873" s="2"/>
      <c r="H873" s="2"/>
      <c r="I873" s="81"/>
      <c r="J873" s="2"/>
      <c r="K873" s="253"/>
    </row>
    <row r="874" spans="1:11" ht="15.75" customHeight="1">
      <c r="A874" s="4"/>
      <c r="B874" s="2"/>
      <c r="C874" s="2"/>
      <c r="D874" s="2"/>
      <c r="E874" s="2"/>
      <c r="F874" s="2"/>
      <c r="G874" s="2"/>
      <c r="H874" s="2"/>
      <c r="I874" s="81"/>
      <c r="J874" s="2"/>
      <c r="K874" s="253"/>
    </row>
    <row r="875" spans="1:11" ht="15.75" customHeight="1">
      <c r="A875" s="4"/>
      <c r="B875" s="2"/>
      <c r="C875" s="2"/>
      <c r="D875" s="2"/>
      <c r="E875" s="2"/>
      <c r="F875" s="2"/>
      <c r="G875" s="2"/>
      <c r="H875" s="2"/>
      <c r="I875" s="81"/>
      <c r="J875" s="2"/>
      <c r="K875" s="253"/>
    </row>
    <row r="876" spans="1:11" ht="15.75" customHeight="1">
      <c r="A876" s="4"/>
      <c r="B876" s="2"/>
      <c r="C876" s="2"/>
      <c r="D876" s="2"/>
      <c r="E876" s="2"/>
      <c r="F876" s="2"/>
      <c r="G876" s="2"/>
      <c r="H876" s="2"/>
      <c r="I876" s="81"/>
      <c r="J876" s="2"/>
      <c r="K876" s="253"/>
    </row>
    <row r="877" spans="1:11" ht="15.75" customHeight="1">
      <c r="A877" s="4"/>
      <c r="B877" s="2"/>
      <c r="C877" s="2"/>
      <c r="D877" s="2"/>
      <c r="E877" s="2"/>
      <c r="F877" s="2"/>
      <c r="G877" s="2"/>
      <c r="H877" s="2"/>
      <c r="I877" s="81"/>
      <c r="J877" s="2"/>
      <c r="K877" s="253"/>
    </row>
    <row r="878" spans="1:11" ht="15.75" customHeight="1">
      <c r="A878" s="4"/>
      <c r="B878" s="2"/>
      <c r="C878" s="2"/>
      <c r="D878" s="2"/>
      <c r="E878" s="2"/>
      <c r="F878" s="2"/>
      <c r="G878" s="2"/>
      <c r="H878" s="2"/>
      <c r="I878" s="81"/>
      <c r="J878" s="2"/>
      <c r="K878" s="253"/>
    </row>
    <row r="879" spans="1:11" ht="15.75" customHeight="1">
      <c r="A879" s="4"/>
      <c r="B879" s="2"/>
      <c r="C879" s="2"/>
      <c r="D879" s="2"/>
      <c r="E879" s="2"/>
      <c r="F879" s="2"/>
      <c r="G879" s="2"/>
      <c r="H879" s="2"/>
      <c r="I879" s="81"/>
      <c r="J879" s="2"/>
      <c r="K879" s="253"/>
    </row>
    <row r="880" spans="1:11" ht="15.75" customHeight="1">
      <c r="A880" s="4"/>
      <c r="B880" s="2"/>
      <c r="C880" s="2"/>
      <c r="D880" s="2"/>
      <c r="E880" s="2"/>
      <c r="F880" s="2"/>
      <c r="G880" s="2"/>
      <c r="H880" s="2"/>
      <c r="I880" s="81"/>
      <c r="J880" s="2"/>
      <c r="K880" s="253"/>
    </row>
    <row r="881" spans="1:11" ht="15.75" customHeight="1">
      <c r="A881" s="4"/>
      <c r="B881" s="2"/>
      <c r="C881" s="2"/>
      <c r="D881" s="2"/>
      <c r="E881" s="2"/>
      <c r="F881" s="2"/>
      <c r="G881" s="2"/>
      <c r="H881" s="2"/>
      <c r="I881" s="81"/>
      <c r="J881" s="2"/>
      <c r="K881" s="253"/>
    </row>
    <row r="882" spans="1:11" ht="15.75" customHeight="1">
      <c r="A882" s="4"/>
      <c r="B882" s="2"/>
      <c r="C882" s="2"/>
      <c r="D882" s="2"/>
      <c r="E882" s="2"/>
      <c r="F882" s="2"/>
      <c r="G882" s="2"/>
      <c r="H882" s="2"/>
      <c r="I882" s="81"/>
      <c r="J882" s="2"/>
      <c r="K882" s="253"/>
    </row>
    <row r="883" spans="1:11" ht="15.75" customHeight="1">
      <c r="A883" s="4"/>
      <c r="B883" s="2"/>
      <c r="C883" s="2"/>
      <c r="D883" s="2"/>
      <c r="E883" s="2"/>
      <c r="F883" s="2"/>
      <c r="G883" s="2"/>
      <c r="H883" s="2"/>
      <c r="I883" s="81"/>
      <c r="J883" s="2"/>
      <c r="K883" s="253"/>
    </row>
    <row r="884" spans="1:11" ht="15.75" customHeight="1">
      <c r="A884" s="4"/>
      <c r="B884" s="2"/>
      <c r="C884" s="2"/>
      <c r="D884" s="2"/>
      <c r="E884" s="2"/>
      <c r="F884" s="2"/>
      <c r="G884" s="2"/>
      <c r="H884" s="2"/>
      <c r="I884" s="81"/>
      <c r="J884" s="2"/>
      <c r="K884" s="253"/>
    </row>
    <row r="885" spans="1:11" ht="15.75" customHeight="1">
      <c r="A885" s="4"/>
      <c r="B885" s="2"/>
      <c r="C885" s="2"/>
      <c r="D885" s="2"/>
      <c r="E885" s="2"/>
      <c r="F885" s="2"/>
      <c r="G885" s="2"/>
      <c r="H885" s="2"/>
      <c r="I885" s="81"/>
      <c r="J885" s="2"/>
      <c r="K885" s="253"/>
    </row>
    <row r="886" spans="1:11" ht="15.75" customHeight="1">
      <c r="A886" s="4"/>
      <c r="B886" s="2"/>
      <c r="C886" s="2"/>
      <c r="D886" s="2"/>
      <c r="E886" s="2"/>
      <c r="F886" s="2"/>
      <c r="G886" s="2"/>
      <c r="H886" s="2"/>
      <c r="I886" s="81"/>
      <c r="J886" s="2"/>
      <c r="K886" s="253"/>
    </row>
    <row r="887" spans="1:11" ht="15.75" customHeight="1">
      <c r="A887" s="4"/>
      <c r="B887" s="2"/>
      <c r="C887" s="2"/>
      <c r="D887" s="2"/>
      <c r="E887" s="2"/>
      <c r="F887" s="2"/>
      <c r="G887" s="2"/>
      <c r="H887" s="2"/>
      <c r="I887" s="81"/>
      <c r="J887" s="2"/>
      <c r="K887" s="253"/>
    </row>
    <row r="888" spans="1:11" ht="15.75" customHeight="1">
      <c r="A888" s="4"/>
      <c r="B888" s="2"/>
      <c r="C888" s="2"/>
      <c r="D888" s="2"/>
      <c r="E888" s="2"/>
      <c r="F888" s="2"/>
      <c r="G888" s="2"/>
      <c r="H888" s="2"/>
      <c r="I888" s="81"/>
      <c r="J888" s="2"/>
      <c r="K888" s="253"/>
    </row>
    <row r="889" spans="1:11" ht="15.75" customHeight="1">
      <c r="A889" s="4"/>
      <c r="B889" s="2"/>
      <c r="C889" s="2"/>
      <c r="D889" s="2"/>
      <c r="E889" s="2"/>
      <c r="F889" s="2"/>
      <c r="G889" s="2"/>
      <c r="H889" s="2"/>
      <c r="I889" s="81"/>
      <c r="J889" s="2"/>
      <c r="K889" s="253"/>
    </row>
    <row r="890" spans="1:11" ht="15.75" customHeight="1">
      <c r="A890" s="4"/>
      <c r="B890" s="2"/>
      <c r="C890" s="2"/>
      <c r="D890" s="2"/>
      <c r="E890" s="2"/>
      <c r="F890" s="2"/>
      <c r="G890" s="2"/>
      <c r="H890" s="2"/>
      <c r="I890" s="81"/>
      <c r="J890" s="2"/>
      <c r="K890" s="253"/>
    </row>
    <row r="891" spans="1:11" ht="15.75" customHeight="1">
      <c r="A891" s="4"/>
      <c r="B891" s="2"/>
      <c r="C891" s="2"/>
      <c r="D891" s="2"/>
      <c r="E891" s="2"/>
      <c r="F891" s="2"/>
      <c r="G891" s="2"/>
      <c r="H891" s="2"/>
      <c r="I891" s="81"/>
      <c r="J891" s="2"/>
      <c r="K891" s="253"/>
    </row>
    <row r="892" spans="1:11" ht="15.75" customHeight="1">
      <c r="A892" s="4"/>
      <c r="B892" s="2"/>
      <c r="C892" s="2"/>
      <c r="D892" s="2"/>
      <c r="E892" s="2"/>
      <c r="F892" s="2"/>
      <c r="G892" s="2"/>
      <c r="H892" s="2"/>
      <c r="I892" s="81"/>
      <c r="J892" s="2"/>
      <c r="K892" s="253"/>
    </row>
    <row r="893" spans="1:11" ht="15.75" customHeight="1">
      <c r="A893" s="4"/>
      <c r="B893" s="2"/>
      <c r="C893" s="2"/>
      <c r="D893" s="2"/>
      <c r="E893" s="2"/>
      <c r="F893" s="2"/>
      <c r="G893" s="2"/>
      <c r="H893" s="2"/>
      <c r="I893" s="81"/>
      <c r="J893" s="2"/>
      <c r="K893" s="253"/>
    </row>
    <row r="894" spans="1:11" ht="15.75" customHeight="1">
      <c r="A894" s="4"/>
      <c r="B894" s="2"/>
      <c r="C894" s="2"/>
      <c r="D894" s="2"/>
      <c r="E894" s="2"/>
      <c r="F894" s="2"/>
      <c r="G894" s="2"/>
      <c r="H894" s="2"/>
      <c r="I894" s="81"/>
      <c r="J894" s="2"/>
      <c r="K894" s="253"/>
    </row>
    <row r="895" spans="1:11" ht="15.75" customHeight="1">
      <c r="A895" s="4"/>
      <c r="B895" s="2"/>
      <c r="C895" s="2"/>
      <c r="D895" s="2"/>
      <c r="E895" s="2"/>
      <c r="F895" s="2"/>
      <c r="G895" s="2"/>
      <c r="H895" s="2"/>
      <c r="I895" s="81"/>
      <c r="J895" s="2"/>
      <c r="K895" s="253"/>
    </row>
    <row r="896" spans="1:11" ht="15.75" customHeight="1">
      <c r="A896" s="4"/>
      <c r="B896" s="2"/>
      <c r="C896" s="2"/>
      <c r="D896" s="2"/>
      <c r="E896" s="2"/>
      <c r="F896" s="2"/>
      <c r="G896" s="2"/>
      <c r="H896" s="2"/>
      <c r="I896" s="81"/>
      <c r="J896" s="2"/>
      <c r="K896" s="253"/>
    </row>
    <row r="897" spans="1:11" ht="15.75" customHeight="1">
      <c r="A897" s="4"/>
      <c r="B897" s="2"/>
      <c r="C897" s="2"/>
      <c r="D897" s="2"/>
      <c r="E897" s="2"/>
      <c r="F897" s="2"/>
      <c r="G897" s="2"/>
      <c r="H897" s="2"/>
      <c r="I897" s="81"/>
      <c r="J897" s="2"/>
      <c r="K897" s="253"/>
    </row>
    <row r="898" spans="1:11" ht="15.75" customHeight="1">
      <c r="A898" s="4"/>
      <c r="B898" s="2"/>
      <c r="C898" s="2"/>
      <c r="D898" s="2"/>
      <c r="E898" s="2"/>
      <c r="F898" s="2"/>
      <c r="G898" s="2"/>
      <c r="H898" s="2"/>
      <c r="I898" s="81"/>
      <c r="J898" s="2"/>
      <c r="K898" s="253"/>
    </row>
    <row r="899" spans="1:11" ht="15.75" customHeight="1">
      <c r="A899" s="4"/>
      <c r="B899" s="2"/>
      <c r="C899" s="2"/>
      <c r="D899" s="2"/>
      <c r="E899" s="2"/>
      <c r="F899" s="2"/>
      <c r="G899" s="2"/>
      <c r="H899" s="2"/>
      <c r="I899" s="81"/>
      <c r="J899" s="2"/>
      <c r="K899" s="253"/>
    </row>
    <row r="900" spans="1:11" ht="15.75" customHeight="1">
      <c r="A900" s="4"/>
      <c r="B900" s="2"/>
      <c r="C900" s="2"/>
      <c r="D900" s="2"/>
      <c r="E900" s="2"/>
      <c r="F900" s="2"/>
      <c r="G900" s="2"/>
      <c r="H900" s="2"/>
      <c r="I900" s="81"/>
      <c r="J900" s="2"/>
      <c r="K900" s="253"/>
    </row>
    <row r="901" spans="1:11" ht="15.75" customHeight="1">
      <c r="A901" s="4"/>
      <c r="B901" s="2"/>
      <c r="C901" s="2"/>
      <c r="D901" s="2"/>
      <c r="E901" s="2"/>
      <c r="F901" s="2"/>
      <c r="G901" s="2"/>
      <c r="H901" s="2"/>
      <c r="I901" s="81"/>
      <c r="J901" s="2"/>
      <c r="K901" s="253"/>
    </row>
    <row r="902" spans="1:11" ht="15.75" customHeight="1">
      <c r="A902" s="4"/>
      <c r="B902" s="2"/>
      <c r="C902" s="2"/>
      <c r="D902" s="2"/>
      <c r="E902" s="2"/>
      <c r="F902" s="2"/>
      <c r="G902" s="2"/>
      <c r="H902" s="2"/>
      <c r="I902" s="81"/>
      <c r="J902" s="2"/>
      <c r="K902" s="253"/>
    </row>
    <row r="903" spans="1:11" ht="15.75" customHeight="1">
      <c r="A903" s="4"/>
      <c r="B903" s="2"/>
      <c r="C903" s="2"/>
      <c r="D903" s="2"/>
      <c r="E903" s="2"/>
      <c r="F903" s="2"/>
      <c r="G903" s="2"/>
      <c r="H903" s="2"/>
      <c r="I903" s="81"/>
      <c r="J903" s="2"/>
      <c r="K903" s="253"/>
    </row>
    <row r="904" spans="1:11" ht="15.75" customHeight="1">
      <c r="A904" s="4"/>
      <c r="B904" s="2"/>
      <c r="C904" s="2"/>
      <c r="D904" s="2"/>
      <c r="E904" s="2"/>
      <c r="F904" s="2"/>
      <c r="G904" s="2"/>
      <c r="H904" s="2"/>
      <c r="I904" s="81"/>
      <c r="J904" s="2"/>
      <c r="K904" s="253"/>
    </row>
    <row r="905" spans="1:11" ht="15.75" customHeight="1">
      <c r="A905" s="4"/>
      <c r="B905" s="2"/>
      <c r="C905" s="2"/>
      <c r="D905" s="2"/>
      <c r="E905" s="2"/>
      <c r="F905" s="2"/>
      <c r="G905" s="2"/>
      <c r="H905" s="2"/>
      <c r="I905" s="81"/>
      <c r="J905" s="2"/>
      <c r="K905" s="253"/>
    </row>
    <row r="906" spans="1:11" ht="15.75" customHeight="1">
      <c r="A906" s="4"/>
      <c r="B906" s="2"/>
      <c r="C906" s="2"/>
      <c r="D906" s="2"/>
      <c r="E906" s="2"/>
      <c r="F906" s="2"/>
      <c r="G906" s="2"/>
      <c r="H906" s="2"/>
      <c r="I906" s="81"/>
      <c r="J906" s="2"/>
      <c r="K906" s="253"/>
    </row>
    <row r="907" spans="1:11" ht="15.75" customHeight="1">
      <c r="A907" s="4"/>
      <c r="B907" s="2"/>
      <c r="C907" s="2"/>
      <c r="D907" s="2"/>
      <c r="E907" s="2"/>
      <c r="F907" s="2"/>
      <c r="G907" s="2"/>
      <c r="H907" s="2"/>
      <c r="I907" s="81"/>
      <c r="J907" s="2"/>
      <c r="K907" s="253"/>
    </row>
    <row r="908" spans="1:11" ht="15.75" customHeight="1">
      <c r="A908" s="4"/>
      <c r="B908" s="2"/>
      <c r="C908" s="2"/>
      <c r="D908" s="2"/>
      <c r="E908" s="2"/>
      <c r="F908" s="2"/>
      <c r="G908" s="2"/>
      <c r="H908" s="2"/>
      <c r="I908" s="81"/>
      <c r="J908" s="2"/>
      <c r="K908" s="253"/>
    </row>
    <row r="909" spans="1:11" ht="15.75" customHeight="1">
      <c r="A909" s="4"/>
      <c r="B909" s="2"/>
      <c r="C909" s="2"/>
      <c r="D909" s="2"/>
      <c r="E909" s="2"/>
      <c r="F909" s="2"/>
      <c r="G909" s="2"/>
      <c r="H909" s="2"/>
      <c r="I909" s="81"/>
      <c r="J909" s="2"/>
      <c r="K909" s="253"/>
    </row>
    <row r="910" spans="1:11" ht="15.75" customHeight="1">
      <c r="A910" s="4"/>
      <c r="B910" s="2"/>
      <c r="C910" s="2"/>
      <c r="D910" s="2"/>
      <c r="E910" s="2"/>
      <c r="F910" s="2"/>
      <c r="G910" s="2"/>
      <c r="H910" s="2"/>
      <c r="I910" s="81"/>
      <c r="J910" s="2"/>
      <c r="K910" s="253"/>
    </row>
    <row r="911" spans="1:11" ht="15.75" customHeight="1">
      <c r="A911" s="4"/>
      <c r="B911" s="2"/>
      <c r="C911" s="2"/>
      <c r="D911" s="2"/>
      <c r="E911" s="2"/>
      <c r="F911" s="2"/>
      <c r="G911" s="2"/>
      <c r="H911" s="2"/>
      <c r="I911" s="81"/>
      <c r="J911" s="2"/>
      <c r="K911" s="253"/>
    </row>
    <row r="912" spans="1:11" ht="15.75" customHeight="1">
      <c r="A912" s="4"/>
      <c r="B912" s="2"/>
      <c r="C912" s="2"/>
      <c r="D912" s="2"/>
      <c r="E912" s="2"/>
      <c r="F912" s="2"/>
      <c r="G912" s="2"/>
      <c r="H912" s="2"/>
      <c r="I912" s="81"/>
      <c r="J912" s="2"/>
      <c r="K912" s="253"/>
    </row>
    <row r="913" spans="1:11" ht="15.75" customHeight="1">
      <c r="A913" s="4"/>
      <c r="B913" s="2"/>
      <c r="C913" s="2"/>
      <c r="D913" s="2"/>
      <c r="E913" s="2"/>
      <c r="F913" s="2"/>
      <c r="G913" s="2"/>
      <c r="H913" s="2"/>
      <c r="I913" s="81"/>
      <c r="J913" s="2"/>
      <c r="K913" s="253"/>
    </row>
    <row r="914" spans="1:11" ht="15.75" customHeight="1">
      <c r="A914" s="4"/>
      <c r="B914" s="2"/>
      <c r="C914" s="2"/>
      <c r="D914" s="2"/>
      <c r="E914" s="2"/>
      <c r="F914" s="2"/>
      <c r="G914" s="2"/>
      <c r="H914" s="2"/>
      <c r="I914" s="81"/>
      <c r="J914" s="2"/>
      <c r="K914" s="253"/>
    </row>
    <row r="915" spans="1:11" ht="15.75" customHeight="1">
      <c r="A915" s="4"/>
      <c r="B915" s="2"/>
      <c r="C915" s="2"/>
      <c r="D915" s="2"/>
      <c r="E915" s="2"/>
      <c r="F915" s="2"/>
      <c r="G915" s="2"/>
      <c r="H915" s="2"/>
      <c r="I915" s="81"/>
      <c r="J915" s="2"/>
      <c r="K915" s="253"/>
    </row>
    <row r="916" spans="1:11" ht="15.75" customHeight="1">
      <c r="A916" s="4"/>
      <c r="B916" s="2"/>
      <c r="C916" s="2"/>
      <c r="D916" s="2"/>
      <c r="E916" s="2"/>
      <c r="F916" s="2"/>
      <c r="G916" s="2"/>
      <c r="H916" s="2"/>
      <c r="I916" s="81"/>
      <c r="J916" s="2"/>
      <c r="K916" s="253"/>
    </row>
    <row r="917" spans="1:11" ht="15.75" customHeight="1">
      <c r="A917" s="4"/>
      <c r="B917" s="2"/>
      <c r="C917" s="2"/>
      <c r="D917" s="2"/>
      <c r="E917" s="2"/>
      <c r="F917" s="2"/>
      <c r="G917" s="2"/>
      <c r="H917" s="2"/>
      <c r="I917" s="81"/>
      <c r="J917" s="2"/>
      <c r="K917" s="253"/>
    </row>
    <row r="918" spans="1:11" ht="15.75" customHeight="1">
      <c r="A918" s="4"/>
      <c r="B918" s="2"/>
      <c r="C918" s="2"/>
      <c r="D918" s="2"/>
      <c r="E918" s="2"/>
      <c r="F918" s="2"/>
      <c r="G918" s="2"/>
      <c r="H918" s="2"/>
      <c r="I918" s="81"/>
      <c r="J918" s="2"/>
      <c r="K918" s="253"/>
    </row>
    <row r="919" spans="1:11" ht="15.75" customHeight="1">
      <c r="A919" s="4"/>
      <c r="B919" s="2"/>
      <c r="C919" s="2"/>
      <c r="D919" s="2"/>
      <c r="E919" s="2"/>
      <c r="F919" s="2"/>
      <c r="G919" s="2"/>
      <c r="H919" s="2"/>
      <c r="I919" s="81"/>
      <c r="J919" s="2"/>
      <c r="K919" s="253"/>
    </row>
    <row r="920" spans="1:11" ht="15.75" customHeight="1">
      <c r="A920" s="4"/>
      <c r="B920" s="2"/>
      <c r="C920" s="2"/>
      <c r="D920" s="2"/>
      <c r="E920" s="2"/>
      <c r="F920" s="2"/>
      <c r="G920" s="2"/>
      <c r="H920" s="2"/>
      <c r="I920" s="81"/>
      <c r="J920" s="2"/>
      <c r="K920" s="253"/>
    </row>
    <row r="921" spans="1:11" ht="15.75" customHeight="1">
      <c r="A921" s="4"/>
      <c r="B921" s="2"/>
      <c r="C921" s="2"/>
      <c r="D921" s="2"/>
      <c r="E921" s="2"/>
      <c r="F921" s="2"/>
      <c r="G921" s="2"/>
      <c r="H921" s="2"/>
      <c r="I921" s="81"/>
      <c r="J921" s="2"/>
      <c r="K921" s="253"/>
    </row>
    <row r="922" spans="1:11" ht="15.75" customHeight="1">
      <c r="A922" s="4"/>
      <c r="B922" s="2"/>
      <c r="C922" s="2"/>
      <c r="D922" s="2"/>
      <c r="E922" s="2"/>
      <c r="F922" s="2"/>
      <c r="G922" s="2"/>
      <c r="H922" s="2"/>
      <c r="I922" s="81"/>
      <c r="J922" s="2"/>
      <c r="K922" s="253"/>
    </row>
    <row r="923" spans="1:11" ht="15.75" customHeight="1">
      <c r="A923" s="4"/>
      <c r="B923" s="2"/>
      <c r="C923" s="2"/>
      <c r="D923" s="2"/>
      <c r="E923" s="2"/>
      <c r="F923" s="2"/>
      <c r="G923" s="2"/>
      <c r="H923" s="2"/>
      <c r="I923" s="81"/>
      <c r="J923" s="2"/>
      <c r="K923" s="253"/>
    </row>
    <row r="924" spans="1:11" ht="15.75" customHeight="1">
      <c r="A924" s="4"/>
      <c r="B924" s="2"/>
      <c r="C924" s="2"/>
      <c r="D924" s="2"/>
      <c r="E924" s="2"/>
      <c r="F924" s="2"/>
      <c r="G924" s="2"/>
      <c r="H924" s="2"/>
      <c r="I924" s="81"/>
      <c r="J924" s="2"/>
      <c r="K924" s="253"/>
    </row>
    <row r="925" spans="1:11" ht="15.75" customHeight="1">
      <c r="A925" s="4"/>
      <c r="B925" s="2"/>
      <c r="C925" s="2"/>
      <c r="D925" s="2"/>
      <c r="E925" s="2"/>
      <c r="F925" s="2"/>
      <c r="G925" s="2"/>
      <c r="H925" s="2"/>
      <c r="I925" s="81"/>
      <c r="J925" s="2"/>
      <c r="K925" s="253"/>
    </row>
    <row r="926" spans="1:11" ht="15.75" customHeight="1">
      <c r="A926" s="4"/>
      <c r="B926" s="2"/>
      <c r="C926" s="2"/>
      <c r="D926" s="2"/>
      <c r="E926" s="2"/>
      <c r="F926" s="2"/>
      <c r="G926" s="2"/>
      <c r="H926" s="2"/>
      <c r="I926" s="81"/>
      <c r="J926" s="2"/>
      <c r="K926" s="253"/>
    </row>
    <row r="927" spans="1:11" ht="15.75" customHeight="1">
      <c r="A927" s="4"/>
      <c r="B927" s="2"/>
      <c r="C927" s="2"/>
      <c r="D927" s="2"/>
      <c r="E927" s="2"/>
      <c r="F927" s="2"/>
      <c r="G927" s="2"/>
      <c r="H927" s="2"/>
      <c r="I927" s="81"/>
      <c r="J927" s="2"/>
      <c r="K927" s="253"/>
    </row>
    <row r="928" spans="1:11" ht="15.75" customHeight="1">
      <c r="A928" s="4"/>
      <c r="B928" s="2"/>
      <c r="C928" s="2"/>
      <c r="D928" s="2"/>
      <c r="E928" s="2"/>
      <c r="F928" s="2"/>
      <c r="G928" s="2"/>
      <c r="H928" s="2"/>
      <c r="I928" s="81"/>
      <c r="J928" s="2"/>
      <c r="K928" s="253"/>
    </row>
    <row r="929" spans="1:11" ht="15.75" customHeight="1">
      <c r="A929" s="4"/>
      <c r="B929" s="2"/>
      <c r="C929" s="2"/>
      <c r="D929" s="2"/>
      <c r="E929" s="2"/>
      <c r="F929" s="2"/>
      <c r="G929" s="2"/>
      <c r="H929" s="2"/>
      <c r="I929" s="81"/>
      <c r="J929" s="2"/>
      <c r="K929" s="253"/>
    </row>
    <row r="930" spans="1:11" ht="15.75" customHeight="1">
      <c r="A930" s="4"/>
      <c r="B930" s="2"/>
      <c r="C930" s="2"/>
      <c r="D930" s="2"/>
      <c r="E930" s="2"/>
      <c r="F930" s="2"/>
      <c r="G930" s="2"/>
      <c r="H930" s="2"/>
      <c r="I930" s="81"/>
      <c r="J930" s="2"/>
      <c r="K930" s="253"/>
    </row>
    <row r="931" spans="1:11" ht="15.75" customHeight="1">
      <c r="A931" s="4"/>
      <c r="B931" s="2"/>
      <c r="C931" s="2"/>
      <c r="D931" s="2"/>
      <c r="E931" s="2"/>
      <c r="F931" s="2"/>
      <c r="G931" s="2"/>
      <c r="H931" s="2"/>
      <c r="I931" s="81"/>
      <c r="J931" s="2"/>
      <c r="K931" s="253"/>
    </row>
    <row r="932" spans="1:11" ht="15.75" customHeight="1">
      <c r="A932" s="4"/>
      <c r="B932" s="2"/>
      <c r="C932" s="2"/>
      <c r="D932" s="2"/>
      <c r="E932" s="2"/>
      <c r="F932" s="2"/>
      <c r="G932" s="2"/>
      <c r="H932" s="2"/>
      <c r="I932" s="81"/>
      <c r="J932" s="2"/>
      <c r="K932" s="253"/>
    </row>
    <row r="933" spans="1:11" ht="15.75" customHeight="1">
      <c r="A933" s="4"/>
      <c r="B933" s="2"/>
      <c r="C933" s="2"/>
      <c r="D933" s="2"/>
      <c r="E933" s="2"/>
      <c r="F933" s="2"/>
      <c r="G933" s="2"/>
      <c r="H933" s="2"/>
      <c r="I933" s="81"/>
      <c r="J933" s="2"/>
      <c r="K933" s="253"/>
    </row>
    <row r="934" spans="1:11" ht="15.75" customHeight="1">
      <c r="A934" s="4"/>
      <c r="B934" s="2"/>
      <c r="C934" s="2"/>
      <c r="D934" s="2"/>
      <c r="E934" s="2"/>
      <c r="F934" s="2"/>
      <c r="G934" s="2"/>
      <c r="H934" s="2"/>
      <c r="I934" s="81"/>
      <c r="J934" s="2"/>
      <c r="K934" s="253"/>
    </row>
    <row r="935" spans="1:11" ht="15.75" customHeight="1">
      <c r="A935" s="4"/>
      <c r="B935" s="2"/>
      <c r="C935" s="2"/>
      <c r="D935" s="2"/>
      <c r="E935" s="2"/>
      <c r="F935" s="2"/>
      <c r="G935" s="2"/>
      <c r="H935" s="2"/>
      <c r="I935" s="81"/>
      <c r="J935" s="2"/>
      <c r="K935" s="253"/>
    </row>
    <row r="936" spans="1:11" ht="15.75" customHeight="1">
      <c r="A936" s="4"/>
      <c r="B936" s="2"/>
      <c r="C936" s="2"/>
      <c r="D936" s="2"/>
      <c r="E936" s="2"/>
      <c r="F936" s="2"/>
      <c r="G936" s="2"/>
      <c r="H936" s="2"/>
      <c r="I936" s="81"/>
      <c r="J936" s="2"/>
      <c r="K936" s="253"/>
    </row>
    <row r="937" spans="1:11" ht="15.75" customHeight="1">
      <c r="A937" s="4"/>
      <c r="B937" s="2"/>
      <c r="C937" s="2"/>
      <c r="D937" s="2"/>
      <c r="E937" s="2"/>
      <c r="F937" s="2"/>
      <c r="G937" s="2"/>
      <c r="H937" s="2"/>
      <c r="I937" s="81"/>
      <c r="J937" s="2"/>
      <c r="K937" s="253"/>
    </row>
    <row r="938" spans="1:11" ht="15.75" customHeight="1">
      <c r="A938" s="4"/>
      <c r="B938" s="2"/>
      <c r="C938" s="2"/>
      <c r="D938" s="2"/>
      <c r="E938" s="2"/>
      <c r="F938" s="2"/>
      <c r="G938" s="2"/>
      <c r="H938" s="2"/>
      <c r="I938" s="81"/>
      <c r="J938" s="2"/>
      <c r="K938" s="253"/>
    </row>
    <row r="939" spans="1:11" ht="15.75" customHeight="1">
      <c r="A939" s="4"/>
      <c r="B939" s="2"/>
      <c r="C939" s="2"/>
      <c r="D939" s="2"/>
      <c r="E939" s="2"/>
      <c r="F939" s="2"/>
      <c r="G939" s="2"/>
      <c r="H939" s="2"/>
      <c r="I939" s="81"/>
      <c r="J939" s="2"/>
      <c r="K939" s="253"/>
    </row>
    <row r="940" spans="1:11" ht="15.75" customHeight="1">
      <c r="A940" s="4"/>
      <c r="B940" s="2"/>
      <c r="C940" s="2"/>
      <c r="D940" s="2"/>
      <c r="E940" s="2"/>
      <c r="F940" s="2"/>
      <c r="G940" s="2"/>
      <c r="H940" s="2"/>
      <c r="I940" s="81"/>
      <c r="J940" s="2"/>
      <c r="K940" s="253"/>
    </row>
    <row r="941" spans="1:11" ht="15.75" customHeight="1">
      <c r="A941" s="4"/>
      <c r="B941" s="2"/>
      <c r="C941" s="2"/>
      <c r="D941" s="2"/>
      <c r="E941" s="2"/>
      <c r="F941" s="2"/>
      <c r="G941" s="2"/>
      <c r="H941" s="2"/>
      <c r="I941" s="81"/>
      <c r="J941" s="2"/>
      <c r="K941" s="253"/>
    </row>
    <row r="942" spans="1:11" ht="15.75" customHeight="1">
      <c r="A942" s="4"/>
      <c r="B942" s="2"/>
      <c r="C942" s="2"/>
      <c r="D942" s="2"/>
      <c r="E942" s="2"/>
      <c r="F942" s="2"/>
      <c r="G942" s="2"/>
      <c r="H942" s="2"/>
      <c r="I942" s="81"/>
      <c r="J942" s="2"/>
      <c r="K942" s="253"/>
    </row>
    <row r="943" spans="1:11" ht="15.75" customHeight="1">
      <c r="A943" s="4"/>
      <c r="B943" s="2"/>
      <c r="C943" s="2"/>
      <c r="D943" s="2"/>
      <c r="E943" s="2"/>
      <c r="F943" s="2"/>
      <c r="G943" s="2"/>
      <c r="H943" s="2"/>
      <c r="I943" s="81"/>
      <c r="J943" s="2"/>
      <c r="K943" s="253"/>
    </row>
    <row r="944" spans="1:11" ht="15.75" customHeight="1">
      <c r="A944" s="4"/>
      <c r="B944" s="2"/>
      <c r="C944" s="2"/>
      <c r="D944" s="2"/>
      <c r="E944" s="2"/>
      <c r="F944" s="2"/>
      <c r="G944" s="2"/>
      <c r="H944" s="2"/>
      <c r="I944" s="81"/>
      <c r="J944" s="2"/>
      <c r="K944" s="253"/>
    </row>
    <row r="945" spans="1:11" ht="15.75" customHeight="1">
      <c r="A945" s="4"/>
      <c r="B945" s="2"/>
      <c r="C945" s="2"/>
      <c r="D945" s="2"/>
      <c r="E945" s="2"/>
      <c r="F945" s="2"/>
      <c r="G945" s="2"/>
      <c r="H945" s="2"/>
      <c r="I945" s="81"/>
      <c r="J945" s="2"/>
      <c r="K945" s="253"/>
    </row>
    <row r="946" spans="1:11" ht="15.75" customHeight="1">
      <c r="A946" s="4"/>
      <c r="B946" s="2"/>
      <c r="C946" s="2"/>
      <c r="D946" s="2"/>
      <c r="E946" s="2"/>
      <c r="F946" s="2"/>
      <c r="G946" s="2"/>
      <c r="H946" s="2"/>
      <c r="I946" s="81"/>
      <c r="J946" s="2"/>
      <c r="K946" s="253"/>
    </row>
    <row r="947" spans="1:11" ht="15.75" customHeight="1">
      <c r="A947" s="4"/>
      <c r="B947" s="2"/>
      <c r="C947" s="2"/>
      <c r="D947" s="2"/>
      <c r="E947" s="2"/>
      <c r="F947" s="2"/>
      <c r="G947" s="2"/>
      <c r="H947" s="2"/>
      <c r="I947" s="81"/>
      <c r="J947" s="2"/>
      <c r="K947" s="253"/>
    </row>
    <row r="948" spans="1:11" ht="15.75" customHeight="1">
      <c r="A948" s="4"/>
      <c r="B948" s="2"/>
      <c r="C948" s="2"/>
      <c r="D948" s="2"/>
      <c r="E948" s="2"/>
      <c r="F948" s="2"/>
      <c r="G948" s="2"/>
      <c r="H948" s="2"/>
      <c r="I948" s="81"/>
      <c r="J948" s="2"/>
      <c r="K948" s="253"/>
    </row>
    <row r="949" spans="1:11" ht="15.75" customHeight="1">
      <c r="A949" s="4"/>
      <c r="B949" s="2"/>
      <c r="C949" s="2"/>
      <c r="D949" s="2"/>
      <c r="E949" s="2"/>
      <c r="F949" s="2"/>
      <c r="G949" s="2"/>
      <c r="H949" s="2"/>
      <c r="I949" s="81"/>
      <c r="J949" s="2"/>
      <c r="K949" s="253"/>
    </row>
    <row r="950" spans="1:11" ht="15.75" customHeight="1">
      <c r="A950" s="4"/>
      <c r="B950" s="2"/>
      <c r="C950" s="2"/>
      <c r="D950" s="2"/>
      <c r="E950" s="2"/>
      <c r="F950" s="2"/>
      <c r="G950" s="2"/>
      <c r="H950" s="2"/>
      <c r="I950" s="81"/>
      <c r="J950" s="2"/>
      <c r="K950" s="253"/>
    </row>
    <row r="951" spans="1:11" ht="15.75" customHeight="1">
      <c r="A951" s="4"/>
      <c r="B951" s="2"/>
      <c r="C951" s="2"/>
      <c r="D951" s="2"/>
      <c r="E951" s="2"/>
      <c r="F951" s="2"/>
      <c r="G951" s="2"/>
      <c r="H951" s="2"/>
      <c r="I951" s="81"/>
      <c r="J951" s="2"/>
      <c r="K951" s="253"/>
    </row>
    <row r="952" spans="1:11" ht="15.75" customHeight="1">
      <c r="A952" s="4"/>
      <c r="B952" s="2"/>
      <c r="C952" s="2"/>
      <c r="D952" s="2"/>
      <c r="E952" s="2"/>
      <c r="F952" s="2"/>
      <c r="G952" s="2"/>
      <c r="H952" s="2"/>
      <c r="I952" s="81"/>
      <c r="J952" s="2"/>
      <c r="K952" s="253"/>
    </row>
    <row r="953" spans="1:11" ht="15.75" customHeight="1">
      <c r="A953" s="4"/>
      <c r="B953" s="2"/>
      <c r="C953" s="2"/>
      <c r="D953" s="2"/>
      <c r="E953" s="2"/>
      <c r="F953" s="2"/>
      <c r="G953" s="2"/>
      <c r="H953" s="2"/>
      <c r="I953" s="81"/>
      <c r="J953" s="2"/>
      <c r="K953" s="253"/>
    </row>
    <row r="954" spans="1:11" ht="15.75" customHeight="1">
      <c r="A954" s="4"/>
      <c r="B954" s="2"/>
      <c r="C954" s="2"/>
      <c r="D954" s="2"/>
      <c r="E954" s="2"/>
      <c r="F954" s="2"/>
      <c r="G954" s="2"/>
      <c r="H954" s="2"/>
      <c r="I954" s="81"/>
      <c r="J954" s="2"/>
      <c r="K954" s="253"/>
    </row>
    <row r="955" spans="1:11" ht="15.75" customHeight="1">
      <c r="A955" s="4"/>
      <c r="B955" s="2"/>
      <c r="C955" s="2"/>
      <c r="D955" s="2"/>
      <c r="E955" s="2"/>
      <c r="F955" s="2"/>
      <c r="G955" s="2"/>
      <c r="H955" s="2"/>
      <c r="I955" s="81"/>
      <c r="J955" s="2"/>
      <c r="K955" s="253"/>
    </row>
    <row r="956" spans="1:11" ht="15.75" customHeight="1">
      <c r="A956" s="4"/>
      <c r="B956" s="2"/>
      <c r="C956" s="2"/>
      <c r="D956" s="2"/>
      <c r="E956" s="2"/>
      <c r="F956" s="2"/>
      <c r="G956" s="2"/>
      <c r="H956" s="2"/>
      <c r="I956" s="81"/>
      <c r="J956" s="2"/>
      <c r="K956" s="253"/>
    </row>
    <row r="957" spans="1:11" ht="15.75" customHeight="1">
      <c r="A957" s="4"/>
      <c r="B957" s="2"/>
      <c r="C957" s="2"/>
      <c r="D957" s="2"/>
      <c r="E957" s="2"/>
      <c r="F957" s="2"/>
      <c r="G957" s="2"/>
      <c r="H957" s="2"/>
      <c r="I957" s="81"/>
      <c r="J957" s="2"/>
      <c r="K957" s="253"/>
    </row>
    <row r="958" spans="1:11" ht="15.75" customHeight="1">
      <c r="A958" s="4"/>
      <c r="B958" s="2"/>
      <c r="C958" s="2"/>
      <c r="D958" s="2"/>
      <c r="E958" s="2"/>
      <c r="F958" s="2"/>
      <c r="G958" s="2"/>
      <c r="H958" s="2"/>
      <c r="I958" s="81"/>
      <c r="J958" s="2"/>
      <c r="K958" s="253"/>
    </row>
    <row r="959" spans="1:11" ht="15.75" customHeight="1">
      <c r="A959" s="4"/>
      <c r="B959" s="2"/>
      <c r="C959" s="2"/>
      <c r="D959" s="2"/>
      <c r="E959" s="2"/>
      <c r="F959" s="2"/>
      <c r="G959" s="2"/>
      <c r="H959" s="2"/>
      <c r="I959" s="81"/>
      <c r="J959" s="2"/>
      <c r="K959" s="253"/>
    </row>
    <row r="960" spans="1:11" ht="15.75" customHeight="1">
      <c r="A960" s="4"/>
      <c r="B960" s="2"/>
      <c r="C960" s="2"/>
      <c r="D960" s="2"/>
      <c r="E960" s="2"/>
      <c r="F960" s="2"/>
      <c r="G960" s="2"/>
      <c r="H960" s="2"/>
      <c r="I960" s="81"/>
      <c r="J960" s="2"/>
      <c r="K960" s="253"/>
    </row>
    <row r="961" spans="1:11" ht="15.75" customHeight="1">
      <c r="A961" s="4"/>
      <c r="B961" s="2"/>
      <c r="C961" s="2"/>
      <c r="D961" s="2"/>
      <c r="E961" s="2"/>
      <c r="F961" s="2"/>
      <c r="G961" s="2"/>
      <c r="H961" s="2"/>
      <c r="I961" s="81"/>
      <c r="J961" s="2"/>
      <c r="K961" s="253"/>
    </row>
    <row r="962" spans="1:11" ht="15.75" customHeight="1">
      <c r="A962" s="4"/>
      <c r="B962" s="2"/>
      <c r="C962" s="2"/>
      <c r="D962" s="2"/>
      <c r="E962" s="2"/>
      <c r="F962" s="2"/>
      <c r="G962" s="2"/>
      <c r="H962" s="2"/>
      <c r="I962" s="81"/>
      <c r="J962" s="2"/>
      <c r="K962" s="253"/>
    </row>
    <row r="963" spans="1:11" ht="15.75" customHeight="1">
      <c r="A963" s="4"/>
      <c r="B963" s="2"/>
      <c r="C963" s="2"/>
      <c r="D963" s="2"/>
      <c r="E963" s="2"/>
      <c r="F963" s="2"/>
      <c r="G963" s="2"/>
      <c r="H963" s="2"/>
      <c r="I963" s="81"/>
      <c r="J963" s="2"/>
      <c r="K963" s="253"/>
    </row>
    <row r="964" spans="1:11" ht="15.75" customHeight="1">
      <c r="A964" s="4"/>
      <c r="B964" s="2"/>
      <c r="C964" s="2"/>
      <c r="D964" s="2"/>
      <c r="E964" s="2"/>
      <c r="F964" s="2"/>
      <c r="G964" s="2"/>
      <c r="H964" s="2"/>
      <c r="I964" s="81"/>
      <c r="J964" s="2"/>
      <c r="K964" s="253"/>
    </row>
    <row r="965" spans="1:11" ht="15.75" customHeight="1">
      <c r="A965" s="4"/>
      <c r="B965" s="2"/>
      <c r="C965" s="2"/>
      <c r="D965" s="2"/>
      <c r="E965" s="2"/>
      <c r="F965" s="2"/>
      <c r="G965" s="2"/>
      <c r="H965" s="2"/>
      <c r="I965" s="81"/>
      <c r="J965" s="2"/>
      <c r="K965" s="253"/>
    </row>
    <row r="966" spans="1:11" ht="15.75" customHeight="1">
      <c r="A966" s="4"/>
      <c r="B966" s="2"/>
      <c r="C966" s="2"/>
      <c r="D966" s="2"/>
      <c r="E966" s="2"/>
      <c r="F966" s="2"/>
      <c r="G966" s="2"/>
      <c r="H966" s="2"/>
      <c r="I966" s="81"/>
      <c r="J966" s="2"/>
      <c r="K966" s="253"/>
    </row>
    <row r="967" spans="1:11" ht="15.75" customHeight="1">
      <c r="A967" s="4"/>
      <c r="B967" s="2"/>
      <c r="C967" s="2"/>
      <c r="D967" s="2"/>
      <c r="E967" s="2"/>
      <c r="F967" s="2"/>
      <c r="G967" s="2"/>
      <c r="H967" s="2"/>
      <c r="I967" s="81"/>
      <c r="J967" s="2"/>
      <c r="K967" s="253"/>
    </row>
    <row r="968" spans="1:11" ht="15.75" customHeight="1">
      <c r="A968" s="4"/>
      <c r="B968" s="2"/>
      <c r="C968" s="2"/>
      <c r="D968" s="2"/>
      <c r="E968" s="2"/>
      <c r="F968" s="2"/>
      <c r="G968" s="2"/>
      <c r="H968" s="2"/>
      <c r="I968" s="81"/>
      <c r="J968" s="2"/>
      <c r="K968" s="253"/>
    </row>
    <row r="969" spans="1:11" ht="15.75" customHeight="1">
      <c r="A969" s="4"/>
      <c r="B969" s="2"/>
      <c r="C969" s="2"/>
      <c r="D969" s="2"/>
      <c r="E969" s="2"/>
      <c r="F969" s="2"/>
      <c r="G969" s="2"/>
      <c r="H969" s="2"/>
      <c r="I969" s="81"/>
      <c r="J969" s="2"/>
      <c r="K969" s="253"/>
    </row>
    <row r="970" spans="1:11" ht="15.75" customHeight="1">
      <c r="A970" s="4"/>
      <c r="B970" s="2"/>
      <c r="C970" s="2"/>
      <c r="D970" s="2"/>
      <c r="E970" s="2"/>
      <c r="F970" s="2"/>
      <c r="G970" s="2"/>
      <c r="H970" s="2"/>
      <c r="I970" s="81"/>
      <c r="J970" s="2"/>
      <c r="K970" s="253"/>
    </row>
    <row r="971" spans="1:11" ht="15.75" customHeight="1">
      <c r="A971" s="4"/>
      <c r="B971" s="2"/>
      <c r="C971" s="2"/>
      <c r="D971" s="2"/>
      <c r="E971" s="2"/>
      <c r="F971" s="2"/>
      <c r="G971" s="2"/>
      <c r="H971" s="2"/>
      <c r="I971" s="81"/>
      <c r="J971" s="2"/>
      <c r="K971" s="253"/>
    </row>
    <row r="972" spans="1:11" ht="15.75" customHeight="1">
      <c r="A972" s="4"/>
      <c r="B972" s="2"/>
      <c r="C972" s="2"/>
      <c r="D972" s="2"/>
      <c r="E972" s="2"/>
      <c r="F972" s="2"/>
      <c r="G972" s="2"/>
      <c r="H972" s="2"/>
      <c r="I972" s="81"/>
      <c r="J972" s="2"/>
      <c r="K972" s="253"/>
    </row>
    <row r="973" spans="1:11" ht="15.75" customHeight="1">
      <c r="A973" s="4"/>
      <c r="B973" s="2"/>
      <c r="C973" s="2"/>
      <c r="D973" s="2"/>
      <c r="E973" s="2"/>
      <c r="F973" s="2"/>
      <c r="G973" s="2"/>
      <c r="H973" s="2"/>
      <c r="I973" s="81"/>
      <c r="J973" s="2"/>
      <c r="K973" s="253"/>
    </row>
    <row r="974" spans="1:11" ht="15.75" customHeight="1">
      <c r="A974" s="4"/>
      <c r="B974" s="2"/>
      <c r="C974" s="2"/>
      <c r="D974" s="2"/>
      <c r="E974" s="2"/>
      <c r="F974" s="2"/>
      <c r="G974" s="2"/>
      <c r="H974" s="2"/>
      <c r="I974" s="81"/>
      <c r="J974" s="2"/>
      <c r="K974" s="253"/>
    </row>
    <row r="975" spans="1:11" ht="15.75" customHeight="1">
      <c r="A975" s="4"/>
      <c r="B975" s="2"/>
      <c r="C975" s="2"/>
      <c r="D975" s="2"/>
      <c r="E975" s="2"/>
      <c r="F975" s="2"/>
      <c r="G975" s="2"/>
      <c r="H975" s="2"/>
      <c r="I975" s="81"/>
      <c r="J975" s="2"/>
      <c r="K975" s="253"/>
    </row>
    <row r="976" spans="1:11" ht="15.75" customHeight="1">
      <c r="A976" s="4"/>
      <c r="B976" s="2"/>
      <c r="C976" s="2"/>
      <c r="D976" s="2"/>
      <c r="E976" s="2"/>
      <c r="F976" s="2"/>
      <c r="G976" s="2"/>
      <c r="H976" s="2"/>
      <c r="I976" s="81"/>
      <c r="J976" s="2"/>
      <c r="K976" s="253"/>
    </row>
    <row r="977" spans="1:11" ht="15.75" customHeight="1">
      <c r="A977" s="4"/>
      <c r="B977" s="2"/>
      <c r="C977" s="2"/>
      <c r="D977" s="2"/>
      <c r="E977" s="2"/>
      <c r="F977" s="2"/>
      <c r="G977" s="2"/>
      <c r="H977" s="2"/>
      <c r="I977" s="81"/>
      <c r="J977" s="2"/>
      <c r="K977" s="253"/>
    </row>
    <row r="978" spans="1:11" ht="15.75" customHeight="1">
      <c r="A978" s="4"/>
      <c r="B978" s="2"/>
      <c r="C978" s="2"/>
      <c r="D978" s="2"/>
      <c r="E978" s="2"/>
      <c r="F978" s="2"/>
      <c r="G978" s="2"/>
      <c r="H978" s="2"/>
      <c r="I978" s="81"/>
      <c r="J978" s="2"/>
      <c r="K978" s="253"/>
    </row>
    <row r="979" spans="1:11" ht="15.75" customHeight="1">
      <c r="A979" s="4"/>
      <c r="B979" s="2"/>
      <c r="C979" s="2"/>
      <c r="D979" s="2"/>
      <c r="E979" s="2"/>
      <c r="F979" s="2"/>
      <c r="G979" s="2"/>
      <c r="H979" s="2"/>
      <c r="I979" s="81"/>
      <c r="J979" s="2"/>
      <c r="K979" s="253"/>
    </row>
    <row r="980" spans="1:11" ht="15.75" customHeight="1">
      <c r="A980" s="4"/>
      <c r="B980" s="2"/>
      <c r="C980" s="2"/>
      <c r="D980" s="2"/>
      <c r="E980" s="2"/>
      <c r="F980" s="2"/>
      <c r="G980" s="2"/>
      <c r="H980" s="2"/>
      <c r="I980" s="81"/>
      <c r="J980" s="2"/>
      <c r="K980" s="253"/>
    </row>
    <row r="981" spans="1:11" ht="15.75" customHeight="1">
      <c r="A981" s="4"/>
      <c r="B981" s="2"/>
      <c r="C981" s="2"/>
      <c r="D981" s="2"/>
      <c r="E981" s="2"/>
      <c r="F981" s="2"/>
      <c r="G981" s="2"/>
      <c r="H981" s="2"/>
      <c r="I981" s="81"/>
      <c r="J981" s="2"/>
      <c r="K981" s="253"/>
    </row>
    <row r="982" spans="1:11" ht="15.75" customHeight="1">
      <c r="A982" s="4"/>
      <c r="B982" s="2"/>
      <c r="C982" s="2"/>
      <c r="D982" s="2"/>
      <c r="E982" s="2"/>
      <c r="F982" s="2"/>
      <c r="G982" s="2"/>
      <c r="H982" s="2"/>
      <c r="I982" s="81"/>
      <c r="J982" s="2"/>
      <c r="K982" s="253"/>
    </row>
    <row r="983" spans="1:11" ht="15.75" customHeight="1">
      <c r="A983" s="4"/>
      <c r="B983" s="2"/>
      <c r="C983" s="2"/>
      <c r="D983" s="2"/>
      <c r="E983" s="2"/>
      <c r="F983" s="2"/>
      <c r="G983" s="2"/>
      <c r="H983" s="2"/>
      <c r="I983" s="81"/>
      <c r="J983" s="2"/>
      <c r="K983" s="253"/>
    </row>
    <row r="984" spans="1:11" ht="15.75" customHeight="1">
      <c r="A984" s="4"/>
      <c r="B984" s="2"/>
      <c r="C984" s="2"/>
      <c r="D984" s="2"/>
      <c r="E984" s="2"/>
      <c r="F984" s="2"/>
      <c r="G984" s="2"/>
      <c r="H984" s="2"/>
      <c r="I984" s="81"/>
      <c r="J984" s="2"/>
      <c r="K984" s="253"/>
    </row>
    <row r="985" spans="1:11" ht="15.75" customHeight="1">
      <c r="A985" s="4"/>
      <c r="B985" s="2"/>
      <c r="C985" s="2"/>
      <c r="D985" s="2"/>
      <c r="E985" s="2"/>
      <c r="F985" s="2"/>
      <c r="G985" s="2"/>
      <c r="H985" s="2"/>
      <c r="I985" s="81"/>
      <c r="J985" s="2"/>
      <c r="K985" s="253"/>
    </row>
    <row r="986" spans="1:11" ht="15.75" customHeight="1">
      <c r="A986" s="4"/>
      <c r="B986" s="2"/>
      <c r="C986" s="2"/>
      <c r="D986" s="2"/>
      <c r="E986" s="2"/>
      <c r="F986" s="2"/>
      <c r="G986" s="2"/>
      <c r="H986" s="2"/>
      <c r="I986" s="81"/>
      <c r="J986" s="2"/>
      <c r="K986" s="253"/>
    </row>
    <row r="987" spans="1:11" ht="15.75" customHeight="1">
      <c r="A987" s="4"/>
      <c r="B987" s="2"/>
      <c r="C987" s="2"/>
      <c r="D987" s="2"/>
      <c r="E987" s="2"/>
      <c r="F987" s="2"/>
      <c r="G987" s="2"/>
      <c r="H987" s="2"/>
      <c r="I987" s="81"/>
      <c r="J987" s="2"/>
      <c r="K987" s="253"/>
    </row>
    <row r="988" spans="1:11" ht="15.75" customHeight="1">
      <c r="A988" s="4"/>
      <c r="B988" s="2"/>
      <c r="C988" s="2"/>
      <c r="D988" s="2"/>
      <c r="E988" s="2"/>
      <c r="F988" s="2"/>
      <c r="G988" s="2"/>
      <c r="H988" s="2"/>
      <c r="I988" s="81"/>
      <c r="J988" s="2"/>
      <c r="K988" s="253"/>
    </row>
    <row r="989" spans="1:11" ht="15.75" customHeight="1">
      <c r="A989" s="4"/>
      <c r="B989" s="2"/>
      <c r="C989" s="2"/>
      <c r="D989" s="2"/>
      <c r="E989" s="2"/>
      <c r="F989" s="2"/>
      <c r="G989" s="2"/>
      <c r="H989" s="2"/>
      <c r="I989" s="81"/>
      <c r="J989" s="2"/>
      <c r="K989" s="253"/>
    </row>
    <row r="990" spans="1:11" ht="15.75" customHeight="1">
      <c r="A990" s="4"/>
      <c r="B990" s="2"/>
      <c r="C990" s="2"/>
      <c r="D990" s="2"/>
      <c r="E990" s="2"/>
      <c r="F990" s="2"/>
      <c r="G990" s="2"/>
      <c r="H990" s="2"/>
      <c r="I990" s="81"/>
      <c r="J990" s="2"/>
      <c r="K990" s="253"/>
    </row>
    <row r="991" spans="1:11" ht="15.75" customHeight="1">
      <c r="A991" s="4"/>
      <c r="B991" s="2"/>
      <c r="C991" s="2"/>
      <c r="D991" s="2"/>
      <c r="E991" s="2"/>
      <c r="F991" s="2"/>
      <c r="G991" s="2"/>
      <c r="H991" s="2"/>
      <c r="I991" s="81"/>
      <c r="J991" s="2"/>
      <c r="K991" s="253"/>
    </row>
    <row r="992" spans="1:11" ht="15.75" customHeight="1">
      <c r="A992" s="4"/>
      <c r="B992" s="2"/>
      <c r="C992" s="2"/>
      <c r="D992" s="2"/>
      <c r="E992" s="2"/>
      <c r="F992" s="2"/>
      <c r="G992" s="2"/>
      <c r="H992" s="2"/>
      <c r="I992" s="81"/>
      <c r="J992" s="2"/>
      <c r="K992" s="253"/>
    </row>
    <row r="993" spans="1:11" ht="15.75" customHeight="1">
      <c r="A993" s="4"/>
      <c r="B993" s="2"/>
      <c r="C993" s="2"/>
      <c r="D993" s="2"/>
      <c r="E993" s="2"/>
      <c r="F993" s="2"/>
      <c r="G993" s="2"/>
      <c r="H993" s="2"/>
      <c r="I993" s="81"/>
      <c r="J993" s="2"/>
      <c r="K993" s="253"/>
    </row>
    <row r="994" spans="1:11" ht="15.75" customHeight="1">
      <c r="A994" s="4"/>
      <c r="B994" s="2"/>
      <c r="C994" s="2"/>
      <c r="D994" s="2"/>
      <c r="E994" s="2"/>
      <c r="F994" s="2"/>
      <c r="G994" s="2"/>
      <c r="H994" s="2"/>
      <c r="I994" s="81"/>
      <c r="J994" s="2"/>
      <c r="K994" s="253"/>
    </row>
    <row r="995" spans="1:11" ht="15.75" customHeight="1">
      <c r="A995" s="4"/>
      <c r="B995" s="2"/>
      <c r="C995" s="2"/>
      <c r="D995" s="2"/>
      <c r="E995" s="2"/>
      <c r="F995" s="2"/>
      <c r="G995" s="2"/>
      <c r="H995" s="2"/>
      <c r="I995" s="81"/>
      <c r="J995" s="2"/>
      <c r="K995" s="253"/>
    </row>
    <row r="996" spans="1:11" ht="15.75" customHeight="1">
      <c r="A996" s="4"/>
      <c r="B996" s="2"/>
      <c r="C996" s="2"/>
      <c r="D996" s="2"/>
      <c r="E996" s="2"/>
      <c r="F996" s="2"/>
      <c r="G996" s="2"/>
      <c r="H996" s="2"/>
      <c r="I996" s="81"/>
      <c r="J996" s="2"/>
      <c r="K996" s="253"/>
    </row>
    <row r="997" spans="1:11" ht="15.75" customHeight="1">
      <c r="A997" s="4"/>
      <c r="B997" s="2"/>
      <c r="C997" s="2"/>
      <c r="D997" s="2"/>
      <c r="E997" s="2"/>
      <c r="F997" s="2"/>
      <c r="G997" s="2"/>
      <c r="H997" s="2"/>
      <c r="I997" s="81"/>
      <c r="J997" s="2"/>
      <c r="K997" s="253"/>
    </row>
    <row r="998" spans="1:11" ht="15.75" customHeight="1">
      <c r="A998" s="4"/>
      <c r="B998" s="2"/>
      <c r="C998" s="2"/>
      <c r="D998" s="2"/>
      <c r="E998" s="2"/>
      <c r="F998" s="2"/>
      <c r="G998" s="2"/>
      <c r="H998" s="2"/>
      <c r="I998" s="81"/>
      <c r="J998" s="2"/>
      <c r="K998" s="253"/>
    </row>
    <row r="999" spans="1:11" ht="15.75" customHeight="1">
      <c r="A999" s="4"/>
      <c r="B999" s="2"/>
      <c r="C999" s="2"/>
      <c r="D999" s="2"/>
      <c r="E999" s="2"/>
      <c r="F999" s="2"/>
      <c r="G999" s="2"/>
      <c r="H999" s="2"/>
      <c r="I999" s="81"/>
      <c r="J999" s="2"/>
      <c r="K999" s="253"/>
    </row>
    <row r="1000" spans="1:11" ht="15.75" customHeight="1">
      <c r="A1000" s="4"/>
      <c r="B1000" s="2"/>
      <c r="C1000" s="2"/>
      <c r="D1000" s="2"/>
      <c r="E1000" s="2"/>
      <c r="F1000" s="2"/>
      <c r="G1000" s="2"/>
      <c r="H1000" s="2"/>
      <c r="I1000" s="81"/>
      <c r="J1000" s="2"/>
      <c r="K1000" s="253"/>
    </row>
  </sheetData>
  <mergeCells count="9">
    <mergeCell ref="L165:L166"/>
    <mergeCell ref="E246:G246"/>
    <mergeCell ref="E247:H247"/>
    <mergeCell ref="A1:I1"/>
    <mergeCell ref="B2:I2"/>
    <mergeCell ref="J3:K3"/>
    <mergeCell ref="F7:H7"/>
    <mergeCell ref="J7:K7"/>
    <mergeCell ref="A8:B8"/>
  </mergeCells>
  <pageMargins left="0.7" right="0.7" top="0.75" bottom="0.75" header="0" footer="0"/>
  <pageSetup paperSize="5" scale="90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Z1000"/>
  <sheetViews>
    <sheetView topLeftCell="A11" workbookViewId="0">
      <selection sqref="A1:J1"/>
    </sheetView>
  </sheetViews>
  <sheetFormatPr defaultColWidth="14.42578125" defaultRowHeight="15" customHeight="1"/>
  <cols>
    <col min="1" max="1" width="4.7109375" customWidth="1"/>
    <col min="2" max="2" width="25.14062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6" customWidth="1"/>
    <col min="9" max="9" width="14.42578125" customWidth="1"/>
    <col min="10" max="10" width="11.85546875" customWidth="1"/>
    <col min="11" max="11" width="13" customWidth="1"/>
    <col min="12" max="12" width="19.85546875" customWidth="1"/>
    <col min="13" max="26" width="8.7109375" customWidth="1"/>
  </cols>
  <sheetData>
    <row r="1" spans="1:26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26" ht="18">
      <c r="A2" s="4"/>
      <c r="B2" s="5"/>
      <c r="C2" s="755" t="s">
        <v>3266</v>
      </c>
      <c r="D2" s="711"/>
      <c r="E2" s="711"/>
      <c r="F2" s="711"/>
      <c r="G2" s="711"/>
      <c r="H2" s="711"/>
      <c r="I2" s="55"/>
      <c r="J2" s="92"/>
      <c r="K2" s="9"/>
      <c r="L2" s="9"/>
    </row>
    <row r="3" spans="1:26">
      <c r="A3" s="4"/>
      <c r="B3" s="5"/>
      <c r="C3" s="93"/>
      <c r="D3" s="5"/>
      <c r="E3" s="5"/>
      <c r="G3" s="5"/>
      <c r="H3" s="93"/>
      <c r="I3" s="55"/>
      <c r="J3" s="92"/>
      <c r="K3" s="11" t="s">
        <v>3458</v>
      </c>
      <c r="L3" s="104"/>
    </row>
    <row r="4" spans="1:26">
      <c r="A4" s="4"/>
      <c r="B4" s="5"/>
      <c r="C4" s="93"/>
      <c r="D4" s="5"/>
      <c r="E4" s="5"/>
      <c r="G4" s="5"/>
      <c r="H4" s="93"/>
      <c r="I4" s="55"/>
      <c r="J4" s="92"/>
      <c r="K4" s="94" t="s">
        <v>3459</v>
      </c>
      <c r="L4" s="253"/>
    </row>
    <row r="5" spans="1:26">
      <c r="A5" s="4"/>
      <c r="B5" s="5"/>
      <c r="C5" s="93"/>
      <c r="D5" s="5"/>
      <c r="E5" s="5"/>
      <c r="G5" s="5"/>
      <c r="H5" s="93"/>
      <c r="I5" s="55"/>
      <c r="J5" s="92"/>
      <c r="K5" s="94" t="s">
        <v>3460</v>
      </c>
      <c r="L5" s="253"/>
    </row>
    <row r="6" spans="1:26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3461</v>
      </c>
      <c r="L6" s="62"/>
    </row>
    <row r="7" spans="1:26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26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26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98" t="s">
        <v>17</v>
      </c>
      <c r="I9" s="102" t="s">
        <v>18</v>
      </c>
      <c r="J9" s="106"/>
      <c r="K9" s="25" t="s">
        <v>19</v>
      </c>
      <c r="L9" s="25" t="s">
        <v>20</v>
      </c>
    </row>
    <row r="10" spans="1:26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26">
      <c r="A11" s="510" t="s">
        <v>24</v>
      </c>
      <c r="B11" s="21"/>
      <c r="C11" s="360"/>
      <c r="D11" s="21"/>
      <c r="E11" s="21"/>
      <c r="F11" s="104"/>
      <c r="G11" s="21"/>
      <c r="H11" s="511"/>
      <c r="I11" s="361"/>
      <c r="J11" s="99"/>
      <c r="K11" s="104"/>
      <c r="L11" s="104"/>
    </row>
    <row r="12" spans="1:26" ht="20.25" customHeight="1">
      <c r="A12" s="166">
        <v>3</v>
      </c>
      <c r="B12" s="166" t="s">
        <v>3462</v>
      </c>
      <c r="C12" s="396"/>
      <c r="D12" s="166"/>
      <c r="E12" s="166" t="s">
        <v>135</v>
      </c>
      <c r="F12" s="166"/>
      <c r="G12" s="512" t="s">
        <v>3463</v>
      </c>
      <c r="H12" s="453" t="s">
        <v>30</v>
      </c>
      <c r="I12" s="513">
        <v>4500</v>
      </c>
      <c r="J12" s="514" t="s">
        <v>1586</v>
      </c>
      <c r="K12" s="515" t="s">
        <v>769</v>
      </c>
      <c r="L12" s="113" t="s">
        <v>32</v>
      </c>
    </row>
    <row r="13" spans="1:26" ht="20.25" customHeight="1">
      <c r="A13" s="166">
        <v>6</v>
      </c>
      <c r="B13" s="452" t="s">
        <v>3254</v>
      </c>
      <c r="C13" s="396"/>
      <c r="D13" s="452"/>
      <c r="E13" s="452" t="s">
        <v>47</v>
      </c>
      <c r="F13" s="166"/>
      <c r="G13" s="452" t="s">
        <v>3464</v>
      </c>
      <c r="H13" s="453" t="s">
        <v>30</v>
      </c>
      <c r="I13" s="513">
        <v>7500</v>
      </c>
      <c r="J13" s="516" t="s">
        <v>1586</v>
      </c>
      <c r="K13" s="515" t="s">
        <v>771</v>
      </c>
      <c r="L13" s="113" t="s">
        <v>32</v>
      </c>
    </row>
    <row r="14" spans="1:26" ht="20.25" customHeight="1">
      <c r="A14" s="48">
        <v>6</v>
      </c>
      <c r="B14" s="255" t="s">
        <v>3465</v>
      </c>
      <c r="C14" s="79"/>
      <c r="D14" s="120"/>
      <c r="E14" s="120" t="s">
        <v>3466</v>
      </c>
      <c r="F14" s="48"/>
      <c r="G14" s="120" t="s">
        <v>3467</v>
      </c>
      <c r="H14" s="349" t="s">
        <v>30</v>
      </c>
      <c r="I14" s="51">
        <v>60000</v>
      </c>
      <c r="J14" s="418" t="s">
        <v>1586</v>
      </c>
      <c r="K14" s="517"/>
      <c r="L14" s="358" t="s">
        <v>32</v>
      </c>
    </row>
    <row r="15" spans="1:26" ht="20.25" customHeight="1">
      <c r="A15" s="48">
        <v>6</v>
      </c>
      <c r="B15" s="255" t="s">
        <v>3468</v>
      </c>
      <c r="C15" s="79"/>
      <c r="D15" s="120" t="s">
        <v>3469</v>
      </c>
      <c r="E15" s="120" t="s">
        <v>3466</v>
      </c>
      <c r="F15" s="48"/>
      <c r="G15" s="120" t="s">
        <v>3470</v>
      </c>
      <c r="H15" s="349" t="s">
        <v>561</v>
      </c>
      <c r="I15" s="51">
        <v>8200</v>
      </c>
      <c r="J15" s="418" t="s">
        <v>1586</v>
      </c>
      <c r="K15" s="517"/>
      <c r="L15" s="358" t="s">
        <v>32</v>
      </c>
    </row>
    <row r="16" spans="1:26" ht="30" customHeight="1">
      <c r="A16" s="518">
        <v>7</v>
      </c>
      <c r="B16" s="519" t="s">
        <v>3471</v>
      </c>
      <c r="C16" s="520"/>
      <c r="D16" s="521" t="s">
        <v>93</v>
      </c>
      <c r="E16" s="521" t="s">
        <v>89</v>
      </c>
      <c r="F16" s="518"/>
      <c r="G16" s="521" t="s">
        <v>3472</v>
      </c>
      <c r="H16" s="522" t="s">
        <v>30</v>
      </c>
      <c r="I16" s="523">
        <v>10500</v>
      </c>
      <c r="J16" s="524" t="s">
        <v>1586</v>
      </c>
      <c r="K16" s="525" t="s">
        <v>3473</v>
      </c>
      <c r="L16" s="258" t="s">
        <v>32</v>
      </c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30.75" customHeight="1">
      <c r="A17" s="256">
        <v>13</v>
      </c>
      <c r="B17" s="261" t="s">
        <v>3474</v>
      </c>
      <c r="C17" s="526"/>
      <c r="D17" s="262"/>
      <c r="E17" s="262" t="s">
        <v>223</v>
      </c>
      <c r="F17" s="256"/>
      <c r="G17" s="261" t="s">
        <v>3475</v>
      </c>
      <c r="H17" s="527" t="s">
        <v>1576</v>
      </c>
      <c r="I17" s="263">
        <v>115</v>
      </c>
      <c r="J17" s="528" t="s">
        <v>1586</v>
      </c>
      <c r="K17" s="529"/>
      <c r="L17" s="258" t="s">
        <v>32</v>
      </c>
      <c r="O17" s="55"/>
    </row>
    <row r="18" spans="1:26" ht="20.25" customHeight="1">
      <c r="A18" s="166">
        <v>13</v>
      </c>
      <c r="B18" s="450" t="s">
        <v>3476</v>
      </c>
      <c r="C18" s="451"/>
      <c r="D18" s="452"/>
      <c r="E18" s="452" t="s">
        <v>86</v>
      </c>
      <c r="F18" s="166"/>
      <c r="G18" s="452" t="s">
        <v>550</v>
      </c>
      <c r="H18" s="453" t="s">
        <v>30</v>
      </c>
      <c r="I18" s="167">
        <v>7500</v>
      </c>
      <c r="J18" s="454" t="s">
        <v>1586</v>
      </c>
      <c r="K18" s="515" t="s">
        <v>771</v>
      </c>
      <c r="L18" s="358" t="s">
        <v>32</v>
      </c>
      <c r="O18" s="55"/>
    </row>
    <row r="19" spans="1:26" ht="20.25" customHeight="1">
      <c r="A19" s="166">
        <v>13</v>
      </c>
      <c r="B19" s="450" t="s">
        <v>3477</v>
      </c>
      <c r="C19" s="451"/>
      <c r="D19" s="452"/>
      <c r="E19" s="452" t="s">
        <v>151</v>
      </c>
      <c r="F19" s="166"/>
      <c r="G19" s="452" t="s">
        <v>1251</v>
      </c>
      <c r="H19" s="453" t="s">
        <v>30</v>
      </c>
      <c r="I19" s="167">
        <v>7500</v>
      </c>
      <c r="J19" s="454" t="s">
        <v>1586</v>
      </c>
      <c r="K19" s="515" t="s">
        <v>771</v>
      </c>
      <c r="L19" s="358" t="s">
        <v>32</v>
      </c>
    </row>
    <row r="20" spans="1:26" ht="28.5" customHeight="1">
      <c r="A20" s="518">
        <v>13</v>
      </c>
      <c r="B20" s="519" t="s">
        <v>3478</v>
      </c>
      <c r="C20" s="520"/>
      <c r="D20" s="521" t="s">
        <v>153</v>
      </c>
      <c r="E20" s="521" t="s">
        <v>89</v>
      </c>
      <c r="F20" s="518"/>
      <c r="G20" s="521" t="s">
        <v>1824</v>
      </c>
      <c r="H20" s="522" t="s">
        <v>30</v>
      </c>
      <c r="I20" s="523">
        <v>5000</v>
      </c>
      <c r="J20" s="524" t="s">
        <v>1586</v>
      </c>
      <c r="K20" s="530" t="s">
        <v>771</v>
      </c>
      <c r="L20" s="258" t="s">
        <v>32</v>
      </c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ht="27.75" customHeight="1">
      <c r="A21" s="518">
        <v>13</v>
      </c>
      <c r="B21" s="519" t="s">
        <v>3479</v>
      </c>
      <c r="C21" s="520"/>
      <c r="D21" s="521"/>
      <c r="E21" s="521" t="s">
        <v>209</v>
      </c>
      <c r="F21" s="518"/>
      <c r="G21" s="521" t="s">
        <v>1825</v>
      </c>
      <c r="H21" s="522" t="s">
        <v>30</v>
      </c>
      <c r="I21" s="523">
        <v>9000</v>
      </c>
      <c r="J21" s="524" t="s">
        <v>1586</v>
      </c>
      <c r="K21" s="525" t="s">
        <v>3473</v>
      </c>
      <c r="L21" s="258" t="s">
        <v>32</v>
      </c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ht="20.25" customHeight="1">
      <c r="A22" s="166">
        <v>14</v>
      </c>
      <c r="B22" s="450" t="s">
        <v>3480</v>
      </c>
      <c r="C22" s="451"/>
      <c r="D22" s="452"/>
      <c r="E22" s="452" t="s">
        <v>54</v>
      </c>
      <c r="F22" s="166"/>
      <c r="G22" s="452" t="s">
        <v>3481</v>
      </c>
      <c r="H22" s="453" t="s">
        <v>30</v>
      </c>
      <c r="I22" s="167">
        <v>9000</v>
      </c>
      <c r="J22" s="454" t="s">
        <v>1586</v>
      </c>
      <c r="K22" s="515" t="s">
        <v>771</v>
      </c>
      <c r="L22" s="358" t="s">
        <v>32</v>
      </c>
    </row>
    <row r="23" spans="1:26" ht="20.25" customHeight="1">
      <c r="A23" s="166">
        <v>20</v>
      </c>
      <c r="B23" s="450" t="s">
        <v>2623</v>
      </c>
      <c r="C23" s="451"/>
      <c r="D23" s="452"/>
      <c r="E23" s="452" t="s">
        <v>148</v>
      </c>
      <c r="F23" s="166"/>
      <c r="G23" s="452" t="s">
        <v>3482</v>
      </c>
      <c r="H23" s="453" t="s">
        <v>30</v>
      </c>
      <c r="I23" s="167">
        <v>4900</v>
      </c>
      <c r="J23" s="454" t="s">
        <v>1586</v>
      </c>
      <c r="K23" s="515" t="s">
        <v>769</v>
      </c>
      <c r="L23" s="358" t="s">
        <v>32</v>
      </c>
    </row>
    <row r="24" spans="1:26" ht="20.25" customHeight="1">
      <c r="A24" s="48"/>
      <c r="B24" s="255"/>
      <c r="C24" s="79"/>
      <c r="D24" s="120"/>
      <c r="E24" s="120"/>
      <c r="F24" s="48"/>
      <c r="G24" s="120"/>
      <c r="H24" s="349"/>
      <c r="I24" s="51"/>
      <c r="J24" s="418"/>
      <c r="K24" s="324"/>
      <c r="L24" s="358"/>
    </row>
    <row r="25" spans="1:26" ht="20.25" customHeight="1">
      <c r="A25" s="48"/>
      <c r="B25" s="255"/>
      <c r="C25" s="79"/>
      <c r="D25" s="120"/>
      <c r="E25" s="120"/>
      <c r="F25" s="48"/>
      <c r="G25" s="120"/>
      <c r="H25" s="349"/>
      <c r="I25" s="51"/>
      <c r="J25" s="418"/>
      <c r="K25" s="324"/>
      <c r="L25" s="358"/>
    </row>
    <row r="26" spans="1:26" ht="15.75" customHeight="1">
      <c r="A26" s="48"/>
      <c r="B26" s="255"/>
      <c r="C26" s="79"/>
      <c r="D26" s="120"/>
      <c r="E26" s="120"/>
      <c r="F26" s="48"/>
      <c r="G26" s="120"/>
      <c r="H26" s="349"/>
      <c r="I26" s="51"/>
      <c r="J26" s="418"/>
      <c r="K26" s="324"/>
      <c r="L26" s="358"/>
    </row>
    <row r="27" spans="1:26" ht="15.75" customHeight="1">
      <c r="I27" s="83"/>
      <c r="J27" s="83"/>
    </row>
    <row r="28" spans="1:26" ht="15.75" customHeight="1">
      <c r="J28" s="137" t="s">
        <v>508</v>
      </c>
    </row>
    <row r="29" spans="1:26" ht="15.75" customHeight="1">
      <c r="J29" s="83"/>
    </row>
    <row r="30" spans="1:26" ht="15.75" customHeight="1">
      <c r="B30" s="126" t="s">
        <v>509</v>
      </c>
      <c r="E30" s="126" t="s">
        <v>510</v>
      </c>
      <c r="J30" s="754" t="s">
        <v>513</v>
      </c>
      <c r="K30" s="711"/>
      <c r="L30" s="711"/>
    </row>
    <row r="31" spans="1:26" ht="15.75" customHeight="1">
      <c r="J31" s="83"/>
      <c r="K31" s="797" t="s">
        <v>3483</v>
      </c>
      <c r="L31" s="711"/>
    </row>
    <row r="32" spans="1:26" ht="15.75" customHeight="1">
      <c r="J32" s="83"/>
      <c r="K32" s="797" t="s">
        <v>3484</v>
      </c>
      <c r="L32" s="711"/>
    </row>
    <row r="33" spans="2:11" ht="15.75" customHeight="1">
      <c r="B33" s="139" t="s">
        <v>516</v>
      </c>
      <c r="E33" s="737" t="s">
        <v>517</v>
      </c>
      <c r="F33" s="711"/>
      <c r="G33" s="711"/>
      <c r="H33" s="711"/>
      <c r="J33" s="83"/>
      <c r="K33" s="359"/>
    </row>
    <row r="34" spans="2:11" ht="15.75" customHeight="1">
      <c r="B34" s="4" t="s">
        <v>980</v>
      </c>
      <c r="E34" s="732" t="s">
        <v>521</v>
      </c>
      <c r="F34" s="711"/>
      <c r="G34" s="711"/>
      <c r="H34" s="711"/>
      <c r="J34" s="83"/>
      <c r="K34" s="55"/>
    </row>
    <row r="35" spans="2:11" ht="15.75" customHeight="1">
      <c r="J35" s="83"/>
    </row>
    <row r="36" spans="2:11" ht="15.75" customHeight="1">
      <c r="J36" s="10"/>
    </row>
    <row r="37" spans="2:11" ht="15.75" customHeight="1"/>
    <row r="38" spans="2:11" ht="15.75" customHeight="1"/>
    <row r="39" spans="2:11" ht="15.75" customHeight="1"/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32:L32"/>
    <mergeCell ref="E33:H33"/>
    <mergeCell ref="E34:H34"/>
    <mergeCell ref="A1:J1"/>
    <mergeCell ref="C2:H2"/>
    <mergeCell ref="H7:I7"/>
    <mergeCell ref="K7:L7"/>
    <mergeCell ref="A8:B8"/>
    <mergeCell ref="J30:L30"/>
    <mergeCell ref="K31:L31"/>
  </mergeCells>
  <pageMargins left="1" right="1" top="0.75" bottom="0.75" header="0" footer="0"/>
  <pageSetup paperSize="5" scale="90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Z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10" customWidth="1"/>
    <col min="4" max="4" width="18.85546875" customWidth="1"/>
    <col min="5" max="5" width="19" customWidth="1"/>
    <col min="6" max="6" width="14.28515625" customWidth="1"/>
    <col min="7" max="7" width="14" customWidth="1"/>
    <col min="8" max="8" width="16.42578125" customWidth="1"/>
    <col min="9" max="9" width="16.5703125" customWidth="1"/>
    <col min="10" max="10" width="9.5703125" customWidth="1"/>
    <col min="11" max="11" width="18.5703125" customWidth="1"/>
    <col min="12" max="14" width="8.7109375" customWidth="1"/>
    <col min="15" max="15" width="10" customWidth="1"/>
    <col min="16" max="26" width="8.7109375" customWidth="1"/>
  </cols>
  <sheetData>
    <row r="1" spans="1:13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1"/>
      <c r="K1" s="253"/>
    </row>
    <row r="2" spans="1:13" ht="18">
      <c r="A2" s="4"/>
      <c r="B2" s="712" t="s">
        <v>3485</v>
      </c>
      <c r="C2" s="711"/>
      <c r="D2" s="711"/>
      <c r="E2" s="711"/>
      <c r="F2" s="711"/>
      <c r="G2" s="711"/>
      <c r="H2" s="711"/>
      <c r="I2" s="711"/>
      <c r="J2" s="8"/>
      <c r="K2" s="285"/>
    </row>
    <row r="3" spans="1:13">
      <c r="A3" s="4"/>
      <c r="B3" s="5"/>
      <c r="C3" s="10"/>
      <c r="D3" s="5"/>
      <c r="E3" s="5"/>
      <c r="F3" s="2"/>
      <c r="G3" s="10"/>
      <c r="H3" s="6"/>
      <c r="I3" s="7"/>
      <c r="J3" s="738" t="s">
        <v>984</v>
      </c>
      <c r="K3" s="717"/>
    </row>
    <row r="4" spans="1:13">
      <c r="A4" s="4"/>
      <c r="B4" s="5"/>
      <c r="C4" s="10"/>
      <c r="D4" s="5"/>
      <c r="E4" s="5"/>
      <c r="F4" s="2"/>
      <c r="G4" s="10"/>
      <c r="H4" s="6"/>
      <c r="I4" s="13"/>
      <c r="J4" s="1" t="s">
        <v>569</v>
      </c>
      <c r="K4" s="214"/>
    </row>
    <row r="5" spans="1:13">
      <c r="A5" s="4"/>
      <c r="B5" s="5"/>
      <c r="C5" s="10"/>
      <c r="D5" s="5"/>
      <c r="E5" s="5"/>
      <c r="F5" s="2"/>
      <c r="G5" s="10"/>
      <c r="H5" s="6"/>
      <c r="I5" s="13"/>
      <c r="J5" s="1" t="s">
        <v>4</v>
      </c>
      <c r="K5" s="214"/>
    </row>
    <row r="6" spans="1:13">
      <c r="A6" s="139" t="s">
        <v>570</v>
      </c>
      <c r="B6" s="142"/>
      <c r="C6" s="10"/>
      <c r="D6" s="5"/>
      <c r="E6" s="15"/>
      <c r="F6" s="2"/>
      <c r="G6" s="10"/>
      <c r="H6" s="6"/>
      <c r="I6" s="7"/>
      <c r="J6" s="16" t="s">
        <v>985</v>
      </c>
      <c r="K6" s="17"/>
    </row>
    <row r="7" spans="1:13">
      <c r="A7" s="18"/>
      <c r="B7" s="19"/>
      <c r="C7" s="20"/>
      <c r="D7" s="21"/>
      <c r="E7" s="21"/>
      <c r="F7" s="715" t="s">
        <v>7</v>
      </c>
      <c r="G7" s="716"/>
      <c r="H7" s="717"/>
      <c r="I7" s="22"/>
      <c r="J7" s="718" t="s">
        <v>8</v>
      </c>
      <c r="K7" s="719"/>
    </row>
    <row r="8" spans="1:13">
      <c r="A8" s="720" t="s">
        <v>9</v>
      </c>
      <c r="B8" s="721"/>
      <c r="C8" s="24" t="s">
        <v>10</v>
      </c>
      <c r="D8" s="25" t="s">
        <v>11</v>
      </c>
      <c r="E8" s="26" t="s">
        <v>12</v>
      </c>
      <c r="F8" s="27" t="s">
        <v>13</v>
      </c>
      <c r="G8" s="28"/>
      <c r="H8" s="29" t="s">
        <v>14</v>
      </c>
      <c r="I8" s="30" t="s">
        <v>15</v>
      </c>
      <c r="J8" s="31"/>
      <c r="K8" s="32"/>
    </row>
    <row r="9" spans="1:13">
      <c r="A9" s="33"/>
      <c r="B9" s="34"/>
      <c r="C9" s="28"/>
      <c r="D9" s="35"/>
      <c r="E9" s="34"/>
      <c r="F9" s="36" t="s">
        <v>16</v>
      </c>
      <c r="G9" s="24" t="s">
        <v>17</v>
      </c>
      <c r="H9" s="29" t="s">
        <v>18</v>
      </c>
      <c r="I9" s="37"/>
      <c r="J9" s="25" t="s">
        <v>19</v>
      </c>
      <c r="K9" s="25" t="s">
        <v>20</v>
      </c>
    </row>
    <row r="10" spans="1:13">
      <c r="A10" s="38"/>
      <c r="B10" s="39"/>
      <c r="C10" s="40"/>
      <c r="D10" s="41"/>
      <c r="E10" s="41"/>
      <c r="F10" s="42"/>
      <c r="G10" s="43"/>
      <c r="H10" s="44" t="s">
        <v>21</v>
      </c>
      <c r="I10" s="45"/>
      <c r="J10" s="42"/>
      <c r="K10" s="46" t="s">
        <v>22</v>
      </c>
    </row>
    <row r="11" spans="1:13">
      <c r="A11" s="182" t="s">
        <v>24</v>
      </c>
      <c r="B11" s="48"/>
      <c r="C11" s="48"/>
      <c r="D11" s="48"/>
      <c r="E11" s="48"/>
      <c r="F11" s="48"/>
      <c r="G11" s="48"/>
      <c r="H11" s="48"/>
      <c r="I11" s="49"/>
      <c r="J11" s="48"/>
      <c r="K11" s="48"/>
    </row>
    <row r="12" spans="1:13">
      <c r="A12" s="50">
        <v>1</v>
      </c>
      <c r="B12" s="48" t="s">
        <v>3486</v>
      </c>
      <c r="C12" s="48" t="s">
        <v>39</v>
      </c>
      <c r="D12" s="48" t="s">
        <v>100</v>
      </c>
      <c r="E12" s="48" t="s">
        <v>145</v>
      </c>
      <c r="F12" s="531" t="s">
        <v>3487</v>
      </c>
      <c r="G12" s="48" t="s">
        <v>30</v>
      </c>
      <c r="H12" s="51">
        <v>2000</v>
      </c>
      <c r="I12" s="49">
        <v>400</v>
      </c>
      <c r="J12" s="48" t="s">
        <v>31</v>
      </c>
      <c r="K12" s="48" t="s">
        <v>32</v>
      </c>
      <c r="M12" s="126">
        <v>440</v>
      </c>
    </row>
    <row r="13" spans="1:13">
      <c r="A13" s="50">
        <v>1</v>
      </c>
      <c r="B13" s="48" t="s">
        <v>3488</v>
      </c>
      <c r="C13" s="48" t="s">
        <v>39</v>
      </c>
      <c r="D13" s="48" t="s">
        <v>373</v>
      </c>
      <c r="E13" s="48" t="s">
        <v>36</v>
      </c>
      <c r="F13" s="531" t="s">
        <v>3489</v>
      </c>
      <c r="G13" s="48" t="s">
        <v>30</v>
      </c>
      <c r="H13" s="51">
        <v>500</v>
      </c>
      <c r="I13" s="49">
        <v>100</v>
      </c>
      <c r="J13" s="48" t="s">
        <v>31</v>
      </c>
      <c r="K13" s="48" t="s">
        <v>32</v>
      </c>
      <c r="M13" s="126">
        <v>150</v>
      </c>
    </row>
    <row r="14" spans="1:13">
      <c r="A14" s="116">
        <v>1</v>
      </c>
      <c r="B14" s="256" t="s">
        <v>2292</v>
      </c>
      <c r="C14" s="256" t="s">
        <v>27</v>
      </c>
      <c r="D14" s="256" t="s">
        <v>2293</v>
      </c>
      <c r="E14" s="256" t="s">
        <v>484</v>
      </c>
      <c r="F14" s="531" t="s">
        <v>3490</v>
      </c>
      <c r="G14" s="48" t="s">
        <v>30</v>
      </c>
      <c r="H14" s="51">
        <v>500</v>
      </c>
      <c r="I14" s="49">
        <v>100</v>
      </c>
      <c r="J14" s="48" t="s">
        <v>31</v>
      </c>
      <c r="K14" s="48" t="s">
        <v>32</v>
      </c>
    </row>
    <row r="15" spans="1:13">
      <c r="A15" s="116">
        <v>1</v>
      </c>
      <c r="B15" s="256" t="s">
        <v>3491</v>
      </c>
      <c r="C15" s="256" t="s">
        <v>27</v>
      </c>
      <c r="D15" s="256" t="s">
        <v>3492</v>
      </c>
      <c r="E15" s="256" t="s">
        <v>51</v>
      </c>
      <c r="F15" s="531" t="s">
        <v>3493</v>
      </c>
      <c r="G15" s="48" t="s">
        <v>30</v>
      </c>
      <c r="H15" s="51">
        <v>200</v>
      </c>
      <c r="I15" s="49">
        <v>40</v>
      </c>
      <c r="J15" s="48" t="s">
        <v>31</v>
      </c>
      <c r="K15" s="48" t="s">
        <v>32</v>
      </c>
    </row>
    <row r="16" spans="1:13">
      <c r="A16" s="116">
        <v>1</v>
      </c>
      <c r="B16" s="256" t="s">
        <v>3494</v>
      </c>
      <c r="C16" s="256" t="s">
        <v>27</v>
      </c>
      <c r="D16" s="256" t="s">
        <v>100</v>
      </c>
      <c r="E16" s="256" t="s">
        <v>44</v>
      </c>
      <c r="F16" s="531" t="s">
        <v>3495</v>
      </c>
      <c r="G16" s="48" t="s">
        <v>30</v>
      </c>
      <c r="H16" s="51">
        <v>250</v>
      </c>
      <c r="I16" s="49">
        <v>50</v>
      </c>
      <c r="J16" s="48" t="s">
        <v>31</v>
      </c>
      <c r="K16" s="48" t="s">
        <v>32</v>
      </c>
    </row>
    <row r="17" spans="1:16">
      <c r="A17" s="116">
        <v>1</v>
      </c>
      <c r="B17" s="256" t="s">
        <v>3496</v>
      </c>
      <c r="C17" s="256" t="s">
        <v>39</v>
      </c>
      <c r="D17" s="256" t="s">
        <v>813</v>
      </c>
      <c r="E17" s="256" t="s">
        <v>148</v>
      </c>
      <c r="F17" s="531" t="s">
        <v>3497</v>
      </c>
      <c r="G17" s="48" t="s">
        <v>30</v>
      </c>
      <c r="H17" s="51">
        <v>200</v>
      </c>
      <c r="I17" s="49">
        <v>40</v>
      </c>
      <c r="J17" s="48" t="s">
        <v>31</v>
      </c>
      <c r="K17" s="48" t="s">
        <v>32</v>
      </c>
    </row>
    <row r="18" spans="1:16">
      <c r="A18" s="50">
        <v>1</v>
      </c>
      <c r="B18" s="48" t="s">
        <v>3498</v>
      </c>
      <c r="C18" s="48" t="s">
        <v>27</v>
      </c>
      <c r="D18" s="48" t="s">
        <v>712</v>
      </c>
      <c r="E18" s="48" t="s">
        <v>145</v>
      </c>
      <c r="F18" s="531" t="s">
        <v>3499</v>
      </c>
      <c r="G18" s="48" t="s">
        <v>30</v>
      </c>
      <c r="H18" s="51">
        <v>150</v>
      </c>
      <c r="I18" s="49">
        <v>30</v>
      </c>
      <c r="J18" s="48" t="s">
        <v>31</v>
      </c>
      <c r="K18" s="48" t="s">
        <v>32</v>
      </c>
    </row>
    <row r="19" spans="1:16">
      <c r="A19" s="116">
        <v>1</v>
      </c>
      <c r="B19" s="256" t="s">
        <v>3500</v>
      </c>
      <c r="C19" s="256" t="s">
        <v>39</v>
      </c>
      <c r="D19" s="256" t="s">
        <v>88</v>
      </c>
      <c r="E19" s="256" t="s">
        <v>84</v>
      </c>
      <c r="F19" s="531" t="s">
        <v>3501</v>
      </c>
      <c r="G19" s="48" t="s">
        <v>30</v>
      </c>
      <c r="H19" s="51">
        <v>500</v>
      </c>
      <c r="I19" s="49">
        <v>100</v>
      </c>
      <c r="J19" s="48" t="s">
        <v>31</v>
      </c>
      <c r="K19" s="48" t="s">
        <v>32</v>
      </c>
      <c r="M19" s="126">
        <v>100</v>
      </c>
    </row>
    <row r="20" spans="1:16">
      <c r="A20" s="116">
        <v>1</v>
      </c>
      <c r="B20" s="256" t="s">
        <v>3502</v>
      </c>
      <c r="C20" s="256" t="s">
        <v>27</v>
      </c>
      <c r="D20" s="256" t="s">
        <v>165</v>
      </c>
      <c r="E20" s="256" t="s">
        <v>84</v>
      </c>
      <c r="F20" s="531" t="s">
        <v>3503</v>
      </c>
      <c r="G20" s="48" t="s">
        <v>30</v>
      </c>
      <c r="H20" s="51">
        <v>350</v>
      </c>
      <c r="I20" s="49">
        <v>70</v>
      </c>
      <c r="J20" s="48" t="s">
        <v>31</v>
      </c>
      <c r="K20" s="48" t="s">
        <v>32</v>
      </c>
      <c r="M20" s="126">
        <v>50</v>
      </c>
    </row>
    <row r="21" spans="1:16" ht="15.75" customHeight="1">
      <c r="A21" s="116">
        <v>1</v>
      </c>
      <c r="B21" s="256" t="s">
        <v>3504</v>
      </c>
      <c r="C21" s="256" t="s">
        <v>27</v>
      </c>
      <c r="D21" s="256" t="s">
        <v>3444</v>
      </c>
      <c r="E21" s="256" t="s">
        <v>223</v>
      </c>
      <c r="F21" s="531" t="s">
        <v>3505</v>
      </c>
      <c r="G21" s="48" t="s">
        <v>30</v>
      </c>
      <c r="H21" s="51">
        <v>150</v>
      </c>
      <c r="I21" s="49" t="s">
        <v>1586</v>
      </c>
      <c r="J21" s="48" t="s">
        <v>31</v>
      </c>
      <c r="K21" s="48" t="s">
        <v>32</v>
      </c>
      <c r="P21" s="55">
        <f>SUM(H12:H20,H24,H26)</f>
        <v>20650</v>
      </c>
    </row>
    <row r="22" spans="1:16" ht="15.75" customHeight="1">
      <c r="A22" s="116">
        <v>1</v>
      </c>
      <c r="B22" s="256" t="s">
        <v>3504</v>
      </c>
      <c r="C22" s="256" t="s">
        <v>27</v>
      </c>
      <c r="D22" s="256" t="s">
        <v>3444</v>
      </c>
      <c r="E22" s="256" t="s">
        <v>223</v>
      </c>
      <c r="F22" s="48" t="s">
        <v>3506</v>
      </c>
      <c r="G22" s="48" t="s">
        <v>61</v>
      </c>
      <c r="H22" s="51">
        <v>15</v>
      </c>
      <c r="I22" s="49" t="s">
        <v>1586</v>
      </c>
      <c r="J22" s="48" t="s">
        <v>31</v>
      </c>
      <c r="K22" s="48" t="s">
        <v>32</v>
      </c>
      <c r="P22" s="55">
        <f>SUM(H21,H23)</f>
        <v>350</v>
      </c>
    </row>
    <row r="23" spans="1:16" ht="15.75" customHeight="1">
      <c r="A23" s="50">
        <v>1</v>
      </c>
      <c r="B23" s="48" t="s">
        <v>3507</v>
      </c>
      <c r="C23" s="48" t="s">
        <v>27</v>
      </c>
      <c r="D23" s="48" t="s">
        <v>3508</v>
      </c>
      <c r="E23" s="48" t="s">
        <v>839</v>
      </c>
      <c r="F23" s="531" t="s">
        <v>3509</v>
      </c>
      <c r="G23" s="48" t="s">
        <v>30</v>
      </c>
      <c r="H23" s="51">
        <v>200</v>
      </c>
      <c r="I23" s="49" t="s">
        <v>1586</v>
      </c>
      <c r="J23" s="48" t="s">
        <v>31</v>
      </c>
      <c r="K23" s="48" t="s">
        <v>32</v>
      </c>
      <c r="M23" s="126">
        <v>50</v>
      </c>
      <c r="P23" s="126">
        <v>20</v>
      </c>
    </row>
    <row r="24" spans="1:16" ht="15.75" customHeight="1">
      <c r="A24" s="50">
        <v>1</v>
      </c>
      <c r="B24" s="48" t="s">
        <v>924</v>
      </c>
      <c r="C24" s="48" t="s">
        <v>39</v>
      </c>
      <c r="D24" s="48" t="s">
        <v>760</v>
      </c>
      <c r="E24" s="48" t="s">
        <v>209</v>
      </c>
      <c r="F24" s="531" t="s">
        <v>3510</v>
      </c>
      <c r="G24" s="48" t="s">
        <v>30</v>
      </c>
      <c r="H24" s="51">
        <v>6000</v>
      </c>
      <c r="I24" s="49">
        <v>1200</v>
      </c>
      <c r="J24" s="48" t="s">
        <v>31</v>
      </c>
      <c r="K24" s="48" t="s">
        <v>32</v>
      </c>
      <c r="M24" s="126">
        <v>1000</v>
      </c>
      <c r="P24" s="55">
        <f>SUM(P21:P23)</f>
        <v>21020</v>
      </c>
    </row>
    <row r="25" spans="1:16" ht="15.75" customHeight="1">
      <c r="A25" s="50">
        <v>1</v>
      </c>
      <c r="B25" s="48" t="s">
        <v>924</v>
      </c>
      <c r="C25" s="48" t="s">
        <v>39</v>
      </c>
      <c r="D25" s="48" t="s">
        <v>760</v>
      </c>
      <c r="E25" s="48" t="s">
        <v>209</v>
      </c>
      <c r="F25" s="48" t="s">
        <v>3511</v>
      </c>
      <c r="G25" s="48" t="s">
        <v>61</v>
      </c>
      <c r="H25" s="51">
        <v>5</v>
      </c>
      <c r="I25" s="49">
        <v>100</v>
      </c>
      <c r="J25" s="48" t="s">
        <v>31</v>
      </c>
      <c r="K25" s="48" t="s">
        <v>32</v>
      </c>
    </row>
    <row r="26" spans="1:16" ht="15.75" customHeight="1">
      <c r="A26" s="65">
        <v>1</v>
      </c>
      <c r="B26" s="58" t="s">
        <v>2148</v>
      </c>
      <c r="C26" s="58" t="s">
        <v>39</v>
      </c>
      <c r="D26" s="58" t="s">
        <v>2149</v>
      </c>
      <c r="E26" s="58" t="s">
        <v>148</v>
      </c>
      <c r="F26" s="58"/>
      <c r="G26" s="58" t="s">
        <v>30</v>
      </c>
      <c r="H26" s="59">
        <v>10000</v>
      </c>
      <c r="I26" s="60">
        <v>2000</v>
      </c>
      <c r="J26" s="48" t="s">
        <v>31</v>
      </c>
      <c r="K26" s="48" t="s">
        <v>32</v>
      </c>
      <c r="M26" s="126">
        <v>1000</v>
      </c>
    </row>
    <row r="27" spans="1:16" ht="15.75" customHeight="1">
      <c r="A27" s="61">
        <v>2</v>
      </c>
      <c r="B27" s="62" t="s">
        <v>3512</v>
      </c>
      <c r="C27" s="62" t="s">
        <v>27</v>
      </c>
      <c r="D27" s="62" t="s">
        <v>3513</v>
      </c>
      <c r="E27" s="62" t="s">
        <v>86</v>
      </c>
      <c r="F27" s="532" t="s">
        <v>3514</v>
      </c>
      <c r="G27" s="62" t="s">
        <v>30</v>
      </c>
      <c r="H27" s="63">
        <v>500</v>
      </c>
      <c r="I27" s="64">
        <v>100</v>
      </c>
      <c r="J27" s="48" t="s">
        <v>31</v>
      </c>
      <c r="K27" s="48" t="s">
        <v>32</v>
      </c>
      <c r="M27" s="126">
        <v>200</v>
      </c>
    </row>
    <row r="28" spans="1:16" ht="15.75" customHeight="1">
      <c r="A28" s="50">
        <v>2</v>
      </c>
      <c r="B28" s="48" t="s">
        <v>3515</v>
      </c>
      <c r="C28" s="48" t="s">
        <v>27</v>
      </c>
      <c r="D28" s="48" t="s">
        <v>100</v>
      </c>
      <c r="E28" s="48" t="s">
        <v>84</v>
      </c>
      <c r="F28" s="531" t="s">
        <v>3516</v>
      </c>
      <c r="G28" s="48" t="s">
        <v>30</v>
      </c>
      <c r="H28" s="51">
        <v>500</v>
      </c>
      <c r="I28" s="49">
        <v>100</v>
      </c>
      <c r="J28" s="48" t="s">
        <v>31</v>
      </c>
      <c r="K28" s="48" t="s">
        <v>32</v>
      </c>
      <c r="M28" s="126">
        <v>100</v>
      </c>
    </row>
    <row r="29" spans="1:16" ht="15.75" customHeight="1">
      <c r="A29" s="50">
        <v>2</v>
      </c>
      <c r="B29" s="48" t="s">
        <v>3517</v>
      </c>
      <c r="C29" s="48" t="s">
        <v>27</v>
      </c>
      <c r="D29" s="48" t="s">
        <v>100</v>
      </c>
      <c r="E29" s="48" t="s">
        <v>56</v>
      </c>
      <c r="F29" s="531" t="s">
        <v>3518</v>
      </c>
      <c r="G29" s="48" t="s">
        <v>30</v>
      </c>
      <c r="H29" s="51">
        <v>500</v>
      </c>
      <c r="I29" s="49">
        <v>100</v>
      </c>
      <c r="J29" s="48" t="s">
        <v>31</v>
      </c>
      <c r="K29" s="48" t="s">
        <v>32</v>
      </c>
      <c r="M29" s="126">
        <v>300</v>
      </c>
      <c r="O29" s="55"/>
    </row>
    <row r="30" spans="1:16" ht="15.75" customHeight="1">
      <c r="A30" s="50">
        <v>2</v>
      </c>
      <c r="B30" s="48" t="s">
        <v>3519</v>
      </c>
      <c r="C30" s="48" t="s">
        <v>27</v>
      </c>
      <c r="D30" s="48" t="s">
        <v>657</v>
      </c>
      <c r="E30" s="48" t="s">
        <v>73</v>
      </c>
      <c r="F30" s="531" t="s">
        <v>3520</v>
      </c>
      <c r="G30" s="48" t="s">
        <v>30</v>
      </c>
      <c r="H30" s="51">
        <v>500</v>
      </c>
      <c r="I30" s="49">
        <v>100</v>
      </c>
      <c r="J30" s="48" t="s">
        <v>31</v>
      </c>
      <c r="K30" s="48" t="s">
        <v>32</v>
      </c>
      <c r="M30" s="126">
        <v>150</v>
      </c>
      <c r="O30" s="55"/>
    </row>
    <row r="31" spans="1:16" ht="15.75" customHeight="1">
      <c r="A31" s="50">
        <v>2</v>
      </c>
      <c r="B31" s="48" t="s">
        <v>3521</v>
      </c>
      <c r="C31" s="48" t="s">
        <v>27</v>
      </c>
      <c r="D31" s="48" t="s">
        <v>786</v>
      </c>
      <c r="E31" s="48" t="s">
        <v>191</v>
      </c>
      <c r="F31" s="531" t="s">
        <v>3522</v>
      </c>
      <c r="G31" s="48" t="s">
        <v>30</v>
      </c>
      <c r="H31" s="51">
        <v>500</v>
      </c>
      <c r="I31" s="49">
        <v>100</v>
      </c>
      <c r="J31" s="48" t="s">
        <v>31</v>
      </c>
      <c r="K31" s="48" t="s">
        <v>32</v>
      </c>
      <c r="M31" s="126">
        <v>150</v>
      </c>
    </row>
    <row r="32" spans="1:16" ht="15.75" customHeight="1">
      <c r="A32" s="50">
        <v>2</v>
      </c>
      <c r="B32" s="48" t="s">
        <v>3523</v>
      </c>
      <c r="C32" s="48" t="s">
        <v>27</v>
      </c>
      <c r="D32" s="48" t="s">
        <v>88</v>
      </c>
      <c r="E32" s="48" t="s">
        <v>84</v>
      </c>
      <c r="F32" s="48"/>
      <c r="G32" s="48" t="s">
        <v>30</v>
      </c>
      <c r="H32" s="51">
        <v>500</v>
      </c>
      <c r="I32" s="49">
        <v>100</v>
      </c>
      <c r="J32" s="48" t="s">
        <v>31</v>
      </c>
      <c r="K32" s="48" t="s">
        <v>32</v>
      </c>
    </row>
    <row r="33" spans="1:13" ht="15.75" customHeight="1">
      <c r="A33" s="50">
        <v>2</v>
      </c>
      <c r="B33" s="48" t="s">
        <v>3524</v>
      </c>
      <c r="C33" s="48" t="s">
        <v>27</v>
      </c>
      <c r="D33" s="48" t="s">
        <v>2090</v>
      </c>
      <c r="E33" s="48" t="s">
        <v>84</v>
      </c>
      <c r="F33" s="48"/>
      <c r="G33" s="48" t="s">
        <v>30</v>
      </c>
      <c r="H33" s="51">
        <v>200</v>
      </c>
      <c r="I33" s="49">
        <v>40</v>
      </c>
      <c r="J33" s="48" t="s">
        <v>31</v>
      </c>
      <c r="K33" s="48" t="s">
        <v>32</v>
      </c>
    </row>
    <row r="34" spans="1:13" ht="15.75" customHeight="1">
      <c r="A34" s="50">
        <v>2</v>
      </c>
      <c r="B34" s="48" t="s">
        <v>3525</v>
      </c>
      <c r="C34" s="48" t="s">
        <v>27</v>
      </c>
      <c r="D34" s="48" t="s">
        <v>295</v>
      </c>
      <c r="E34" s="48" t="s">
        <v>86</v>
      </c>
      <c r="F34" s="48"/>
      <c r="G34" s="48" t="s">
        <v>30</v>
      </c>
      <c r="H34" s="51">
        <v>300</v>
      </c>
      <c r="I34" s="49">
        <v>60</v>
      </c>
      <c r="J34" s="48" t="s">
        <v>31</v>
      </c>
      <c r="K34" s="48" t="s">
        <v>32</v>
      </c>
    </row>
    <row r="35" spans="1:13" ht="15.75" customHeight="1">
      <c r="A35" s="50">
        <v>3</v>
      </c>
      <c r="B35" s="48" t="s">
        <v>3526</v>
      </c>
      <c r="C35" s="48" t="s">
        <v>27</v>
      </c>
      <c r="D35" s="48" t="s">
        <v>266</v>
      </c>
      <c r="E35" s="48" t="s">
        <v>84</v>
      </c>
      <c r="F35" s="48"/>
      <c r="G35" s="48" t="s">
        <v>30</v>
      </c>
      <c r="H35" s="51">
        <v>500</v>
      </c>
      <c r="I35" s="49">
        <v>100</v>
      </c>
      <c r="J35" s="48" t="s">
        <v>31</v>
      </c>
      <c r="K35" s="48" t="s">
        <v>32</v>
      </c>
      <c r="M35" s="126">
        <v>150</v>
      </c>
    </row>
    <row r="36" spans="1:13" ht="15.75" customHeight="1">
      <c r="A36" s="50">
        <v>3</v>
      </c>
      <c r="B36" s="48" t="s">
        <v>3527</v>
      </c>
      <c r="C36" s="48" t="s">
        <v>27</v>
      </c>
      <c r="D36" s="48" t="s">
        <v>407</v>
      </c>
      <c r="E36" s="48" t="s">
        <v>44</v>
      </c>
      <c r="F36" s="48"/>
      <c r="G36" s="48" t="s">
        <v>30</v>
      </c>
      <c r="H36" s="51">
        <v>500</v>
      </c>
      <c r="I36" s="49">
        <v>100</v>
      </c>
      <c r="J36" s="48" t="s">
        <v>31</v>
      </c>
      <c r="K36" s="48" t="s">
        <v>32</v>
      </c>
      <c r="M36" s="126">
        <v>300</v>
      </c>
    </row>
    <row r="37" spans="1:13" ht="15.75" customHeight="1">
      <c r="A37" s="50">
        <v>3</v>
      </c>
      <c r="B37" s="48" t="s">
        <v>324</v>
      </c>
      <c r="C37" s="48" t="s">
        <v>39</v>
      </c>
      <c r="D37" s="48" t="s">
        <v>100</v>
      </c>
      <c r="E37" s="48" t="s">
        <v>145</v>
      </c>
      <c r="F37" s="531" t="s">
        <v>3528</v>
      </c>
      <c r="G37" s="48" t="s">
        <v>30</v>
      </c>
      <c r="H37" s="51">
        <v>500</v>
      </c>
      <c r="I37" s="49">
        <v>100</v>
      </c>
      <c r="J37" s="48" t="s">
        <v>31</v>
      </c>
      <c r="K37" s="48" t="s">
        <v>32</v>
      </c>
    </row>
    <row r="38" spans="1:13" ht="15.75" customHeight="1">
      <c r="A38" s="50">
        <v>3</v>
      </c>
      <c r="B38" s="48" t="s">
        <v>3529</v>
      </c>
      <c r="C38" s="48" t="s">
        <v>27</v>
      </c>
      <c r="D38" s="48" t="s">
        <v>100</v>
      </c>
      <c r="E38" s="48" t="s">
        <v>145</v>
      </c>
      <c r="F38" s="48"/>
      <c r="G38" s="48" t="s">
        <v>30</v>
      </c>
      <c r="H38" s="51">
        <v>500</v>
      </c>
      <c r="I38" s="49">
        <v>100</v>
      </c>
      <c r="J38" s="48" t="s">
        <v>31</v>
      </c>
      <c r="K38" s="48" t="s">
        <v>32</v>
      </c>
    </row>
    <row r="39" spans="1:13" ht="15.75" customHeight="1">
      <c r="A39" s="50">
        <v>3</v>
      </c>
      <c r="B39" s="48" t="s">
        <v>3530</v>
      </c>
      <c r="C39" s="48" t="s">
        <v>27</v>
      </c>
      <c r="D39" s="48" t="s">
        <v>506</v>
      </c>
      <c r="E39" s="48" t="s">
        <v>29</v>
      </c>
      <c r="F39" s="531" t="s">
        <v>3531</v>
      </c>
      <c r="G39" s="48" t="s">
        <v>30</v>
      </c>
      <c r="H39" s="51">
        <v>2000</v>
      </c>
      <c r="I39" s="49">
        <v>400</v>
      </c>
      <c r="J39" s="48" t="s">
        <v>31</v>
      </c>
      <c r="K39" s="48" t="s">
        <v>32</v>
      </c>
    </row>
    <row r="40" spans="1:13" ht="15.75" customHeight="1">
      <c r="A40" s="50">
        <v>4</v>
      </c>
      <c r="B40" s="48" t="s">
        <v>3532</v>
      </c>
      <c r="C40" s="48" t="s">
        <v>27</v>
      </c>
      <c r="D40" s="48" t="s">
        <v>3533</v>
      </c>
      <c r="E40" s="48" t="s">
        <v>89</v>
      </c>
      <c r="F40" s="48"/>
      <c r="G40" s="48" t="s">
        <v>30</v>
      </c>
      <c r="H40" s="51">
        <v>500</v>
      </c>
      <c r="I40" s="49" t="s">
        <v>1586</v>
      </c>
      <c r="J40" s="48" t="s">
        <v>31</v>
      </c>
      <c r="K40" s="48" t="s">
        <v>32</v>
      </c>
      <c r="M40" s="126">
        <v>100</v>
      </c>
    </row>
    <row r="41" spans="1:13" ht="15.75" customHeight="1">
      <c r="A41" s="50">
        <v>4</v>
      </c>
      <c r="B41" s="48" t="s">
        <v>3534</v>
      </c>
      <c r="C41" s="48" t="s">
        <v>27</v>
      </c>
      <c r="D41" s="48" t="s">
        <v>3533</v>
      </c>
      <c r="E41" s="48" t="s">
        <v>89</v>
      </c>
      <c r="F41" s="48"/>
      <c r="G41" s="48" t="s">
        <v>30</v>
      </c>
      <c r="H41" s="51">
        <v>500</v>
      </c>
      <c r="I41" s="49" t="s">
        <v>1586</v>
      </c>
      <c r="J41" s="48" t="s">
        <v>31</v>
      </c>
      <c r="K41" s="48" t="s">
        <v>32</v>
      </c>
      <c r="M41" s="126">
        <v>100</v>
      </c>
    </row>
    <row r="42" spans="1:13" ht="15.75" customHeight="1">
      <c r="A42" s="50">
        <v>4</v>
      </c>
      <c r="B42" s="48" t="s">
        <v>3535</v>
      </c>
      <c r="C42" s="48" t="s">
        <v>27</v>
      </c>
      <c r="D42" s="48" t="s">
        <v>1431</v>
      </c>
      <c r="E42" s="48" t="s">
        <v>44</v>
      </c>
      <c r="F42" s="531" t="s">
        <v>3536</v>
      </c>
      <c r="G42" s="48" t="s">
        <v>30</v>
      </c>
      <c r="H42" s="51">
        <v>500</v>
      </c>
      <c r="I42" s="49">
        <v>100</v>
      </c>
      <c r="J42" s="48" t="s">
        <v>31</v>
      </c>
      <c r="K42" s="48" t="s">
        <v>32</v>
      </c>
      <c r="M42" s="126">
        <v>400</v>
      </c>
    </row>
    <row r="43" spans="1:13" ht="15.75" customHeight="1">
      <c r="A43" s="65">
        <v>4</v>
      </c>
      <c r="B43" s="58" t="s">
        <v>3537</v>
      </c>
      <c r="C43" s="58" t="s">
        <v>27</v>
      </c>
      <c r="D43" s="58" t="s">
        <v>886</v>
      </c>
      <c r="E43" s="58" t="s">
        <v>86</v>
      </c>
      <c r="F43" s="533" t="s">
        <v>3538</v>
      </c>
      <c r="G43" s="58" t="s">
        <v>30</v>
      </c>
      <c r="H43" s="59">
        <v>500</v>
      </c>
      <c r="I43" s="60">
        <v>100</v>
      </c>
      <c r="J43" s="48" t="s">
        <v>31</v>
      </c>
      <c r="K43" s="48" t="s">
        <v>32</v>
      </c>
      <c r="M43" s="126">
        <v>150</v>
      </c>
    </row>
    <row r="44" spans="1:13" ht="15.75" customHeight="1">
      <c r="A44" s="61">
        <v>7</v>
      </c>
      <c r="B44" s="62" t="s">
        <v>3539</v>
      </c>
      <c r="C44" s="62" t="s">
        <v>27</v>
      </c>
      <c r="D44" s="62" t="s">
        <v>3540</v>
      </c>
      <c r="E44" s="62" t="s">
        <v>86</v>
      </c>
      <c r="F44" s="532" t="s">
        <v>3541</v>
      </c>
      <c r="G44" s="62" t="s">
        <v>30</v>
      </c>
      <c r="H44" s="63">
        <v>1000</v>
      </c>
      <c r="I44" s="64">
        <v>200</v>
      </c>
      <c r="J44" s="48" t="s">
        <v>31</v>
      </c>
      <c r="K44" s="48" t="s">
        <v>32</v>
      </c>
      <c r="M44" s="126">
        <v>600</v>
      </c>
    </row>
    <row r="45" spans="1:13" ht="15.75" customHeight="1">
      <c r="A45" s="50">
        <v>7</v>
      </c>
      <c r="B45" s="48" t="s">
        <v>936</v>
      </c>
      <c r="C45" s="48" t="s">
        <v>27</v>
      </c>
      <c r="D45" s="48" t="s">
        <v>937</v>
      </c>
      <c r="E45" s="48" t="s">
        <v>44</v>
      </c>
      <c r="F45" s="531" t="s">
        <v>3542</v>
      </c>
      <c r="G45" s="48" t="s">
        <v>30</v>
      </c>
      <c r="H45" s="51">
        <v>300</v>
      </c>
      <c r="I45" s="49">
        <v>60</v>
      </c>
      <c r="J45" s="48" t="s">
        <v>31</v>
      </c>
      <c r="K45" s="48" t="s">
        <v>32</v>
      </c>
      <c r="M45" s="126">
        <v>50</v>
      </c>
    </row>
    <row r="46" spans="1:13" ht="15.75" customHeight="1">
      <c r="A46" s="50">
        <v>7</v>
      </c>
      <c r="B46" s="48" t="s">
        <v>3543</v>
      </c>
      <c r="C46" s="48" t="s">
        <v>27</v>
      </c>
      <c r="D46" s="48" t="s">
        <v>56</v>
      </c>
      <c r="E46" s="48" t="s">
        <v>148</v>
      </c>
      <c r="F46" s="531" t="s">
        <v>3544</v>
      </c>
      <c r="G46" s="48" t="s">
        <v>30</v>
      </c>
      <c r="H46" s="51">
        <v>300</v>
      </c>
      <c r="I46" s="49">
        <v>60</v>
      </c>
      <c r="J46" s="48" t="s">
        <v>31</v>
      </c>
      <c r="K46" s="48" t="s">
        <v>32</v>
      </c>
    </row>
    <row r="47" spans="1:13" ht="15.75" customHeight="1">
      <c r="A47" s="50">
        <v>7</v>
      </c>
      <c r="B47" s="48" t="s">
        <v>3545</v>
      </c>
      <c r="C47" s="48" t="s">
        <v>27</v>
      </c>
      <c r="D47" s="48" t="s">
        <v>106</v>
      </c>
      <c r="E47" s="48" t="s">
        <v>29</v>
      </c>
      <c r="F47" s="531" t="s">
        <v>3546</v>
      </c>
      <c r="G47" s="48" t="s">
        <v>30</v>
      </c>
      <c r="H47" s="51">
        <v>500</v>
      </c>
      <c r="I47" s="49">
        <v>100</v>
      </c>
      <c r="J47" s="48" t="s">
        <v>31</v>
      </c>
      <c r="K47" s="48" t="s">
        <v>32</v>
      </c>
      <c r="M47" s="126">
        <v>100</v>
      </c>
    </row>
    <row r="48" spans="1:13" ht="15.75" customHeight="1">
      <c r="A48" s="50">
        <v>7</v>
      </c>
      <c r="B48" s="48" t="s">
        <v>3547</v>
      </c>
      <c r="C48" s="48" t="s">
        <v>39</v>
      </c>
      <c r="D48" s="48" t="s">
        <v>3548</v>
      </c>
      <c r="E48" s="48" t="s">
        <v>36</v>
      </c>
      <c r="F48" s="531" t="s">
        <v>3549</v>
      </c>
      <c r="G48" s="48" t="s">
        <v>30</v>
      </c>
      <c r="H48" s="51">
        <v>500</v>
      </c>
      <c r="I48" s="49">
        <v>100</v>
      </c>
      <c r="J48" s="48" t="s">
        <v>31</v>
      </c>
      <c r="K48" s="48" t="s">
        <v>32</v>
      </c>
      <c r="M48" s="126">
        <v>100</v>
      </c>
    </row>
    <row r="49" spans="1:16" ht="15.75" customHeight="1">
      <c r="A49" s="50">
        <v>7</v>
      </c>
      <c r="B49" s="48" t="s">
        <v>2127</v>
      </c>
      <c r="C49" s="48" t="s">
        <v>27</v>
      </c>
      <c r="D49" s="48" t="s">
        <v>387</v>
      </c>
      <c r="E49" s="48" t="s">
        <v>41</v>
      </c>
      <c r="F49" s="531" t="s">
        <v>3550</v>
      </c>
      <c r="G49" s="48" t="s">
        <v>30</v>
      </c>
      <c r="H49" s="51">
        <v>10000</v>
      </c>
      <c r="I49" s="49">
        <v>2000</v>
      </c>
      <c r="J49" s="48" t="s">
        <v>31</v>
      </c>
      <c r="K49" s="48" t="s">
        <v>32</v>
      </c>
      <c r="M49" s="126">
        <v>5000</v>
      </c>
    </row>
    <row r="50" spans="1:16" ht="15.75" customHeight="1">
      <c r="A50" s="50">
        <v>7</v>
      </c>
      <c r="B50" s="48" t="s">
        <v>3551</v>
      </c>
      <c r="C50" s="48" t="s">
        <v>27</v>
      </c>
      <c r="D50" s="48" t="s">
        <v>407</v>
      </c>
      <c r="E50" s="48" t="s">
        <v>44</v>
      </c>
      <c r="F50" s="531" t="s">
        <v>3552</v>
      </c>
      <c r="G50" s="48" t="s">
        <v>30</v>
      </c>
      <c r="H50" s="51">
        <v>500</v>
      </c>
      <c r="I50" s="49">
        <v>100</v>
      </c>
      <c r="J50" s="48" t="s">
        <v>31</v>
      </c>
      <c r="K50" s="48" t="s">
        <v>32</v>
      </c>
      <c r="M50" s="126">
        <v>150</v>
      </c>
    </row>
    <row r="51" spans="1:16" ht="15.75" customHeight="1">
      <c r="A51" s="50">
        <v>7</v>
      </c>
      <c r="B51" s="48" t="s">
        <v>3553</v>
      </c>
      <c r="C51" s="48" t="s">
        <v>39</v>
      </c>
      <c r="D51" s="48" t="s">
        <v>449</v>
      </c>
      <c r="E51" s="48" t="s">
        <v>44</v>
      </c>
      <c r="F51" s="531" t="s">
        <v>3554</v>
      </c>
      <c r="G51" s="48" t="s">
        <v>30</v>
      </c>
      <c r="H51" s="51">
        <v>500</v>
      </c>
      <c r="I51" s="49">
        <v>100</v>
      </c>
      <c r="J51" s="48" t="s">
        <v>31</v>
      </c>
      <c r="K51" s="48" t="s">
        <v>32</v>
      </c>
      <c r="M51" s="126">
        <v>100</v>
      </c>
    </row>
    <row r="52" spans="1:16" ht="15.75" customHeight="1">
      <c r="A52" s="50">
        <v>7</v>
      </c>
      <c r="B52" s="48" t="s">
        <v>3553</v>
      </c>
      <c r="C52" s="48" t="s">
        <v>39</v>
      </c>
      <c r="D52" s="48" t="s">
        <v>449</v>
      </c>
      <c r="E52" s="48" t="s">
        <v>44</v>
      </c>
      <c r="F52" s="48" t="s">
        <v>3555</v>
      </c>
      <c r="G52" s="48" t="s">
        <v>348</v>
      </c>
      <c r="H52" s="51">
        <v>33</v>
      </c>
      <c r="I52" s="49">
        <v>99</v>
      </c>
      <c r="J52" s="48" t="s">
        <v>31</v>
      </c>
      <c r="K52" s="48" t="s">
        <v>32</v>
      </c>
      <c r="P52" s="55"/>
    </row>
    <row r="53" spans="1:16" ht="15.75" customHeight="1">
      <c r="A53" s="50">
        <v>7</v>
      </c>
      <c r="B53" s="48" t="s">
        <v>3556</v>
      </c>
      <c r="C53" s="48" t="s">
        <v>27</v>
      </c>
      <c r="D53" s="48" t="s">
        <v>234</v>
      </c>
      <c r="E53" s="48" t="s">
        <v>84</v>
      </c>
      <c r="F53" s="48"/>
      <c r="G53" s="48" t="s">
        <v>30</v>
      </c>
      <c r="H53" s="51">
        <v>10000</v>
      </c>
      <c r="I53" s="49">
        <v>2000</v>
      </c>
      <c r="J53" s="48" t="s">
        <v>31</v>
      </c>
      <c r="K53" s="48" t="s">
        <v>32</v>
      </c>
      <c r="M53" s="126">
        <v>2500</v>
      </c>
      <c r="P53" s="55"/>
    </row>
    <row r="54" spans="1:16" ht="15.75" customHeight="1">
      <c r="A54" s="50">
        <v>7</v>
      </c>
      <c r="B54" s="48" t="s">
        <v>3557</v>
      </c>
      <c r="C54" s="48" t="s">
        <v>27</v>
      </c>
      <c r="D54" s="48" t="s">
        <v>234</v>
      </c>
      <c r="E54" s="48" t="s">
        <v>84</v>
      </c>
      <c r="F54" s="531" t="s">
        <v>3558</v>
      </c>
      <c r="G54" s="48" t="s">
        <v>30</v>
      </c>
      <c r="H54" s="51">
        <v>1500</v>
      </c>
      <c r="I54" s="49" t="s">
        <v>1586</v>
      </c>
      <c r="J54" s="48" t="s">
        <v>31</v>
      </c>
      <c r="K54" s="48" t="s">
        <v>32</v>
      </c>
      <c r="M54" s="126">
        <v>2500</v>
      </c>
      <c r="P54" s="55"/>
    </row>
    <row r="55" spans="1:16" ht="15.75" customHeight="1">
      <c r="A55" s="50">
        <v>7</v>
      </c>
      <c r="B55" s="48" t="s">
        <v>3559</v>
      </c>
      <c r="C55" s="48" t="s">
        <v>27</v>
      </c>
      <c r="D55" s="48" t="s">
        <v>733</v>
      </c>
      <c r="E55" s="48" t="s">
        <v>44</v>
      </c>
      <c r="F55" s="531" t="s">
        <v>3560</v>
      </c>
      <c r="G55" s="48" t="s">
        <v>30</v>
      </c>
      <c r="H55" s="51">
        <v>7500</v>
      </c>
      <c r="I55" s="49" t="s">
        <v>1586</v>
      </c>
      <c r="J55" s="48" t="s">
        <v>31</v>
      </c>
      <c r="K55" s="48" t="s">
        <v>32</v>
      </c>
      <c r="M55" s="126">
        <v>1500</v>
      </c>
      <c r="P55" s="55"/>
    </row>
    <row r="56" spans="1:16" ht="15.75" customHeight="1">
      <c r="A56" s="50">
        <v>7</v>
      </c>
      <c r="B56" s="48" t="s">
        <v>3561</v>
      </c>
      <c r="C56" s="48" t="s">
        <v>27</v>
      </c>
      <c r="D56" s="48" t="s">
        <v>96</v>
      </c>
      <c r="E56" s="48" t="s">
        <v>44</v>
      </c>
      <c r="F56" s="48"/>
      <c r="G56" s="48" t="s">
        <v>348</v>
      </c>
      <c r="H56" s="51">
        <v>30</v>
      </c>
      <c r="I56" s="49">
        <v>90</v>
      </c>
      <c r="J56" s="48" t="s">
        <v>31</v>
      </c>
      <c r="K56" s="48" t="s">
        <v>32</v>
      </c>
    </row>
    <row r="57" spans="1:16" ht="15.75" customHeight="1">
      <c r="A57" s="50">
        <v>7</v>
      </c>
      <c r="B57" s="48" t="s">
        <v>3562</v>
      </c>
      <c r="C57" s="48" t="s">
        <v>27</v>
      </c>
      <c r="D57" s="48" t="s">
        <v>297</v>
      </c>
      <c r="E57" s="48" t="s">
        <v>44</v>
      </c>
      <c r="F57" s="531" t="s">
        <v>3563</v>
      </c>
      <c r="G57" s="48" t="s">
        <v>30</v>
      </c>
      <c r="H57" s="51">
        <v>200</v>
      </c>
      <c r="I57" s="49">
        <v>40</v>
      </c>
      <c r="J57" s="48" t="s">
        <v>31</v>
      </c>
      <c r="K57" s="48" t="s">
        <v>32</v>
      </c>
      <c r="M57" s="126">
        <v>60</v>
      </c>
      <c r="P57" s="55"/>
    </row>
    <row r="58" spans="1:16" ht="15.75" customHeight="1">
      <c r="A58" s="50">
        <v>7</v>
      </c>
      <c r="B58" s="48" t="s">
        <v>3564</v>
      </c>
      <c r="C58" s="48" t="s">
        <v>27</v>
      </c>
      <c r="D58" s="48" t="s">
        <v>88</v>
      </c>
      <c r="E58" s="48" t="s">
        <v>223</v>
      </c>
      <c r="F58" s="531" t="s">
        <v>3565</v>
      </c>
      <c r="G58" s="48" t="s">
        <v>348</v>
      </c>
      <c r="H58" s="51">
        <v>30</v>
      </c>
      <c r="I58" s="49">
        <v>90</v>
      </c>
      <c r="J58" s="48" t="s">
        <v>31</v>
      </c>
      <c r="K58" s="48" t="s">
        <v>32</v>
      </c>
    </row>
    <row r="59" spans="1:16" ht="15.75" customHeight="1">
      <c r="A59" s="50">
        <v>8</v>
      </c>
      <c r="B59" s="48" t="s">
        <v>3566</v>
      </c>
      <c r="C59" s="48" t="s">
        <v>27</v>
      </c>
      <c r="D59" s="48" t="s">
        <v>733</v>
      </c>
      <c r="E59" s="48" t="s">
        <v>86</v>
      </c>
      <c r="F59" s="48"/>
      <c r="G59" s="48" t="s">
        <v>30</v>
      </c>
      <c r="H59" s="51">
        <v>6500</v>
      </c>
      <c r="I59" s="49">
        <v>1300</v>
      </c>
      <c r="J59" s="48" t="s">
        <v>31</v>
      </c>
      <c r="K59" s="48" t="s">
        <v>32</v>
      </c>
      <c r="P59" s="55"/>
    </row>
    <row r="60" spans="1:16" ht="15.75" customHeight="1">
      <c r="A60" s="50">
        <v>8</v>
      </c>
      <c r="B60" s="48" t="s">
        <v>3567</v>
      </c>
      <c r="C60" s="48" t="s">
        <v>27</v>
      </c>
      <c r="D60" s="48" t="s">
        <v>266</v>
      </c>
      <c r="E60" s="48" t="s">
        <v>68</v>
      </c>
      <c r="F60" s="531" t="s">
        <v>3568</v>
      </c>
      <c r="G60" s="48" t="s">
        <v>30</v>
      </c>
      <c r="H60" s="51">
        <v>500</v>
      </c>
      <c r="I60" s="49">
        <v>100</v>
      </c>
      <c r="J60" s="48" t="s">
        <v>31</v>
      </c>
      <c r="K60" s="48" t="s">
        <v>32</v>
      </c>
      <c r="M60" s="126">
        <v>150</v>
      </c>
    </row>
    <row r="61" spans="1:16" ht="15.75" customHeight="1">
      <c r="A61" s="50">
        <v>8</v>
      </c>
      <c r="B61" s="48" t="s">
        <v>3569</v>
      </c>
      <c r="C61" s="48" t="s">
        <v>27</v>
      </c>
      <c r="D61" s="48" t="s">
        <v>326</v>
      </c>
      <c r="E61" s="48" t="s">
        <v>84</v>
      </c>
      <c r="F61" s="48"/>
      <c r="G61" s="48" t="s">
        <v>30</v>
      </c>
      <c r="H61" s="51">
        <v>500</v>
      </c>
      <c r="I61" s="49">
        <v>100</v>
      </c>
      <c r="J61" s="48" t="s">
        <v>31</v>
      </c>
      <c r="K61" s="48" t="s">
        <v>32</v>
      </c>
    </row>
    <row r="62" spans="1:16" ht="15.75" customHeight="1">
      <c r="A62" s="65">
        <v>8</v>
      </c>
      <c r="B62" s="58" t="s">
        <v>3570</v>
      </c>
      <c r="C62" s="58" t="s">
        <v>27</v>
      </c>
      <c r="D62" s="58" t="s">
        <v>317</v>
      </c>
      <c r="E62" s="58" t="s">
        <v>86</v>
      </c>
      <c r="F62" s="533" t="s">
        <v>3571</v>
      </c>
      <c r="G62" s="58" t="s">
        <v>30</v>
      </c>
      <c r="H62" s="59">
        <v>1500</v>
      </c>
      <c r="I62" s="60" t="s">
        <v>1586</v>
      </c>
      <c r="J62" s="48" t="s">
        <v>31</v>
      </c>
      <c r="K62" s="48" t="s">
        <v>32</v>
      </c>
      <c r="M62" s="126">
        <v>150</v>
      </c>
    </row>
    <row r="63" spans="1:16" ht="15.75" customHeight="1">
      <c r="A63" s="61">
        <v>9</v>
      </c>
      <c r="B63" s="62" t="s">
        <v>3572</v>
      </c>
      <c r="C63" s="62" t="s">
        <v>27</v>
      </c>
      <c r="D63" s="62" t="s">
        <v>3573</v>
      </c>
      <c r="E63" s="62" t="s">
        <v>68</v>
      </c>
      <c r="F63" s="532" t="s">
        <v>3574</v>
      </c>
      <c r="G63" s="62" t="s">
        <v>30</v>
      </c>
      <c r="H63" s="63">
        <v>10000</v>
      </c>
      <c r="I63" s="64">
        <v>2000</v>
      </c>
      <c r="J63" s="48" t="s">
        <v>31</v>
      </c>
      <c r="K63" s="48" t="s">
        <v>32</v>
      </c>
      <c r="M63" s="126">
        <v>2000</v>
      </c>
    </row>
    <row r="64" spans="1:16" ht="15.75" customHeight="1">
      <c r="A64" s="50">
        <v>9</v>
      </c>
      <c r="B64" s="48" t="s">
        <v>3551</v>
      </c>
      <c r="C64" s="48" t="s">
        <v>27</v>
      </c>
      <c r="D64" s="48" t="s">
        <v>407</v>
      </c>
      <c r="E64" s="48" t="s">
        <v>44</v>
      </c>
      <c r="F64" s="531" t="s">
        <v>3552</v>
      </c>
      <c r="G64" s="48" t="s">
        <v>30</v>
      </c>
      <c r="H64" s="51">
        <v>500</v>
      </c>
      <c r="I64" s="49">
        <v>100</v>
      </c>
      <c r="J64" s="48" t="s">
        <v>31</v>
      </c>
      <c r="K64" s="48" t="s">
        <v>32</v>
      </c>
    </row>
    <row r="65" spans="1:13" ht="15.75" customHeight="1">
      <c r="A65" s="50">
        <v>9</v>
      </c>
      <c r="B65" s="48" t="s">
        <v>3575</v>
      </c>
      <c r="C65" s="48" t="s">
        <v>27</v>
      </c>
      <c r="D65" s="48" t="s">
        <v>3548</v>
      </c>
      <c r="E65" s="48" t="s">
        <v>36</v>
      </c>
      <c r="F65" s="531" t="s">
        <v>3576</v>
      </c>
      <c r="G65" s="48" t="s">
        <v>30</v>
      </c>
      <c r="H65" s="51">
        <v>150</v>
      </c>
      <c r="I65" s="49">
        <v>30</v>
      </c>
      <c r="J65" s="48" t="s">
        <v>31</v>
      </c>
      <c r="K65" s="48" t="s">
        <v>32</v>
      </c>
    </row>
    <row r="66" spans="1:13" ht="15.75" customHeight="1">
      <c r="A66" s="50">
        <v>9</v>
      </c>
      <c r="B66" s="48" t="s">
        <v>3577</v>
      </c>
      <c r="C66" s="48" t="s">
        <v>39</v>
      </c>
      <c r="D66" s="48" t="s">
        <v>391</v>
      </c>
      <c r="E66" s="48" t="s">
        <v>73</v>
      </c>
      <c r="F66" s="531" t="s">
        <v>3578</v>
      </c>
      <c r="G66" s="48" t="s">
        <v>348</v>
      </c>
      <c r="H66" s="51">
        <v>30</v>
      </c>
      <c r="I66" s="49">
        <v>90</v>
      </c>
      <c r="J66" s="48" t="s">
        <v>31</v>
      </c>
      <c r="K66" s="48" t="s">
        <v>32</v>
      </c>
    </row>
    <row r="67" spans="1:13" ht="15.75" customHeight="1">
      <c r="A67" s="50">
        <v>9</v>
      </c>
      <c r="B67" s="48" t="s">
        <v>3579</v>
      </c>
      <c r="C67" s="48" t="s">
        <v>27</v>
      </c>
      <c r="D67" s="48" t="s">
        <v>289</v>
      </c>
      <c r="E67" s="48" t="s">
        <v>36</v>
      </c>
      <c r="F67" s="531" t="s">
        <v>3580</v>
      </c>
      <c r="G67" s="48" t="s">
        <v>30</v>
      </c>
      <c r="H67" s="51">
        <v>500</v>
      </c>
      <c r="I67" s="49">
        <v>100</v>
      </c>
      <c r="J67" s="48" t="s">
        <v>31</v>
      </c>
      <c r="K67" s="48" t="s">
        <v>32</v>
      </c>
      <c r="M67" s="126">
        <v>100</v>
      </c>
    </row>
    <row r="68" spans="1:13" ht="15.75" customHeight="1">
      <c r="A68" s="50">
        <v>9</v>
      </c>
      <c r="B68" s="48" t="s">
        <v>3581</v>
      </c>
      <c r="C68" s="48" t="s">
        <v>27</v>
      </c>
      <c r="D68" s="48" t="s">
        <v>289</v>
      </c>
      <c r="E68" s="48" t="s">
        <v>36</v>
      </c>
      <c r="F68" s="48"/>
      <c r="G68" s="48" t="s">
        <v>30</v>
      </c>
      <c r="H68" s="51">
        <v>500</v>
      </c>
      <c r="I68" s="49">
        <v>100</v>
      </c>
      <c r="J68" s="48" t="s">
        <v>31</v>
      </c>
      <c r="K68" s="48" t="s">
        <v>32</v>
      </c>
      <c r="M68" s="126">
        <v>100</v>
      </c>
    </row>
    <row r="69" spans="1:13" ht="15.75" customHeight="1">
      <c r="A69" s="50">
        <v>9</v>
      </c>
      <c r="B69" s="48" t="s">
        <v>3582</v>
      </c>
      <c r="C69" s="48" t="s">
        <v>27</v>
      </c>
      <c r="D69" s="48" t="s">
        <v>130</v>
      </c>
      <c r="E69" s="48" t="s">
        <v>51</v>
      </c>
      <c r="F69" s="531" t="s">
        <v>3583</v>
      </c>
      <c r="G69" s="48" t="s">
        <v>30</v>
      </c>
      <c r="H69" s="51">
        <v>500</v>
      </c>
      <c r="I69" s="49">
        <v>100</v>
      </c>
      <c r="J69" s="48" t="s">
        <v>31</v>
      </c>
      <c r="K69" s="48" t="s">
        <v>32</v>
      </c>
      <c r="M69" s="126">
        <v>100</v>
      </c>
    </row>
    <row r="70" spans="1:13" ht="15.75" customHeight="1">
      <c r="A70" s="50">
        <v>9</v>
      </c>
      <c r="B70" s="48" t="s">
        <v>3584</v>
      </c>
      <c r="C70" s="48" t="s">
        <v>27</v>
      </c>
      <c r="D70" s="48" t="s">
        <v>130</v>
      </c>
      <c r="E70" s="48" t="s">
        <v>51</v>
      </c>
      <c r="F70" s="531" t="s">
        <v>3585</v>
      </c>
      <c r="G70" s="48" t="s">
        <v>30</v>
      </c>
      <c r="H70" s="51">
        <v>500</v>
      </c>
      <c r="I70" s="49">
        <v>100</v>
      </c>
      <c r="J70" s="48" t="s">
        <v>31</v>
      </c>
      <c r="K70" s="48" t="s">
        <v>32</v>
      </c>
      <c r="M70" s="126">
        <v>150</v>
      </c>
    </row>
    <row r="71" spans="1:13" ht="15.75" customHeight="1">
      <c r="A71" s="50">
        <v>9</v>
      </c>
      <c r="B71" s="48" t="s">
        <v>2179</v>
      </c>
      <c r="C71" s="48" t="s">
        <v>27</v>
      </c>
      <c r="D71" s="48" t="s">
        <v>607</v>
      </c>
      <c r="E71" s="48" t="s">
        <v>36</v>
      </c>
      <c r="F71" s="531" t="s">
        <v>3586</v>
      </c>
      <c r="G71" s="48" t="s">
        <v>30</v>
      </c>
      <c r="H71" s="51">
        <v>1200</v>
      </c>
      <c r="I71" s="49">
        <v>240</v>
      </c>
      <c r="J71" s="48" t="s">
        <v>31</v>
      </c>
      <c r="K71" s="48" t="s">
        <v>32</v>
      </c>
    </row>
    <row r="72" spans="1:13" ht="15.75" customHeight="1">
      <c r="A72" s="50">
        <v>9</v>
      </c>
      <c r="B72" s="48" t="s">
        <v>3587</v>
      </c>
      <c r="C72" s="48" t="s">
        <v>27</v>
      </c>
      <c r="D72" s="48" t="s">
        <v>607</v>
      </c>
      <c r="E72" s="48" t="s">
        <v>36</v>
      </c>
      <c r="F72" s="531" t="s">
        <v>3588</v>
      </c>
      <c r="G72" s="48" t="s">
        <v>30</v>
      </c>
      <c r="H72" s="51">
        <v>500</v>
      </c>
      <c r="I72" s="49" t="s">
        <v>1586</v>
      </c>
      <c r="J72" s="48" t="s">
        <v>31</v>
      </c>
      <c r="K72" s="48" t="s">
        <v>32</v>
      </c>
      <c r="M72" s="126">
        <v>100</v>
      </c>
    </row>
    <row r="73" spans="1:13" ht="15.75" customHeight="1">
      <c r="A73" s="50">
        <v>9</v>
      </c>
      <c r="B73" s="48" t="s">
        <v>3587</v>
      </c>
      <c r="C73" s="48" t="s">
        <v>27</v>
      </c>
      <c r="D73" s="48" t="s">
        <v>607</v>
      </c>
      <c r="E73" s="48" t="s">
        <v>36</v>
      </c>
      <c r="F73" s="48" t="s">
        <v>3589</v>
      </c>
      <c r="G73" s="48" t="s">
        <v>30</v>
      </c>
      <c r="H73" s="51">
        <v>500</v>
      </c>
      <c r="I73" s="49">
        <v>100</v>
      </c>
      <c r="J73" s="48" t="s">
        <v>31</v>
      </c>
      <c r="K73" s="48" t="s">
        <v>32</v>
      </c>
    </row>
    <row r="74" spans="1:13" ht="15.75" customHeight="1">
      <c r="A74" s="50">
        <v>9</v>
      </c>
      <c r="B74" s="48" t="s">
        <v>3590</v>
      </c>
      <c r="C74" s="48" t="s">
        <v>27</v>
      </c>
      <c r="D74" s="48" t="s">
        <v>108</v>
      </c>
      <c r="E74" s="48" t="s">
        <v>84</v>
      </c>
      <c r="F74" s="48"/>
      <c r="G74" s="48" t="s">
        <v>30</v>
      </c>
      <c r="H74" s="51">
        <v>3500</v>
      </c>
      <c r="I74" s="49">
        <v>700</v>
      </c>
      <c r="J74" s="48" t="s">
        <v>31</v>
      </c>
      <c r="K74" s="48" t="s">
        <v>32</v>
      </c>
      <c r="M74" s="126">
        <v>160</v>
      </c>
    </row>
    <row r="75" spans="1:13" ht="15.75" customHeight="1">
      <c r="A75" s="369">
        <v>9</v>
      </c>
      <c r="B75" s="58" t="s">
        <v>3591</v>
      </c>
      <c r="C75" s="58" t="s">
        <v>27</v>
      </c>
      <c r="D75" s="58" t="s">
        <v>295</v>
      </c>
      <c r="E75" s="58" t="s">
        <v>41</v>
      </c>
      <c r="F75" s="533" t="s">
        <v>3592</v>
      </c>
      <c r="G75" s="58" t="s">
        <v>30</v>
      </c>
      <c r="H75" s="59">
        <v>500</v>
      </c>
      <c r="I75" s="60">
        <v>100</v>
      </c>
      <c r="J75" s="48" t="s">
        <v>31</v>
      </c>
      <c r="K75" s="48" t="s">
        <v>32</v>
      </c>
      <c r="M75" s="126">
        <v>150</v>
      </c>
    </row>
    <row r="76" spans="1:13" ht="15.75" customHeight="1">
      <c r="A76" s="61">
        <v>10</v>
      </c>
      <c r="B76" s="62" t="s">
        <v>3593</v>
      </c>
      <c r="C76" s="62" t="s">
        <v>27</v>
      </c>
      <c r="D76" s="62" t="s">
        <v>645</v>
      </c>
      <c r="E76" s="62" t="s">
        <v>29</v>
      </c>
      <c r="F76" s="532" t="s">
        <v>3594</v>
      </c>
      <c r="G76" s="534" t="s">
        <v>30</v>
      </c>
      <c r="H76" s="535">
        <v>30000</v>
      </c>
      <c r="I76" s="64">
        <v>6000</v>
      </c>
      <c r="J76" s="48" t="s">
        <v>31</v>
      </c>
      <c r="K76" s="48" t="s">
        <v>32</v>
      </c>
      <c r="M76" s="126">
        <v>5000</v>
      </c>
    </row>
    <row r="77" spans="1:13" ht="15.75" customHeight="1">
      <c r="A77" s="50">
        <v>10</v>
      </c>
      <c r="B77" s="48" t="s">
        <v>3595</v>
      </c>
      <c r="C77" s="48" t="s">
        <v>27</v>
      </c>
      <c r="D77" s="48" t="s">
        <v>506</v>
      </c>
      <c r="E77" s="48" t="s">
        <v>29</v>
      </c>
      <c r="F77" s="531" t="s">
        <v>3596</v>
      </c>
      <c r="G77" s="536" t="s">
        <v>30</v>
      </c>
      <c r="H77" s="537">
        <v>35000</v>
      </c>
      <c r="I77" s="49">
        <v>7000</v>
      </c>
      <c r="J77" s="48" t="s">
        <v>31</v>
      </c>
      <c r="K77" s="48" t="s">
        <v>32</v>
      </c>
      <c r="M77" s="126">
        <v>10000</v>
      </c>
    </row>
    <row r="78" spans="1:13" ht="15.75" customHeight="1">
      <c r="A78" s="50">
        <v>10</v>
      </c>
      <c r="B78" s="48" t="s">
        <v>3597</v>
      </c>
      <c r="C78" s="48" t="s">
        <v>27</v>
      </c>
      <c r="D78" s="48" t="s">
        <v>177</v>
      </c>
      <c r="E78" s="48" t="s">
        <v>44</v>
      </c>
      <c r="F78" s="531" t="s">
        <v>3598</v>
      </c>
      <c r="G78" s="536" t="s">
        <v>30</v>
      </c>
      <c r="H78" s="537">
        <v>1000</v>
      </c>
      <c r="I78" s="49">
        <v>200</v>
      </c>
      <c r="J78" s="48" t="s">
        <v>31</v>
      </c>
      <c r="K78" s="48" t="s">
        <v>32</v>
      </c>
    </row>
    <row r="79" spans="1:13" ht="15.75" customHeight="1">
      <c r="A79" s="50">
        <v>10</v>
      </c>
      <c r="B79" s="48" t="s">
        <v>2463</v>
      </c>
      <c r="C79" s="48" t="s">
        <v>27</v>
      </c>
      <c r="D79" s="48" t="s">
        <v>1774</v>
      </c>
      <c r="E79" s="48" t="s">
        <v>102</v>
      </c>
      <c r="F79" s="531" t="s">
        <v>3599</v>
      </c>
      <c r="G79" s="536" t="s">
        <v>30</v>
      </c>
      <c r="H79" s="537">
        <v>1000</v>
      </c>
      <c r="I79" s="49">
        <v>200</v>
      </c>
      <c r="J79" s="48" t="s">
        <v>31</v>
      </c>
      <c r="K79" s="48" t="s">
        <v>32</v>
      </c>
    </row>
    <row r="80" spans="1:13" ht="15.75" customHeight="1">
      <c r="A80" s="50">
        <v>10</v>
      </c>
      <c r="B80" s="48" t="s">
        <v>3600</v>
      </c>
      <c r="C80" s="48" t="s">
        <v>27</v>
      </c>
      <c r="D80" s="48" t="s">
        <v>264</v>
      </c>
      <c r="E80" s="48" t="s">
        <v>245</v>
      </c>
      <c r="F80" s="531" t="s">
        <v>3601</v>
      </c>
      <c r="G80" s="536" t="s">
        <v>30</v>
      </c>
      <c r="H80" s="537">
        <v>500</v>
      </c>
      <c r="I80" s="49">
        <v>100</v>
      </c>
      <c r="J80" s="48" t="s">
        <v>31</v>
      </c>
      <c r="K80" s="48" t="s">
        <v>32</v>
      </c>
    </row>
    <row r="81" spans="1:15" ht="15.75" customHeight="1">
      <c r="A81" s="50">
        <v>10</v>
      </c>
      <c r="B81" s="48" t="s">
        <v>3602</v>
      </c>
      <c r="C81" s="48" t="s">
        <v>27</v>
      </c>
      <c r="D81" s="48" t="s">
        <v>234</v>
      </c>
      <c r="E81" s="48" t="s">
        <v>84</v>
      </c>
      <c r="F81" s="531" t="s">
        <v>3558</v>
      </c>
      <c r="G81" s="536" t="s">
        <v>30</v>
      </c>
      <c r="H81" s="537">
        <v>2000</v>
      </c>
      <c r="I81" s="49">
        <v>400</v>
      </c>
      <c r="J81" s="48" t="s">
        <v>31</v>
      </c>
      <c r="K81" s="48" t="s">
        <v>32</v>
      </c>
    </row>
    <row r="82" spans="1:15" ht="15.75" customHeight="1">
      <c r="A82" s="50">
        <v>10</v>
      </c>
      <c r="B82" s="48" t="s">
        <v>3162</v>
      </c>
      <c r="C82" s="48" t="s">
        <v>27</v>
      </c>
      <c r="D82" s="48" t="s">
        <v>934</v>
      </c>
      <c r="E82" s="48" t="s">
        <v>44</v>
      </c>
      <c r="F82" s="531" t="s">
        <v>3603</v>
      </c>
      <c r="G82" s="48" t="s">
        <v>61</v>
      </c>
      <c r="H82" s="51">
        <v>10</v>
      </c>
      <c r="I82" s="49">
        <v>50</v>
      </c>
      <c r="J82" s="48" t="s">
        <v>31</v>
      </c>
      <c r="K82" s="48" t="s">
        <v>32</v>
      </c>
    </row>
    <row r="83" spans="1:15" ht="15.75" customHeight="1">
      <c r="A83" s="50">
        <v>10</v>
      </c>
      <c r="B83" s="48" t="s">
        <v>3604</v>
      </c>
      <c r="C83" s="48" t="s">
        <v>27</v>
      </c>
      <c r="D83" s="48" t="s">
        <v>3605</v>
      </c>
      <c r="E83" s="48" t="s">
        <v>191</v>
      </c>
      <c r="F83" s="531" t="s">
        <v>3606</v>
      </c>
      <c r="G83" s="408" t="s">
        <v>30</v>
      </c>
      <c r="H83" s="432">
        <v>2500</v>
      </c>
      <c r="I83" s="437" t="s">
        <v>1586</v>
      </c>
      <c r="J83" s="48" t="s">
        <v>31</v>
      </c>
      <c r="K83" s="48" t="s">
        <v>32</v>
      </c>
      <c r="M83" s="126">
        <v>2500</v>
      </c>
    </row>
    <row r="84" spans="1:15" ht="15.75" customHeight="1">
      <c r="A84" s="50">
        <v>10</v>
      </c>
      <c r="B84" s="48" t="s">
        <v>3604</v>
      </c>
      <c r="C84" s="48" t="s">
        <v>27</v>
      </c>
      <c r="D84" s="48" t="s">
        <v>3605</v>
      </c>
      <c r="E84" s="48" t="s">
        <v>191</v>
      </c>
      <c r="F84" s="48" t="s">
        <v>3607</v>
      </c>
      <c r="G84" s="538" t="s">
        <v>115</v>
      </c>
      <c r="H84" s="539">
        <v>2000</v>
      </c>
      <c r="I84" s="540" t="s">
        <v>1586</v>
      </c>
      <c r="J84" s="48" t="s">
        <v>31</v>
      </c>
      <c r="K84" s="48" t="s">
        <v>32</v>
      </c>
    </row>
    <row r="85" spans="1:15" ht="15.75" customHeight="1">
      <c r="A85" s="50">
        <v>10</v>
      </c>
      <c r="B85" s="48" t="s">
        <v>3608</v>
      </c>
      <c r="C85" s="48" t="s">
        <v>27</v>
      </c>
      <c r="D85" s="48" t="s">
        <v>100</v>
      </c>
      <c r="E85" s="48" t="s">
        <v>145</v>
      </c>
      <c r="F85" s="531" t="s">
        <v>3609</v>
      </c>
      <c r="G85" s="408" t="s">
        <v>30</v>
      </c>
      <c r="H85" s="432">
        <v>500</v>
      </c>
      <c r="I85" s="437" t="s">
        <v>1586</v>
      </c>
      <c r="J85" s="48" t="s">
        <v>31</v>
      </c>
      <c r="K85" s="48" t="s">
        <v>32</v>
      </c>
      <c r="O85" s="55"/>
    </row>
    <row r="86" spans="1:15" ht="15.75" customHeight="1">
      <c r="A86" s="50">
        <v>11</v>
      </c>
      <c r="B86" s="48" t="s">
        <v>1160</v>
      </c>
      <c r="C86" s="48" t="s">
        <v>27</v>
      </c>
      <c r="D86" s="48" t="s">
        <v>760</v>
      </c>
      <c r="E86" s="48" t="s">
        <v>209</v>
      </c>
      <c r="F86" s="531" t="s">
        <v>3610</v>
      </c>
      <c r="G86" s="536" t="s">
        <v>30</v>
      </c>
      <c r="H86" s="537">
        <v>10000</v>
      </c>
      <c r="I86" s="49">
        <v>2000</v>
      </c>
      <c r="J86" s="48" t="s">
        <v>31</v>
      </c>
      <c r="K86" s="48" t="s">
        <v>32</v>
      </c>
      <c r="M86" s="126">
        <v>2500</v>
      </c>
      <c r="O86" s="55"/>
    </row>
    <row r="87" spans="1:15" ht="15.75" customHeight="1">
      <c r="A87" s="50">
        <v>11</v>
      </c>
      <c r="B87" s="48" t="s">
        <v>3611</v>
      </c>
      <c r="C87" s="48" t="s">
        <v>27</v>
      </c>
      <c r="D87" s="48" t="s">
        <v>56</v>
      </c>
      <c r="E87" s="48" t="s">
        <v>84</v>
      </c>
      <c r="F87" s="531" t="s">
        <v>3612</v>
      </c>
      <c r="G87" s="536" t="s">
        <v>30</v>
      </c>
      <c r="H87" s="537">
        <v>500</v>
      </c>
      <c r="I87" s="49">
        <v>100</v>
      </c>
      <c r="J87" s="48" t="s">
        <v>31</v>
      </c>
      <c r="K87" s="48" t="s">
        <v>32</v>
      </c>
      <c r="M87" s="126">
        <v>200</v>
      </c>
      <c r="O87" s="55"/>
    </row>
    <row r="88" spans="1:15" ht="15.75" customHeight="1">
      <c r="A88" s="50">
        <v>11</v>
      </c>
      <c r="B88" s="48" t="s">
        <v>3613</v>
      </c>
      <c r="C88" s="48" t="s">
        <v>27</v>
      </c>
      <c r="D88" s="48" t="s">
        <v>347</v>
      </c>
      <c r="E88" s="48" t="s">
        <v>245</v>
      </c>
      <c r="F88" s="48"/>
      <c r="G88" s="536" t="s">
        <v>30</v>
      </c>
      <c r="H88" s="537">
        <v>500</v>
      </c>
      <c r="I88" s="49">
        <v>100</v>
      </c>
      <c r="J88" s="48" t="s">
        <v>31</v>
      </c>
      <c r="K88" s="48" t="s">
        <v>32</v>
      </c>
      <c r="O88" s="55"/>
    </row>
    <row r="89" spans="1:15" ht="15.75" customHeight="1">
      <c r="A89" s="50">
        <v>11</v>
      </c>
      <c r="B89" s="48" t="s">
        <v>3614</v>
      </c>
      <c r="C89" s="48" t="s">
        <v>27</v>
      </c>
      <c r="D89" s="48" t="s">
        <v>1120</v>
      </c>
      <c r="E89" s="48" t="s">
        <v>84</v>
      </c>
      <c r="F89" s="531" t="s">
        <v>3615</v>
      </c>
      <c r="G89" s="536" t="s">
        <v>30</v>
      </c>
      <c r="H89" s="537">
        <v>100</v>
      </c>
      <c r="I89" s="49">
        <v>20</v>
      </c>
      <c r="J89" s="48" t="s">
        <v>31</v>
      </c>
      <c r="K89" s="48" t="s">
        <v>32</v>
      </c>
    </row>
    <row r="90" spans="1:15" ht="15.75" customHeight="1">
      <c r="A90" s="50">
        <v>11</v>
      </c>
      <c r="B90" s="48" t="s">
        <v>3375</v>
      </c>
      <c r="C90" s="48" t="s">
        <v>27</v>
      </c>
      <c r="D90" s="48" t="s">
        <v>211</v>
      </c>
      <c r="E90" s="48" t="s">
        <v>36</v>
      </c>
      <c r="F90" s="531" t="s">
        <v>3616</v>
      </c>
      <c r="G90" s="536" t="s">
        <v>30</v>
      </c>
      <c r="H90" s="537">
        <v>500</v>
      </c>
      <c r="I90" s="49">
        <v>100</v>
      </c>
      <c r="J90" s="48" t="s">
        <v>31</v>
      </c>
      <c r="K90" s="48" t="s">
        <v>32</v>
      </c>
      <c r="O90" s="55"/>
    </row>
    <row r="91" spans="1:15" ht="15.75" customHeight="1">
      <c r="A91" s="50">
        <v>11</v>
      </c>
      <c r="B91" s="48" t="s">
        <v>3617</v>
      </c>
      <c r="C91" s="48" t="s">
        <v>27</v>
      </c>
      <c r="D91" s="48" t="s">
        <v>499</v>
      </c>
      <c r="E91" s="48" t="s">
        <v>145</v>
      </c>
      <c r="F91" s="531" t="s">
        <v>3618</v>
      </c>
      <c r="G91" s="536" t="s">
        <v>30</v>
      </c>
      <c r="H91" s="537">
        <v>3000</v>
      </c>
      <c r="I91" s="49">
        <v>600</v>
      </c>
      <c r="J91" s="48" t="s">
        <v>31</v>
      </c>
      <c r="K91" s="48" t="s">
        <v>32</v>
      </c>
    </row>
    <row r="92" spans="1:15" ht="15.75" customHeight="1">
      <c r="A92" s="50">
        <v>11</v>
      </c>
      <c r="B92" s="48" t="s">
        <v>2517</v>
      </c>
      <c r="C92" s="48" t="s">
        <v>27</v>
      </c>
      <c r="D92" s="48" t="s">
        <v>657</v>
      </c>
      <c r="E92" s="48" t="s">
        <v>73</v>
      </c>
      <c r="F92" s="48"/>
      <c r="G92" s="536" t="s">
        <v>30</v>
      </c>
      <c r="H92" s="537">
        <v>500</v>
      </c>
      <c r="I92" s="49">
        <v>100</v>
      </c>
      <c r="J92" s="48" t="s">
        <v>31</v>
      </c>
      <c r="K92" s="48" t="s">
        <v>32</v>
      </c>
    </row>
    <row r="93" spans="1:15" ht="15.75" customHeight="1">
      <c r="A93" s="50">
        <v>11</v>
      </c>
      <c r="B93" s="48" t="s">
        <v>3619</v>
      </c>
      <c r="C93" s="48" t="s">
        <v>27</v>
      </c>
      <c r="D93" s="48" t="s">
        <v>391</v>
      </c>
      <c r="E93" s="48" t="s">
        <v>73</v>
      </c>
      <c r="F93" s="531" t="s">
        <v>3620</v>
      </c>
      <c r="G93" s="536" t="s">
        <v>30</v>
      </c>
      <c r="H93" s="537">
        <v>500</v>
      </c>
      <c r="I93" s="49">
        <v>100</v>
      </c>
      <c r="J93" s="48" t="s">
        <v>31</v>
      </c>
      <c r="K93" s="48" t="s">
        <v>32</v>
      </c>
    </row>
    <row r="94" spans="1:15" ht="15.75" customHeight="1">
      <c r="A94" s="50">
        <v>11</v>
      </c>
      <c r="B94" s="48" t="s">
        <v>3621</v>
      </c>
      <c r="C94" s="48" t="s">
        <v>27</v>
      </c>
      <c r="D94" s="48" t="s">
        <v>2076</v>
      </c>
      <c r="E94" s="48" t="s">
        <v>73</v>
      </c>
      <c r="F94" s="531" t="s">
        <v>3622</v>
      </c>
      <c r="G94" s="536" t="s">
        <v>30</v>
      </c>
      <c r="H94" s="537">
        <v>50</v>
      </c>
      <c r="I94" s="49">
        <v>10</v>
      </c>
      <c r="J94" s="48" t="s">
        <v>31</v>
      </c>
      <c r="K94" s="48" t="s">
        <v>32</v>
      </c>
    </row>
    <row r="95" spans="1:15" ht="15.75" customHeight="1">
      <c r="A95" s="50">
        <v>11</v>
      </c>
      <c r="B95" s="48" t="s">
        <v>3623</v>
      </c>
      <c r="C95" s="48" t="s">
        <v>39</v>
      </c>
      <c r="D95" s="48" t="s">
        <v>100</v>
      </c>
      <c r="E95" s="48" t="s">
        <v>79</v>
      </c>
      <c r="F95" s="531" t="s">
        <v>3624</v>
      </c>
      <c r="G95" s="536" t="s">
        <v>30</v>
      </c>
      <c r="H95" s="537">
        <v>500</v>
      </c>
      <c r="I95" s="49">
        <v>100</v>
      </c>
      <c r="J95" s="48" t="s">
        <v>31</v>
      </c>
      <c r="K95" s="48" t="s">
        <v>32</v>
      </c>
      <c r="M95" s="126">
        <v>80</v>
      </c>
    </row>
    <row r="96" spans="1:15" ht="15.75" customHeight="1">
      <c r="A96" s="396">
        <v>11</v>
      </c>
      <c r="B96" s="166" t="s">
        <v>3625</v>
      </c>
      <c r="C96" s="166" t="s">
        <v>27</v>
      </c>
      <c r="D96" s="166" t="s">
        <v>593</v>
      </c>
      <c r="E96" s="166" t="s">
        <v>169</v>
      </c>
      <c r="F96" s="541" t="s">
        <v>3626</v>
      </c>
      <c r="G96" s="166" t="s">
        <v>30</v>
      </c>
      <c r="H96" s="167">
        <v>1500</v>
      </c>
      <c r="I96" s="397" t="s">
        <v>1586</v>
      </c>
      <c r="J96" s="48" t="s">
        <v>31</v>
      </c>
      <c r="K96" s="48" t="s">
        <v>32</v>
      </c>
    </row>
    <row r="97" spans="1:13" ht="15.75" customHeight="1">
      <c r="A97" s="396">
        <v>11</v>
      </c>
      <c r="B97" s="166" t="s">
        <v>3627</v>
      </c>
      <c r="C97" s="166" t="s">
        <v>27</v>
      </c>
      <c r="D97" s="166" t="s">
        <v>775</v>
      </c>
      <c r="E97" s="166" t="s">
        <v>169</v>
      </c>
      <c r="F97" s="541" t="s">
        <v>3628</v>
      </c>
      <c r="G97" s="166" t="s">
        <v>30</v>
      </c>
      <c r="H97" s="167">
        <v>1500</v>
      </c>
      <c r="I97" s="397" t="s">
        <v>1586</v>
      </c>
      <c r="J97" s="48" t="s">
        <v>31</v>
      </c>
      <c r="K97" s="48" t="s">
        <v>32</v>
      </c>
    </row>
    <row r="98" spans="1:13" ht="15.75" customHeight="1">
      <c r="A98" s="396">
        <v>11</v>
      </c>
      <c r="B98" s="166" t="s">
        <v>167</v>
      </c>
      <c r="C98" s="166" t="s">
        <v>27</v>
      </c>
      <c r="D98" s="166" t="s">
        <v>593</v>
      </c>
      <c r="E98" s="166" t="s">
        <v>169</v>
      </c>
      <c r="F98" s="541" t="s">
        <v>3629</v>
      </c>
      <c r="G98" s="166" t="s">
        <v>30</v>
      </c>
      <c r="H98" s="167">
        <v>1500</v>
      </c>
      <c r="I98" s="397" t="s">
        <v>1586</v>
      </c>
      <c r="J98" s="48" t="s">
        <v>31</v>
      </c>
      <c r="K98" s="48" t="s">
        <v>32</v>
      </c>
    </row>
    <row r="99" spans="1:13" ht="15.75" customHeight="1">
      <c r="A99" s="396">
        <v>11</v>
      </c>
      <c r="B99" s="166" t="s">
        <v>3630</v>
      </c>
      <c r="C99" s="166" t="s">
        <v>27</v>
      </c>
      <c r="D99" s="166" t="s">
        <v>1612</v>
      </c>
      <c r="E99" s="166" t="s">
        <v>169</v>
      </c>
      <c r="F99" s="541" t="s">
        <v>3631</v>
      </c>
      <c r="G99" s="166" t="s">
        <v>30</v>
      </c>
      <c r="H99" s="167">
        <v>1500</v>
      </c>
      <c r="I99" s="397" t="s">
        <v>1586</v>
      </c>
      <c r="J99" s="48" t="s">
        <v>31</v>
      </c>
      <c r="K99" s="48" t="s">
        <v>32</v>
      </c>
    </row>
    <row r="100" spans="1:13" ht="15.75" customHeight="1">
      <c r="A100" s="50">
        <v>12</v>
      </c>
      <c r="B100" s="48" t="s">
        <v>3632</v>
      </c>
      <c r="C100" s="48" t="s">
        <v>27</v>
      </c>
      <c r="D100" s="48" t="s">
        <v>104</v>
      </c>
      <c r="E100" s="48" t="s">
        <v>36</v>
      </c>
      <c r="F100" s="531" t="s">
        <v>3633</v>
      </c>
      <c r="G100" s="536" t="s">
        <v>30</v>
      </c>
      <c r="H100" s="537">
        <v>5000</v>
      </c>
      <c r="I100" s="49">
        <v>1000</v>
      </c>
      <c r="J100" s="48" t="s">
        <v>31</v>
      </c>
      <c r="K100" s="48" t="s">
        <v>32</v>
      </c>
      <c r="M100" s="126">
        <v>1000</v>
      </c>
    </row>
    <row r="101" spans="1:13" ht="15.75" customHeight="1">
      <c r="A101" s="50">
        <v>12</v>
      </c>
      <c r="B101" s="48" t="s">
        <v>3634</v>
      </c>
      <c r="C101" s="48" t="s">
        <v>27</v>
      </c>
      <c r="D101" s="48" t="s">
        <v>659</v>
      </c>
      <c r="E101" s="48" t="s">
        <v>86</v>
      </c>
      <c r="F101" s="48"/>
      <c r="G101" s="536" t="s">
        <v>30</v>
      </c>
      <c r="H101" s="537">
        <v>500</v>
      </c>
      <c r="I101" s="49">
        <v>100</v>
      </c>
      <c r="J101" s="48" t="s">
        <v>31</v>
      </c>
      <c r="K101" s="48" t="s">
        <v>32</v>
      </c>
    </row>
    <row r="102" spans="1:13" ht="15.75" customHeight="1">
      <c r="A102" s="50">
        <v>12</v>
      </c>
      <c r="B102" s="48" t="s">
        <v>3635</v>
      </c>
      <c r="C102" s="48" t="s">
        <v>27</v>
      </c>
      <c r="D102" s="48" t="s">
        <v>3636</v>
      </c>
      <c r="E102" s="48" t="s">
        <v>148</v>
      </c>
      <c r="F102" s="531" t="s">
        <v>3637</v>
      </c>
      <c r="G102" s="536" t="s">
        <v>30</v>
      </c>
      <c r="H102" s="537">
        <v>2000</v>
      </c>
      <c r="I102" s="49">
        <v>400</v>
      </c>
      <c r="J102" s="48" t="s">
        <v>31</v>
      </c>
      <c r="K102" s="48" t="s">
        <v>32</v>
      </c>
      <c r="M102" s="126">
        <v>500</v>
      </c>
    </row>
    <row r="103" spans="1:13" ht="15.75" customHeight="1">
      <c r="A103" s="50">
        <v>12</v>
      </c>
      <c r="B103" s="48" t="s">
        <v>2451</v>
      </c>
      <c r="C103" s="48" t="s">
        <v>27</v>
      </c>
      <c r="D103" s="48" t="s">
        <v>659</v>
      </c>
      <c r="E103" s="48" t="s">
        <v>86</v>
      </c>
      <c r="F103" s="531" t="s">
        <v>3638</v>
      </c>
      <c r="G103" s="536" t="s">
        <v>30</v>
      </c>
      <c r="H103" s="537">
        <v>500</v>
      </c>
      <c r="I103" s="49">
        <v>100</v>
      </c>
      <c r="J103" s="48" t="s">
        <v>31</v>
      </c>
      <c r="K103" s="48" t="s">
        <v>32</v>
      </c>
    </row>
    <row r="104" spans="1:13" ht="15.75" customHeight="1">
      <c r="A104" s="50">
        <v>12</v>
      </c>
      <c r="B104" s="48" t="s">
        <v>3639</v>
      </c>
      <c r="C104" s="48" t="s">
        <v>27</v>
      </c>
      <c r="D104" s="48" t="s">
        <v>232</v>
      </c>
      <c r="E104" s="48" t="s">
        <v>68</v>
      </c>
      <c r="F104" s="531" t="s">
        <v>3640</v>
      </c>
      <c r="G104" s="536" t="s">
        <v>30</v>
      </c>
      <c r="H104" s="537">
        <v>500</v>
      </c>
      <c r="I104" s="49">
        <v>100</v>
      </c>
      <c r="J104" s="48" t="s">
        <v>31</v>
      </c>
      <c r="K104" s="48" t="s">
        <v>32</v>
      </c>
    </row>
    <row r="105" spans="1:13" ht="15.75" customHeight="1">
      <c r="A105" s="50">
        <v>12</v>
      </c>
      <c r="B105" s="48" t="s">
        <v>3641</v>
      </c>
      <c r="C105" s="48" t="s">
        <v>27</v>
      </c>
      <c r="D105" s="48" t="s">
        <v>232</v>
      </c>
      <c r="E105" s="48" t="s">
        <v>79</v>
      </c>
      <c r="F105" s="531" t="s">
        <v>3642</v>
      </c>
      <c r="G105" s="536" t="s">
        <v>30</v>
      </c>
      <c r="H105" s="537">
        <v>500</v>
      </c>
      <c r="I105" s="49">
        <v>100</v>
      </c>
      <c r="J105" s="48" t="s">
        <v>31</v>
      </c>
      <c r="K105" s="48" t="s">
        <v>32</v>
      </c>
    </row>
    <row r="106" spans="1:13" ht="15.75" customHeight="1">
      <c r="A106" s="50">
        <v>12</v>
      </c>
      <c r="B106" s="48" t="s">
        <v>3643</v>
      </c>
      <c r="C106" s="48" t="s">
        <v>39</v>
      </c>
      <c r="D106" s="48" t="s">
        <v>68</v>
      </c>
      <c r="E106" s="48" t="s">
        <v>79</v>
      </c>
      <c r="F106" s="531" t="s">
        <v>3644</v>
      </c>
      <c r="G106" s="536" t="s">
        <v>30</v>
      </c>
      <c r="H106" s="537">
        <v>500</v>
      </c>
      <c r="I106" s="49">
        <v>100</v>
      </c>
      <c r="J106" s="48" t="s">
        <v>31</v>
      </c>
      <c r="K106" s="48" t="s">
        <v>32</v>
      </c>
    </row>
    <row r="107" spans="1:13" ht="15.75" customHeight="1">
      <c r="A107" s="50">
        <v>12</v>
      </c>
      <c r="B107" s="48" t="s">
        <v>3645</v>
      </c>
      <c r="C107" s="48" t="s">
        <v>27</v>
      </c>
      <c r="D107" s="48" t="s">
        <v>1489</v>
      </c>
      <c r="E107" s="48" t="s">
        <v>86</v>
      </c>
      <c r="F107" s="531" t="s">
        <v>3646</v>
      </c>
      <c r="G107" s="536" t="s">
        <v>30</v>
      </c>
      <c r="H107" s="537">
        <v>600</v>
      </c>
      <c r="I107" s="49">
        <v>120</v>
      </c>
      <c r="J107" s="48" t="s">
        <v>31</v>
      </c>
      <c r="K107" s="48" t="s">
        <v>32</v>
      </c>
    </row>
    <row r="108" spans="1:13" ht="15.75" customHeight="1">
      <c r="A108" s="50">
        <v>13</v>
      </c>
      <c r="B108" s="48" t="s">
        <v>3647</v>
      </c>
      <c r="C108" s="48" t="s">
        <v>27</v>
      </c>
      <c r="D108" s="48" t="s">
        <v>3648</v>
      </c>
      <c r="E108" s="48" t="s">
        <v>102</v>
      </c>
      <c r="F108" s="531" t="s">
        <v>3649</v>
      </c>
      <c r="G108" s="536" t="s">
        <v>30</v>
      </c>
      <c r="H108" s="537">
        <v>500</v>
      </c>
      <c r="I108" s="49">
        <v>100</v>
      </c>
      <c r="J108" s="48" t="s">
        <v>31</v>
      </c>
      <c r="K108" s="48" t="s">
        <v>32</v>
      </c>
      <c r="M108" s="126">
        <v>300</v>
      </c>
    </row>
    <row r="109" spans="1:13" ht="15.75" customHeight="1">
      <c r="A109" s="50">
        <v>13</v>
      </c>
      <c r="B109" s="48" t="s">
        <v>3650</v>
      </c>
      <c r="C109" s="48" t="s">
        <v>27</v>
      </c>
      <c r="D109" s="48" t="s">
        <v>264</v>
      </c>
      <c r="E109" s="48" t="s">
        <v>245</v>
      </c>
      <c r="F109" s="531" t="s">
        <v>3651</v>
      </c>
      <c r="G109" s="536" t="s">
        <v>30</v>
      </c>
      <c r="H109" s="537">
        <v>250</v>
      </c>
      <c r="I109" s="49">
        <v>50</v>
      </c>
      <c r="J109" s="48" t="s">
        <v>31</v>
      </c>
      <c r="K109" s="48" t="s">
        <v>32</v>
      </c>
    </row>
    <row r="110" spans="1:13" ht="15.75" customHeight="1">
      <c r="A110" s="50">
        <v>13</v>
      </c>
      <c r="B110" s="48" t="s">
        <v>3652</v>
      </c>
      <c r="C110" s="48" t="s">
        <v>39</v>
      </c>
      <c r="D110" s="48" t="s">
        <v>100</v>
      </c>
      <c r="E110" s="48" t="s">
        <v>84</v>
      </c>
      <c r="F110" s="531" t="s">
        <v>3653</v>
      </c>
      <c r="G110" s="536" t="s">
        <v>30</v>
      </c>
      <c r="H110" s="537">
        <v>200</v>
      </c>
      <c r="I110" s="49">
        <v>40</v>
      </c>
      <c r="J110" s="48" t="s">
        <v>31</v>
      </c>
      <c r="K110" s="48" t="s">
        <v>32</v>
      </c>
    </row>
    <row r="111" spans="1:13" ht="15.75" customHeight="1">
      <c r="A111" s="50">
        <v>13</v>
      </c>
      <c r="B111" s="48" t="s">
        <v>2659</v>
      </c>
      <c r="C111" s="48" t="s">
        <v>27</v>
      </c>
      <c r="D111" s="48" t="s">
        <v>1406</v>
      </c>
      <c r="E111" s="48" t="s">
        <v>84</v>
      </c>
      <c r="F111" s="531" t="s">
        <v>3654</v>
      </c>
      <c r="G111" s="536" t="s">
        <v>30</v>
      </c>
      <c r="H111" s="537">
        <v>100</v>
      </c>
      <c r="I111" s="49">
        <v>20</v>
      </c>
      <c r="J111" s="48" t="s">
        <v>31</v>
      </c>
      <c r="K111" s="48" t="s">
        <v>32</v>
      </c>
    </row>
    <row r="112" spans="1:13" ht="15.75" customHeight="1">
      <c r="A112" s="50">
        <v>14</v>
      </c>
      <c r="B112" s="48" t="s">
        <v>3655</v>
      </c>
      <c r="C112" s="48" t="s">
        <v>27</v>
      </c>
      <c r="D112" s="48" t="s">
        <v>804</v>
      </c>
      <c r="E112" s="48" t="s">
        <v>41</v>
      </c>
      <c r="F112" s="531" t="s">
        <v>3656</v>
      </c>
      <c r="G112" s="536" t="s">
        <v>30</v>
      </c>
      <c r="H112" s="537">
        <v>50000</v>
      </c>
      <c r="I112" s="49">
        <v>10000</v>
      </c>
      <c r="J112" s="48" t="s">
        <v>31</v>
      </c>
      <c r="K112" s="48" t="s">
        <v>32</v>
      </c>
      <c r="M112" s="126">
        <v>3840</v>
      </c>
    </row>
    <row r="113" spans="1:26" ht="15.75" customHeight="1">
      <c r="A113" s="50">
        <v>14</v>
      </c>
      <c r="B113" s="48" t="s">
        <v>3657</v>
      </c>
      <c r="C113" s="48" t="s">
        <v>27</v>
      </c>
      <c r="D113" s="48" t="s">
        <v>1363</v>
      </c>
      <c r="E113" s="48" t="s">
        <v>54</v>
      </c>
      <c r="F113" s="531" t="s">
        <v>3658</v>
      </c>
      <c r="G113" s="408" t="s">
        <v>30</v>
      </c>
      <c r="H113" s="432">
        <v>500</v>
      </c>
      <c r="I113" s="437" t="s">
        <v>1586</v>
      </c>
      <c r="J113" s="48" t="s">
        <v>31</v>
      </c>
      <c r="K113" s="48" t="s">
        <v>32</v>
      </c>
    </row>
    <row r="114" spans="1:26" ht="15.75" customHeight="1">
      <c r="A114" s="50">
        <v>14</v>
      </c>
      <c r="B114" s="48" t="s">
        <v>3657</v>
      </c>
      <c r="C114" s="48" t="s">
        <v>27</v>
      </c>
      <c r="D114" s="48" t="s">
        <v>1363</v>
      </c>
      <c r="E114" s="48" t="s">
        <v>54</v>
      </c>
      <c r="F114" s="48" t="s">
        <v>3659</v>
      </c>
      <c r="G114" s="536" t="s">
        <v>30</v>
      </c>
      <c r="H114" s="537">
        <v>1000</v>
      </c>
      <c r="I114" s="49">
        <v>200</v>
      </c>
      <c r="J114" s="48" t="s">
        <v>31</v>
      </c>
      <c r="K114" s="48" t="s">
        <v>32</v>
      </c>
    </row>
    <row r="115" spans="1:26" ht="15.75" customHeight="1">
      <c r="A115" s="50">
        <v>14</v>
      </c>
      <c r="B115" s="48" t="s">
        <v>3660</v>
      </c>
      <c r="C115" s="48" t="s">
        <v>27</v>
      </c>
      <c r="D115" s="48" t="s">
        <v>88</v>
      </c>
      <c r="E115" s="48" t="s">
        <v>54</v>
      </c>
      <c r="F115" s="531" t="s">
        <v>3661</v>
      </c>
      <c r="G115" s="536" t="s">
        <v>30</v>
      </c>
      <c r="H115" s="537">
        <v>1000</v>
      </c>
      <c r="I115" s="49">
        <v>200</v>
      </c>
      <c r="J115" s="48" t="s">
        <v>31</v>
      </c>
      <c r="K115" s="48" t="s">
        <v>32</v>
      </c>
    </row>
    <row r="116" spans="1:26" ht="15.75" customHeight="1">
      <c r="A116" s="50">
        <v>14</v>
      </c>
      <c r="B116" s="48" t="s">
        <v>3662</v>
      </c>
      <c r="C116" s="48" t="s">
        <v>27</v>
      </c>
      <c r="D116" s="48" t="s">
        <v>59</v>
      </c>
      <c r="E116" s="48" t="s">
        <v>84</v>
      </c>
      <c r="F116" s="531" t="s">
        <v>3663</v>
      </c>
      <c r="G116" s="536" t="s">
        <v>30</v>
      </c>
      <c r="H116" s="537">
        <v>1000</v>
      </c>
      <c r="I116" s="49">
        <v>200</v>
      </c>
      <c r="J116" s="48" t="s">
        <v>31</v>
      </c>
      <c r="K116" s="48" t="s">
        <v>32</v>
      </c>
    </row>
    <row r="117" spans="1:26" ht="15.75" customHeight="1">
      <c r="A117" s="50">
        <v>14</v>
      </c>
      <c r="B117" s="48" t="s">
        <v>3664</v>
      </c>
      <c r="C117" s="48" t="s">
        <v>27</v>
      </c>
      <c r="D117" s="48" t="s">
        <v>1394</v>
      </c>
      <c r="E117" s="48" t="s">
        <v>151</v>
      </c>
      <c r="F117" s="531" t="s">
        <v>3665</v>
      </c>
      <c r="G117" s="536" t="s">
        <v>30</v>
      </c>
      <c r="H117" s="537">
        <v>1000</v>
      </c>
      <c r="I117" s="49">
        <v>200</v>
      </c>
      <c r="J117" s="48" t="s">
        <v>31</v>
      </c>
      <c r="K117" s="48" t="s">
        <v>32</v>
      </c>
    </row>
    <row r="118" spans="1:26" ht="15.75" customHeight="1">
      <c r="A118" s="50">
        <v>14</v>
      </c>
      <c r="B118" s="48" t="s">
        <v>2927</v>
      </c>
      <c r="C118" s="48" t="s">
        <v>39</v>
      </c>
      <c r="D118" s="48" t="s">
        <v>2248</v>
      </c>
      <c r="E118" s="48" t="s">
        <v>44</v>
      </c>
      <c r="F118" s="48"/>
      <c r="G118" s="536" t="s">
        <v>30</v>
      </c>
      <c r="H118" s="537">
        <v>4000</v>
      </c>
      <c r="I118" s="49">
        <v>800</v>
      </c>
      <c r="J118" s="48" t="s">
        <v>31</v>
      </c>
      <c r="K118" s="48" t="s">
        <v>32</v>
      </c>
      <c r="O118" s="542">
        <f>SUM(H76:H81,H86:H95,H100:H112,H114:H123,H125:H127,H129:H131)</f>
        <v>165900</v>
      </c>
      <c r="P118" s="126" t="s">
        <v>2626</v>
      </c>
      <c r="Q118" s="55">
        <f>O118+O119</f>
        <v>176400</v>
      </c>
    </row>
    <row r="119" spans="1:26" ht="15.75" customHeight="1">
      <c r="A119" s="50">
        <v>14</v>
      </c>
      <c r="B119" s="48" t="s">
        <v>3666</v>
      </c>
      <c r="C119" s="48" t="s">
        <v>27</v>
      </c>
      <c r="D119" s="48" t="s">
        <v>3667</v>
      </c>
      <c r="E119" s="48" t="s">
        <v>54</v>
      </c>
      <c r="F119" s="531" t="s">
        <v>3668</v>
      </c>
      <c r="G119" s="536" t="s">
        <v>30</v>
      </c>
      <c r="H119" s="537">
        <v>2000</v>
      </c>
      <c r="I119" s="49">
        <v>400</v>
      </c>
      <c r="J119" s="48" t="s">
        <v>31</v>
      </c>
      <c r="K119" s="48" t="s">
        <v>32</v>
      </c>
      <c r="O119" s="543">
        <f>SUM(H83,H85,H96:H99,H113,H124,H128)</f>
        <v>10500</v>
      </c>
      <c r="P119" s="126" t="s">
        <v>1586</v>
      </c>
    </row>
    <row r="120" spans="1:26" ht="15.75" customHeight="1">
      <c r="A120" s="50">
        <v>14</v>
      </c>
      <c r="B120" s="48" t="s">
        <v>3669</v>
      </c>
      <c r="C120" s="48" t="s">
        <v>27</v>
      </c>
      <c r="D120" s="48" t="s">
        <v>3670</v>
      </c>
      <c r="E120" s="48" t="s">
        <v>102</v>
      </c>
      <c r="F120" s="48"/>
      <c r="G120" s="536" t="s">
        <v>30</v>
      </c>
      <c r="H120" s="537">
        <v>1000</v>
      </c>
      <c r="I120" s="49">
        <v>200</v>
      </c>
      <c r="J120" s="48" t="s">
        <v>31</v>
      </c>
      <c r="K120" s="48" t="s">
        <v>32</v>
      </c>
      <c r="O120" s="465">
        <v>2000</v>
      </c>
      <c r="P120" s="126" t="s">
        <v>115</v>
      </c>
      <c r="Q120" s="126" t="s">
        <v>1586</v>
      </c>
    </row>
    <row r="121" spans="1:26" ht="15.75" customHeight="1">
      <c r="A121" s="50">
        <v>14</v>
      </c>
      <c r="B121" s="48" t="s">
        <v>3671</v>
      </c>
      <c r="C121" s="48" t="s">
        <v>27</v>
      </c>
      <c r="D121" s="48" t="s">
        <v>373</v>
      </c>
      <c r="E121" s="48" t="s">
        <v>36</v>
      </c>
      <c r="F121" s="531" t="s">
        <v>3672</v>
      </c>
      <c r="G121" s="536" t="s">
        <v>30</v>
      </c>
      <c r="H121" s="537">
        <v>1000</v>
      </c>
      <c r="I121" s="49">
        <v>200</v>
      </c>
      <c r="J121" s="48" t="s">
        <v>31</v>
      </c>
      <c r="K121" s="48" t="s">
        <v>32</v>
      </c>
      <c r="M121" s="126">
        <v>900</v>
      </c>
      <c r="O121" s="2">
        <v>22</v>
      </c>
      <c r="P121" s="126" t="s">
        <v>580</v>
      </c>
    </row>
    <row r="122" spans="1:26" ht="15.75" customHeight="1">
      <c r="A122" s="50">
        <v>14</v>
      </c>
      <c r="B122" s="48" t="s">
        <v>3673</v>
      </c>
      <c r="C122" s="48" t="s">
        <v>27</v>
      </c>
      <c r="D122" s="48" t="s">
        <v>1320</v>
      </c>
      <c r="E122" s="48" t="s">
        <v>44</v>
      </c>
      <c r="F122" s="48"/>
      <c r="G122" s="536" t="s">
        <v>30</v>
      </c>
      <c r="H122" s="537">
        <v>300</v>
      </c>
      <c r="I122" s="49">
        <v>60</v>
      </c>
      <c r="J122" s="48" t="s">
        <v>31</v>
      </c>
      <c r="K122" s="48" t="s">
        <v>32</v>
      </c>
      <c r="O122" s="55">
        <f>SUM(O118:O121)</f>
        <v>178422</v>
      </c>
    </row>
    <row r="123" spans="1:26" ht="15.75" customHeight="1">
      <c r="A123" s="50">
        <v>14</v>
      </c>
      <c r="B123" s="48" t="s">
        <v>3674</v>
      </c>
      <c r="C123" s="48" t="s">
        <v>27</v>
      </c>
      <c r="D123" s="48" t="s">
        <v>726</v>
      </c>
      <c r="E123" s="48" t="s">
        <v>237</v>
      </c>
      <c r="F123" s="531" t="s">
        <v>3675</v>
      </c>
      <c r="G123" s="536" t="s">
        <v>30</v>
      </c>
      <c r="H123" s="537">
        <v>1000</v>
      </c>
      <c r="I123" s="49">
        <v>200</v>
      </c>
      <c r="J123" s="48" t="s">
        <v>31</v>
      </c>
      <c r="K123" s="48" t="s">
        <v>32</v>
      </c>
      <c r="L123" s="370"/>
      <c r="M123" s="370">
        <v>800</v>
      </c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5.75" customHeight="1">
      <c r="A124" s="50">
        <v>15</v>
      </c>
      <c r="B124" s="48" t="s">
        <v>3676</v>
      </c>
      <c r="C124" s="48" t="s">
        <v>27</v>
      </c>
      <c r="D124" s="48" t="s">
        <v>3677</v>
      </c>
      <c r="E124" s="48" t="s">
        <v>223</v>
      </c>
      <c r="F124" s="531" t="s">
        <v>3678</v>
      </c>
      <c r="G124" s="408" t="s">
        <v>30</v>
      </c>
      <c r="H124" s="432">
        <v>500</v>
      </c>
      <c r="I124" s="437" t="s">
        <v>1586</v>
      </c>
      <c r="J124" s="48" t="s">
        <v>31</v>
      </c>
      <c r="K124" s="48" t="s">
        <v>32</v>
      </c>
    </row>
    <row r="125" spans="1:26" ht="15.75" customHeight="1">
      <c r="A125" s="50">
        <v>15</v>
      </c>
      <c r="B125" s="48" t="s">
        <v>2292</v>
      </c>
      <c r="C125" s="48" t="s">
        <v>27</v>
      </c>
      <c r="D125" s="48" t="s">
        <v>2293</v>
      </c>
      <c r="E125" s="48" t="s">
        <v>484</v>
      </c>
      <c r="F125" s="531" t="s">
        <v>3679</v>
      </c>
      <c r="G125" s="536" t="s">
        <v>30</v>
      </c>
      <c r="H125" s="537">
        <v>500</v>
      </c>
      <c r="I125" s="49">
        <v>100</v>
      </c>
      <c r="J125" s="48" t="s">
        <v>31</v>
      </c>
      <c r="K125" s="48" t="s">
        <v>32</v>
      </c>
    </row>
    <row r="126" spans="1:26" ht="15.75" customHeight="1">
      <c r="A126" s="50">
        <v>15</v>
      </c>
      <c r="B126" s="48" t="s">
        <v>3680</v>
      </c>
      <c r="C126" s="48" t="s">
        <v>27</v>
      </c>
      <c r="D126" s="48" t="s">
        <v>3681</v>
      </c>
      <c r="E126" s="48" t="s">
        <v>73</v>
      </c>
      <c r="F126" s="48"/>
      <c r="G126" s="536" t="s">
        <v>30</v>
      </c>
      <c r="H126" s="537">
        <v>500</v>
      </c>
      <c r="I126" s="49">
        <v>100</v>
      </c>
      <c r="J126" s="48" t="s">
        <v>31</v>
      </c>
      <c r="K126" s="48" t="s">
        <v>32</v>
      </c>
    </row>
    <row r="127" spans="1:26" ht="15.75" customHeight="1">
      <c r="A127" s="50">
        <v>15</v>
      </c>
      <c r="B127" s="48" t="s">
        <v>3682</v>
      </c>
      <c r="C127" s="48" t="s">
        <v>27</v>
      </c>
      <c r="D127" s="48" t="s">
        <v>3683</v>
      </c>
      <c r="E127" s="48" t="s">
        <v>2521</v>
      </c>
      <c r="F127" s="531" t="s">
        <v>3684</v>
      </c>
      <c r="G127" s="536" t="s">
        <v>30</v>
      </c>
      <c r="H127" s="537">
        <v>800</v>
      </c>
      <c r="I127" s="49">
        <v>160</v>
      </c>
      <c r="J127" s="48" t="s">
        <v>31</v>
      </c>
      <c r="K127" s="48" t="s">
        <v>32</v>
      </c>
      <c r="M127" s="126">
        <v>600</v>
      </c>
    </row>
    <row r="128" spans="1:26" ht="15.75" customHeight="1">
      <c r="A128" s="50">
        <v>15</v>
      </c>
      <c r="B128" s="48" t="s">
        <v>2826</v>
      </c>
      <c r="C128" s="48" t="s">
        <v>27</v>
      </c>
      <c r="D128" s="48" t="s">
        <v>2248</v>
      </c>
      <c r="E128" s="48" t="s">
        <v>44</v>
      </c>
      <c r="F128" s="531" t="s">
        <v>3685</v>
      </c>
      <c r="G128" s="408" t="s">
        <v>30</v>
      </c>
      <c r="H128" s="432">
        <v>500</v>
      </c>
      <c r="I128" s="437" t="s">
        <v>1586</v>
      </c>
      <c r="J128" s="48" t="s">
        <v>31</v>
      </c>
      <c r="K128" s="48" t="s">
        <v>32</v>
      </c>
    </row>
    <row r="129" spans="1:16" ht="15.75" customHeight="1">
      <c r="A129" s="50">
        <v>15</v>
      </c>
      <c r="B129" s="48" t="s">
        <v>2826</v>
      </c>
      <c r="C129" s="48" t="s">
        <v>27</v>
      </c>
      <c r="D129" s="48" t="s">
        <v>2248</v>
      </c>
      <c r="E129" s="48" t="s">
        <v>44</v>
      </c>
      <c r="F129" s="48" t="s">
        <v>3686</v>
      </c>
      <c r="G129" s="536" t="s">
        <v>30</v>
      </c>
      <c r="H129" s="537">
        <v>2500</v>
      </c>
      <c r="I129" s="49">
        <v>500</v>
      </c>
      <c r="J129" s="48" t="s">
        <v>31</v>
      </c>
      <c r="K129" s="48" t="s">
        <v>32</v>
      </c>
    </row>
    <row r="130" spans="1:16" ht="15.75" customHeight="1">
      <c r="A130" s="50">
        <v>15</v>
      </c>
      <c r="B130" s="48" t="s">
        <v>3687</v>
      </c>
      <c r="C130" s="48" t="s">
        <v>39</v>
      </c>
      <c r="D130" s="48" t="s">
        <v>275</v>
      </c>
      <c r="E130" s="48" t="s">
        <v>51</v>
      </c>
      <c r="F130" s="531" t="s">
        <v>3688</v>
      </c>
      <c r="G130" s="536" t="s">
        <v>30</v>
      </c>
      <c r="H130" s="537">
        <v>1000</v>
      </c>
      <c r="I130" s="49">
        <v>200</v>
      </c>
      <c r="J130" s="48" t="s">
        <v>31</v>
      </c>
      <c r="K130" s="48" t="s">
        <v>32</v>
      </c>
      <c r="M130" s="126">
        <v>300</v>
      </c>
    </row>
    <row r="131" spans="1:16" ht="15.75" customHeight="1">
      <c r="A131" s="50">
        <v>15</v>
      </c>
      <c r="B131" s="48" t="s">
        <v>2473</v>
      </c>
      <c r="C131" s="48" t="s">
        <v>27</v>
      </c>
      <c r="D131" s="48" t="s">
        <v>70</v>
      </c>
      <c r="E131" s="48" t="s">
        <v>36</v>
      </c>
      <c r="F131" s="531" t="s">
        <v>3689</v>
      </c>
      <c r="G131" s="536" t="s">
        <v>30</v>
      </c>
      <c r="H131" s="537">
        <v>500</v>
      </c>
      <c r="I131" s="49">
        <v>100</v>
      </c>
      <c r="J131" s="48" t="s">
        <v>31</v>
      </c>
      <c r="K131" s="48" t="s">
        <v>32</v>
      </c>
    </row>
    <row r="132" spans="1:16" ht="15.75" customHeight="1">
      <c r="A132" s="65">
        <v>15</v>
      </c>
      <c r="B132" s="58" t="s">
        <v>3690</v>
      </c>
      <c r="C132" s="58" t="s">
        <v>27</v>
      </c>
      <c r="D132" s="58" t="s">
        <v>449</v>
      </c>
      <c r="E132" s="58" t="s">
        <v>44</v>
      </c>
      <c r="F132" s="533" t="s">
        <v>3691</v>
      </c>
      <c r="G132" s="58" t="s">
        <v>61</v>
      </c>
      <c r="H132" s="59">
        <v>12</v>
      </c>
      <c r="I132" s="60">
        <v>120</v>
      </c>
      <c r="J132" s="48" t="s">
        <v>31</v>
      </c>
      <c r="K132" s="48" t="s">
        <v>32</v>
      </c>
    </row>
    <row r="133" spans="1:16" ht="15.75" customHeight="1">
      <c r="A133" s="303">
        <v>16</v>
      </c>
      <c r="B133" s="329" t="s">
        <v>3692</v>
      </c>
      <c r="C133" s="329" t="s">
        <v>27</v>
      </c>
      <c r="D133" s="329" t="s">
        <v>637</v>
      </c>
      <c r="E133" s="329" t="s">
        <v>68</v>
      </c>
      <c r="F133" s="329"/>
      <c r="G133" s="329" t="s">
        <v>30</v>
      </c>
      <c r="H133" s="544">
        <v>1500</v>
      </c>
      <c r="I133" s="545" t="s">
        <v>1586</v>
      </c>
      <c r="J133" s="48" t="s">
        <v>31</v>
      </c>
      <c r="K133" s="48" t="s">
        <v>32</v>
      </c>
    </row>
    <row r="134" spans="1:16" ht="15.75" customHeight="1">
      <c r="A134" s="396">
        <v>16</v>
      </c>
      <c r="B134" s="166" t="s">
        <v>3693</v>
      </c>
      <c r="C134" s="166" t="s">
        <v>27</v>
      </c>
      <c r="D134" s="166" t="s">
        <v>234</v>
      </c>
      <c r="E134" s="166" t="s">
        <v>68</v>
      </c>
      <c r="F134" s="166"/>
      <c r="G134" s="166" t="s">
        <v>30</v>
      </c>
      <c r="H134" s="544">
        <v>1500</v>
      </c>
      <c r="I134" s="397" t="s">
        <v>1586</v>
      </c>
      <c r="J134" s="48" t="s">
        <v>31</v>
      </c>
      <c r="K134" s="48" t="s">
        <v>32</v>
      </c>
    </row>
    <row r="135" spans="1:16" ht="15.75" customHeight="1">
      <c r="A135" s="396">
        <v>16</v>
      </c>
      <c r="B135" s="166" t="s">
        <v>3694</v>
      </c>
      <c r="C135" s="166" t="s">
        <v>39</v>
      </c>
      <c r="D135" s="166" t="s">
        <v>1099</v>
      </c>
      <c r="E135" s="166" t="s">
        <v>68</v>
      </c>
      <c r="F135" s="166"/>
      <c r="G135" s="166" t="s">
        <v>30</v>
      </c>
      <c r="H135" s="544">
        <v>1500</v>
      </c>
      <c r="I135" s="397" t="s">
        <v>1586</v>
      </c>
      <c r="J135" s="48" t="s">
        <v>31</v>
      </c>
      <c r="K135" s="48" t="s">
        <v>32</v>
      </c>
    </row>
    <row r="136" spans="1:16" ht="15.75" customHeight="1">
      <c r="A136" s="396">
        <v>16</v>
      </c>
      <c r="B136" s="166" t="s">
        <v>3695</v>
      </c>
      <c r="C136" s="166" t="s">
        <v>27</v>
      </c>
      <c r="D136" s="166" t="s">
        <v>234</v>
      </c>
      <c r="E136" s="166" t="s">
        <v>68</v>
      </c>
      <c r="F136" s="166"/>
      <c r="G136" s="166" t="s">
        <v>30</v>
      </c>
      <c r="H136" s="167">
        <v>1500</v>
      </c>
      <c r="I136" s="397" t="s">
        <v>1586</v>
      </c>
      <c r="J136" s="48" t="s">
        <v>31</v>
      </c>
      <c r="K136" s="48" t="s">
        <v>32</v>
      </c>
      <c r="P136" s="55" t="e">
        <f>'December (Group)'!#REF!+'December 2020'!H133:H140</f>
        <v>#REF!</v>
      </c>
    </row>
    <row r="137" spans="1:16" ht="15.75" customHeight="1">
      <c r="A137" s="396">
        <v>16</v>
      </c>
      <c r="B137" s="166" t="s">
        <v>3696</v>
      </c>
      <c r="C137" s="166" t="s">
        <v>27</v>
      </c>
      <c r="D137" s="166" t="s">
        <v>1020</v>
      </c>
      <c r="E137" s="166" t="s">
        <v>68</v>
      </c>
      <c r="F137" s="166"/>
      <c r="G137" s="166" t="s">
        <v>30</v>
      </c>
      <c r="H137" s="167">
        <v>1500</v>
      </c>
      <c r="I137" s="397" t="s">
        <v>1586</v>
      </c>
      <c r="J137" s="48" t="s">
        <v>31</v>
      </c>
      <c r="K137" s="48" t="s">
        <v>32</v>
      </c>
    </row>
    <row r="138" spans="1:16" ht="15.75" customHeight="1">
      <c r="A138" s="396">
        <v>16</v>
      </c>
      <c r="B138" s="166" t="s">
        <v>3697</v>
      </c>
      <c r="C138" s="166" t="s">
        <v>27</v>
      </c>
      <c r="D138" s="166" t="s">
        <v>67</v>
      </c>
      <c r="E138" s="166" t="s">
        <v>68</v>
      </c>
      <c r="F138" s="166"/>
      <c r="G138" s="166" t="s">
        <v>30</v>
      </c>
      <c r="H138" s="167">
        <v>1500</v>
      </c>
      <c r="I138" s="397" t="s">
        <v>1586</v>
      </c>
      <c r="J138" s="48" t="s">
        <v>31</v>
      </c>
      <c r="K138" s="48" t="s">
        <v>32</v>
      </c>
    </row>
    <row r="139" spans="1:16" ht="15.75" customHeight="1">
      <c r="A139" s="396">
        <v>16</v>
      </c>
      <c r="B139" s="166" t="s">
        <v>3698</v>
      </c>
      <c r="C139" s="166" t="s">
        <v>27</v>
      </c>
      <c r="D139" s="166" t="s">
        <v>3699</v>
      </c>
      <c r="E139" s="166" t="s">
        <v>68</v>
      </c>
      <c r="F139" s="166"/>
      <c r="G139" s="166" t="s">
        <v>30</v>
      </c>
      <c r="H139" s="167">
        <v>1500</v>
      </c>
      <c r="I139" s="397" t="s">
        <v>1586</v>
      </c>
      <c r="J139" s="48" t="s">
        <v>31</v>
      </c>
      <c r="K139" s="48" t="s">
        <v>32</v>
      </c>
    </row>
    <row r="140" spans="1:16" ht="15.75" customHeight="1">
      <c r="A140" s="444">
        <v>16</v>
      </c>
      <c r="B140" s="445" t="s">
        <v>1699</v>
      </c>
      <c r="C140" s="445" t="s">
        <v>27</v>
      </c>
      <c r="D140" s="445" t="s">
        <v>3699</v>
      </c>
      <c r="E140" s="445" t="s">
        <v>68</v>
      </c>
      <c r="F140" s="445"/>
      <c r="G140" s="445" t="s">
        <v>30</v>
      </c>
      <c r="H140" s="446">
        <v>1500</v>
      </c>
      <c r="I140" s="447" t="s">
        <v>1586</v>
      </c>
      <c r="J140" s="48" t="s">
        <v>31</v>
      </c>
      <c r="K140" s="48" t="s">
        <v>32</v>
      </c>
    </row>
    <row r="141" spans="1:16" ht="15.75" customHeight="1">
      <c r="A141" s="61">
        <v>21</v>
      </c>
      <c r="B141" s="62" t="s">
        <v>3700</v>
      </c>
      <c r="C141" s="62" t="s">
        <v>27</v>
      </c>
      <c r="D141" s="62" t="s">
        <v>1320</v>
      </c>
      <c r="E141" s="62" t="s">
        <v>44</v>
      </c>
      <c r="F141" s="532" t="s">
        <v>3701</v>
      </c>
      <c r="G141" s="62" t="s">
        <v>30</v>
      </c>
      <c r="H141" s="63">
        <v>4200</v>
      </c>
      <c r="I141" s="64" t="s">
        <v>1586</v>
      </c>
      <c r="J141" s="48" t="s">
        <v>31</v>
      </c>
      <c r="K141" s="48" t="s">
        <v>32</v>
      </c>
    </row>
    <row r="142" spans="1:16" ht="15.75" customHeight="1">
      <c r="A142" s="50">
        <v>22</v>
      </c>
      <c r="B142" s="48" t="s">
        <v>3702</v>
      </c>
      <c r="C142" s="48" t="s">
        <v>27</v>
      </c>
      <c r="D142" s="48" t="s">
        <v>100</v>
      </c>
      <c r="E142" s="48" t="s">
        <v>86</v>
      </c>
      <c r="F142" s="531" t="s">
        <v>3703</v>
      </c>
      <c r="G142" s="48" t="s">
        <v>30</v>
      </c>
      <c r="H142" s="51">
        <v>3000</v>
      </c>
      <c r="I142" s="49" t="s">
        <v>1586</v>
      </c>
      <c r="J142" s="48" t="s">
        <v>31</v>
      </c>
      <c r="K142" s="48" t="s">
        <v>32</v>
      </c>
    </row>
    <row r="143" spans="1:16" ht="15.75" customHeight="1">
      <c r="A143" s="50">
        <v>22</v>
      </c>
      <c r="B143" s="48" t="s">
        <v>3704</v>
      </c>
      <c r="C143" s="48" t="s">
        <v>27</v>
      </c>
      <c r="D143" s="48" t="s">
        <v>100</v>
      </c>
      <c r="E143" s="48" t="s">
        <v>44</v>
      </c>
      <c r="F143" s="48"/>
      <c r="G143" s="48" t="s">
        <v>30</v>
      </c>
      <c r="H143" s="51">
        <v>3000</v>
      </c>
      <c r="I143" s="49" t="s">
        <v>1586</v>
      </c>
      <c r="J143" s="48" t="s">
        <v>31</v>
      </c>
      <c r="K143" s="48" t="s">
        <v>32</v>
      </c>
    </row>
    <row r="144" spans="1:16" ht="15.75" customHeight="1">
      <c r="A144" s="50"/>
      <c r="B144" s="48"/>
      <c r="C144" s="48"/>
      <c r="D144" s="48"/>
      <c r="E144" s="48"/>
      <c r="F144" s="48"/>
      <c r="G144" s="48"/>
      <c r="H144" s="51"/>
      <c r="I144" s="49"/>
      <c r="J144" s="48"/>
      <c r="K144" s="48"/>
    </row>
    <row r="145" spans="1:18" ht="15.75" customHeight="1">
      <c r="A145" s="50"/>
      <c r="B145" s="48"/>
      <c r="C145" s="48"/>
      <c r="D145" s="48"/>
      <c r="E145" s="48"/>
      <c r="F145" s="48"/>
      <c r="G145" s="48"/>
      <c r="H145" s="51"/>
      <c r="I145" s="49"/>
      <c r="J145" s="48"/>
      <c r="K145" s="48"/>
    </row>
    <row r="146" spans="1:18" ht="15.75" customHeight="1">
      <c r="A146" s="50"/>
      <c r="B146" s="48"/>
      <c r="C146" s="48"/>
      <c r="D146" s="48"/>
      <c r="E146" s="48"/>
      <c r="F146" s="48"/>
      <c r="G146" s="48"/>
      <c r="H146" s="51"/>
      <c r="I146" s="49"/>
      <c r="J146" s="48"/>
      <c r="K146" s="48"/>
    </row>
    <row r="147" spans="1:18" ht="15.75" customHeight="1">
      <c r="A147" s="50"/>
      <c r="B147" s="48"/>
      <c r="C147" s="48"/>
      <c r="D147" s="48"/>
      <c r="E147" s="48"/>
      <c r="F147" s="48"/>
      <c r="G147" s="48"/>
      <c r="H147" s="51"/>
      <c r="I147" s="49"/>
      <c r="J147" s="48"/>
      <c r="K147" s="48"/>
    </row>
    <row r="148" spans="1:18" ht="15.75" customHeight="1">
      <c r="A148" s="50"/>
      <c r="B148" s="48"/>
      <c r="C148" s="48"/>
      <c r="D148" s="48"/>
      <c r="E148" s="48"/>
      <c r="F148" s="48"/>
      <c r="G148" s="48"/>
      <c r="H148" s="51"/>
      <c r="I148" s="49"/>
      <c r="J148" s="48"/>
      <c r="K148" s="48"/>
      <c r="P148" s="55"/>
      <c r="R148" s="55"/>
    </row>
    <row r="149" spans="1:18" ht="15.75" customHeight="1">
      <c r="A149" s="50"/>
      <c r="B149" s="48"/>
      <c r="C149" s="48"/>
      <c r="D149" s="48"/>
      <c r="E149" s="48"/>
      <c r="F149" s="48"/>
      <c r="G149" s="48"/>
      <c r="H149" s="51"/>
      <c r="I149" s="49"/>
      <c r="J149" s="48"/>
      <c r="K149" s="48"/>
      <c r="P149" s="55"/>
    </row>
    <row r="150" spans="1:18" ht="15.75" customHeight="1">
      <c r="A150" s="50"/>
      <c r="B150" s="48"/>
      <c r="C150" s="48"/>
      <c r="D150" s="48"/>
      <c r="E150" s="48"/>
      <c r="F150" s="48"/>
      <c r="G150" s="48"/>
      <c r="H150" s="51"/>
      <c r="I150" s="49"/>
      <c r="J150" s="48"/>
      <c r="K150" s="48"/>
      <c r="P150" s="55"/>
    </row>
    <row r="151" spans="1:18" ht="15.75" customHeight="1">
      <c r="A151" s="50"/>
      <c r="B151" s="48"/>
      <c r="C151" s="48"/>
      <c r="D151" s="48"/>
      <c r="E151" s="48"/>
      <c r="F151" s="48"/>
      <c r="G151" s="48"/>
      <c r="H151" s="51"/>
      <c r="I151" s="49"/>
      <c r="J151" s="48"/>
      <c r="K151" s="48"/>
    </row>
    <row r="152" spans="1:18" ht="15.75" customHeight="1">
      <c r="A152" s="50"/>
      <c r="B152" s="48"/>
      <c r="C152" s="48"/>
      <c r="D152" s="48"/>
      <c r="E152" s="48"/>
      <c r="F152" s="48"/>
      <c r="G152" s="48"/>
      <c r="H152" s="51"/>
      <c r="I152" s="49"/>
      <c r="J152" s="48"/>
      <c r="K152" s="48"/>
    </row>
    <row r="153" spans="1:18" ht="15.75" customHeight="1">
      <c r="A153" s="50"/>
      <c r="B153" s="48"/>
      <c r="C153" s="48"/>
      <c r="D153" s="48"/>
      <c r="E153" s="48"/>
      <c r="F153" s="48"/>
      <c r="G153" s="48"/>
      <c r="H153" s="51"/>
      <c r="I153" s="49"/>
      <c r="J153" s="48"/>
      <c r="K153" s="48"/>
    </row>
    <row r="154" spans="1:18" ht="15.75" customHeight="1">
      <c r="A154" s="50"/>
      <c r="B154" s="48"/>
      <c r="C154" s="48"/>
      <c r="D154" s="48"/>
      <c r="E154" s="48"/>
      <c r="F154" s="48"/>
      <c r="G154" s="48"/>
      <c r="H154" s="51"/>
      <c r="I154" s="49"/>
      <c r="J154" s="48"/>
      <c r="K154" s="48"/>
    </row>
    <row r="155" spans="1:18" ht="15.75" customHeight="1">
      <c r="A155" s="50"/>
      <c r="B155" s="48"/>
      <c r="C155" s="48"/>
      <c r="D155" s="48"/>
      <c r="E155" s="48"/>
      <c r="F155" s="48"/>
      <c r="G155" s="48"/>
      <c r="H155" s="51"/>
      <c r="I155" s="49"/>
      <c r="J155" s="48"/>
      <c r="K155" s="48"/>
    </row>
    <row r="156" spans="1:18" ht="15.75" customHeight="1">
      <c r="A156" s="50"/>
      <c r="B156" s="48"/>
      <c r="C156" s="48"/>
      <c r="D156" s="48"/>
      <c r="E156" s="48"/>
      <c r="F156" s="48"/>
      <c r="G156" s="48"/>
      <c r="H156" s="51"/>
      <c r="I156" s="49"/>
      <c r="J156" s="48"/>
      <c r="K156" s="48"/>
    </row>
    <row r="157" spans="1:18" ht="15.75" customHeight="1">
      <c r="A157" s="50"/>
      <c r="B157" s="48"/>
      <c r="C157" s="48"/>
      <c r="D157" s="48"/>
      <c r="E157" s="48"/>
      <c r="F157" s="48"/>
      <c r="G157" s="48"/>
      <c r="H157" s="51"/>
      <c r="I157" s="49"/>
      <c r="J157" s="48"/>
      <c r="K157" s="48"/>
    </row>
    <row r="158" spans="1:18" ht="15.75" customHeight="1">
      <c r="A158" s="50"/>
      <c r="B158" s="48"/>
      <c r="C158" s="48"/>
      <c r="D158" s="48"/>
      <c r="E158" s="48"/>
      <c r="F158" s="48"/>
      <c r="G158" s="48"/>
      <c r="H158" s="51"/>
      <c r="I158" s="49"/>
      <c r="J158" s="48"/>
      <c r="K158" s="48"/>
    </row>
    <row r="159" spans="1:18" ht="15.75" customHeight="1">
      <c r="A159" s="50"/>
      <c r="B159" s="48"/>
      <c r="C159" s="48"/>
      <c r="D159" s="48"/>
      <c r="E159" s="48"/>
      <c r="F159" s="48"/>
      <c r="G159" s="48"/>
      <c r="H159" s="51"/>
      <c r="I159" s="49"/>
      <c r="J159" s="48"/>
      <c r="K159" s="48"/>
    </row>
    <row r="160" spans="1:18" ht="15.75" customHeight="1">
      <c r="A160" s="50"/>
      <c r="B160" s="48"/>
      <c r="C160" s="48"/>
      <c r="D160" s="48"/>
      <c r="E160" s="48"/>
      <c r="F160" s="48"/>
      <c r="G160" s="48"/>
      <c r="H160" s="51"/>
      <c r="I160" s="49"/>
      <c r="J160" s="48"/>
      <c r="K160" s="48"/>
    </row>
    <row r="161" spans="1:15" ht="15.75" customHeight="1">
      <c r="A161" s="50"/>
      <c r="B161" s="48"/>
      <c r="C161" s="48"/>
      <c r="D161" s="48"/>
      <c r="E161" s="48"/>
      <c r="F161" s="48"/>
      <c r="G161" s="48"/>
      <c r="H161" s="51"/>
      <c r="I161" s="49"/>
      <c r="J161" s="48"/>
      <c r="K161" s="48"/>
    </row>
    <row r="162" spans="1:15" ht="15.75" customHeight="1">
      <c r="A162" s="50"/>
      <c r="B162" s="48"/>
      <c r="C162" s="48"/>
      <c r="D162" s="48"/>
      <c r="E162" s="48"/>
      <c r="F162" s="48"/>
      <c r="G162" s="48"/>
      <c r="H162" s="51"/>
      <c r="I162" s="49"/>
      <c r="J162" s="48"/>
      <c r="K162" s="48"/>
    </row>
    <row r="163" spans="1:15" ht="15.75" customHeight="1">
      <c r="A163" s="50"/>
      <c r="B163" s="48"/>
      <c r="C163" s="48"/>
      <c r="D163" s="48"/>
      <c r="E163" s="48"/>
      <c r="F163" s="48"/>
      <c r="G163" s="48"/>
      <c r="H163" s="51"/>
      <c r="I163" s="49"/>
      <c r="J163" s="48"/>
      <c r="K163" s="48"/>
    </row>
    <row r="164" spans="1:15" ht="15.75" customHeight="1">
      <c r="A164" s="50"/>
      <c r="B164" s="48"/>
      <c r="C164" s="48"/>
      <c r="D164" s="48"/>
      <c r="E164" s="48"/>
      <c r="F164" s="48"/>
      <c r="G164" s="48"/>
      <c r="H164" s="51"/>
      <c r="I164" s="49"/>
      <c r="J164" s="48"/>
      <c r="K164" s="48"/>
    </row>
    <row r="165" spans="1:15" ht="15.75" customHeight="1">
      <c r="A165" s="50"/>
      <c r="B165" s="48"/>
      <c r="C165" s="48"/>
      <c r="D165" s="48"/>
      <c r="E165" s="48"/>
      <c r="F165" s="48"/>
      <c r="G165" s="48"/>
      <c r="H165" s="51"/>
      <c r="I165" s="49"/>
      <c r="J165" s="48"/>
      <c r="K165" s="48"/>
      <c r="L165" s="725"/>
    </row>
    <row r="166" spans="1:15" ht="15.75" customHeight="1">
      <c r="A166" s="50"/>
      <c r="B166" s="48"/>
      <c r="C166" s="48"/>
      <c r="D166" s="48"/>
      <c r="E166" s="48"/>
      <c r="F166" s="48"/>
      <c r="G166" s="48"/>
      <c r="H166" s="51"/>
      <c r="I166" s="49"/>
      <c r="J166" s="48"/>
      <c r="K166" s="48"/>
      <c r="L166" s="711"/>
    </row>
    <row r="167" spans="1:15" ht="15.75" customHeight="1">
      <c r="A167" s="50"/>
      <c r="B167" s="48"/>
      <c r="C167" s="48"/>
      <c r="D167" s="48"/>
      <c r="E167" s="48"/>
      <c r="F167" s="48"/>
      <c r="G167" s="48"/>
      <c r="H167" s="51"/>
      <c r="I167" s="49"/>
      <c r="J167" s="48"/>
      <c r="K167" s="48"/>
    </row>
    <row r="168" spans="1:15" ht="15.75" customHeight="1">
      <c r="A168" s="50"/>
      <c r="B168" s="48"/>
      <c r="C168" s="48"/>
      <c r="D168" s="48"/>
      <c r="E168" s="48"/>
      <c r="F168" s="48"/>
      <c r="G168" s="48"/>
      <c r="H168" s="51"/>
      <c r="I168" s="49"/>
      <c r="J168" s="48"/>
      <c r="K168" s="48"/>
    </row>
    <row r="169" spans="1:15" ht="15.75" customHeight="1">
      <c r="A169" s="50"/>
      <c r="B169" s="48"/>
      <c r="C169" s="48"/>
      <c r="D169" s="48"/>
      <c r="E169" s="48"/>
      <c r="F169" s="48"/>
      <c r="G169" s="48"/>
      <c r="H169" s="51"/>
      <c r="I169" s="49"/>
      <c r="J169" s="48"/>
      <c r="K169" s="48"/>
    </row>
    <row r="170" spans="1:15" ht="15.75" customHeight="1">
      <c r="A170" s="50"/>
      <c r="B170" s="48"/>
      <c r="C170" s="48"/>
      <c r="D170" s="48"/>
      <c r="E170" s="48"/>
      <c r="F170" s="48"/>
      <c r="G170" s="48"/>
      <c r="H170" s="51"/>
      <c r="I170" s="49"/>
      <c r="J170" s="48"/>
      <c r="K170" s="48"/>
    </row>
    <row r="171" spans="1:15" ht="15.75" customHeight="1">
      <c r="A171" s="50"/>
      <c r="B171" s="48"/>
      <c r="C171" s="48"/>
      <c r="D171" s="48"/>
      <c r="E171" s="48"/>
      <c r="F171" s="48"/>
      <c r="G171" s="48"/>
      <c r="H171" s="51"/>
      <c r="I171" s="49"/>
      <c r="J171" s="48"/>
      <c r="K171" s="48"/>
      <c r="O171" s="506"/>
    </row>
    <row r="172" spans="1:15" ht="15.75" customHeight="1">
      <c r="A172" s="50"/>
      <c r="B172" s="48"/>
      <c r="C172" s="48"/>
      <c r="D172" s="48"/>
      <c r="E172" s="48"/>
      <c r="F172" s="48"/>
      <c r="G172" s="48"/>
      <c r="H172" s="51"/>
      <c r="I172" s="49"/>
      <c r="J172" s="48"/>
      <c r="K172" s="48"/>
      <c r="O172" s="507"/>
    </row>
    <row r="173" spans="1:15" ht="15.75" customHeight="1">
      <c r="A173" s="50"/>
      <c r="B173" s="48"/>
      <c r="C173" s="48"/>
      <c r="D173" s="48"/>
      <c r="E173" s="48"/>
      <c r="F173" s="48"/>
      <c r="G173" s="48"/>
      <c r="H173" s="51"/>
      <c r="I173" s="49"/>
      <c r="J173" s="48"/>
      <c r="K173" s="48"/>
      <c r="O173" s="359"/>
    </row>
    <row r="174" spans="1:15" ht="15.75" customHeight="1">
      <c r="A174" s="50"/>
      <c r="B174" s="48"/>
      <c r="C174" s="48"/>
      <c r="D174" s="48"/>
      <c r="E174" s="48"/>
      <c r="F174" s="48"/>
      <c r="G174" s="48"/>
      <c r="H174" s="51"/>
      <c r="I174" s="49"/>
      <c r="J174" s="48"/>
      <c r="K174" s="48"/>
    </row>
    <row r="175" spans="1:15" ht="15.75" customHeight="1">
      <c r="A175" s="50"/>
      <c r="B175" s="48"/>
      <c r="C175" s="48"/>
      <c r="D175" s="48"/>
      <c r="E175" s="48"/>
      <c r="F175" s="48"/>
      <c r="G175" s="48"/>
      <c r="H175" s="51"/>
      <c r="I175" s="49"/>
      <c r="J175" s="48"/>
      <c r="K175" s="48"/>
    </row>
    <row r="176" spans="1:15" ht="15.75" customHeight="1">
      <c r="A176" s="50"/>
      <c r="B176" s="48"/>
      <c r="C176" s="48"/>
      <c r="D176" s="48"/>
      <c r="E176" s="48"/>
      <c r="F176" s="48"/>
      <c r="G176" s="48"/>
      <c r="H176" s="51"/>
      <c r="I176" s="49"/>
      <c r="J176" s="48"/>
      <c r="K176" s="48"/>
    </row>
    <row r="177" spans="1:11" ht="15.75" customHeight="1">
      <c r="A177" s="50"/>
      <c r="B177" s="48"/>
      <c r="C177" s="48"/>
      <c r="D177" s="48"/>
      <c r="E177" s="48"/>
      <c r="F177" s="48"/>
      <c r="G177" s="48"/>
      <c r="H177" s="51"/>
      <c r="I177" s="49"/>
      <c r="J177" s="48"/>
      <c r="K177" s="48"/>
    </row>
    <row r="178" spans="1:11" ht="15.75" customHeight="1">
      <c r="A178" s="50"/>
      <c r="B178" s="48"/>
      <c r="C178" s="48"/>
      <c r="D178" s="48"/>
      <c r="E178" s="48"/>
      <c r="F178" s="48"/>
      <c r="G178" s="48"/>
      <c r="H178" s="51"/>
      <c r="I178" s="49"/>
      <c r="J178" s="48"/>
      <c r="K178" s="48"/>
    </row>
    <row r="179" spans="1:11" ht="15.75" customHeight="1">
      <c r="A179" s="50"/>
      <c r="B179" s="48"/>
      <c r="C179" s="48"/>
      <c r="D179" s="48"/>
      <c r="E179" s="48"/>
      <c r="F179" s="48"/>
      <c r="G179" s="48"/>
      <c r="H179" s="51"/>
      <c r="I179" s="49"/>
      <c r="J179" s="48"/>
      <c r="K179" s="48"/>
    </row>
    <row r="180" spans="1:11" ht="15.75" customHeight="1">
      <c r="A180" s="50"/>
      <c r="B180" s="48"/>
      <c r="C180" s="48"/>
      <c r="D180" s="48"/>
      <c r="E180" s="48"/>
      <c r="F180" s="48"/>
      <c r="G180" s="48"/>
      <c r="H180" s="51"/>
      <c r="I180" s="49"/>
      <c r="J180" s="48"/>
      <c r="K180" s="48"/>
    </row>
    <row r="181" spans="1:11" ht="15.75" customHeight="1">
      <c r="A181" s="50"/>
      <c r="B181" s="48"/>
      <c r="C181" s="48"/>
      <c r="D181" s="48"/>
      <c r="E181" s="48"/>
      <c r="F181" s="48"/>
      <c r="G181" s="48"/>
      <c r="H181" s="51"/>
      <c r="I181" s="49"/>
      <c r="J181" s="48"/>
      <c r="K181" s="48"/>
    </row>
    <row r="182" spans="1:11" ht="15.75" customHeight="1">
      <c r="A182" s="50"/>
      <c r="B182" s="48"/>
      <c r="C182" s="48"/>
      <c r="D182" s="48"/>
      <c r="E182" s="48"/>
      <c r="F182" s="48"/>
      <c r="G182" s="48"/>
      <c r="H182" s="51"/>
      <c r="I182" s="49"/>
      <c r="J182" s="48"/>
      <c r="K182" s="48"/>
    </row>
    <row r="183" spans="1:11" ht="15.75" customHeight="1">
      <c r="A183" s="50"/>
      <c r="B183" s="48"/>
      <c r="C183" s="48"/>
      <c r="D183" s="48"/>
      <c r="E183" s="48"/>
      <c r="F183" s="48"/>
      <c r="G183" s="48"/>
      <c r="H183" s="51"/>
      <c r="I183" s="49"/>
      <c r="J183" s="48"/>
      <c r="K183" s="48"/>
    </row>
    <row r="184" spans="1:11" ht="15.75" customHeight="1">
      <c r="A184" s="50"/>
      <c r="B184" s="48"/>
      <c r="C184" s="48"/>
      <c r="D184" s="48"/>
      <c r="E184" s="48"/>
      <c r="F184" s="48"/>
      <c r="G184" s="48"/>
      <c r="H184" s="51"/>
      <c r="I184" s="49"/>
      <c r="J184" s="48"/>
      <c r="K184" s="48"/>
    </row>
    <row r="185" spans="1:11" ht="15.75" customHeight="1">
      <c r="A185" s="50"/>
      <c r="B185" s="48"/>
      <c r="C185" s="48"/>
      <c r="D185" s="48"/>
      <c r="E185" s="48"/>
      <c r="F185" s="48"/>
      <c r="G185" s="48"/>
      <c r="H185" s="51"/>
      <c r="I185" s="49"/>
      <c r="J185" s="48"/>
      <c r="K185" s="48"/>
    </row>
    <row r="186" spans="1:11" ht="15.75" customHeight="1">
      <c r="A186" s="50"/>
      <c r="B186" s="48"/>
      <c r="C186" s="48"/>
      <c r="D186" s="48"/>
      <c r="E186" s="48"/>
      <c r="F186" s="48"/>
      <c r="G186" s="48"/>
      <c r="H186" s="51"/>
      <c r="I186" s="49"/>
      <c r="J186" s="48"/>
      <c r="K186" s="48"/>
    </row>
    <row r="187" spans="1:11" ht="15.75" customHeight="1">
      <c r="A187" s="50"/>
      <c r="B187" s="48"/>
      <c r="C187" s="48"/>
      <c r="D187" s="48"/>
      <c r="E187" s="48"/>
      <c r="F187" s="48"/>
      <c r="G187" s="48"/>
      <c r="H187" s="51"/>
      <c r="I187" s="49"/>
      <c r="J187" s="48"/>
      <c r="K187" s="48"/>
    </row>
    <row r="188" spans="1:11" ht="15.75" customHeight="1">
      <c r="A188" s="50"/>
      <c r="B188" s="48"/>
      <c r="C188" s="48"/>
      <c r="D188" s="48"/>
      <c r="E188" s="48"/>
      <c r="F188" s="48"/>
      <c r="G188" s="48"/>
      <c r="H188" s="51"/>
      <c r="I188" s="49"/>
      <c r="J188" s="48"/>
      <c r="K188" s="48"/>
    </row>
    <row r="189" spans="1:11" ht="15.75" customHeight="1">
      <c r="A189" s="50"/>
      <c r="B189" s="48"/>
      <c r="C189" s="48"/>
      <c r="D189" s="48"/>
      <c r="E189" s="48"/>
      <c r="F189" s="48"/>
      <c r="G189" s="48"/>
      <c r="H189" s="51"/>
      <c r="I189" s="49"/>
      <c r="J189" s="48"/>
      <c r="K189" s="48"/>
    </row>
    <row r="190" spans="1:11" ht="15.75" customHeight="1">
      <c r="A190" s="50"/>
      <c r="B190" s="48"/>
      <c r="C190" s="48"/>
      <c r="D190" s="48"/>
      <c r="E190" s="48"/>
      <c r="F190" s="48"/>
      <c r="G190" s="48"/>
      <c r="H190" s="51"/>
      <c r="I190" s="49"/>
      <c r="J190" s="48"/>
      <c r="K190" s="48"/>
    </row>
    <row r="191" spans="1:11" ht="15.75" customHeight="1">
      <c r="A191" s="50"/>
      <c r="B191" s="48"/>
      <c r="C191" s="48"/>
      <c r="D191" s="48"/>
      <c r="E191" s="48"/>
      <c r="F191" s="48"/>
      <c r="G191" s="48"/>
      <c r="H191" s="51"/>
      <c r="I191" s="49"/>
      <c r="J191" s="48"/>
      <c r="K191" s="48"/>
    </row>
    <row r="192" spans="1:11" ht="15.75" customHeight="1">
      <c r="A192" s="50"/>
      <c r="B192" s="48"/>
      <c r="C192" s="48"/>
      <c r="D192" s="48"/>
      <c r="E192" s="48"/>
      <c r="F192" s="48"/>
      <c r="G192" s="48"/>
      <c r="H192" s="51"/>
      <c r="I192" s="49"/>
      <c r="J192" s="48"/>
      <c r="K192" s="48"/>
    </row>
    <row r="193" spans="1:15" ht="15.75" customHeight="1">
      <c r="A193" s="50"/>
      <c r="B193" s="48"/>
      <c r="C193" s="48"/>
      <c r="D193" s="48"/>
      <c r="E193" s="48"/>
      <c r="F193" s="48"/>
      <c r="G193" s="48"/>
      <c r="H193" s="51"/>
      <c r="I193" s="49"/>
      <c r="J193" s="48"/>
      <c r="K193" s="48"/>
    </row>
    <row r="194" spans="1:15" ht="15.75" customHeight="1">
      <c r="A194" s="50"/>
      <c r="B194" s="48"/>
      <c r="C194" s="48"/>
      <c r="D194" s="48"/>
      <c r="E194" s="48"/>
      <c r="F194" s="48"/>
      <c r="G194" s="48"/>
      <c r="H194" s="51"/>
      <c r="I194" s="49"/>
      <c r="J194" s="48"/>
      <c r="K194" s="48"/>
    </row>
    <row r="195" spans="1:15" ht="15.75" customHeight="1">
      <c r="A195" s="50"/>
      <c r="B195" s="48"/>
      <c r="C195" s="48"/>
      <c r="D195" s="48"/>
      <c r="E195" s="48"/>
      <c r="F195" s="48"/>
      <c r="G195" s="48"/>
      <c r="H195" s="51"/>
      <c r="I195" s="49"/>
      <c r="J195" s="48"/>
      <c r="K195" s="48"/>
    </row>
    <row r="196" spans="1:15" ht="15.75" customHeight="1">
      <c r="A196" s="50"/>
      <c r="B196" s="48"/>
      <c r="C196" s="48"/>
      <c r="D196" s="48"/>
      <c r="E196" s="48"/>
      <c r="F196" s="48"/>
      <c r="G196" s="48"/>
      <c r="H196" s="51"/>
      <c r="I196" s="49"/>
      <c r="J196" s="48"/>
      <c r="K196" s="48"/>
    </row>
    <row r="197" spans="1:15" ht="15.75" customHeight="1">
      <c r="A197" s="50"/>
      <c r="B197" s="48"/>
      <c r="C197" s="48"/>
      <c r="D197" s="48"/>
      <c r="E197" s="48"/>
      <c r="F197" s="48"/>
      <c r="G197" s="48"/>
      <c r="H197" s="51"/>
      <c r="I197" s="49"/>
      <c r="J197" s="48"/>
      <c r="K197" s="48"/>
    </row>
    <row r="198" spans="1:15" ht="15.75" customHeight="1">
      <c r="A198" s="50"/>
      <c r="B198" s="48"/>
      <c r="C198" s="48"/>
      <c r="D198" s="48"/>
      <c r="E198" s="48"/>
      <c r="F198" s="48"/>
      <c r="G198" s="48"/>
      <c r="H198" s="51"/>
      <c r="I198" s="49"/>
      <c r="J198" s="48"/>
      <c r="K198" s="48"/>
    </row>
    <row r="199" spans="1:15" ht="15.75" customHeight="1">
      <c r="A199" s="50"/>
      <c r="B199" s="48"/>
      <c r="C199" s="48"/>
      <c r="D199" s="48"/>
      <c r="E199" s="48"/>
      <c r="F199" s="48"/>
      <c r="G199" s="48"/>
      <c r="H199" s="51"/>
      <c r="I199" s="49"/>
      <c r="J199" s="48"/>
      <c r="K199" s="48"/>
    </row>
    <row r="200" spans="1:15" ht="15.75" customHeight="1">
      <c r="A200" s="50"/>
      <c r="B200" s="48"/>
      <c r="C200" s="48"/>
      <c r="D200" s="48"/>
      <c r="E200" s="48"/>
      <c r="F200" s="48"/>
      <c r="G200" s="48"/>
      <c r="H200" s="51"/>
      <c r="I200" s="49"/>
      <c r="J200" s="48"/>
      <c r="K200" s="48"/>
    </row>
    <row r="201" spans="1:15" ht="15.75" customHeight="1">
      <c r="A201" s="50"/>
      <c r="B201" s="48"/>
      <c r="C201" s="48"/>
      <c r="D201" s="48"/>
      <c r="E201" s="48"/>
      <c r="F201" s="48"/>
      <c r="G201" s="48"/>
      <c r="H201" s="51"/>
      <c r="I201" s="49"/>
      <c r="J201" s="48"/>
      <c r="K201" s="48"/>
    </row>
    <row r="202" spans="1:15" ht="15.75" customHeight="1">
      <c r="A202" s="50"/>
      <c r="B202" s="48"/>
      <c r="C202" s="48"/>
      <c r="D202" s="48"/>
      <c r="E202" s="48"/>
      <c r="F202" s="48"/>
      <c r="G202" s="48"/>
      <c r="H202" s="51"/>
      <c r="I202" s="49"/>
      <c r="J202" s="48"/>
      <c r="K202" s="48"/>
    </row>
    <row r="203" spans="1:15" ht="15.75" customHeight="1">
      <c r="A203" s="50"/>
      <c r="B203" s="48"/>
      <c r="C203" s="48"/>
      <c r="D203" s="48"/>
      <c r="E203" s="48"/>
      <c r="F203" s="48"/>
      <c r="G203" s="48"/>
      <c r="H203" s="51"/>
      <c r="I203" s="49"/>
      <c r="J203" s="48"/>
      <c r="K203" s="48"/>
    </row>
    <row r="204" spans="1:15" ht="15.75" customHeight="1">
      <c r="A204" s="50"/>
      <c r="B204" s="48"/>
      <c r="C204" s="48"/>
      <c r="D204" s="48"/>
      <c r="E204" s="48"/>
      <c r="F204" s="48"/>
      <c r="G204" s="48"/>
      <c r="H204" s="51"/>
      <c r="I204" s="49"/>
      <c r="J204" s="48"/>
      <c r="K204" s="48"/>
      <c r="O204" s="55"/>
    </row>
    <row r="205" spans="1:15" ht="15.75" customHeight="1">
      <c r="A205" s="50"/>
      <c r="B205" s="48"/>
      <c r="C205" s="48"/>
      <c r="D205" s="48"/>
      <c r="E205" s="48"/>
      <c r="F205" s="48"/>
      <c r="G205" s="48"/>
      <c r="H205" s="51"/>
      <c r="I205" s="49"/>
      <c r="J205" s="48"/>
      <c r="K205" s="48"/>
      <c r="O205" s="55"/>
    </row>
    <row r="206" spans="1:15" ht="15.75" customHeight="1">
      <c r="A206" s="50"/>
      <c r="B206" s="48"/>
      <c r="C206" s="48"/>
      <c r="D206" s="48"/>
      <c r="E206" s="48"/>
      <c r="F206" s="48"/>
      <c r="G206" s="48"/>
      <c r="H206" s="51"/>
      <c r="I206" s="49"/>
      <c r="J206" s="48"/>
      <c r="K206" s="48"/>
      <c r="O206" s="55"/>
    </row>
    <row r="207" spans="1:15" ht="15.75" customHeight="1">
      <c r="A207" s="50"/>
      <c r="B207" s="48"/>
      <c r="C207" s="48"/>
      <c r="D207" s="48"/>
      <c r="E207" s="48"/>
      <c r="F207" s="48"/>
      <c r="G207" s="48"/>
      <c r="H207" s="51"/>
      <c r="I207" s="49"/>
      <c r="J207" s="48"/>
      <c r="K207" s="48"/>
    </row>
    <row r="208" spans="1:15" ht="15.75" customHeight="1">
      <c r="A208" s="50"/>
      <c r="B208" s="48"/>
      <c r="C208" s="48"/>
      <c r="D208" s="48"/>
      <c r="E208" s="48"/>
      <c r="F208" s="48"/>
      <c r="G208" s="48"/>
      <c r="H208" s="51"/>
      <c r="I208" s="49"/>
      <c r="J208" s="48"/>
      <c r="K208" s="48"/>
    </row>
    <row r="209" spans="1:11" ht="15.75" customHeight="1">
      <c r="A209" s="50"/>
      <c r="B209" s="48"/>
      <c r="C209" s="48"/>
      <c r="D209" s="48"/>
      <c r="E209" s="48"/>
      <c r="F209" s="48"/>
      <c r="G209" s="48"/>
      <c r="H209" s="51"/>
      <c r="I209" s="49"/>
      <c r="J209" s="48"/>
      <c r="K209" s="48"/>
    </row>
    <row r="210" spans="1:11" ht="15.75" customHeight="1">
      <c r="A210" s="50"/>
      <c r="B210" s="48"/>
      <c r="C210" s="48"/>
      <c r="D210" s="48"/>
      <c r="E210" s="48"/>
      <c r="F210" s="48"/>
      <c r="G210" s="48"/>
      <c r="H210" s="51"/>
      <c r="I210" s="49"/>
      <c r="J210" s="48"/>
      <c r="K210" s="48"/>
    </row>
    <row r="211" spans="1:11" ht="15.75" customHeight="1">
      <c r="A211" s="50"/>
      <c r="B211" s="48"/>
      <c r="C211" s="48"/>
      <c r="D211" s="48"/>
      <c r="E211" s="48"/>
      <c r="F211" s="48"/>
      <c r="G211" s="48"/>
      <c r="H211" s="51"/>
      <c r="I211" s="49"/>
      <c r="J211" s="48"/>
      <c r="K211" s="48"/>
    </row>
    <row r="212" spans="1:11" ht="15.75" customHeight="1">
      <c r="A212" s="50"/>
      <c r="B212" s="48"/>
      <c r="C212" s="48"/>
      <c r="D212" s="48"/>
      <c r="E212" s="48"/>
      <c r="F212" s="48"/>
      <c r="G212" s="48"/>
      <c r="H212" s="51"/>
      <c r="I212" s="49"/>
      <c r="J212" s="48"/>
      <c r="K212" s="48"/>
    </row>
    <row r="213" spans="1:11" ht="15.75" customHeight="1">
      <c r="A213" s="50"/>
      <c r="B213" s="48"/>
      <c r="C213" s="48"/>
      <c r="D213" s="48"/>
      <c r="E213" s="48"/>
      <c r="F213" s="48"/>
      <c r="G213" s="48"/>
      <c r="H213" s="51"/>
      <c r="I213" s="49"/>
      <c r="J213" s="48"/>
      <c r="K213" s="48"/>
    </row>
    <row r="214" spans="1:11" ht="15.75" customHeight="1">
      <c r="A214" s="50"/>
      <c r="B214" s="48"/>
      <c r="C214" s="48"/>
      <c r="D214" s="48"/>
      <c r="E214" s="48"/>
      <c r="F214" s="48"/>
      <c r="G214" s="48"/>
      <c r="H214" s="51"/>
      <c r="I214" s="49"/>
      <c r="J214" s="48"/>
      <c r="K214" s="48"/>
    </row>
    <row r="215" spans="1:11" ht="15.75" customHeight="1">
      <c r="A215" s="50"/>
      <c r="B215" s="48"/>
      <c r="C215" s="48"/>
      <c r="D215" s="48"/>
      <c r="E215" s="48"/>
      <c r="F215" s="48"/>
      <c r="G215" s="48"/>
      <c r="H215" s="51"/>
      <c r="I215" s="49"/>
      <c r="J215" s="48"/>
      <c r="K215" s="48"/>
    </row>
    <row r="216" spans="1:11" ht="15.75" customHeight="1">
      <c r="A216" s="50"/>
      <c r="B216" s="48"/>
      <c r="C216" s="48"/>
      <c r="D216" s="48"/>
      <c r="E216" s="48"/>
      <c r="F216" s="48"/>
      <c r="G216" s="48"/>
      <c r="H216" s="51"/>
      <c r="I216" s="49"/>
      <c r="J216" s="48"/>
      <c r="K216" s="48"/>
    </row>
    <row r="217" spans="1:11" ht="15.75" customHeight="1">
      <c r="A217" s="50"/>
      <c r="B217" s="48"/>
      <c r="C217" s="48"/>
      <c r="D217" s="48"/>
      <c r="E217" s="48"/>
      <c r="F217" s="48"/>
      <c r="G217" s="48"/>
      <c r="H217" s="51"/>
      <c r="I217" s="49"/>
      <c r="J217" s="48"/>
      <c r="K217" s="48"/>
    </row>
    <row r="218" spans="1:11" ht="15.75" customHeight="1">
      <c r="A218" s="50"/>
      <c r="B218" s="48"/>
      <c r="C218" s="48"/>
      <c r="D218" s="48"/>
      <c r="E218" s="48"/>
      <c r="F218" s="48"/>
      <c r="G218" s="48"/>
      <c r="H218" s="51"/>
      <c r="I218" s="49"/>
      <c r="J218" s="48"/>
      <c r="K218" s="48"/>
    </row>
    <row r="219" spans="1:11" ht="15.75" customHeight="1">
      <c r="A219" s="50"/>
      <c r="B219" s="48"/>
      <c r="C219" s="48"/>
      <c r="D219" s="48"/>
      <c r="E219" s="48"/>
      <c r="F219" s="48"/>
      <c r="G219" s="48"/>
      <c r="H219" s="51"/>
      <c r="I219" s="49"/>
      <c r="J219" s="48"/>
      <c r="K219" s="48"/>
    </row>
    <row r="220" spans="1:11" ht="15.75" customHeight="1">
      <c r="A220" s="50"/>
      <c r="B220" s="48"/>
      <c r="C220" s="48"/>
      <c r="D220" s="48"/>
      <c r="E220" s="48"/>
      <c r="F220" s="48"/>
      <c r="G220" s="48"/>
      <c r="H220" s="51"/>
      <c r="I220" s="49"/>
      <c r="J220" s="48"/>
      <c r="K220" s="48"/>
    </row>
    <row r="221" spans="1:11" ht="15.75" customHeight="1">
      <c r="A221" s="50"/>
      <c r="B221" s="48"/>
      <c r="C221" s="48"/>
      <c r="D221" s="48"/>
      <c r="E221" s="48"/>
      <c r="F221" s="48"/>
      <c r="G221" s="48"/>
      <c r="H221" s="51"/>
      <c r="I221" s="49"/>
      <c r="J221" s="48"/>
      <c r="K221" s="48"/>
    </row>
    <row r="222" spans="1:11" ht="15.75" customHeight="1">
      <c r="A222" s="50"/>
      <c r="B222" s="48"/>
      <c r="C222" s="48"/>
      <c r="D222" s="48"/>
      <c r="E222" s="48"/>
      <c r="F222" s="48"/>
      <c r="G222" s="48"/>
      <c r="H222" s="51"/>
      <c r="I222" s="49"/>
      <c r="J222" s="48"/>
      <c r="K222" s="48"/>
    </row>
    <row r="223" spans="1:11" ht="15.75" customHeight="1">
      <c r="A223" s="50"/>
      <c r="B223" s="48"/>
      <c r="C223" s="48"/>
      <c r="D223" s="48"/>
      <c r="E223" s="48"/>
      <c r="F223" s="48"/>
      <c r="G223" s="48"/>
      <c r="H223" s="51"/>
      <c r="I223" s="49"/>
      <c r="J223" s="48"/>
      <c r="K223" s="48"/>
    </row>
    <row r="224" spans="1:11" ht="15.75" customHeight="1">
      <c r="A224" s="50"/>
      <c r="B224" s="48"/>
      <c r="C224" s="48"/>
      <c r="D224" s="48"/>
      <c r="E224" s="48"/>
      <c r="F224" s="48"/>
      <c r="G224" s="48"/>
      <c r="H224" s="51"/>
      <c r="I224" s="49"/>
      <c r="J224" s="48"/>
      <c r="K224" s="48"/>
    </row>
    <row r="225" spans="1:26" ht="15.75" customHeight="1">
      <c r="A225" s="50"/>
      <c r="B225" s="48"/>
      <c r="C225" s="48"/>
      <c r="D225" s="48"/>
      <c r="E225" s="48"/>
      <c r="F225" s="48"/>
      <c r="G225" s="48"/>
      <c r="H225" s="51"/>
      <c r="I225" s="49"/>
      <c r="J225" s="48"/>
      <c r="K225" s="48"/>
    </row>
    <row r="226" spans="1:26" ht="15.75" customHeight="1">
      <c r="A226" s="50"/>
      <c r="B226" s="48"/>
      <c r="C226" s="48"/>
      <c r="D226" s="48"/>
      <c r="E226" s="48"/>
      <c r="F226" s="48"/>
      <c r="G226" s="48"/>
      <c r="H226" s="51"/>
      <c r="I226" s="49"/>
      <c r="J226" s="48"/>
      <c r="K226" s="48"/>
    </row>
    <row r="227" spans="1:26" ht="15.75" customHeight="1">
      <c r="A227" s="50"/>
      <c r="B227" s="48"/>
      <c r="C227" s="48"/>
      <c r="D227" s="48"/>
      <c r="E227" s="48"/>
      <c r="F227" s="48"/>
      <c r="G227" s="48"/>
      <c r="H227" s="51"/>
      <c r="I227" s="49"/>
      <c r="J227" s="48"/>
      <c r="K227" s="48"/>
    </row>
    <row r="228" spans="1:26" ht="15.75" customHeight="1">
      <c r="A228" s="50"/>
      <c r="B228" s="48"/>
      <c r="C228" s="48"/>
      <c r="D228" s="48"/>
      <c r="E228" s="48"/>
      <c r="F228" s="48"/>
      <c r="G228" s="48"/>
      <c r="H228" s="51"/>
      <c r="I228" s="49"/>
      <c r="J228" s="48"/>
      <c r="K228" s="48"/>
    </row>
    <row r="229" spans="1:26" ht="15.75" customHeight="1">
      <c r="A229" s="50"/>
      <c r="B229" s="48"/>
      <c r="C229" s="48"/>
      <c r="D229" s="48"/>
      <c r="E229" s="48"/>
      <c r="F229" s="48"/>
      <c r="G229" s="48"/>
      <c r="H229" s="51"/>
      <c r="I229" s="49"/>
      <c r="J229" s="48"/>
      <c r="K229" s="48"/>
    </row>
    <row r="230" spans="1:26" ht="15.75" customHeight="1">
      <c r="A230" s="50"/>
      <c r="B230" s="48"/>
      <c r="C230" s="48"/>
      <c r="D230" s="48"/>
      <c r="E230" s="48"/>
      <c r="F230" s="48"/>
      <c r="G230" s="48"/>
      <c r="H230" s="51"/>
      <c r="I230" s="49"/>
      <c r="J230" s="48"/>
      <c r="K230" s="48"/>
      <c r="O230" s="55"/>
    </row>
    <row r="231" spans="1:26" ht="15.75" customHeight="1">
      <c r="A231" s="50"/>
      <c r="B231" s="48"/>
      <c r="C231" s="48"/>
      <c r="D231" s="48"/>
      <c r="E231" s="48"/>
      <c r="F231" s="48"/>
      <c r="G231" s="48"/>
      <c r="H231" s="51"/>
      <c r="I231" s="49"/>
      <c r="J231" s="48"/>
      <c r="K231" s="48"/>
      <c r="O231" s="55"/>
    </row>
    <row r="232" spans="1:26" ht="15.75" customHeight="1">
      <c r="A232" s="50"/>
      <c r="B232" s="48"/>
      <c r="C232" s="48"/>
      <c r="D232" s="48"/>
      <c r="E232" s="48"/>
      <c r="F232" s="48"/>
      <c r="G232" s="48"/>
      <c r="H232" s="51"/>
      <c r="I232" s="49"/>
      <c r="J232" s="48"/>
      <c r="K232" s="4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50"/>
      <c r="B233" s="48"/>
      <c r="C233" s="48"/>
      <c r="D233" s="48"/>
      <c r="E233" s="48"/>
      <c r="F233" s="48"/>
      <c r="G233" s="48"/>
      <c r="H233" s="51"/>
      <c r="I233" s="49"/>
      <c r="J233" s="48"/>
      <c r="K233" s="48"/>
    </row>
    <row r="234" spans="1:26" ht="15.75" customHeight="1">
      <c r="A234" s="50"/>
      <c r="B234" s="48"/>
      <c r="C234" s="48"/>
      <c r="D234" s="48"/>
      <c r="E234" s="48"/>
      <c r="F234" s="48"/>
      <c r="G234" s="48"/>
      <c r="H234" s="51"/>
      <c r="I234" s="49"/>
      <c r="J234" s="48"/>
      <c r="K234" s="48"/>
    </row>
    <row r="235" spans="1:26" ht="15.75" customHeight="1">
      <c r="A235" s="50"/>
      <c r="B235" s="48"/>
      <c r="C235" s="48"/>
      <c r="D235" s="48"/>
      <c r="E235" s="48"/>
      <c r="F235" s="48"/>
      <c r="G235" s="48"/>
      <c r="H235" s="51"/>
      <c r="I235" s="49"/>
      <c r="J235" s="48"/>
      <c r="K235" s="48"/>
    </row>
    <row r="236" spans="1:26" ht="15.75" customHeight="1">
      <c r="A236" s="50"/>
      <c r="B236" s="48"/>
      <c r="C236" s="48"/>
      <c r="D236" s="48"/>
      <c r="E236" s="48"/>
      <c r="F236" s="48"/>
      <c r="G236" s="48"/>
      <c r="H236" s="51"/>
      <c r="I236" s="49"/>
      <c r="J236" s="48"/>
      <c r="K236" s="48"/>
    </row>
    <row r="237" spans="1:26" ht="15.75" customHeight="1">
      <c r="A237" s="50"/>
      <c r="B237" s="48"/>
      <c r="C237" s="48"/>
      <c r="D237" s="48"/>
      <c r="E237" s="48"/>
      <c r="F237" s="48"/>
      <c r="G237" s="48"/>
      <c r="H237" s="51"/>
      <c r="I237" s="49"/>
      <c r="J237" s="48"/>
      <c r="K237" s="48"/>
    </row>
    <row r="238" spans="1:26" ht="15.75" customHeight="1">
      <c r="A238" s="50"/>
      <c r="B238" s="48"/>
      <c r="C238" s="48"/>
      <c r="D238" s="48"/>
      <c r="E238" s="48"/>
      <c r="F238" s="48"/>
      <c r="G238" s="48"/>
      <c r="H238" s="51"/>
      <c r="I238" s="49"/>
      <c r="J238" s="48"/>
      <c r="K238" s="48"/>
    </row>
    <row r="239" spans="1:26" ht="15.75" customHeight="1">
      <c r="A239" s="50"/>
      <c r="B239" s="48"/>
      <c r="C239" s="48"/>
      <c r="D239" s="48"/>
      <c r="E239" s="48"/>
      <c r="F239" s="48"/>
      <c r="G239" s="48"/>
      <c r="H239" s="51"/>
      <c r="I239" s="49"/>
      <c r="J239" s="48"/>
      <c r="K239" s="48"/>
    </row>
    <row r="240" spans="1:26" ht="15.75" customHeight="1">
      <c r="A240" s="50"/>
      <c r="B240" s="48"/>
      <c r="C240" s="48"/>
      <c r="D240" s="48"/>
      <c r="E240" s="48"/>
      <c r="F240" s="48"/>
      <c r="G240" s="48"/>
      <c r="H240" s="51"/>
      <c r="I240" s="49"/>
      <c r="J240" s="48"/>
      <c r="K240" s="48"/>
    </row>
    <row r="241" spans="1:26" ht="15.75" customHeight="1">
      <c r="A241" s="4"/>
      <c r="B241" s="2"/>
      <c r="C241" s="2"/>
      <c r="D241" s="2"/>
      <c r="E241" s="2"/>
      <c r="F241" s="2"/>
      <c r="G241" s="2"/>
      <c r="H241" s="2"/>
      <c r="I241" s="81"/>
      <c r="J241" s="2"/>
      <c r="K241" s="2"/>
    </row>
    <row r="242" spans="1:26" ht="15.75" customHeight="1">
      <c r="A242" s="4"/>
      <c r="B242" s="2"/>
      <c r="C242" s="2"/>
      <c r="D242" s="2"/>
      <c r="E242" s="2"/>
      <c r="F242" s="2"/>
      <c r="G242" s="2"/>
      <c r="H242" s="2"/>
      <c r="I242" s="82" t="s">
        <v>508</v>
      </c>
      <c r="J242" s="8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4"/>
      <c r="B243" s="2" t="s">
        <v>509</v>
      </c>
      <c r="C243" s="2"/>
      <c r="D243" s="2"/>
      <c r="E243" s="2" t="s">
        <v>510</v>
      </c>
      <c r="F243" s="2"/>
      <c r="G243" s="2"/>
      <c r="H243" s="2"/>
      <c r="I243" s="7" t="s">
        <v>942</v>
      </c>
      <c r="J243" s="8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4"/>
      <c r="B244" s="2"/>
      <c r="C244" s="2"/>
      <c r="D244" s="2"/>
      <c r="E244" s="2"/>
      <c r="F244" s="2"/>
      <c r="G244" s="2"/>
      <c r="H244" s="2"/>
      <c r="I244" s="7" t="s">
        <v>944</v>
      </c>
      <c r="J244" s="8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4"/>
      <c r="B245" s="2"/>
      <c r="C245" s="2"/>
      <c r="D245" s="2"/>
      <c r="E245" s="2"/>
      <c r="F245" s="2"/>
      <c r="G245" s="2"/>
      <c r="H245" s="2"/>
      <c r="I245" s="7" t="s">
        <v>946</v>
      </c>
      <c r="J245" s="8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4"/>
      <c r="B246" s="86" t="s">
        <v>516</v>
      </c>
      <c r="C246" s="2"/>
      <c r="D246" s="2"/>
      <c r="E246" s="731" t="s">
        <v>517</v>
      </c>
      <c r="F246" s="711"/>
      <c r="G246" s="711"/>
      <c r="H246" s="2"/>
      <c r="I246" s="7" t="s">
        <v>947</v>
      </c>
      <c r="J246" s="8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4"/>
      <c r="B247" s="4" t="s">
        <v>949</v>
      </c>
      <c r="C247" s="2"/>
      <c r="D247" s="2"/>
      <c r="E247" s="732" t="s">
        <v>521</v>
      </c>
      <c r="F247" s="711"/>
      <c r="G247" s="711"/>
      <c r="H247" s="711"/>
      <c r="I247" s="7" t="s">
        <v>950</v>
      </c>
      <c r="J247" s="8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4"/>
      <c r="B248" s="2"/>
      <c r="C248" s="2"/>
      <c r="D248" s="2"/>
      <c r="E248" s="2"/>
      <c r="F248" s="2"/>
      <c r="G248" s="2"/>
      <c r="H248" s="2"/>
      <c r="I248" s="7" t="s">
        <v>564</v>
      </c>
      <c r="J248" s="8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4"/>
      <c r="B249" s="2"/>
      <c r="C249" s="2"/>
      <c r="D249" s="2"/>
      <c r="E249" s="2"/>
      <c r="F249" s="2"/>
      <c r="G249" s="2"/>
      <c r="H249" s="2"/>
      <c r="I249" s="7" t="s">
        <v>525</v>
      </c>
      <c r="J249" s="8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4"/>
      <c r="B250" s="2"/>
      <c r="C250" s="2"/>
      <c r="D250" s="2"/>
      <c r="E250" s="2"/>
      <c r="F250" s="2"/>
      <c r="G250" s="2"/>
      <c r="H250" s="2"/>
      <c r="I250" s="88" t="s">
        <v>565</v>
      </c>
      <c r="J250" s="90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4"/>
      <c r="B251" s="2"/>
      <c r="C251" s="2"/>
      <c r="D251" s="2"/>
      <c r="E251" s="2"/>
      <c r="F251" s="2"/>
      <c r="G251" s="2"/>
      <c r="H251" s="2"/>
      <c r="I251" s="88" t="s">
        <v>953</v>
      </c>
      <c r="J251" s="90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4"/>
      <c r="B252" s="2"/>
      <c r="C252" s="2"/>
      <c r="D252" s="2"/>
      <c r="E252" s="2"/>
      <c r="F252" s="2"/>
      <c r="G252" s="2"/>
      <c r="H252" s="2"/>
      <c r="I252" s="8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4"/>
      <c r="B253" s="2"/>
      <c r="C253" s="2"/>
      <c r="D253" s="2"/>
      <c r="E253" s="2"/>
      <c r="F253" s="2"/>
      <c r="G253" s="2"/>
      <c r="H253" s="2"/>
      <c r="I253" s="8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4"/>
      <c r="B254" s="2"/>
      <c r="C254" s="2"/>
      <c r="D254" s="2"/>
      <c r="E254" s="2"/>
      <c r="F254" s="2"/>
      <c r="G254" s="2"/>
      <c r="H254" s="2"/>
      <c r="I254" s="8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4"/>
      <c r="B255" s="2"/>
      <c r="C255" s="2"/>
      <c r="D255" s="2"/>
      <c r="E255" s="2"/>
      <c r="F255" s="2"/>
      <c r="G255" s="2"/>
      <c r="H255" s="2"/>
      <c r="I255" s="8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4"/>
      <c r="B256" s="2"/>
      <c r="C256" s="2"/>
      <c r="D256" s="2"/>
      <c r="E256" s="2"/>
      <c r="F256" s="2"/>
      <c r="G256" s="2"/>
      <c r="H256" s="2"/>
      <c r="I256" s="8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4"/>
      <c r="B257" s="2"/>
      <c r="C257" s="2"/>
      <c r="D257" s="2"/>
      <c r="E257" s="2"/>
      <c r="F257" s="2"/>
      <c r="G257" s="2"/>
      <c r="H257" s="2"/>
      <c r="I257" s="8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4"/>
      <c r="B258" s="2"/>
      <c r="C258" s="2"/>
      <c r="D258" s="2"/>
      <c r="E258" s="2"/>
      <c r="F258" s="2"/>
      <c r="G258" s="2"/>
      <c r="H258" s="2"/>
      <c r="I258" s="8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4"/>
      <c r="B259" s="2"/>
      <c r="C259" s="2"/>
      <c r="D259" s="2"/>
      <c r="E259" s="2"/>
      <c r="F259" s="2"/>
      <c r="G259" s="2"/>
      <c r="H259" s="2"/>
      <c r="I259" s="8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4"/>
      <c r="B260" s="2"/>
      <c r="C260" s="2"/>
      <c r="D260" s="2"/>
      <c r="E260" s="2"/>
      <c r="F260" s="2"/>
      <c r="G260" s="2"/>
      <c r="H260" s="2"/>
      <c r="I260" s="8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"/>
      <c r="B261" s="2"/>
      <c r="C261" s="2"/>
      <c r="D261" s="2"/>
      <c r="E261" s="2"/>
      <c r="F261" s="2"/>
      <c r="G261" s="2"/>
      <c r="H261" s="2"/>
      <c r="I261" s="8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"/>
      <c r="B262" s="2"/>
      <c r="C262" s="2"/>
      <c r="D262" s="2"/>
      <c r="E262" s="2"/>
      <c r="F262" s="2"/>
      <c r="G262" s="2"/>
      <c r="H262" s="2"/>
      <c r="I262" s="8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"/>
      <c r="B263" s="2"/>
      <c r="C263" s="2"/>
      <c r="D263" s="2"/>
      <c r="E263" s="2"/>
      <c r="F263" s="2"/>
      <c r="G263" s="2"/>
      <c r="H263" s="2"/>
      <c r="I263" s="8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"/>
      <c r="B264" s="2"/>
      <c r="C264" s="2"/>
      <c r="D264" s="2"/>
      <c r="E264" s="2"/>
      <c r="F264" s="2"/>
      <c r="G264" s="2"/>
      <c r="H264" s="2"/>
      <c r="I264" s="8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"/>
      <c r="B265" s="2"/>
      <c r="C265" s="2"/>
      <c r="D265" s="2"/>
      <c r="E265" s="2"/>
      <c r="F265" s="2"/>
      <c r="G265" s="2"/>
      <c r="H265" s="2"/>
      <c r="I265" s="8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"/>
      <c r="B266" s="2"/>
      <c r="C266" s="2"/>
      <c r="D266" s="2"/>
      <c r="E266" s="2"/>
      <c r="F266" s="2"/>
      <c r="G266" s="2"/>
      <c r="H266" s="2"/>
      <c r="I266" s="8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4"/>
      <c r="B267" s="2"/>
      <c r="C267" s="2"/>
      <c r="D267" s="2"/>
      <c r="E267" s="2"/>
      <c r="F267" s="2"/>
      <c r="G267" s="2"/>
      <c r="H267" s="2"/>
      <c r="I267" s="8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4"/>
      <c r="B268" s="2"/>
      <c r="C268" s="2"/>
      <c r="D268" s="2"/>
      <c r="E268" s="2"/>
      <c r="F268" s="2"/>
      <c r="G268" s="2"/>
      <c r="H268" s="2"/>
      <c r="I268" s="8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"/>
      <c r="B269" s="2"/>
      <c r="C269" s="2"/>
      <c r="D269" s="2"/>
      <c r="E269" s="2"/>
      <c r="F269" s="2"/>
      <c r="G269" s="2"/>
      <c r="H269" s="2"/>
      <c r="I269" s="81"/>
      <c r="J269" s="2"/>
      <c r="K269" s="253"/>
    </row>
    <row r="270" spans="1:26" ht="15.75" customHeight="1">
      <c r="A270" s="4"/>
      <c r="B270" s="2"/>
      <c r="C270" s="2"/>
      <c r="D270" s="2"/>
      <c r="E270" s="2"/>
      <c r="F270" s="2"/>
      <c r="G270" s="2"/>
      <c r="H270" s="2"/>
      <c r="I270" s="81"/>
      <c r="J270" s="2"/>
      <c r="K270" s="253"/>
    </row>
    <row r="271" spans="1:26" ht="15.75" customHeight="1">
      <c r="A271" s="4"/>
      <c r="B271" s="2"/>
      <c r="C271" s="2"/>
      <c r="D271" s="2"/>
      <c r="E271" s="2"/>
      <c r="F271" s="2"/>
      <c r="G271" s="2"/>
      <c r="H271" s="2"/>
      <c r="I271" s="81"/>
      <c r="J271" s="2"/>
      <c r="K271" s="253"/>
    </row>
    <row r="272" spans="1:26" ht="15.75" customHeight="1">
      <c r="A272" s="4"/>
      <c r="B272" s="2"/>
      <c r="C272" s="2"/>
      <c r="D272" s="2"/>
      <c r="E272" s="2"/>
      <c r="F272" s="2"/>
      <c r="G272" s="2"/>
      <c r="H272" s="2"/>
      <c r="I272" s="81"/>
      <c r="J272" s="2"/>
      <c r="K272" s="253"/>
    </row>
    <row r="273" spans="1:11" ht="15.75" customHeight="1">
      <c r="A273" s="4"/>
      <c r="B273" s="2"/>
      <c r="C273" s="2"/>
      <c r="D273" s="2"/>
      <c r="E273" s="2"/>
      <c r="F273" s="2"/>
      <c r="G273" s="2"/>
      <c r="H273" s="2"/>
      <c r="I273" s="81"/>
      <c r="J273" s="2"/>
      <c r="K273" s="253"/>
    </row>
    <row r="274" spans="1:11" ht="15.75" customHeight="1">
      <c r="A274" s="4"/>
      <c r="B274" s="2"/>
      <c r="C274" s="2"/>
      <c r="D274" s="2"/>
      <c r="E274" s="2"/>
      <c r="F274" s="2"/>
      <c r="G274" s="2"/>
      <c r="H274" s="2"/>
      <c r="I274" s="81"/>
      <c r="J274" s="2"/>
      <c r="K274" s="253"/>
    </row>
    <row r="275" spans="1:11" ht="15.75" customHeight="1">
      <c r="A275" s="4"/>
      <c r="B275" s="2"/>
      <c r="C275" s="2"/>
      <c r="D275" s="2"/>
      <c r="E275" s="2"/>
      <c r="F275" s="2"/>
      <c r="G275" s="2"/>
      <c r="H275" s="2"/>
      <c r="I275" s="81"/>
      <c r="J275" s="2"/>
      <c r="K275" s="253"/>
    </row>
    <row r="276" spans="1:11" ht="15.75" customHeight="1">
      <c r="A276" s="4"/>
      <c r="B276" s="2"/>
      <c r="C276" s="2"/>
      <c r="D276" s="2"/>
      <c r="E276" s="2"/>
      <c r="F276" s="2"/>
      <c r="G276" s="2"/>
      <c r="H276" s="2"/>
      <c r="I276" s="81"/>
      <c r="J276" s="2"/>
      <c r="K276" s="253"/>
    </row>
    <row r="277" spans="1:11" ht="15.75" customHeight="1">
      <c r="A277" s="4"/>
      <c r="B277" s="2"/>
      <c r="C277" s="2"/>
      <c r="D277" s="2"/>
      <c r="E277" s="2"/>
      <c r="F277" s="2"/>
      <c r="G277" s="2"/>
      <c r="H277" s="2"/>
      <c r="I277" s="81"/>
      <c r="J277" s="2"/>
      <c r="K277" s="253"/>
    </row>
    <row r="278" spans="1:11" ht="15.75" customHeight="1">
      <c r="A278" s="4"/>
      <c r="B278" s="2"/>
      <c r="C278" s="2"/>
      <c r="D278" s="2"/>
      <c r="E278" s="2"/>
      <c r="F278" s="2"/>
      <c r="G278" s="2"/>
      <c r="H278" s="2"/>
      <c r="I278" s="81"/>
      <c r="J278" s="2"/>
      <c r="K278" s="253"/>
    </row>
    <row r="279" spans="1:11" ht="15.75" customHeight="1">
      <c r="A279" s="4"/>
      <c r="B279" s="2"/>
      <c r="C279" s="2"/>
      <c r="D279" s="2"/>
      <c r="E279" s="2"/>
      <c r="F279" s="2"/>
      <c r="G279" s="2"/>
      <c r="H279" s="2"/>
      <c r="I279" s="81"/>
      <c r="J279" s="2"/>
      <c r="K279" s="253"/>
    </row>
    <row r="280" spans="1:11" ht="15.75" customHeight="1">
      <c r="A280" s="4"/>
      <c r="B280" s="2"/>
      <c r="C280" s="2"/>
      <c r="D280" s="2"/>
      <c r="E280" s="2"/>
      <c r="F280" s="2"/>
      <c r="G280" s="2"/>
      <c r="H280" s="2"/>
      <c r="I280" s="81"/>
      <c r="J280" s="2"/>
      <c r="K280" s="253"/>
    </row>
    <row r="281" spans="1:11" ht="15.75" customHeight="1">
      <c r="A281" s="4"/>
      <c r="B281" s="2"/>
      <c r="C281" s="2"/>
      <c r="D281" s="2"/>
      <c r="E281" s="2"/>
      <c r="F281" s="2"/>
      <c r="G281" s="2"/>
      <c r="H281" s="2"/>
      <c r="I281" s="81"/>
      <c r="J281" s="2"/>
      <c r="K281" s="253"/>
    </row>
    <row r="282" spans="1:11" ht="15.75" customHeight="1">
      <c r="A282" s="4"/>
      <c r="B282" s="2"/>
      <c r="C282" s="2"/>
      <c r="D282" s="2"/>
      <c r="E282" s="2"/>
      <c r="F282" s="2"/>
      <c r="G282" s="2"/>
      <c r="H282" s="2"/>
      <c r="I282" s="81"/>
      <c r="J282" s="2"/>
      <c r="K282" s="253"/>
    </row>
    <row r="283" spans="1:11" ht="15.75" customHeight="1">
      <c r="A283" s="4"/>
      <c r="B283" s="2"/>
      <c r="C283" s="2"/>
      <c r="D283" s="2"/>
      <c r="E283" s="2"/>
      <c r="F283" s="2"/>
      <c r="G283" s="2"/>
      <c r="H283" s="2"/>
      <c r="I283" s="81"/>
      <c r="J283" s="2"/>
      <c r="K283" s="253"/>
    </row>
    <row r="284" spans="1:11" ht="15.75" customHeight="1">
      <c r="A284" s="4"/>
      <c r="B284" s="2"/>
      <c r="C284" s="2"/>
      <c r="D284" s="2"/>
      <c r="E284" s="2"/>
      <c r="F284" s="2"/>
      <c r="G284" s="2"/>
      <c r="H284" s="2"/>
      <c r="I284" s="81"/>
      <c r="J284" s="2"/>
      <c r="K284" s="253"/>
    </row>
    <row r="285" spans="1:11" ht="15.75" customHeight="1">
      <c r="A285" s="4"/>
      <c r="B285" s="2"/>
      <c r="C285" s="2"/>
      <c r="D285" s="2"/>
      <c r="E285" s="2"/>
      <c r="F285" s="2"/>
      <c r="G285" s="2"/>
      <c r="H285" s="2"/>
      <c r="I285" s="81"/>
      <c r="J285" s="2"/>
      <c r="K285" s="253"/>
    </row>
    <row r="286" spans="1:11" ht="15.75" customHeight="1">
      <c r="A286" s="4"/>
      <c r="B286" s="2"/>
      <c r="C286" s="2"/>
      <c r="D286" s="2"/>
      <c r="E286" s="2"/>
      <c r="F286" s="2"/>
      <c r="G286" s="2"/>
      <c r="H286" s="2"/>
      <c r="I286" s="81"/>
      <c r="J286" s="2"/>
      <c r="K286" s="253"/>
    </row>
    <row r="287" spans="1:11" ht="15.75" customHeight="1">
      <c r="A287" s="4"/>
      <c r="B287" s="2"/>
      <c r="C287" s="2"/>
      <c r="D287" s="2"/>
      <c r="E287" s="2"/>
      <c r="F287" s="2"/>
      <c r="G287" s="2"/>
      <c r="H287" s="2"/>
      <c r="I287" s="81"/>
      <c r="J287" s="2"/>
      <c r="K287" s="253"/>
    </row>
    <row r="288" spans="1:11" ht="15.75" customHeight="1">
      <c r="A288" s="4"/>
      <c r="B288" s="2"/>
      <c r="C288" s="2"/>
      <c r="D288" s="2"/>
      <c r="E288" s="2"/>
      <c r="F288" s="2"/>
      <c r="G288" s="2"/>
      <c r="H288" s="2"/>
      <c r="I288" s="81"/>
      <c r="J288" s="2"/>
      <c r="K288" s="253"/>
    </row>
    <row r="289" spans="1:11" ht="15.75" customHeight="1">
      <c r="A289" s="4"/>
      <c r="B289" s="2"/>
      <c r="C289" s="2"/>
      <c r="D289" s="2"/>
      <c r="E289" s="2"/>
      <c r="F289" s="2"/>
      <c r="G289" s="2"/>
      <c r="H289" s="2"/>
      <c r="I289" s="81"/>
      <c r="J289" s="2"/>
      <c r="K289" s="253"/>
    </row>
    <row r="290" spans="1:11" ht="15.75" customHeight="1">
      <c r="A290" s="4"/>
      <c r="B290" s="2"/>
      <c r="C290" s="2"/>
      <c r="D290" s="2"/>
      <c r="E290" s="2"/>
      <c r="F290" s="2"/>
      <c r="G290" s="2"/>
      <c r="H290" s="2"/>
      <c r="I290" s="81"/>
      <c r="J290" s="2"/>
      <c r="K290" s="253"/>
    </row>
    <row r="291" spans="1:11" ht="15.75" customHeight="1">
      <c r="A291" s="4"/>
      <c r="B291" s="2"/>
      <c r="C291" s="2"/>
      <c r="D291" s="2"/>
      <c r="E291" s="2"/>
      <c r="F291" s="2"/>
      <c r="G291" s="2"/>
      <c r="H291" s="2"/>
      <c r="I291" s="81"/>
      <c r="J291" s="2"/>
      <c r="K291" s="253"/>
    </row>
    <row r="292" spans="1:11" ht="15.75" customHeight="1">
      <c r="A292" s="4"/>
      <c r="B292" s="2"/>
      <c r="C292" s="2"/>
      <c r="D292" s="2"/>
      <c r="E292" s="2"/>
      <c r="F292" s="2"/>
      <c r="G292" s="2"/>
      <c r="H292" s="2"/>
      <c r="I292" s="81"/>
      <c r="J292" s="2"/>
      <c r="K292" s="253"/>
    </row>
    <row r="293" spans="1:11" ht="15.75" customHeight="1">
      <c r="A293" s="4"/>
      <c r="B293" s="2"/>
      <c r="C293" s="2"/>
      <c r="D293" s="2"/>
      <c r="E293" s="2"/>
      <c r="F293" s="2"/>
      <c r="G293" s="2"/>
      <c r="H293" s="2"/>
      <c r="I293" s="81"/>
      <c r="J293" s="2"/>
      <c r="K293" s="253"/>
    </row>
    <row r="294" spans="1:11" ht="15.75" customHeight="1">
      <c r="A294" s="4"/>
      <c r="B294" s="2"/>
      <c r="C294" s="2"/>
      <c r="D294" s="2"/>
      <c r="E294" s="2"/>
      <c r="F294" s="2"/>
      <c r="G294" s="2"/>
      <c r="H294" s="2"/>
      <c r="I294" s="81"/>
      <c r="J294" s="2"/>
      <c r="K294" s="253"/>
    </row>
    <row r="295" spans="1:11" ht="15.75" customHeight="1">
      <c r="A295" s="4"/>
      <c r="B295" s="2"/>
      <c r="C295" s="2"/>
      <c r="D295" s="2"/>
      <c r="E295" s="2"/>
      <c r="F295" s="2"/>
      <c r="G295" s="2"/>
      <c r="H295" s="2"/>
      <c r="I295" s="81"/>
      <c r="J295" s="2"/>
      <c r="K295" s="253"/>
    </row>
    <row r="296" spans="1:11" ht="15.75" customHeight="1">
      <c r="A296" s="4"/>
      <c r="B296" s="2"/>
      <c r="C296" s="2"/>
      <c r="D296" s="2"/>
      <c r="E296" s="2"/>
      <c r="F296" s="2"/>
      <c r="G296" s="2"/>
      <c r="H296" s="2"/>
      <c r="I296" s="81"/>
      <c r="J296" s="2"/>
      <c r="K296" s="253"/>
    </row>
    <row r="297" spans="1:11" ht="15.75" customHeight="1">
      <c r="A297" s="4"/>
      <c r="B297" s="2"/>
      <c r="C297" s="2"/>
      <c r="D297" s="2"/>
      <c r="E297" s="2"/>
      <c r="F297" s="2"/>
      <c r="G297" s="2"/>
      <c r="H297" s="2"/>
      <c r="I297" s="81"/>
      <c r="J297" s="2"/>
      <c r="K297" s="253"/>
    </row>
    <row r="298" spans="1:11" ht="15.75" customHeight="1">
      <c r="A298" s="4"/>
      <c r="B298" s="2"/>
      <c r="C298" s="2"/>
      <c r="D298" s="2"/>
      <c r="E298" s="2"/>
      <c r="F298" s="2"/>
      <c r="G298" s="2"/>
      <c r="H298" s="2"/>
      <c r="I298" s="81"/>
      <c r="J298" s="2"/>
      <c r="K298" s="253"/>
    </row>
    <row r="299" spans="1:11" ht="15.75" customHeight="1">
      <c r="A299" s="4"/>
      <c r="B299" s="2"/>
      <c r="C299" s="2"/>
      <c r="D299" s="2"/>
      <c r="E299" s="2"/>
      <c r="F299" s="2"/>
      <c r="G299" s="2"/>
      <c r="H299" s="2"/>
      <c r="I299" s="81"/>
      <c r="J299" s="2"/>
      <c r="K299" s="253"/>
    </row>
    <row r="300" spans="1:11" ht="15.75" customHeight="1">
      <c r="A300" s="4"/>
      <c r="B300" s="2"/>
      <c r="C300" s="2"/>
      <c r="D300" s="2"/>
      <c r="E300" s="2"/>
      <c r="F300" s="2"/>
      <c r="G300" s="2"/>
      <c r="H300" s="2"/>
      <c r="I300" s="81"/>
      <c r="J300" s="2"/>
      <c r="K300" s="253"/>
    </row>
    <row r="301" spans="1:11" ht="15.75" customHeight="1">
      <c r="A301" s="4"/>
      <c r="B301" s="2"/>
      <c r="C301" s="2"/>
      <c r="D301" s="2"/>
      <c r="E301" s="2"/>
      <c r="F301" s="2"/>
      <c r="G301" s="2"/>
      <c r="H301" s="2"/>
      <c r="I301" s="81"/>
      <c r="J301" s="2"/>
      <c r="K301" s="253"/>
    </row>
    <row r="302" spans="1:11" ht="15.75" customHeight="1">
      <c r="A302" s="4"/>
      <c r="B302" s="2"/>
      <c r="C302" s="2"/>
      <c r="D302" s="2"/>
      <c r="E302" s="2"/>
      <c r="F302" s="2"/>
      <c r="G302" s="2"/>
      <c r="H302" s="2"/>
      <c r="I302" s="81"/>
      <c r="J302" s="2"/>
      <c r="K302" s="253"/>
    </row>
    <row r="303" spans="1:11" ht="15.75" customHeight="1">
      <c r="A303" s="4"/>
      <c r="B303" s="2"/>
      <c r="C303" s="2"/>
      <c r="D303" s="2"/>
      <c r="E303" s="2"/>
      <c r="F303" s="2"/>
      <c r="G303" s="2"/>
      <c r="H303" s="2"/>
      <c r="I303" s="81"/>
      <c r="J303" s="2"/>
      <c r="K303" s="253"/>
    </row>
    <row r="304" spans="1:11" ht="15.75" customHeight="1">
      <c r="A304" s="4"/>
      <c r="B304" s="2"/>
      <c r="C304" s="2"/>
      <c r="D304" s="2"/>
      <c r="E304" s="2"/>
      <c r="F304" s="2"/>
      <c r="G304" s="2"/>
      <c r="H304" s="2"/>
      <c r="I304" s="81"/>
      <c r="J304" s="2"/>
      <c r="K304" s="253"/>
    </row>
    <row r="305" spans="1:11" ht="15.75" customHeight="1">
      <c r="A305" s="4"/>
      <c r="B305" s="2"/>
      <c r="C305" s="2"/>
      <c r="D305" s="2"/>
      <c r="E305" s="2"/>
      <c r="F305" s="2"/>
      <c r="G305" s="2"/>
      <c r="H305" s="2"/>
      <c r="I305" s="81"/>
      <c r="J305" s="2"/>
      <c r="K305" s="253"/>
    </row>
    <row r="306" spans="1:11" ht="15.75" customHeight="1">
      <c r="A306" s="4"/>
      <c r="B306" s="2"/>
      <c r="C306" s="2"/>
      <c r="D306" s="2"/>
      <c r="E306" s="2"/>
      <c r="F306" s="2"/>
      <c r="G306" s="2"/>
      <c r="H306" s="2"/>
      <c r="I306" s="81"/>
      <c r="J306" s="2"/>
      <c r="K306" s="253"/>
    </row>
    <row r="307" spans="1:11" ht="15.75" customHeight="1">
      <c r="A307" s="4"/>
      <c r="B307" s="2"/>
      <c r="C307" s="2"/>
      <c r="D307" s="2"/>
      <c r="E307" s="2"/>
      <c r="F307" s="2"/>
      <c r="G307" s="2"/>
      <c r="H307" s="2"/>
      <c r="I307" s="81"/>
      <c r="J307" s="2"/>
      <c r="K307" s="253"/>
    </row>
    <row r="308" spans="1:11" ht="15.75" customHeight="1">
      <c r="A308" s="4"/>
      <c r="B308" s="2"/>
      <c r="C308" s="2"/>
      <c r="D308" s="2"/>
      <c r="E308" s="2"/>
      <c r="F308" s="2"/>
      <c r="G308" s="2"/>
      <c r="H308" s="2"/>
      <c r="I308" s="81"/>
      <c r="J308" s="2"/>
      <c r="K308" s="253"/>
    </row>
    <row r="309" spans="1:11" ht="15.75" customHeight="1">
      <c r="A309" s="4"/>
      <c r="B309" s="2"/>
      <c r="C309" s="2"/>
      <c r="D309" s="2"/>
      <c r="E309" s="2"/>
      <c r="F309" s="2"/>
      <c r="G309" s="2"/>
      <c r="H309" s="2"/>
      <c r="I309" s="81"/>
      <c r="J309" s="2"/>
      <c r="K309" s="253"/>
    </row>
    <row r="310" spans="1:11" ht="15.75" customHeight="1">
      <c r="A310" s="4"/>
      <c r="B310" s="2"/>
      <c r="C310" s="2"/>
      <c r="D310" s="2"/>
      <c r="E310" s="2"/>
      <c r="F310" s="2"/>
      <c r="G310" s="2"/>
      <c r="H310" s="2"/>
      <c r="I310" s="81"/>
      <c r="J310" s="2"/>
      <c r="K310" s="253"/>
    </row>
    <row r="311" spans="1:11" ht="15.75" customHeight="1">
      <c r="A311" s="4"/>
      <c r="B311" s="2"/>
      <c r="C311" s="2"/>
      <c r="D311" s="2"/>
      <c r="E311" s="2"/>
      <c r="F311" s="2"/>
      <c r="G311" s="2"/>
      <c r="H311" s="2"/>
      <c r="I311" s="81"/>
      <c r="J311" s="2"/>
      <c r="K311" s="253"/>
    </row>
    <row r="312" spans="1:11" ht="15.75" customHeight="1">
      <c r="A312" s="4"/>
      <c r="B312" s="2"/>
      <c r="C312" s="2"/>
      <c r="D312" s="2"/>
      <c r="E312" s="2"/>
      <c r="F312" s="2"/>
      <c r="G312" s="2"/>
      <c r="H312" s="2"/>
      <c r="I312" s="81"/>
      <c r="J312" s="2"/>
      <c r="K312" s="253"/>
    </row>
    <row r="313" spans="1:11" ht="15.75" customHeight="1">
      <c r="A313" s="4"/>
      <c r="B313" s="2"/>
      <c r="C313" s="2"/>
      <c r="D313" s="2"/>
      <c r="E313" s="2"/>
      <c r="F313" s="2"/>
      <c r="G313" s="2"/>
      <c r="H313" s="2"/>
      <c r="I313" s="81"/>
      <c r="J313" s="2"/>
      <c r="K313" s="253"/>
    </row>
    <row r="314" spans="1:11" ht="15.75" customHeight="1">
      <c r="A314" s="4"/>
      <c r="B314" s="2"/>
      <c r="C314" s="2"/>
      <c r="D314" s="2"/>
      <c r="E314" s="2"/>
      <c r="F314" s="2"/>
      <c r="G314" s="2"/>
      <c r="H314" s="2"/>
      <c r="I314" s="81"/>
      <c r="J314" s="2"/>
      <c r="K314" s="253"/>
    </row>
    <row r="315" spans="1:11" ht="15.75" customHeight="1">
      <c r="A315" s="4"/>
      <c r="B315" s="2"/>
      <c r="C315" s="2"/>
      <c r="D315" s="2"/>
      <c r="E315" s="2"/>
      <c r="F315" s="2"/>
      <c r="G315" s="2"/>
      <c r="H315" s="2"/>
      <c r="I315" s="81"/>
      <c r="J315" s="2"/>
      <c r="K315" s="253"/>
    </row>
    <row r="316" spans="1:11" ht="15.75" customHeight="1">
      <c r="A316" s="4"/>
      <c r="B316" s="2"/>
      <c r="C316" s="2"/>
      <c r="D316" s="2"/>
      <c r="E316" s="2"/>
      <c r="F316" s="2"/>
      <c r="G316" s="2"/>
      <c r="H316" s="2"/>
      <c r="I316" s="81"/>
      <c r="J316" s="2"/>
      <c r="K316" s="253"/>
    </row>
    <row r="317" spans="1:11" ht="15.75" customHeight="1">
      <c r="A317" s="4"/>
      <c r="B317" s="2"/>
      <c r="C317" s="2"/>
      <c r="D317" s="2"/>
      <c r="E317" s="2"/>
      <c r="F317" s="2"/>
      <c r="G317" s="2"/>
      <c r="H317" s="2"/>
      <c r="I317" s="81"/>
      <c r="J317" s="2"/>
      <c r="K317" s="253"/>
    </row>
    <row r="318" spans="1:11" ht="15.75" customHeight="1">
      <c r="A318" s="4"/>
      <c r="B318" s="2"/>
      <c r="C318" s="2"/>
      <c r="D318" s="2"/>
      <c r="E318" s="2"/>
      <c r="F318" s="2"/>
      <c r="G318" s="2"/>
      <c r="H318" s="2"/>
      <c r="I318" s="81"/>
      <c r="J318" s="2"/>
      <c r="K318" s="253"/>
    </row>
    <row r="319" spans="1:11" ht="15.75" customHeight="1">
      <c r="A319" s="4"/>
      <c r="B319" s="2"/>
      <c r="C319" s="2"/>
      <c r="D319" s="2"/>
      <c r="E319" s="2"/>
      <c r="F319" s="2"/>
      <c r="G319" s="2"/>
      <c r="H319" s="2"/>
      <c r="I319" s="81"/>
      <c r="J319" s="2"/>
      <c r="K319" s="253"/>
    </row>
    <row r="320" spans="1:11" ht="15.75" customHeight="1">
      <c r="A320" s="4"/>
      <c r="B320" s="2"/>
      <c r="C320" s="2"/>
      <c r="D320" s="2"/>
      <c r="E320" s="2"/>
      <c r="F320" s="2"/>
      <c r="G320" s="2"/>
      <c r="H320" s="2"/>
      <c r="I320" s="81"/>
      <c r="J320" s="2"/>
      <c r="K320" s="253"/>
    </row>
    <row r="321" spans="1:11" ht="15.75" customHeight="1">
      <c r="A321" s="4"/>
      <c r="B321" s="2"/>
      <c r="C321" s="2"/>
      <c r="D321" s="2"/>
      <c r="E321" s="2"/>
      <c r="F321" s="2"/>
      <c r="G321" s="2"/>
      <c r="H321" s="2"/>
      <c r="I321" s="81"/>
      <c r="J321" s="2"/>
      <c r="K321" s="253"/>
    </row>
    <row r="322" spans="1:11" ht="15.75" customHeight="1">
      <c r="A322" s="4"/>
      <c r="B322" s="2"/>
      <c r="C322" s="2"/>
      <c r="D322" s="2"/>
      <c r="E322" s="2"/>
      <c r="F322" s="2"/>
      <c r="G322" s="2"/>
      <c r="H322" s="2"/>
      <c r="I322" s="81"/>
      <c r="J322" s="2"/>
      <c r="K322" s="253"/>
    </row>
    <row r="323" spans="1:11" ht="15.75" customHeight="1">
      <c r="A323" s="4"/>
      <c r="B323" s="2"/>
      <c r="C323" s="2"/>
      <c r="D323" s="2"/>
      <c r="E323" s="2"/>
      <c r="F323" s="2"/>
      <c r="G323" s="2"/>
      <c r="H323" s="2"/>
      <c r="I323" s="81"/>
      <c r="J323" s="2"/>
      <c r="K323" s="253"/>
    </row>
    <row r="324" spans="1:11" ht="15.75" customHeight="1">
      <c r="A324" s="4"/>
      <c r="B324" s="2"/>
      <c r="C324" s="2"/>
      <c r="D324" s="2"/>
      <c r="E324" s="2"/>
      <c r="F324" s="2"/>
      <c r="G324" s="2"/>
      <c r="H324" s="2"/>
      <c r="I324" s="81"/>
      <c r="J324" s="2"/>
      <c r="K324" s="253"/>
    </row>
    <row r="325" spans="1:11" ht="15.75" customHeight="1">
      <c r="A325" s="4"/>
      <c r="B325" s="2"/>
      <c r="C325" s="2"/>
      <c r="D325" s="2"/>
      <c r="E325" s="2"/>
      <c r="F325" s="2"/>
      <c r="G325" s="2"/>
      <c r="H325" s="2"/>
      <c r="I325" s="81"/>
      <c r="J325" s="2"/>
      <c r="K325" s="253"/>
    </row>
    <row r="326" spans="1:11" ht="15.75" customHeight="1">
      <c r="A326" s="4"/>
      <c r="B326" s="2"/>
      <c r="C326" s="2"/>
      <c r="D326" s="2"/>
      <c r="E326" s="2"/>
      <c r="F326" s="2"/>
      <c r="G326" s="2"/>
      <c r="H326" s="2"/>
      <c r="I326" s="81"/>
      <c r="J326" s="2"/>
      <c r="K326" s="253"/>
    </row>
    <row r="327" spans="1:11" ht="15.75" customHeight="1">
      <c r="A327" s="4"/>
      <c r="B327" s="2"/>
      <c r="C327" s="2"/>
      <c r="D327" s="2"/>
      <c r="E327" s="2"/>
      <c r="F327" s="2"/>
      <c r="G327" s="2"/>
      <c r="H327" s="2"/>
      <c r="I327" s="81"/>
      <c r="J327" s="2"/>
      <c r="K327" s="253"/>
    </row>
    <row r="328" spans="1:11" ht="15.75" customHeight="1">
      <c r="A328" s="4"/>
      <c r="B328" s="2"/>
      <c r="C328" s="2"/>
      <c r="D328" s="2"/>
      <c r="E328" s="2"/>
      <c r="F328" s="2"/>
      <c r="G328" s="2"/>
      <c r="H328" s="2"/>
      <c r="I328" s="81"/>
      <c r="J328" s="2"/>
      <c r="K328" s="253"/>
    </row>
    <row r="329" spans="1:11" ht="15.75" customHeight="1">
      <c r="A329" s="4"/>
      <c r="B329" s="2"/>
      <c r="C329" s="2"/>
      <c r="D329" s="2"/>
      <c r="E329" s="2"/>
      <c r="F329" s="2"/>
      <c r="G329" s="2"/>
      <c r="H329" s="2"/>
      <c r="I329" s="81"/>
      <c r="J329" s="2"/>
      <c r="K329" s="253"/>
    </row>
    <row r="330" spans="1:11" ht="15.75" customHeight="1">
      <c r="A330" s="4"/>
      <c r="B330" s="2"/>
      <c r="C330" s="2"/>
      <c r="D330" s="2"/>
      <c r="E330" s="2"/>
      <c r="F330" s="2"/>
      <c r="G330" s="2"/>
      <c r="H330" s="2"/>
      <c r="I330" s="81"/>
      <c r="J330" s="2"/>
      <c r="K330" s="253"/>
    </row>
    <row r="331" spans="1:11" ht="15.75" customHeight="1">
      <c r="A331" s="4"/>
      <c r="B331" s="2"/>
      <c r="C331" s="2"/>
      <c r="D331" s="2"/>
      <c r="E331" s="2"/>
      <c r="F331" s="2"/>
      <c r="G331" s="2"/>
      <c r="H331" s="2"/>
      <c r="I331" s="81"/>
      <c r="J331" s="2"/>
      <c r="K331" s="253"/>
    </row>
    <row r="332" spans="1:11" ht="15.75" customHeight="1">
      <c r="A332" s="4"/>
      <c r="B332" s="2"/>
      <c r="C332" s="2"/>
      <c r="D332" s="2"/>
      <c r="E332" s="2"/>
      <c r="F332" s="2"/>
      <c r="G332" s="2"/>
      <c r="H332" s="2"/>
      <c r="I332" s="81"/>
      <c r="J332" s="2"/>
      <c r="K332" s="253"/>
    </row>
    <row r="333" spans="1:11" ht="15.75" customHeight="1">
      <c r="A333" s="4"/>
      <c r="B333" s="2"/>
      <c r="C333" s="2"/>
      <c r="D333" s="2"/>
      <c r="E333" s="2"/>
      <c r="F333" s="2"/>
      <c r="G333" s="2"/>
      <c r="H333" s="2"/>
      <c r="I333" s="81"/>
      <c r="J333" s="2"/>
      <c r="K333" s="253"/>
    </row>
    <row r="334" spans="1:11" ht="15.75" customHeight="1">
      <c r="A334" s="4"/>
      <c r="B334" s="2"/>
      <c r="C334" s="2"/>
      <c r="D334" s="2"/>
      <c r="E334" s="2"/>
      <c r="F334" s="2"/>
      <c r="G334" s="2"/>
      <c r="H334" s="2"/>
      <c r="I334" s="81"/>
      <c r="J334" s="2"/>
      <c r="K334" s="253"/>
    </row>
    <row r="335" spans="1:11" ht="15.75" customHeight="1">
      <c r="A335" s="4"/>
      <c r="B335" s="2"/>
      <c r="C335" s="2"/>
      <c r="D335" s="2"/>
      <c r="E335" s="2"/>
      <c r="F335" s="2"/>
      <c r="G335" s="2"/>
      <c r="H335" s="2"/>
      <c r="I335" s="81"/>
      <c r="J335" s="2"/>
      <c r="K335" s="253"/>
    </row>
    <row r="336" spans="1:11" ht="15.75" customHeight="1">
      <c r="A336" s="4"/>
      <c r="B336" s="2"/>
      <c r="C336" s="2"/>
      <c r="D336" s="2"/>
      <c r="E336" s="2"/>
      <c r="F336" s="2"/>
      <c r="G336" s="2"/>
      <c r="H336" s="2"/>
      <c r="I336" s="81"/>
      <c r="J336" s="2"/>
      <c r="K336" s="253"/>
    </row>
    <row r="337" spans="1:11" ht="15.75" customHeight="1">
      <c r="A337" s="4"/>
      <c r="B337" s="2"/>
      <c r="C337" s="2"/>
      <c r="D337" s="2"/>
      <c r="E337" s="2"/>
      <c r="F337" s="2"/>
      <c r="G337" s="2"/>
      <c r="H337" s="2"/>
      <c r="I337" s="81"/>
      <c r="J337" s="2"/>
      <c r="K337" s="253"/>
    </row>
    <row r="338" spans="1:11" ht="15.75" customHeight="1">
      <c r="A338" s="4"/>
      <c r="B338" s="2"/>
      <c r="C338" s="2"/>
      <c r="D338" s="2"/>
      <c r="E338" s="2"/>
      <c r="F338" s="2"/>
      <c r="G338" s="2"/>
      <c r="H338" s="2"/>
      <c r="I338" s="81"/>
      <c r="J338" s="2"/>
      <c r="K338" s="253"/>
    </row>
    <row r="339" spans="1:11" ht="15.75" customHeight="1">
      <c r="A339" s="4"/>
      <c r="B339" s="2"/>
      <c r="C339" s="2"/>
      <c r="D339" s="2"/>
      <c r="E339" s="2"/>
      <c r="F339" s="2"/>
      <c r="G339" s="2"/>
      <c r="H339" s="2"/>
      <c r="I339" s="81"/>
      <c r="J339" s="2"/>
      <c r="K339" s="253"/>
    </row>
    <row r="340" spans="1:11" ht="15.75" customHeight="1">
      <c r="A340" s="4"/>
      <c r="B340" s="2"/>
      <c r="C340" s="2"/>
      <c r="D340" s="2"/>
      <c r="E340" s="2"/>
      <c r="F340" s="2"/>
      <c r="G340" s="2"/>
      <c r="H340" s="2"/>
      <c r="I340" s="81"/>
      <c r="J340" s="2"/>
      <c r="K340" s="253"/>
    </row>
    <row r="341" spans="1:11" ht="15.75" customHeight="1">
      <c r="A341" s="4"/>
      <c r="B341" s="2"/>
      <c r="C341" s="2"/>
      <c r="D341" s="2"/>
      <c r="E341" s="2"/>
      <c r="F341" s="2"/>
      <c r="G341" s="2"/>
      <c r="H341" s="2"/>
      <c r="I341" s="81"/>
      <c r="J341" s="2"/>
      <c r="K341" s="253"/>
    </row>
    <row r="342" spans="1:11" ht="15.75" customHeight="1">
      <c r="A342" s="4"/>
      <c r="B342" s="2"/>
      <c r="C342" s="2"/>
      <c r="D342" s="2"/>
      <c r="E342" s="2"/>
      <c r="F342" s="2"/>
      <c r="G342" s="2"/>
      <c r="H342" s="2"/>
      <c r="I342" s="81"/>
      <c r="J342" s="2"/>
      <c r="K342" s="253"/>
    </row>
    <row r="343" spans="1:11" ht="15.75" customHeight="1">
      <c r="A343" s="4"/>
      <c r="B343" s="2"/>
      <c r="C343" s="2"/>
      <c r="D343" s="2"/>
      <c r="E343" s="2"/>
      <c r="F343" s="2"/>
      <c r="G343" s="2"/>
      <c r="H343" s="2"/>
      <c r="I343" s="81"/>
      <c r="J343" s="2"/>
      <c r="K343" s="253"/>
    </row>
    <row r="344" spans="1:11" ht="15.75" customHeight="1">
      <c r="A344" s="4"/>
      <c r="B344" s="2"/>
      <c r="C344" s="2"/>
      <c r="D344" s="2"/>
      <c r="E344" s="2"/>
      <c r="F344" s="2"/>
      <c r="G344" s="2"/>
      <c r="H344" s="2"/>
      <c r="I344" s="81"/>
      <c r="J344" s="2"/>
      <c r="K344" s="253"/>
    </row>
    <row r="345" spans="1:11" ht="15.75" customHeight="1">
      <c r="A345" s="4"/>
      <c r="B345" s="2"/>
      <c r="C345" s="2"/>
      <c r="D345" s="2"/>
      <c r="E345" s="2"/>
      <c r="F345" s="2"/>
      <c r="G345" s="2"/>
      <c r="H345" s="2"/>
      <c r="I345" s="81"/>
      <c r="J345" s="2"/>
      <c r="K345" s="253"/>
    </row>
    <row r="346" spans="1:11" ht="15.75" customHeight="1">
      <c r="A346" s="4"/>
      <c r="B346" s="2"/>
      <c r="C346" s="2"/>
      <c r="D346" s="2"/>
      <c r="E346" s="2"/>
      <c r="F346" s="2"/>
      <c r="G346" s="2"/>
      <c r="H346" s="2"/>
      <c r="I346" s="81"/>
      <c r="J346" s="2"/>
      <c r="K346" s="253"/>
    </row>
    <row r="347" spans="1:11" ht="15.75" customHeight="1">
      <c r="A347" s="4"/>
      <c r="B347" s="2"/>
      <c r="C347" s="2"/>
      <c r="D347" s="2"/>
      <c r="E347" s="2"/>
      <c r="F347" s="2"/>
      <c r="G347" s="2"/>
      <c r="H347" s="2"/>
      <c r="I347" s="81"/>
      <c r="J347" s="2"/>
      <c r="K347" s="253"/>
    </row>
    <row r="348" spans="1:11" ht="15.75" customHeight="1">
      <c r="A348" s="4"/>
      <c r="B348" s="2"/>
      <c r="C348" s="2"/>
      <c r="D348" s="2"/>
      <c r="E348" s="2"/>
      <c r="F348" s="2"/>
      <c r="G348" s="2"/>
      <c r="H348" s="2"/>
      <c r="I348" s="81"/>
      <c r="J348" s="2"/>
      <c r="K348" s="253"/>
    </row>
    <row r="349" spans="1:11" ht="15.75" customHeight="1">
      <c r="A349" s="4"/>
      <c r="B349" s="2"/>
      <c r="C349" s="2"/>
      <c r="D349" s="2"/>
      <c r="E349" s="2"/>
      <c r="F349" s="2"/>
      <c r="G349" s="2"/>
      <c r="H349" s="2"/>
      <c r="I349" s="81"/>
      <c r="J349" s="2"/>
      <c r="K349" s="253"/>
    </row>
    <row r="350" spans="1:11" ht="15.75" customHeight="1">
      <c r="A350" s="4"/>
      <c r="B350" s="2"/>
      <c r="C350" s="2"/>
      <c r="D350" s="2"/>
      <c r="E350" s="2"/>
      <c r="F350" s="2"/>
      <c r="G350" s="2"/>
      <c r="H350" s="2"/>
      <c r="I350" s="81"/>
      <c r="J350" s="2"/>
      <c r="K350" s="253"/>
    </row>
    <row r="351" spans="1:11" ht="15.75" customHeight="1">
      <c r="A351" s="4"/>
      <c r="B351" s="2"/>
      <c r="C351" s="2"/>
      <c r="D351" s="2"/>
      <c r="E351" s="2"/>
      <c r="F351" s="2"/>
      <c r="G351" s="2"/>
      <c r="H351" s="2"/>
      <c r="I351" s="81"/>
      <c r="J351" s="2"/>
      <c r="K351" s="253"/>
    </row>
    <row r="352" spans="1:11" ht="15.75" customHeight="1">
      <c r="A352" s="4"/>
      <c r="B352" s="2"/>
      <c r="C352" s="2"/>
      <c r="D352" s="2"/>
      <c r="E352" s="2"/>
      <c r="F352" s="2"/>
      <c r="G352" s="2"/>
      <c r="H352" s="2"/>
      <c r="I352" s="81"/>
      <c r="J352" s="2"/>
      <c r="K352" s="253"/>
    </row>
    <row r="353" spans="1:11" ht="15.75" customHeight="1">
      <c r="A353" s="4"/>
      <c r="B353" s="2"/>
      <c r="C353" s="2"/>
      <c r="D353" s="2"/>
      <c r="E353" s="2"/>
      <c r="F353" s="2"/>
      <c r="G353" s="2"/>
      <c r="H353" s="2"/>
      <c r="I353" s="81"/>
      <c r="J353" s="2"/>
      <c r="K353" s="253"/>
    </row>
    <row r="354" spans="1:11" ht="15.75" customHeight="1">
      <c r="A354" s="4"/>
      <c r="B354" s="2"/>
      <c r="C354" s="2"/>
      <c r="D354" s="2"/>
      <c r="E354" s="2"/>
      <c r="F354" s="2"/>
      <c r="G354" s="2"/>
      <c r="H354" s="2"/>
      <c r="I354" s="81"/>
      <c r="J354" s="2"/>
      <c r="K354" s="253"/>
    </row>
    <row r="355" spans="1:11" ht="15.75" customHeight="1">
      <c r="A355" s="4"/>
      <c r="B355" s="2"/>
      <c r="C355" s="2"/>
      <c r="D355" s="2"/>
      <c r="E355" s="2"/>
      <c r="F355" s="2"/>
      <c r="G355" s="2"/>
      <c r="H355" s="2"/>
      <c r="I355" s="81"/>
      <c r="J355" s="2"/>
      <c r="K355" s="253"/>
    </row>
    <row r="356" spans="1:11" ht="15.75" customHeight="1">
      <c r="A356" s="4"/>
      <c r="B356" s="2"/>
      <c r="C356" s="2"/>
      <c r="D356" s="2"/>
      <c r="E356" s="2"/>
      <c r="F356" s="2"/>
      <c r="G356" s="2"/>
      <c r="H356" s="2"/>
      <c r="I356" s="81"/>
      <c r="J356" s="2"/>
      <c r="K356" s="253"/>
    </row>
    <row r="357" spans="1:11" ht="15.75" customHeight="1">
      <c r="A357" s="4"/>
      <c r="B357" s="2"/>
      <c r="C357" s="2"/>
      <c r="D357" s="2"/>
      <c r="E357" s="2"/>
      <c r="F357" s="2"/>
      <c r="G357" s="2"/>
      <c r="H357" s="2"/>
      <c r="I357" s="81"/>
      <c r="J357" s="2"/>
      <c r="K357" s="253"/>
    </row>
    <row r="358" spans="1:11" ht="15.75" customHeight="1">
      <c r="A358" s="4"/>
      <c r="B358" s="2"/>
      <c r="C358" s="2"/>
      <c r="D358" s="2"/>
      <c r="E358" s="2"/>
      <c r="F358" s="2"/>
      <c r="G358" s="2"/>
      <c r="H358" s="2"/>
      <c r="I358" s="81"/>
      <c r="J358" s="2"/>
      <c r="K358" s="253"/>
    </row>
    <row r="359" spans="1:11" ht="15.75" customHeight="1">
      <c r="A359" s="4"/>
      <c r="B359" s="2"/>
      <c r="C359" s="2"/>
      <c r="D359" s="2"/>
      <c r="E359" s="2"/>
      <c r="F359" s="2"/>
      <c r="G359" s="2"/>
      <c r="H359" s="2"/>
      <c r="I359" s="81"/>
      <c r="J359" s="2"/>
      <c r="K359" s="253"/>
    </row>
    <row r="360" spans="1:11" ht="15.75" customHeight="1">
      <c r="A360" s="4"/>
      <c r="B360" s="2"/>
      <c r="C360" s="2"/>
      <c r="D360" s="2"/>
      <c r="E360" s="2"/>
      <c r="F360" s="2"/>
      <c r="G360" s="2"/>
      <c r="H360" s="2"/>
      <c r="I360" s="81"/>
      <c r="J360" s="2"/>
      <c r="K360" s="253"/>
    </row>
    <row r="361" spans="1:11" ht="15.75" customHeight="1">
      <c r="A361" s="4"/>
      <c r="B361" s="2"/>
      <c r="C361" s="2"/>
      <c r="D361" s="2"/>
      <c r="E361" s="2"/>
      <c r="F361" s="2"/>
      <c r="G361" s="2"/>
      <c r="H361" s="2"/>
      <c r="I361" s="81"/>
      <c r="J361" s="2"/>
      <c r="K361" s="253"/>
    </row>
    <row r="362" spans="1:11" ht="15.75" customHeight="1">
      <c r="A362" s="4"/>
      <c r="B362" s="2"/>
      <c r="C362" s="2"/>
      <c r="D362" s="2"/>
      <c r="E362" s="2"/>
      <c r="F362" s="2"/>
      <c r="G362" s="2"/>
      <c r="H362" s="2"/>
      <c r="I362" s="81"/>
      <c r="J362" s="2"/>
      <c r="K362" s="253"/>
    </row>
    <row r="363" spans="1:11" ht="15.75" customHeight="1">
      <c r="A363" s="4"/>
      <c r="B363" s="2"/>
      <c r="C363" s="2"/>
      <c r="D363" s="2"/>
      <c r="E363" s="2"/>
      <c r="F363" s="2"/>
      <c r="G363" s="2"/>
      <c r="H363" s="2"/>
      <c r="I363" s="81"/>
      <c r="J363" s="2"/>
      <c r="K363" s="253"/>
    </row>
    <row r="364" spans="1:11" ht="15.75" customHeight="1">
      <c r="A364" s="4"/>
      <c r="B364" s="2"/>
      <c r="C364" s="2"/>
      <c r="D364" s="2"/>
      <c r="E364" s="2"/>
      <c r="F364" s="2"/>
      <c r="G364" s="2"/>
      <c r="H364" s="2"/>
      <c r="I364" s="81"/>
      <c r="J364" s="2"/>
      <c r="K364" s="253"/>
    </row>
    <row r="365" spans="1:11" ht="15.75" customHeight="1">
      <c r="A365" s="4"/>
      <c r="B365" s="2"/>
      <c r="C365" s="2"/>
      <c r="D365" s="2"/>
      <c r="E365" s="2"/>
      <c r="F365" s="2"/>
      <c r="G365" s="2"/>
      <c r="H365" s="2"/>
      <c r="I365" s="81"/>
      <c r="J365" s="2"/>
      <c r="K365" s="253"/>
    </row>
    <row r="366" spans="1:11" ht="15.75" customHeight="1">
      <c r="A366" s="4"/>
      <c r="B366" s="2"/>
      <c r="C366" s="2"/>
      <c r="D366" s="2"/>
      <c r="E366" s="2"/>
      <c r="F366" s="2"/>
      <c r="G366" s="2"/>
      <c r="H366" s="2"/>
      <c r="I366" s="81"/>
      <c r="J366" s="2"/>
      <c r="K366" s="253"/>
    </row>
    <row r="367" spans="1:11" ht="15.75" customHeight="1">
      <c r="A367" s="4"/>
      <c r="B367" s="2"/>
      <c r="C367" s="2"/>
      <c r="D367" s="2"/>
      <c r="E367" s="2"/>
      <c r="F367" s="2"/>
      <c r="G367" s="2"/>
      <c r="H367" s="2"/>
      <c r="I367" s="81"/>
      <c r="J367" s="2"/>
      <c r="K367" s="253"/>
    </row>
    <row r="368" spans="1:11" ht="15.75" customHeight="1">
      <c r="A368" s="4"/>
      <c r="B368" s="2"/>
      <c r="C368" s="2"/>
      <c r="D368" s="2"/>
      <c r="E368" s="2"/>
      <c r="F368" s="2"/>
      <c r="G368" s="2"/>
      <c r="H368" s="2"/>
      <c r="I368" s="81"/>
      <c r="J368" s="2"/>
      <c r="K368" s="253"/>
    </row>
    <row r="369" spans="1:11" ht="15.75" customHeight="1">
      <c r="A369" s="4"/>
      <c r="B369" s="2"/>
      <c r="C369" s="2"/>
      <c r="D369" s="2"/>
      <c r="E369" s="2"/>
      <c r="F369" s="2"/>
      <c r="G369" s="2"/>
      <c r="H369" s="2"/>
      <c r="I369" s="81"/>
      <c r="J369" s="2"/>
      <c r="K369" s="253"/>
    </row>
    <row r="370" spans="1:11" ht="15.75" customHeight="1">
      <c r="A370" s="4"/>
      <c r="B370" s="2"/>
      <c r="C370" s="2"/>
      <c r="D370" s="2"/>
      <c r="E370" s="2"/>
      <c r="F370" s="2"/>
      <c r="G370" s="2"/>
      <c r="H370" s="2"/>
      <c r="I370" s="81"/>
      <c r="J370" s="2"/>
      <c r="K370" s="253"/>
    </row>
    <row r="371" spans="1:11" ht="15.75" customHeight="1">
      <c r="A371" s="4"/>
      <c r="B371" s="2"/>
      <c r="C371" s="2"/>
      <c r="D371" s="2"/>
      <c r="E371" s="2"/>
      <c r="F371" s="2"/>
      <c r="G371" s="2"/>
      <c r="H371" s="2"/>
      <c r="I371" s="81"/>
      <c r="J371" s="2"/>
      <c r="K371" s="253"/>
    </row>
    <row r="372" spans="1:11" ht="15.75" customHeight="1">
      <c r="A372" s="4"/>
      <c r="B372" s="2"/>
      <c r="C372" s="2"/>
      <c r="D372" s="2"/>
      <c r="E372" s="2"/>
      <c r="F372" s="2"/>
      <c r="G372" s="2"/>
      <c r="H372" s="2"/>
      <c r="I372" s="81"/>
      <c r="J372" s="2"/>
      <c r="K372" s="253"/>
    </row>
    <row r="373" spans="1:11" ht="15.75" customHeight="1">
      <c r="A373" s="4"/>
      <c r="B373" s="2"/>
      <c r="C373" s="2"/>
      <c r="D373" s="2"/>
      <c r="E373" s="2"/>
      <c r="F373" s="2"/>
      <c r="G373" s="2"/>
      <c r="H373" s="2"/>
      <c r="I373" s="81"/>
      <c r="J373" s="2"/>
      <c r="K373" s="253"/>
    </row>
    <row r="374" spans="1:11" ht="15.75" customHeight="1">
      <c r="A374" s="4"/>
      <c r="B374" s="2"/>
      <c r="C374" s="2"/>
      <c r="D374" s="2"/>
      <c r="E374" s="2"/>
      <c r="F374" s="2"/>
      <c r="G374" s="2"/>
      <c r="H374" s="2"/>
      <c r="I374" s="81"/>
      <c r="J374" s="2"/>
      <c r="K374" s="253"/>
    </row>
    <row r="375" spans="1:11" ht="15.75" customHeight="1">
      <c r="A375" s="4"/>
      <c r="B375" s="2"/>
      <c r="C375" s="2"/>
      <c r="D375" s="2"/>
      <c r="E375" s="2"/>
      <c r="F375" s="2"/>
      <c r="G375" s="2"/>
      <c r="H375" s="2"/>
      <c r="I375" s="81"/>
      <c r="J375" s="2"/>
      <c r="K375" s="253"/>
    </row>
    <row r="376" spans="1:11" ht="15.75" customHeight="1">
      <c r="A376" s="4"/>
      <c r="B376" s="2"/>
      <c r="C376" s="2"/>
      <c r="D376" s="2"/>
      <c r="E376" s="2"/>
      <c r="F376" s="2"/>
      <c r="G376" s="2"/>
      <c r="H376" s="2"/>
      <c r="I376" s="81"/>
      <c r="J376" s="2"/>
      <c r="K376" s="253"/>
    </row>
    <row r="377" spans="1:11" ht="15.75" customHeight="1">
      <c r="A377" s="4"/>
      <c r="B377" s="2"/>
      <c r="C377" s="2"/>
      <c r="D377" s="2"/>
      <c r="E377" s="2"/>
      <c r="F377" s="2"/>
      <c r="G377" s="2"/>
      <c r="H377" s="2"/>
      <c r="I377" s="81"/>
      <c r="J377" s="2"/>
      <c r="K377" s="253"/>
    </row>
    <row r="378" spans="1:11" ht="15.75" customHeight="1">
      <c r="A378" s="4"/>
      <c r="B378" s="2"/>
      <c r="C378" s="2"/>
      <c r="D378" s="2"/>
      <c r="E378" s="2"/>
      <c r="F378" s="2"/>
      <c r="G378" s="2"/>
      <c r="H378" s="2"/>
      <c r="I378" s="81"/>
      <c r="J378" s="2"/>
      <c r="K378" s="253"/>
    </row>
    <row r="379" spans="1:11" ht="15.75" customHeight="1">
      <c r="A379" s="4"/>
      <c r="B379" s="2"/>
      <c r="C379" s="2"/>
      <c r="D379" s="2"/>
      <c r="E379" s="2"/>
      <c r="F379" s="2"/>
      <c r="G379" s="2"/>
      <c r="H379" s="2"/>
      <c r="I379" s="81"/>
      <c r="J379" s="2"/>
      <c r="K379" s="253"/>
    </row>
    <row r="380" spans="1:11" ht="15.75" customHeight="1">
      <c r="A380" s="4"/>
      <c r="B380" s="2"/>
      <c r="C380" s="2"/>
      <c r="D380" s="2"/>
      <c r="E380" s="2"/>
      <c r="F380" s="2"/>
      <c r="G380" s="2"/>
      <c r="H380" s="2"/>
      <c r="I380" s="81"/>
      <c r="J380" s="2"/>
      <c r="K380" s="253"/>
    </row>
    <row r="381" spans="1:11" ht="15.75" customHeight="1">
      <c r="A381" s="4"/>
      <c r="B381" s="2"/>
      <c r="C381" s="2"/>
      <c r="D381" s="2"/>
      <c r="E381" s="2"/>
      <c r="F381" s="2"/>
      <c r="G381" s="2"/>
      <c r="H381" s="2"/>
      <c r="I381" s="81"/>
      <c r="J381" s="2"/>
      <c r="K381" s="253"/>
    </row>
    <row r="382" spans="1:11" ht="15.75" customHeight="1">
      <c r="A382" s="4"/>
      <c r="B382" s="2"/>
      <c r="C382" s="2"/>
      <c r="D382" s="2"/>
      <c r="E382" s="2"/>
      <c r="F382" s="2"/>
      <c r="G382" s="2"/>
      <c r="H382" s="2"/>
      <c r="I382" s="81"/>
      <c r="J382" s="2"/>
      <c r="K382" s="253"/>
    </row>
    <row r="383" spans="1:11" ht="15.75" customHeight="1">
      <c r="A383" s="4"/>
      <c r="B383" s="2"/>
      <c r="C383" s="2"/>
      <c r="D383" s="2"/>
      <c r="E383" s="2"/>
      <c r="F383" s="2"/>
      <c r="G383" s="2"/>
      <c r="H383" s="2"/>
      <c r="I383" s="81"/>
      <c r="J383" s="2"/>
      <c r="K383" s="253"/>
    </row>
    <row r="384" spans="1:11" ht="15.75" customHeight="1">
      <c r="A384" s="4"/>
      <c r="B384" s="2"/>
      <c r="C384" s="2"/>
      <c r="D384" s="2"/>
      <c r="E384" s="2"/>
      <c r="F384" s="2"/>
      <c r="G384" s="2"/>
      <c r="H384" s="2"/>
      <c r="I384" s="81"/>
      <c r="J384" s="2"/>
      <c r="K384" s="253"/>
    </row>
    <row r="385" spans="1:11" ht="15.75" customHeight="1">
      <c r="A385" s="4"/>
      <c r="B385" s="2"/>
      <c r="C385" s="2"/>
      <c r="D385" s="2"/>
      <c r="E385" s="2"/>
      <c r="F385" s="2"/>
      <c r="G385" s="2"/>
      <c r="H385" s="2"/>
      <c r="I385" s="81"/>
      <c r="J385" s="2"/>
      <c r="K385" s="253"/>
    </row>
    <row r="386" spans="1:11" ht="15.75" customHeight="1">
      <c r="A386" s="4"/>
      <c r="B386" s="2"/>
      <c r="C386" s="2"/>
      <c r="D386" s="2"/>
      <c r="E386" s="2"/>
      <c r="F386" s="2"/>
      <c r="G386" s="2"/>
      <c r="H386" s="2"/>
      <c r="I386" s="81"/>
      <c r="J386" s="2"/>
      <c r="K386" s="253"/>
    </row>
    <row r="387" spans="1:11" ht="15.75" customHeight="1">
      <c r="A387" s="4"/>
      <c r="B387" s="2"/>
      <c r="C387" s="2"/>
      <c r="D387" s="2"/>
      <c r="E387" s="2"/>
      <c r="F387" s="2"/>
      <c r="G387" s="2"/>
      <c r="H387" s="2"/>
      <c r="I387" s="81"/>
      <c r="J387" s="2"/>
      <c r="K387" s="253"/>
    </row>
    <row r="388" spans="1:11" ht="15.75" customHeight="1">
      <c r="A388" s="4"/>
      <c r="B388" s="2"/>
      <c r="C388" s="2"/>
      <c r="D388" s="2"/>
      <c r="E388" s="2"/>
      <c r="F388" s="2"/>
      <c r="G388" s="2"/>
      <c r="H388" s="2"/>
      <c r="I388" s="81"/>
      <c r="J388" s="2"/>
      <c r="K388" s="253"/>
    </row>
    <row r="389" spans="1:11" ht="15.75" customHeight="1">
      <c r="A389" s="4"/>
      <c r="B389" s="2"/>
      <c r="C389" s="2"/>
      <c r="D389" s="2"/>
      <c r="E389" s="2"/>
      <c r="F389" s="2"/>
      <c r="G389" s="2"/>
      <c r="H389" s="2"/>
      <c r="I389" s="81"/>
      <c r="J389" s="2"/>
      <c r="K389" s="253"/>
    </row>
    <row r="390" spans="1:11" ht="15.75" customHeight="1">
      <c r="A390" s="4"/>
      <c r="B390" s="2"/>
      <c r="C390" s="2"/>
      <c r="D390" s="2"/>
      <c r="E390" s="2"/>
      <c r="F390" s="2"/>
      <c r="G390" s="2"/>
      <c r="H390" s="2"/>
      <c r="I390" s="81"/>
      <c r="J390" s="2"/>
      <c r="K390" s="253"/>
    </row>
    <row r="391" spans="1:11" ht="15.75" customHeight="1">
      <c r="A391" s="4"/>
      <c r="B391" s="2"/>
      <c r="C391" s="2"/>
      <c r="D391" s="2"/>
      <c r="E391" s="2"/>
      <c r="F391" s="2"/>
      <c r="G391" s="2"/>
      <c r="H391" s="2"/>
      <c r="I391" s="81"/>
      <c r="J391" s="2"/>
      <c r="K391" s="253"/>
    </row>
    <row r="392" spans="1:11" ht="15.75" customHeight="1">
      <c r="A392" s="4"/>
      <c r="B392" s="2"/>
      <c r="C392" s="2"/>
      <c r="D392" s="2"/>
      <c r="E392" s="2"/>
      <c r="F392" s="2"/>
      <c r="G392" s="2"/>
      <c r="H392" s="2"/>
      <c r="I392" s="81"/>
      <c r="J392" s="2"/>
      <c r="K392" s="253"/>
    </row>
    <row r="393" spans="1:11" ht="15.75" customHeight="1">
      <c r="A393" s="4"/>
      <c r="B393" s="2"/>
      <c r="C393" s="2"/>
      <c r="D393" s="2"/>
      <c r="E393" s="2"/>
      <c r="F393" s="2"/>
      <c r="G393" s="2"/>
      <c r="H393" s="2"/>
      <c r="I393" s="81"/>
      <c r="J393" s="2"/>
      <c r="K393" s="253"/>
    </row>
    <row r="394" spans="1:11" ht="15.75" customHeight="1">
      <c r="A394" s="4"/>
      <c r="B394" s="2"/>
      <c r="C394" s="2"/>
      <c r="D394" s="2"/>
      <c r="E394" s="2"/>
      <c r="F394" s="2"/>
      <c r="G394" s="2"/>
      <c r="H394" s="2"/>
      <c r="I394" s="81"/>
      <c r="J394" s="2"/>
      <c r="K394" s="253"/>
    </row>
    <row r="395" spans="1:11" ht="15.75" customHeight="1">
      <c r="A395" s="4"/>
      <c r="B395" s="2"/>
      <c r="C395" s="2"/>
      <c r="D395" s="2"/>
      <c r="E395" s="2"/>
      <c r="F395" s="2"/>
      <c r="G395" s="2"/>
      <c r="H395" s="2"/>
      <c r="I395" s="81"/>
      <c r="J395" s="2"/>
      <c r="K395" s="253"/>
    </row>
    <row r="396" spans="1:11" ht="15.75" customHeight="1">
      <c r="A396" s="4"/>
      <c r="B396" s="2"/>
      <c r="C396" s="2"/>
      <c r="D396" s="2"/>
      <c r="E396" s="2"/>
      <c r="F396" s="2"/>
      <c r="G396" s="2"/>
      <c r="H396" s="2"/>
      <c r="I396" s="81"/>
      <c r="J396" s="2"/>
      <c r="K396" s="253"/>
    </row>
    <row r="397" spans="1:11" ht="15.75" customHeight="1">
      <c r="A397" s="4"/>
      <c r="B397" s="2"/>
      <c r="C397" s="2"/>
      <c r="D397" s="2"/>
      <c r="E397" s="2"/>
      <c r="F397" s="2"/>
      <c r="G397" s="2"/>
      <c r="H397" s="2"/>
      <c r="I397" s="81"/>
      <c r="J397" s="2"/>
      <c r="K397" s="253"/>
    </row>
    <row r="398" spans="1:11" ht="15.75" customHeight="1">
      <c r="A398" s="4"/>
      <c r="B398" s="2"/>
      <c r="C398" s="2"/>
      <c r="D398" s="2"/>
      <c r="E398" s="2"/>
      <c r="F398" s="2"/>
      <c r="G398" s="2"/>
      <c r="H398" s="2"/>
      <c r="I398" s="81"/>
      <c r="J398" s="2"/>
      <c r="K398" s="253"/>
    </row>
    <row r="399" spans="1:11" ht="15.75" customHeight="1">
      <c r="A399" s="4"/>
      <c r="B399" s="2"/>
      <c r="C399" s="2"/>
      <c r="D399" s="2"/>
      <c r="E399" s="2"/>
      <c r="F399" s="2"/>
      <c r="G399" s="2"/>
      <c r="H399" s="2"/>
      <c r="I399" s="81"/>
      <c r="J399" s="2"/>
      <c r="K399" s="253"/>
    </row>
    <row r="400" spans="1:11" ht="15.75" customHeight="1">
      <c r="A400" s="4"/>
      <c r="B400" s="2"/>
      <c r="C400" s="2"/>
      <c r="D400" s="2"/>
      <c r="E400" s="2"/>
      <c r="F400" s="2"/>
      <c r="G400" s="2"/>
      <c r="H400" s="2"/>
      <c r="I400" s="81"/>
      <c r="J400" s="2"/>
      <c r="K400" s="253"/>
    </row>
    <row r="401" spans="1:11" ht="15.75" customHeight="1">
      <c r="A401" s="4"/>
      <c r="B401" s="2"/>
      <c r="C401" s="2"/>
      <c r="D401" s="2"/>
      <c r="E401" s="2"/>
      <c r="F401" s="2"/>
      <c r="G401" s="2"/>
      <c r="H401" s="2"/>
      <c r="I401" s="81"/>
      <c r="J401" s="2"/>
      <c r="K401" s="253"/>
    </row>
    <row r="402" spans="1:11" ht="15.75" customHeight="1">
      <c r="A402" s="4"/>
      <c r="B402" s="2"/>
      <c r="C402" s="2"/>
      <c r="D402" s="2"/>
      <c r="E402" s="2"/>
      <c r="F402" s="2"/>
      <c r="G402" s="2"/>
      <c r="H402" s="2"/>
      <c r="I402" s="81"/>
      <c r="J402" s="2"/>
      <c r="K402" s="253"/>
    </row>
    <row r="403" spans="1:11" ht="15.75" customHeight="1">
      <c r="A403" s="4"/>
      <c r="B403" s="2"/>
      <c r="C403" s="2"/>
      <c r="D403" s="2"/>
      <c r="E403" s="2"/>
      <c r="F403" s="2"/>
      <c r="G403" s="2"/>
      <c r="H403" s="2"/>
      <c r="I403" s="81"/>
      <c r="J403" s="2"/>
      <c r="K403" s="253"/>
    </row>
    <row r="404" spans="1:11" ht="15.75" customHeight="1">
      <c r="A404" s="4"/>
      <c r="B404" s="2"/>
      <c r="C404" s="2"/>
      <c r="D404" s="2"/>
      <c r="E404" s="2"/>
      <c r="F404" s="2"/>
      <c r="G404" s="2"/>
      <c r="H404" s="2"/>
      <c r="I404" s="81"/>
      <c r="J404" s="2"/>
      <c r="K404" s="253"/>
    </row>
    <row r="405" spans="1:11" ht="15.75" customHeight="1">
      <c r="A405" s="4"/>
      <c r="B405" s="2"/>
      <c r="C405" s="2"/>
      <c r="D405" s="2"/>
      <c r="E405" s="2"/>
      <c r="F405" s="2"/>
      <c r="G405" s="2"/>
      <c r="H405" s="2"/>
      <c r="I405" s="81"/>
      <c r="J405" s="2"/>
      <c r="K405" s="253"/>
    </row>
    <row r="406" spans="1:11" ht="15.75" customHeight="1">
      <c r="A406" s="4"/>
      <c r="B406" s="2"/>
      <c r="C406" s="2"/>
      <c r="D406" s="2"/>
      <c r="E406" s="2"/>
      <c r="F406" s="2"/>
      <c r="G406" s="2"/>
      <c r="H406" s="2"/>
      <c r="I406" s="81"/>
      <c r="J406" s="2"/>
      <c r="K406" s="253"/>
    </row>
    <row r="407" spans="1:11" ht="15.75" customHeight="1">
      <c r="A407" s="4"/>
      <c r="B407" s="2"/>
      <c r="C407" s="2"/>
      <c r="D407" s="2"/>
      <c r="E407" s="2"/>
      <c r="F407" s="2"/>
      <c r="G407" s="2"/>
      <c r="H407" s="2"/>
      <c r="I407" s="81"/>
      <c r="J407" s="2"/>
      <c r="K407" s="253"/>
    </row>
    <row r="408" spans="1:11" ht="15.75" customHeight="1">
      <c r="A408" s="4"/>
      <c r="B408" s="2"/>
      <c r="C408" s="2"/>
      <c r="D408" s="2"/>
      <c r="E408" s="2"/>
      <c r="F408" s="2"/>
      <c r="G408" s="2"/>
      <c r="H408" s="2"/>
      <c r="I408" s="81"/>
      <c r="J408" s="2"/>
      <c r="K408" s="253"/>
    </row>
    <row r="409" spans="1:11" ht="15.75" customHeight="1">
      <c r="A409" s="4"/>
      <c r="B409" s="2"/>
      <c r="C409" s="2"/>
      <c r="D409" s="2"/>
      <c r="E409" s="2"/>
      <c r="F409" s="2"/>
      <c r="G409" s="2"/>
      <c r="H409" s="2"/>
      <c r="I409" s="81"/>
      <c r="J409" s="2"/>
      <c r="K409" s="253"/>
    </row>
    <row r="410" spans="1:11" ht="15.75" customHeight="1">
      <c r="A410" s="4"/>
      <c r="B410" s="2"/>
      <c r="C410" s="2"/>
      <c r="D410" s="2"/>
      <c r="E410" s="2"/>
      <c r="F410" s="2"/>
      <c r="G410" s="2"/>
      <c r="H410" s="2"/>
      <c r="I410" s="81"/>
      <c r="J410" s="2"/>
      <c r="K410" s="253"/>
    </row>
    <row r="411" spans="1:11" ht="15.75" customHeight="1">
      <c r="A411" s="4"/>
      <c r="B411" s="2"/>
      <c r="C411" s="2"/>
      <c r="D411" s="2"/>
      <c r="E411" s="2"/>
      <c r="F411" s="2"/>
      <c r="G411" s="2"/>
      <c r="H411" s="2"/>
      <c r="I411" s="81"/>
      <c r="J411" s="2"/>
      <c r="K411" s="253"/>
    </row>
    <row r="412" spans="1:11" ht="15.75" customHeight="1">
      <c r="A412" s="4"/>
      <c r="B412" s="2"/>
      <c r="C412" s="2"/>
      <c r="D412" s="2"/>
      <c r="E412" s="2"/>
      <c r="F412" s="2"/>
      <c r="G412" s="2"/>
      <c r="H412" s="2"/>
      <c r="I412" s="81"/>
      <c r="J412" s="2"/>
      <c r="K412" s="253"/>
    </row>
    <row r="413" spans="1:11" ht="15.75" customHeight="1">
      <c r="A413" s="4"/>
      <c r="B413" s="2"/>
      <c r="C413" s="2"/>
      <c r="D413" s="2"/>
      <c r="E413" s="2"/>
      <c r="F413" s="2"/>
      <c r="G413" s="2"/>
      <c r="H413" s="2"/>
      <c r="I413" s="81"/>
      <c r="J413" s="2"/>
      <c r="K413" s="253"/>
    </row>
    <row r="414" spans="1:11" ht="15.75" customHeight="1">
      <c r="A414" s="4"/>
      <c r="B414" s="2"/>
      <c r="C414" s="2"/>
      <c r="D414" s="2"/>
      <c r="E414" s="2"/>
      <c r="F414" s="2"/>
      <c r="G414" s="2"/>
      <c r="H414" s="2"/>
      <c r="I414" s="81"/>
      <c r="J414" s="2"/>
      <c r="K414" s="253"/>
    </row>
    <row r="415" spans="1:11" ht="15.75" customHeight="1">
      <c r="A415" s="4"/>
      <c r="B415" s="2"/>
      <c r="C415" s="2"/>
      <c r="D415" s="2"/>
      <c r="E415" s="2"/>
      <c r="F415" s="2"/>
      <c r="G415" s="2"/>
      <c r="H415" s="2"/>
      <c r="I415" s="81"/>
      <c r="J415" s="2"/>
      <c r="K415" s="253"/>
    </row>
    <row r="416" spans="1:11" ht="15.75" customHeight="1">
      <c r="A416" s="4"/>
      <c r="B416" s="2"/>
      <c r="C416" s="2"/>
      <c r="D416" s="2"/>
      <c r="E416" s="2"/>
      <c r="F416" s="2"/>
      <c r="G416" s="2"/>
      <c r="H416" s="2"/>
      <c r="I416" s="81"/>
      <c r="J416" s="2"/>
      <c r="K416" s="253"/>
    </row>
    <row r="417" spans="1:11" ht="15.75" customHeight="1">
      <c r="A417" s="4"/>
      <c r="B417" s="2"/>
      <c r="C417" s="2"/>
      <c r="D417" s="2"/>
      <c r="E417" s="2"/>
      <c r="F417" s="2"/>
      <c r="G417" s="2"/>
      <c r="H417" s="2"/>
      <c r="I417" s="81"/>
      <c r="J417" s="2"/>
      <c r="K417" s="253"/>
    </row>
    <row r="418" spans="1:11" ht="15.75" customHeight="1">
      <c r="A418" s="4"/>
      <c r="B418" s="2"/>
      <c r="C418" s="2"/>
      <c r="D418" s="2"/>
      <c r="E418" s="2"/>
      <c r="F418" s="2"/>
      <c r="G418" s="2"/>
      <c r="H418" s="2"/>
      <c r="I418" s="81"/>
      <c r="J418" s="2"/>
      <c r="K418" s="253"/>
    </row>
    <row r="419" spans="1:11" ht="15.75" customHeight="1">
      <c r="A419" s="4"/>
      <c r="B419" s="2"/>
      <c r="C419" s="2"/>
      <c r="D419" s="2"/>
      <c r="E419" s="2"/>
      <c r="F419" s="2"/>
      <c r="G419" s="2"/>
      <c r="H419" s="2"/>
      <c r="I419" s="81"/>
      <c r="J419" s="2"/>
      <c r="K419" s="253"/>
    </row>
    <row r="420" spans="1:11" ht="15.75" customHeight="1">
      <c r="A420" s="4"/>
      <c r="B420" s="2"/>
      <c r="C420" s="2"/>
      <c r="D420" s="2"/>
      <c r="E420" s="2"/>
      <c r="F420" s="2"/>
      <c r="G420" s="2"/>
      <c r="H420" s="2"/>
      <c r="I420" s="81"/>
      <c r="J420" s="2"/>
      <c r="K420" s="253"/>
    </row>
    <row r="421" spans="1:11" ht="15.75" customHeight="1">
      <c r="A421" s="4"/>
      <c r="B421" s="2"/>
      <c r="C421" s="2"/>
      <c r="D421" s="2"/>
      <c r="E421" s="2"/>
      <c r="F421" s="2"/>
      <c r="G421" s="2"/>
      <c r="H421" s="2"/>
      <c r="I421" s="81"/>
      <c r="J421" s="2"/>
      <c r="K421" s="253"/>
    </row>
    <row r="422" spans="1:11" ht="15.75" customHeight="1">
      <c r="A422" s="4"/>
      <c r="B422" s="2"/>
      <c r="C422" s="2"/>
      <c r="D422" s="2"/>
      <c r="E422" s="2"/>
      <c r="F422" s="2"/>
      <c r="G422" s="2"/>
      <c r="H422" s="2"/>
      <c r="I422" s="81"/>
      <c r="J422" s="2"/>
      <c r="K422" s="253"/>
    </row>
    <row r="423" spans="1:11" ht="15.75" customHeight="1">
      <c r="A423" s="4"/>
      <c r="B423" s="2"/>
      <c r="C423" s="2"/>
      <c r="D423" s="2"/>
      <c r="E423" s="2"/>
      <c r="F423" s="2"/>
      <c r="G423" s="2"/>
      <c r="H423" s="2"/>
      <c r="I423" s="81"/>
      <c r="J423" s="2"/>
      <c r="K423" s="253"/>
    </row>
    <row r="424" spans="1:11" ht="15.75" customHeight="1">
      <c r="A424" s="4"/>
      <c r="B424" s="2"/>
      <c r="C424" s="2"/>
      <c r="D424" s="2"/>
      <c r="E424" s="2"/>
      <c r="F424" s="2"/>
      <c r="G424" s="2"/>
      <c r="H424" s="2"/>
      <c r="I424" s="81"/>
      <c r="J424" s="2"/>
      <c r="K424" s="253"/>
    </row>
    <row r="425" spans="1:11" ht="15.75" customHeight="1">
      <c r="A425" s="4"/>
      <c r="B425" s="2"/>
      <c r="C425" s="2"/>
      <c r="D425" s="2"/>
      <c r="E425" s="2"/>
      <c r="F425" s="2"/>
      <c r="G425" s="2"/>
      <c r="H425" s="2"/>
      <c r="I425" s="81"/>
      <c r="J425" s="2"/>
      <c r="K425" s="253"/>
    </row>
    <row r="426" spans="1:11" ht="15.75" customHeight="1">
      <c r="A426" s="4"/>
      <c r="B426" s="2"/>
      <c r="C426" s="2"/>
      <c r="D426" s="2"/>
      <c r="E426" s="2"/>
      <c r="F426" s="2"/>
      <c r="G426" s="2"/>
      <c r="H426" s="2"/>
      <c r="I426" s="81"/>
      <c r="J426" s="2"/>
      <c r="K426" s="253"/>
    </row>
    <row r="427" spans="1:11" ht="15.75" customHeight="1">
      <c r="A427" s="4"/>
      <c r="B427" s="2"/>
      <c r="C427" s="2"/>
      <c r="D427" s="2"/>
      <c r="E427" s="2"/>
      <c r="F427" s="2"/>
      <c r="G427" s="2"/>
      <c r="H427" s="2"/>
      <c r="I427" s="81"/>
      <c r="J427" s="2"/>
      <c r="K427" s="253"/>
    </row>
    <row r="428" spans="1:11" ht="15.75" customHeight="1">
      <c r="A428" s="4"/>
      <c r="B428" s="2"/>
      <c r="C428" s="2"/>
      <c r="D428" s="2"/>
      <c r="E428" s="2"/>
      <c r="F428" s="2"/>
      <c r="G428" s="2"/>
      <c r="H428" s="2"/>
      <c r="I428" s="81"/>
      <c r="J428" s="2"/>
      <c r="K428" s="253"/>
    </row>
    <row r="429" spans="1:11" ht="15.75" customHeight="1">
      <c r="A429" s="4"/>
      <c r="B429" s="2"/>
      <c r="C429" s="2"/>
      <c r="D429" s="2"/>
      <c r="E429" s="2"/>
      <c r="F429" s="2"/>
      <c r="G429" s="2"/>
      <c r="H429" s="2"/>
      <c r="I429" s="81"/>
      <c r="J429" s="2"/>
      <c r="K429" s="253"/>
    </row>
    <row r="430" spans="1:11" ht="15.75" customHeight="1">
      <c r="A430" s="4"/>
      <c r="B430" s="2"/>
      <c r="C430" s="2"/>
      <c r="D430" s="2"/>
      <c r="E430" s="2"/>
      <c r="F430" s="2"/>
      <c r="G430" s="2"/>
      <c r="H430" s="2"/>
      <c r="I430" s="81"/>
      <c r="J430" s="2"/>
      <c r="K430" s="253"/>
    </row>
    <row r="431" spans="1:11" ht="15.75" customHeight="1">
      <c r="A431" s="4"/>
      <c r="B431" s="2"/>
      <c r="C431" s="2"/>
      <c r="D431" s="2"/>
      <c r="E431" s="2"/>
      <c r="F431" s="2"/>
      <c r="G431" s="2"/>
      <c r="H431" s="2"/>
      <c r="I431" s="81"/>
      <c r="J431" s="2"/>
      <c r="K431" s="253"/>
    </row>
    <row r="432" spans="1:11" ht="15.75" customHeight="1">
      <c r="A432" s="4"/>
      <c r="B432" s="2"/>
      <c r="C432" s="2"/>
      <c r="D432" s="2"/>
      <c r="E432" s="2"/>
      <c r="F432" s="2"/>
      <c r="G432" s="2"/>
      <c r="H432" s="2"/>
      <c r="I432" s="81"/>
      <c r="J432" s="2"/>
      <c r="K432" s="253"/>
    </row>
    <row r="433" spans="1:11" ht="15.75" customHeight="1">
      <c r="A433" s="4"/>
      <c r="B433" s="2"/>
      <c r="C433" s="2"/>
      <c r="D433" s="2"/>
      <c r="E433" s="2"/>
      <c r="F433" s="2"/>
      <c r="G433" s="2"/>
      <c r="H433" s="2"/>
      <c r="I433" s="81"/>
      <c r="J433" s="2"/>
      <c r="K433" s="253"/>
    </row>
    <row r="434" spans="1:11" ht="15.75" customHeight="1">
      <c r="A434" s="4"/>
      <c r="B434" s="2"/>
      <c r="C434" s="2"/>
      <c r="D434" s="2"/>
      <c r="E434" s="2"/>
      <c r="F434" s="2"/>
      <c r="G434" s="2"/>
      <c r="H434" s="2"/>
      <c r="I434" s="81"/>
      <c r="J434" s="2"/>
      <c r="K434" s="253"/>
    </row>
    <row r="435" spans="1:11" ht="15.75" customHeight="1">
      <c r="A435" s="4"/>
      <c r="B435" s="2"/>
      <c r="C435" s="2"/>
      <c r="D435" s="2"/>
      <c r="E435" s="2"/>
      <c r="F435" s="2"/>
      <c r="G435" s="2"/>
      <c r="H435" s="2"/>
      <c r="I435" s="81"/>
      <c r="J435" s="2"/>
      <c r="K435" s="253"/>
    </row>
    <row r="436" spans="1:11" ht="15.75" customHeight="1">
      <c r="A436" s="4"/>
      <c r="B436" s="2"/>
      <c r="C436" s="2"/>
      <c r="D436" s="2"/>
      <c r="E436" s="2"/>
      <c r="F436" s="2"/>
      <c r="G436" s="2"/>
      <c r="H436" s="2"/>
      <c r="I436" s="81"/>
      <c r="J436" s="2"/>
      <c r="K436" s="253"/>
    </row>
    <row r="437" spans="1:11" ht="15.75" customHeight="1">
      <c r="A437" s="4"/>
      <c r="B437" s="2"/>
      <c r="C437" s="2"/>
      <c r="D437" s="2"/>
      <c r="E437" s="2"/>
      <c r="F437" s="2"/>
      <c r="G437" s="2"/>
      <c r="H437" s="2"/>
      <c r="I437" s="81"/>
      <c r="J437" s="2"/>
      <c r="K437" s="253"/>
    </row>
    <row r="438" spans="1:11" ht="15.75" customHeight="1">
      <c r="A438" s="4"/>
      <c r="B438" s="2"/>
      <c r="C438" s="2"/>
      <c r="D438" s="2"/>
      <c r="E438" s="2"/>
      <c r="F438" s="2"/>
      <c r="G438" s="2"/>
      <c r="H438" s="2"/>
      <c r="I438" s="81"/>
      <c r="J438" s="2"/>
      <c r="K438" s="253"/>
    </row>
    <row r="439" spans="1:11" ht="15.75" customHeight="1">
      <c r="A439" s="4"/>
      <c r="B439" s="2"/>
      <c r="C439" s="2"/>
      <c r="D439" s="2"/>
      <c r="E439" s="2"/>
      <c r="F439" s="2"/>
      <c r="G439" s="2"/>
      <c r="H439" s="2"/>
      <c r="I439" s="81"/>
      <c r="J439" s="2"/>
      <c r="K439" s="253"/>
    </row>
    <row r="440" spans="1:11" ht="15.75" customHeight="1">
      <c r="A440" s="4"/>
      <c r="B440" s="2"/>
      <c r="C440" s="2"/>
      <c r="D440" s="2"/>
      <c r="E440" s="2"/>
      <c r="F440" s="2"/>
      <c r="G440" s="2"/>
      <c r="H440" s="2"/>
      <c r="I440" s="81"/>
      <c r="J440" s="2"/>
      <c r="K440" s="253"/>
    </row>
    <row r="441" spans="1:11" ht="15.75" customHeight="1">
      <c r="A441" s="4"/>
      <c r="B441" s="2"/>
      <c r="C441" s="2"/>
      <c r="D441" s="2"/>
      <c r="E441" s="2"/>
      <c r="F441" s="2"/>
      <c r="G441" s="2"/>
      <c r="H441" s="2"/>
      <c r="I441" s="81"/>
      <c r="J441" s="2"/>
      <c r="K441" s="253"/>
    </row>
    <row r="442" spans="1:11" ht="15.75" customHeight="1">
      <c r="A442" s="4"/>
      <c r="B442" s="2"/>
      <c r="C442" s="2"/>
      <c r="D442" s="2"/>
      <c r="E442" s="2"/>
      <c r="F442" s="2"/>
      <c r="G442" s="2"/>
      <c r="H442" s="2"/>
      <c r="I442" s="81"/>
      <c r="J442" s="2"/>
      <c r="K442" s="253"/>
    </row>
    <row r="443" spans="1:11" ht="15.75" customHeight="1">
      <c r="A443" s="4"/>
      <c r="B443" s="2"/>
      <c r="C443" s="2"/>
      <c r="D443" s="2"/>
      <c r="E443" s="2"/>
      <c r="F443" s="2"/>
      <c r="G443" s="2"/>
      <c r="H443" s="2"/>
      <c r="I443" s="81"/>
      <c r="J443" s="2"/>
      <c r="K443" s="253"/>
    </row>
    <row r="444" spans="1:11" ht="15.75" customHeight="1">
      <c r="A444" s="4"/>
      <c r="B444" s="2"/>
      <c r="C444" s="2"/>
      <c r="D444" s="2"/>
      <c r="E444" s="2"/>
      <c r="F444" s="2"/>
      <c r="G444" s="2"/>
      <c r="H444" s="2"/>
      <c r="I444" s="81"/>
      <c r="J444" s="2"/>
      <c r="K444" s="253"/>
    </row>
    <row r="445" spans="1:11" ht="15.75" customHeight="1">
      <c r="A445" s="4"/>
      <c r="B445" s="2"/>
      <c r="C445" s="2"/>
      <c r="D445" s="2"/>
      <c r="E445" s="2"/>
      <c r="F445" s="2"/>
      <c r="G445" s="2"/>
      <c r="H445" s="2"/>
      <c r="I445" s="81"/>
      <c r="J445" s="2"/>
      <c r="K445" s="253"/>
    </row>
    <row r="446" spans="1:11" ht="15.75" customHeight="1">
      <c r="A446" s="4"/>
      <c r="B446" s="2"/>
      <c r="C446" s="2"/>
      <c r="D446" s="2"/>
      <c r="E446" s="2"/>
      <c r="F446" s="2"/>
      <c r="G446" s="2"/>
      <c r="H446" s="2"/>
      <c r="I446" s="81"/>
      <c r="J446" s="2"/>
      <c r="K446" s="253"/>
    </row>
    <row r="447" spans="1:11" ht="15.75" customHeight="1">
      <c r="A447" s="4"/>
      <c r="B447" s="2"/>
      <c r="C447" s="2"/>
      <c r="D447" s="2"/>
      <c r="E447" s="2"/>
      <c r="F447" s="2"/>
      <c r="G447" s="2"/>
      <c r="H447" s="2"/>
      <c r="I447" s="81"/>
      <c r="J447" s="2"/>
      <c r="K447" s="253"/>
    </row>
    <row r="448" spans="1:11" ht="15.75" customHeight="1">
      <c r="A448" s="4"/>
      <c r="B448" s="2"/>
      <c r="C448" s="2"/>
      <c r="D448" s="2"/>
      <c r="E448" s="2"/>
      <c r="F448" s="2"/>
      <c r="G448" s="2"/>
      <c r="H448" s="2"/>
      <c r="I448" s="81"/>
      <c r="J448" s="2"/>
      <c r="K448" s="253"/>
    </row>
    <row r="449" spans="1:11" ht="15.75" customHeight="1">
      <c r="A449" s="4"/>
      <c r="B449" s="2"/>
      <c r="C449" s="2"/>
      <c r="D449" s="2"/>
      <c r="E449" s="2"/>
      <c r="F449" s="2"/>
      <c r="G449" s="2"/>
      <c r="H449" s="2"/>
      <c r="I449" s="81"/>
      <c r="J449" s="2"/>
      <c r="K449" s="253"/>
    </row>
    <row r="450" spans="1:11" ht="15.75" customHeight="1">
      <c r="A450" s="4"/>
      <c r="B450" s="2"/>
      <c r="C450" s="2"/>
      <c r="D450" s="2"/>
      <c r="E450" s="2"/>
      <c r="F450" s="2"/>
      <c r="G450" s="2"/>
      <c r="H450" s="2"/>
      <c r="I450" s="81"/>
      <c r="J450" s="2"/>
      <c r="K450" s="253"/>
    </row>
    <row r="451" spans="1:11" ht="15.75" customHeight="1">
      <c r="A451" s="4"/>
      <c r="B451" s="2"/>
      <c r="C451" s="2"/>
      <c r="D451" s="2"/>
      <c r="E451" s="2"/>
      <c r="F451" s="2"/>
      <c r="G451" s="2"/>
      <c r="H451" s="2"/>
      <c r="I451" s="81"/>
      <c r="J451" s="2"/>
      <c r="K451" s="253"/>
    </row>
    <row r="452" spans="1:11" ht="15.75" customHeight="1">
      <c r="A452" s="4"/>
      <c r="B452" s="2"/>
      <c r="C452" s="2"/>
      <c r="D452" s="2"/>
      <c r="E452" s="2"/>
      <c r="F452" s="2"/>
      <c r="G452" s="2"/>
      <c r="H452" s="2"/>
      <c r="I452" s="81"/>
      <c r="J452" s="2"/>
      <c r="K452" s="253"/>
    </row>
    <row r="453" spans="1:11" ht="15.75" customHeight="1">
      <c r="A453" s="4"/>
      <c r="B453" s="2"/>
      <c r="C453" s="2"/>
      <c r="D453" s="2"/>
      <c r="E453" s="2"/>
      <c r="F453" s="2"/>
      <c r="G453" s="2"/>
      <c r="H453" s="2"/>
      <c r="I453" s="81"/>
      <c r="J453" s="2"/>
      <c r="K453" s="253"/>
    </row>
    <row r="454" spans="1:11" ht="15.75" customHeight="1">
      <c r="A454" s="4"/>
      <c r="B454" s="2"/>
      <c r="C454" s="2"/>
      <c r="D454" s="2"/>
      <c r="E454" s="2"/>
      <c r="F454" s="2"/>
      <c r="G454" s="2"/>
      <c r="H454" s="2"/>
      <c r="I454" s="81"/>
      <c r="J454" s="2"/>
      <c r="K454" s="253"/>
    </row>
    <row r="455" spans="1:11" ht="15.75" customHeight="1">
      <c r="A455" s="4"/>
      <c r="B455" s="2"/>
      <c r="C455" s="2"/>
      <c r="D455" s="2"/>
      <c r="E455" s="2"/>
      <c r="F455" s="2"/>
      <c r="G455" s="2"/>
      <c r="H455" s="2"/>
      <c r="I455" s="81"/>
      <c r="J455" s="2"/>
      <c r="K455" s="253"/>
    </row>
    <row r="456" spans="1:11" ht="15.75" customHeight="1">
      <c r="A456" s="4"/>
      <c r="B456" s="2"/>
      <c r="C456" s="2"/>
      <c r="D456" s="2"/>
      <c r="E456" s="2"/>
      <c r="F456" s="2"/>
      <c r="G456" s="2"/>
      <c r="H456" s="2"/>
      <c r="I456" s="81"/>
      <c r="J456" s="2"/>
      <c r="K456" s="253"/>
    </row>
    <row r="457" spans="1:11" ht="15.75" customHeight="1">
      <c r="A457" s="4"/>
      <c r="B457" s="2"/>
      <c r="C457" s="2"/>
      <c r="D457" s="2"/>
      <c r="E457" s="2"/>
      <c r="F457" s="2"/>
      <c r="G457" s="2"/>
      <c r="H457" s="2"/>
      <c r="I457" s="81"/>
      <c r="J457" s="2"/>
      <c r="K457" s="253"/>
    </row>
    <row r="458" spans="1:11" ht="15.75" customHeight="1">
      <c r="A458" s="4"/>
      <c r="B458" s="2"/>
      <c r="C458" s="2"/>
      <c r="D458" s="2"/>
      <c r="E458" s="2"/>
      <c r="F458" s="2"/>
      <c r="G458" s="2"/>
      <c r="H458" s="2"/>
      <c r="I458" s="81"/>
      <c r="J458" s="2"/>
      <c r="K458" s="253"/>
    </row>
    <row r="459" spans="1:11" ht="15.75" customHeight="1">
      <c r="A459" s="4"/>
      <c r="B459" s="2"/>
      <c r="C459" s="2"/>
      <c r="D459" s="2"/>
      <c r="E459" s="2"/>
      <c r="F459" s="2"/>
      <c r="G459" s="2"/>
      <c r="H459" s="2"/>
      <c r="I459" s="81"/>
      <c r="J459" s="2"/>
      <c r="K459" s="253"/>
    </row>
    <row r="460" spans="1:11" ht="15.75" customHeight="1">
      <c r="A460" s="4"/>
      <c r="B460" s="2"/>
      <c r="C460" s="2"/>
      <c r="D460" s="2"/>
      <c r="E460" s="2"/>
      <c r="F460" s="2"/>
      <c r="G460" s="2"/>
      <c r="H460" s="2"/>
      <c r="I460" s="81"/>
      <c r="J460" s="2"/>
      <c r="K460" s="253"/>
    </row>
    <row r="461" spans="1:11" ht="15.75" customHeight="1">
      <c r="A461" s="4"/>
      <c r="B461" s="2"/>
      <c r="C461" s="2"/>
      <c r="D461" s="2"/>
      <c r="E461" s="2"/>
      <c r="F461" s="2"/>
      <c r="G461" s="2"/>
      <c r="H461" s="2"/>
      <c r="I461" s="81"/>
      <c r="J461" s="2"/>
      <c r="K461" s="253"/>
    </row>
    <row r="462" spans="1:11" ht="15.75" customHeight="1">
      <c r="A462" s="4"/>
      <c r="B462" s="2"/>
      <c r="C462" s="2"/>
      <c r="D462" s="2"/>
      <c r="E462" s="2"/>
      <c r="F462" s="2"/>
      <c r="G462" s="2"/>
      <c r="H462" s="2"/>
      <c r="I462" s="81"/>
      <c r="J462" s="2"/>
      <c r="K462" s="253"/>
    </row>
    <row r="463" spans="1:11" ht="15.75" customHeight="1">
      <c r="A463" s="4"/>
      <c r="B463" s="2"/>
      <c r="C463" s="2"/>
      <c r="D463" s="2"/>
      <c r="E463" s="2"/>
      <c r="F463" s="2"/>
      <c r="G463" s="2"/>
      <c r="H463" s="2"/>
      <c r="I463" s="81"/>
      <c r="J463" s="2"/>
      <c r="K463" s="253"/>
    </row>
    <row r="464" spans="1:11" ht="15.75" customHeight="1">
      <c r="A464" s="4"/>
      <c r="B464" s="2"/>
      <c r="C464" s="2"/>
      <c r="D464" s="2"/>
      <c r="E464" s="2"/>
      <c r="F464" s="2"/>
      <c r="G464" s="2"/>
      <c r="H464" s="2"/>
      <c r="I464" s="81"/>
      <c r="J464" s="2"/>
      <c r="K464" s="253"/>
    </row>
    <row r="465" spans="1:11" ht="15.75" customHeight="1">
      <c r="A465" s="4"/>
      <c r="B465" s="2"/>
      <c r="C465" s="2"/>
      <c r="D465" s="2"/>
      <c r="E465" s="2"/>
      <c r="F465" s="2"/>
      <c r="G465" s="2"/>
      <c r="H465" s="2"/>
      <c r="I465" s="81"/>
      <c r="J465" s="2"/>
      <c r="K465" s="253"/>
    </row>
    <row r="466" spans="1:11" ht="15.75" customHeight="1">
      <c r="A466" s="4"/>
      <c r="B466" s="2"/>
      <c r="C466" s="2"/>
      <c r="D466" s="2"/>
      <c r="E466" s="2"/>
      <c r="F466" s="2"/>
      <c r="G466" s="2"/>
      <c r="H466" s="2"/>
      <c r="I466" s="81"/>
      <c r="J466" s="2"/>
      <c r="K466" s="253"/>
    </row>
    <row r="467" spans="1:11" ht="15.75" customHeight="1">
      <c r="A467" s="4"/>
      <c r="B467" s="2"/>
      <c r="C467" s="2"/>
      <c r="D467" s="2"/>
      <c r="E467" s="2"/>
      <c r="F467" s="2"/>
      <c r="G467" s="2"/>
      <c r="H467" s="2"/>
      <c r="I467" s="81"/>
      <c r="J467" s="2"/>
      <c r="K467" s="253"/>
    </row>
    <row r="468" spans="1:11" ht="15.75" customHeight="1">
      <c r="A468" s="4"/>
      <c r="B468" s="2"/>
      <c r="C468" s="2"/>
      <c r="D468" s="2"/>
      <c r="E468" s="2"/>
      <c r="F468" s="2"/>
      <c r="G468" s="2"/>
      <c r="H468" s="2"/>
      <c r="I468" s="81"/>
      <c r="J468" s="2"/>
      <c r="K468" s="253"/>
    </row>
    <row r="469" spans="1:11" ht="15.75" customHeight="1">
      <c r="A469" s="4"/>
      <c r="B469" s="2"/>
      <c r="C469" s="2"/>
      <c r="D469" s="2"/>
      <c r="E469" s="2"/>
      <c r="F469" s="2"/>
      <c r="G469" s="2"/>
      <c r="H469" s="2"/>
      <c r="I469" s="81"/>
      <c r="J469" s="2"/>
      <c r="K469" s="253"/>
    </row>
    <row r="470" spans="1:11" ht="15.75" customHeight="1">
      <c r="A470" s="4"/>
      <c r="B470" s="2"/>
      <c r="C470" s="2"/>
      <c r="D470" s="2"/>
      <c r="E470" s="2"/>
      <c r="F470" s="2"/>
      <c r="G470" s="2"/>
      <c r="H470" s="2"/>
      <c r="I470" s="81"/>
      <c r="J470" s="2"/>
      <c r="K470" s="253"/>
    </row>
    <row r="471" spans="1:11" ht="15.75" customHeight="1">
      <c r="A471" s="4"/>
      <c r="B471" s="2"/>
      <c r="C471" s="2"/>
      <c r="D471" s="2"/>
      <c r="E471" s="2"/>
      <c r="F471" s="2"/>
      <c r="G471" s="2"/>
      <c r="H471" s="2"/>
      <c r="I471" s="81"/>
      <c r="J471" s="2"/>
      <c r="K471" s="253"/>
    </row>
    <row r="472" spans="1:11" ht="15.75" customHeight="1">
      <c r="A472" s="4"/>
      <c r="B472" s="2"/>
      <c r="C472" s="2"/>
      <c r="D472" s="2"/>
      <c r="E472" s="2"/>
      <c r="F472" s="2"/>
      <c r="G472" s="2"/>
      <c r="H472" s="2"/>
      <c r="I472" s="81"/>
      <c r="J472" s="2"/>
      <c r="K472" s="253"/>
    </row>
    <row r="473" spans="1:11" ht="15.75" customHeight="1">
      <c r="A473" s="4"/>
      <c r="B473" s="2"/>
      <c r="C473" s="2"/>
      <c r="D473" s="2"/>
      <c r="E473" s="2"/>
      <c r="F473" s="2"/>
      <c r="G473" s="2"/>
      <c r="H473" s="2"/>
      <c r="I473" s="81"/>
      <c r="J473" s="2"/>
      <c r="K473" s="253"/>
    </row>
    <row r="474" spans="1:11" ht="15.75" customHeight="1">
      <c r="A474" s="4"/>
      <c r="B474" s="2"/>
      <c r="C474" s="2"/>
      <c r="D474" s="2"/>
      <c r="E474" s="2"/>
      <c r="F474" s="2"/>
      <c r="G474" s="2"/>
      <c r="H474" s="2"/>
      <c r="I474" s="81"/>
      <c r="J474" s="2"/>
      <c r="K474" s="253"/>
    </row>
    <row r="475" spans="1:11" ht="15.75" customHeight="1">
      <c r="A475" s="4"/>
      <c r="B475" s="2"/>
      <c r="C475" s="2"/>
      <c r="D475" s="2"/>
      <c r="E475" s="2"/>
      <c r="F475" s="2"/>
      <c r="G475" s="2"/>
      <c r="H475" s="2"/>
      <c r="I475" s="81"/>
      <c r="J475" s="2"/>
      <c r="K475" s="253"/>
    </row>
    <row r="476" spans="1:11" ht="15.75" customHeight="1">
      <c r="A476" s="4"/>
      <c r="B476" s="2"/>
      <c r="C476" s="2"/>
      <c r="D476" s="2"/>
      <c r="E476" s="2"/>
      <c r="F476" s="2"/>
      <c r="G476" s="2"/>
      <c r="H476" s="2"/>
      <c r="I476" s="81"/>
      <c r="J476" s="2"/>
      <c r="K476" s="253"/>
    </row>
    <row r="477" spans="1:11" ht="15.75" customHeight="1">
      <c r="A477" s="4"/>
      <c r="B477" s="2"/>
      <c r="C477" s="2"/>
      <c r="D477" s="2"/>
      <c r="E477" s="2"/>
      <c r="F477" s="2"/>
      <c r="G477" s="2"/>
      <c r="H477" s="2"/>
      <c r="I477" s="81"/>
      <c r="J477" s="2"/>
      <c r="K477" s="253"/>
    </row>
    <row r="478" spans="1:11" ht="15.75" customHeight="1">
      <c r="A478" s="4"/>
      <c r="B478" s="2"/>
      <c r="C478" s="2"/>
      <c r="D478" s="2"/>
      <c r="E478" s="2"/>
      <c r="F478" s="2"/>
      <c r="G478" s="2"/>
      <c r="H478" s="2"/>
      <c r="I478" s="81"/>
      <c r="J478" s="2"/>
      <c r="K478" s="253"/>
    </row>
    <row r="479" spans="1:11" ht="15.75" customHeight="1">
      <c r="A479" s="4"/>
      <c r="B479" s="2"/>
      <c r="C479" s="2"/>
      <c r="D479" s="2"/>
      <c r="E479" s="2"/>
      <c r="F479" s="2"/>
      <c r="G479" s="2"/>
      <c r="H479" s="2"/>
      <c r="I479" s="81"/>
      <c r="J479" s="2"/>
      <c r="K479" s="253"/>
    </row>
    <row r="480" spans="1:11" ht="15.75" customHeight="1">
      <c r="A480" s="4"/>
      <c r="B480" s="2"/>
      <c r="C480" s="2"/>
      <c r="D480" s="2"/>
      <c r="E480" s="2"/>
      <c r="F480" s="2"/>
      <c r="G480" s="2"/>
      <c r="H480" s="2"/>
      <c r="I480" s="81"/>
      <c r="J480" s="2"/>
      <c r="K480" s="253"/>
    </row>
    <row r="481" spans="1:11" ht="15.75" customHeight="1">
      <c r="A481" s="4"/>
      <c r="B481" s="2"/>
      <c r="C481" s="2"/>
      <c r="D481" s="2"/>
      <c r="E481" s="2"/>
      <c r="F481" s="2"/>
      <c r="G481" s="2"/>
      <c r="H481" s="2"/>
      <c r="I481" s="81"/>
      <c r="J481" s="2"/>
      <c r="K481" s="253"/>
    </row>
    <row r="482" spans="1:11" ht="15.75" customHeight="1">
      <c r="A482" s="4"/>
      <c r="B482" s="2"/>
      <c r="C482" s="2"/>
      <c r="D482" s="2"/>
      <c r="E482" s="2"/>
      <c r="F482" s="2"/>
      <c r="G482" s="2"/>
      <c r="H482" s="2"/>
      <c r="I482" s="81"/>
      <c r="J482" s="2"/>
      <c r="K482" s="253"/>
    </row>
    <row r="483" spans="1:11" ht="15.75" customHeight="1">
      <c r="A483" s="4"/>
      <c r="B483" s="2"/>
      <c r="C483" s="2"/>
      <c r="D483" s="2"/>
      <c r="E483" s="2"/>
      <c r="F483" s="2"/>
      <c r="G483" s="2"/>
      <c r="H483" s="2"/>
      <c r="I483" s="81"/>
      <c r="J483" s="2"/>
      <c r="K483" s="253"/>
    </row>
    <row r="484" spans="1:11" ht="15.75" customHeight="1">
      <c r="A484" s="4"/>
      <c r="B484" s="2"/>
      <c r="C484" s="2"/>
      <c r="D484" s="2"/>
      <c r="E484" s="2"/>
      <c r="F484" s="2"/>
      <c r="G484" s="2"/>
      <c r="H484" s="2"/>
      <c r="I484" s="81"/>
      <c r="J484" s="2"/>
      <c r="K484" s="253"/>
    </row>
    <row r="485" spans="1:11" ht="15.75" customHeight="1">
      <c r="A485" s="4"/>
      <c r="B485" s="2"/>
      <c r="C485" s="2"/>
      <c r="D485" s="2"/>
      <c r="E485" s="2"/>
      <c r="F485" s="2"/>
      <c r="G485" s="2"/>
      <c r="H485" s="2"/>
      <c r="I485" s="81"/>
      <c r="J485" s="2"/>
      <c r="K485" s="253"/>
    </row>
    <row r="486" spans="1:11" ht="15.75" customHeight="1">
      <c r="A486" s="4"/>
      <c r="B486" s="2"/>
      <c r="C486" s="2"/>
      <c r="D486" s="2"/>
      <c r="E486" s="2"/>
      <c r="F486" s="2"/>
      <c r="G486" s="2"/>
      <c r="H486" s="2"/>
      <c r="I486" s="81"/>
      <c r="J486" s="2"/>
      <c r="K486" s="253"/>
    </row>
    <row r="487" spans="1:11" ht="15.75" customHeight="1">
      <c r="A487" s="4"/>
      <c r="B487" s="2"/>
      <c r="C487" s="2"/>
      <c r="D487" s="2"/>
      <c r="E487" s="2"/>
      <c r="F487" s="2"/>
      <c r="G487" s="2"/>
      <c r="H487" s="2"/>
      <c r="I487" s="81"/>
      <c r="J487" s="2"/>
      <c r="K487" s="253"/>
    </row>
    <row r="488" spans="1:11" ht="15.75" customHeight="1">
      <c r="A488" s="4"/>
      <c r="B488" s="2"/>
      <c r="C488" s="2"/>
      <c r="D488" s="2"/>
      <c r="E488" s="2"/>
      <c r="F488" s="2"/>
      <c r="G488" s="2"/>
      <c r="H488" s="2"/>
      <c r="I488" s="81"/>
      <c r="J488" s="2"/>
      <c r="K488" s="253"/>
    </row>
    <row r="489" spans="1:11" ht="15.75" customHeight="1">
      <c r="A489" s="4"/>
      <c r="B489" s="2"/>
      <c r="C489" s="2"/>
      <c r="D489" s="2"/>
      <c r="E489" s="2"/>
      <c r="F489" s="2"/>
      <c r="G489" s="2"/>
      <c r="H489" s="2"/>
      <c r="I489" s="81"/>
      <c r="J489" s="2"/>
      <c r="K489" s="253"/>
    </row>
    <row r="490" spans="1:11" ht="15.75" customHeight="1">
      <c r="A490" s="4"/>
      <c r="B490" s="2"/>
      <c r="C490" s="2"/>
      <c r="D490" s="2"/>
      <c r="E490" s="2"/>
      <c r="F490" s="2"/>
      <c r="G490" s="2"/>
      <c r="H490" s="2"/>
      <c r="I490" s="81"/>
      <c r="J490" s="2"/>
      <c r="K490" s="253"/>
    </row>
    <row r="491" spans="1:11" ht="15.75" customHeight="1">
      <c r="A491" s="4"/>
      <c r="B491" s="2"/>
      <c r="C491" s="2"/>
      <c r="D491" s="2"/>
      <c r="E491" s="2"/>
      <c r="F491" s="2"/>
      <c r="G491" s="2"/>
      <c r="H491" s="2"/>
      <c r="I491" s="81"/>
      <c r="J491" s="2"/>
      <c r="K491" s="253"/>
    </row>
    <row r="492" spans="1:11" ht="15.75" customHeight="1">
      <c r="A492" s="4"/>
      <c r="B492" s="2"/>
      <c r="C492" s="2"/>
      <c r="D492" s="2"/>
      <c r="E492" s="2"/>
      <c r="F492" s="2"/>
      <c r="G492" s="2"/>
      <c r="H492" s="2"/>
      <c r="I492" s="81"/>
      <c r="J492" s="2"/>
      <c r="K492" s="253"/>
    </row>
    <row r="493" spans="1:11" ht="15.75" customHeight="1">
      <c r="A493" s="4"/>
      <c r="B493" s="2"/>
      <c r="C493" s="2"/>
      <c r="D493" s="2"/>
      <c r="E493" s="2"/>
      <c r="F493" s="2"/>
      <c r="G493" s="2"/>
      <c r="H493" s="2"/>
      <c r="I493" s="81"/>
      <c r="J493" s="2"/>
      <c r="K493" s="253"/>
    </row>
    <row r="494" spans="1:11" ht="15.75" customHeight="1">
      <c r="A494" s="4"/>
      <c r="B494" s="2"/>
      <c r="C494" s="2"/>
      <c r="D494" s="2"/>
      <c r="E494" s="2"/>
      <c r="F494" s="2"/>
      <c r="G494" s="2"/>
      <c r="H494" s="2"/>
      <c r="I494" s="81"/>
      <c r="J494" s="2"/>
      <c r="K494" s="253"/>
    </row>
    <row r="495" spans="1:11" ht="15.75" customHeight="1">
      <c r="A495" s="4"/>
      <c r="B495" s="2"/>
      <c r="C495" s="2"/>
      <c r="D495" s="2"/>
      <c r="E495" s="2"/>
      <c r="F495" s="2"/>
      <c r="G495" s="2"/>
      <c r="H495" s="2"/>
      <c r="I495" s="81"/>
      <c r="J495" s="2"/>
      <c r="K495" s="253"/>
    </row>
    <row r="496" spans="1:11" ht="15.75" customHeight="1">
      <c r="A496" s="4"/>
      <c r="B496" s="2"/>
      <c r="C496" s="2"/>
      <c r="D496" s="2"/>
      <c r="E496" s="2"/>
      <c r="F496" s="2"/>
      <c r="G496" s="2"/>
      <c r="H496" s="2"/>
      <c r="I496" s="81"/>
      <c r="J496" s="2"/>
      <c r="K496" s="253"/>
    </row>
    <row r="497" spans="1:11" ht="15.75" customHeight="1">
      <c r="A497" s="4"/>
      <c r="B497" s="2"/>
      <c r="C497" s="2"/>
      <c r="D497" s="2"/>
      <c r="E497" s="2"/>
      <c r="F497" s="2"/>
      <c r="G497" s="2"/>
      <c r="H497" s="2"/>
      <c r="I497" s="81"/>
      <c r="J497" s="2"/>
      <c r="K497" s="253"/>
    </row>
    <row r="498" spans="1:11" ht="15.75" customHeight="1">
      <c r="A498" s="4"/>
      <c r="B498" s="2"/>
      <c r="C498" s="2"/>
      <c r="D498" s="2"/>
      <c r="E498" s="2"/>
      <c r="F498" s="2"/>
      <c r="G498" s="2"/>
      <c r="H498" s="2"/>
      <c r="I498" s="81"/>
      <c r="J498" s="2"/>
      <c r="K498" s="253"/>
    </row>
    <row r="499" spans="1:11" ht="15.75" customHeight="1">
      <c r="A499" s="4"/>
      <c r="B499" s="2"/>
      <c r="C499" s="2"/>
      <c r="D499" s="2"/>
      <c r="E499" s="2"/>
      <c r="F499" s="2"/>
      <c r="G499" s="2"/>
      <c r="H499" s="2"/>
      <c r="I499" s="81"/>
      <c r="J499" s="2"/>
      <c r="K499" s="253"/>
    </row>
    <row r="500" spans="1:11" ht="15.75" customHeight="1">
      <c r="A500" s="4"/>
      <c r="B500" s="2"/>
      <c r="C500" s="2"/>
      <c r="D500" s="2"/>
      <c r="E500" s="2"/>
      <c r="F500" s="2"/>
      <c r="G500" s="2"/>
      <c r="H500" s="2"/>
      <c r="I500" s="81"/>
      <c r="J500" s="2"/>
      <c r="K500" s="253"/>
    </row>
    <row r="501" spans="1:11" ht="15.75" customHeight="1">
      <c r="A501" s="4"/>
      <c r="B501" s="2"/>
      <c r="C501" s="2"/>
      <c r="D501" s="2"/>
      <c r="E501" s="2"/>
      <c r="F501" s="2"/>
      <c r="G501" s="2"/>
      <c r="H501" s="2"/>
      <c r="I501" s="81"/>
      <c r="J501" s="2"/>
      <c r="K501" s="253"/>
    </row>
    <row r="502" spans="1:11" ht="15.75" customHeight="1">
      <c r="A502" s="4"/>
      <c r="B502" s="2"/>
      <c r="C502" s="2"/>
      <c r="D502" s="2"/>
      <c r="E502" s="2"/>
      <c r="F502" s="2"/>
      <c r="G502" s="2"/>
      <c r="H502" s="2"/>
      <c r="I502" s="81"/>
      <c r="J502" s="2"/>
      <c r="K502" s="253"/>
    </row>
    <row r="503" spans="1:11" ht="15.75" customHeight="1">
      <c r="A503" s="4"/>
      <c r="B503" s="2"/>
      <c r="C503" s="2"/>
      <c r="D503" s="2"/>
      <c r="E503" s="2"/>
      <c r="F503" s="2"/>
      <c r="G503" s="2"/>
      <c r="H503" s="2"/>
      <c r="I503" s="81"/>
      <c r="J503" s="2"/>
      <c r="K503" s="253"/>
    </row>
    <row r="504" spans="1:11" ht="15.75" customHeight="1">
      <c r="A504" s="4"/>
      <c r="B504" s="2"/>
      <c r="C504" s="2"/>
      <c r="D504" s="2"/>
      <c r="E504" s="2"/>
      <c r="F504" s="2"/>
      <c r="G504" s="2"/>
      <c r="H504" s="2"/>
      <c r="I504" s="81"/>
      <c r="J504" s="2"/>
      <c r="K504" s="253"/>
    </row>
    <row r="505" spans="1:11" ht="15.75" customHeight="1">
      <c r="A505" s="4"/>
      <c r="B505" s="2"/>
      <c r="C505" s="2"/>
      <c r="D505" s="2"/>
      <c r="E505" s="2"/>
      <c r="F505" s="2"/>
      <c r="G505" s="2"/>
      <c r="H505" s="2"/>
      <c r="I505" s="81"/>
      <c r="J505" s="2"/>
      <c r="K505" s="253"/>
    </row>
    <row r="506" spans="1:11" ht="15.75" customHeight="1">
      <c r="A506" s="4"/>
      <c r="B506" s="2"/>
      <c r="C506" s="2"/>
      <c r="D506" s="2"/>
      <c r="E506" s="2"/>
      <c r="F506" s="2"/>
      <c r="G506" s="2"/>
      <c r="H506" s="2"/>
      <c r="I506" s="81"/>
      <c r="J506" s="2"/>
      <c r="K506" s="253"/>
    </row>
    <row r="507" spans="1:11" ht="15.75" customHeight="1">
      <c r="A507" s="4"/>
      <c r="B507" s="2"/>
      <c r="C507" s="2"/>
      <c r="D507" s="2"/>
      <c r="E507" s="2"/>
      <c r="F507" s="2"/>
      <c r="G507" s="2"/>
      <c r="H507" s="2"/>
      <c r="I507" s="81"/>
      <c r="J507" s="2"/>
      <c r="K507" s="253"/>
    </row>
    <row r="508" spans="1:11" ht="15.75" customHeight="1">
      <c r="A508" s="4"/>
      <c r="B508" s="2"/>
      <c r="C508" s="2"/>
      <c r="D508" s="2"/>
      <c r="E508" s="2"/>
      <c r="F508" s="2"/>
      <c r="G508" s="2"/>
      <c r="H508" s="2"/>
      <c r="I508" s="81"/>
      <c r="J508" s="2"/>
      <c r="K508" s="253"/>
    </row>
    <row r="509" spans="1:11" ht="15.75" customHeight="1">
      <c r="A509" s="4"/>
      <c r="B509" s="2"/>
      <c r="C509" s="2"/>
      <c r="D509" s="2"/>
      <c r="E509" s="2"/>
      <c r="F509" s="2"/>
      <c r="G509" s="2"/>
      <c r="H509" s="2"/>
      <c r="I509" s="81"/>
      <c r="J509" s="2"/>
      <c r="K509" s="253"/>
    </row>
    <row r="510" spans="1:11" ht="15.75" customHeight="1">
      <c r="A510" s="4"/>
      <c r="B510" s="2"/>
      <c r="C510" s="2"/>
      <c r="D510" s="2"/>
      <c r="E510" s="2"/>
      <c r="F510" s="2"/>
      <c r="G510" s="2"/>
      <c r="H510" s="2"/>
      <c r="I510" s="81"/>
      <c r="J510" s="2"/>
      <c r="K510" s="253"/>
    </row>
    <row r="511" spans="1:11" ht="15.75" customHeight="1">
      <c r="A511" s="4"/>
      <c r="B511" s="2"/>
      <c r="C511" s="2"/>
      <c r="D511" s="2"/>
      <c r="E511" s="2"/>
      <c r="F511" s="2"/>
      <c r="G511" s="2"/>
      <c r="H511" s="2"/>
      <c r="I511" s="81"/>
      <c r="J511" s="2"/>
      <c r="K511" s="253"/>
    </row>
    <row r="512" spans="1:11" ht="15.75" customHeight="1">
      <c r="A512" s="4"/>
      <c r="B512" s="2"/>
      <c r="C512" s="2"/>
      <c r="D512" s="2"/>
      <c r="E512" s="2"/>
      <c r="F512" s="2"/>
      <c r="G512" s="2"/>
      <c r="H512" s="2"/>
      <c r="I512" s="81"/>
      <c r="J512" s="2"/>
      <c r="K512" s="253"/>
    </row>
    <row r="513" spans="1:11" ht="15.75" customHeight="1">
      <c r="A513" s="4"/>
      <c r="B513" s="2"/>
      <c r="C513" s="2"/>
      <c r="D513" s="2"/>
      <c r="E513" s="2"/>
      <c r="F513" s="2"/>
      <c r="G513" s="2"/>
      <c r="H513" s="2"/>
      <c r="I513" s="81"/>
      <c r="J513" s="2"/>
      <c r="K513" s="253"/>
    </row>
    <row r="514" spans="1:11" ht="15.75" customHeight="1">
      <c r="A514" s="4"/>
      <c r="B514" s="2"/>
      <c r="C514" s="2"/>
      <c r="D514" s="2"/>
      <c r="E514" s="2"/>
      <c r="F514" s="2"/>
      <c r="G514" s="2"/>
      <c r="H514" s="2"/>
      <c r="I514" s="81"/>
      <c r="J514" s="2"/>
      <c r="K514" s="253"/>
    </row>
    <row r="515" spans="1:11" ht="15.75" customHeight="1">
      <c r="A515" s="4"/>
      <c r="B515" s="2"/>
      <c r="C515" s="2"/>
      <c r="D515" s="2"/>
      <c r="E515" s="2"/>
      <c r="F515" s="2"/>
      <c r="G515" s="2"/>
      <c r="H515" s="2"/>
      <c r="I515" s="81"/>
      <c r="J515" s="2"/>
      <c r="K515" s="253"/>
    </row>
    <row r="516" spans="1:11" ht="15.75" customHeight="1">
      <c r="A516" s="4"/>
      <c r="B516" s="2"/>
      <c r="C516" s="2"/>
      <c r="D516" s="2"/>
      <c r="E516" s="2"/>
      <c r="F516" s="2"/>
      <c r="G516" s="2"/>
      <c r="H516" s="2"/>
      <c r="I516" s="81"/>
      <c r="J516" s="2"/>
      <c r="K516" s="253"/>
    </row>
    <row r="517" spans="1:11" ht="15.75" customHeight="1">
      <c r="A517" s="4"/>
      <c r="B517" s="2"/>
      <c r="C517" s="2"/>
      <c r="D517" s="2"/>
      <c r="E517" s="2"/>
      <c r="F517" s="2"/>
      <c r="G517" s="2"/>
      <c r="H517" s="2"/>
      <c r="I517" s="81"/>
      <c r="J517" s="2"/>
      <c r="K517" s="253"/>
    </row>
    <row r="518" spans="1:11" ht="15.75" customHeight="1">
      <c r="A518" s="4"/>
      <c r="B518" s="2"/>
      <c r="C518" s="2"/>
      <c r="D518" s="2"/>
      <c r="E518" s="2"/>
      <c r="F518" s="2"/>
      <c r="G518" s="2"/>
      <c r="H518" s="2"/>
      <c r="I518" s="81"/>
      <c r="J518" s="2"/>
      <c r="K518" s="253"/>
    </row>
    <row r="519" spans="1:11" ht="15.75" customHeight="1">
      <c r="A519" s="4"/>
      <c r="B519" s="2"/>
      <c r="C519" s="2"/>
      <c r="D519" s="2"/>
      <c r="E519" s="2"/>
      <c r="F519" s="2"/>
      <c r="G519" s="2"/>
      <c r="H519" s="2"/>
      <c r="I519" s="81"/>
      <c r="J519" s="2"/>
      <c r="K519" s="253"/>
    </row>
    <row r="520" spans="1:11" ht="15.75" customHeight="1">
      <c r="A520" s="4"/>
      <c r="B520" s="2"/>
      <c r="C520" s="2"/>
      <c r="D520" s="2"/>
      <c r="E520" s="2"/>
      <c r="F520" s="2"/>
      <c r="G520" s="2"/>
      <c r="H520" s="2"/>
      <c r="I520" s="81"/>
      <c r="J520" s="2"/>
      <c r="K520" s="253"/>
    </row>
    <row r="521" spans="1:11" ht="15.75" customHeight="1">
      <c r="A521" s="4"/>
      <c r="B521" s="2"/>
      <c r="C521" s="2"/>
      <c r="D521" s="2"/>
      <c r="E521" s="2"/>
      <c r="F521" s="2"/>
      <c r="G521" s="2"/>
      <c r="H521" s="2"/>
      <c r="I521" s="81"/>
      <c r="J521" s="2"/>
      <c r="K521" s="253"/>
    </row>
    <row r="522" spans="1:11" ht="15.75" customHeight="1">
      <c r="A522" s="4"/>
      <c r="B522" s="2"/>
      <c r="C522" s="2"/>
      <c r="D522" s="2"/>
      <c r="E522" s="2"/>
      <c r="F522" s="2"/>
      <c r="G522" s="2"/>
      <c r="H522" s="2"/>
      <c r="I522" s="81"/>
      <c r="J522" s="2"/>
      <c r="K522" s="253"/>
    </row>
    <row r="523" spans="1:11" ht="15.75" customHeight="1">
      <c r="A523" s="4"/>
      <c r="B523" s="2"/>
      <c r="C523" s="2"/>
      <c r="D523" s="2"/>
      <c r="E523" s="2"/>
      <c r="F523" s="2"/>
      <c r="G523" s="2"/>
      <c r="H523" s="2"/>
      <c r="I523" s="81"/>
      <c r="J523" s="2"/>
      <c r="K523" s="253"/>
    </row>
    <row r="524" spans="1:11" ht="15.75" customHeight="1">
      <c r="A524" s="4"/>
      <c r="B524" s="2"/>
      <c r="C524" s="2"/>
      <c r="D524" s="2"/>
      <c r="E524" s="2"/>
      <c r="F524" s="2"/>
      <c r="G524" s="2"/>
      <c r="H524" s="2"/>
      <c r="I524" s="81"/>
      <c r="J524" s="2"/>
      <c r="K524" s="253"/>
    </row>
    <row r="525" spans="1:11" ht="15.75" customHeight="1">
      <c r="A525" s="4"/>
      <c r="B525" s="2"/>
      <c r="C525" s="2"/>
      <c r="D525" s="2"/>
      <c r="E525" s="2"/>
      <c r="F525" s="2"/>
      <c r="G525" s="2"/>
      <c r="H525" s="2"/>
      <c r="I525" s="81"/>
      <c r="J525" s="2"/>
      <c r="K525" s="253"/>
    </row>
    <row r="526" spans="1:11" ht="15.75" customHeight="1">
      <c r="A526" s="4"/>
      <c r="B526" s="2"/>
      <c r="C526" s="2"/>
      <c r="D526" s="2"/>
      <c r="E526" s="2"/>
      <c r="F526" s="2"/>
      <c r="G526" s="2"/>
      <c r="H526" s="2"/>
      <c r="I526" s="81"/>
      <c r="J526" s="2"/>
      <c r="K526" s="253"/>
    </row>
    <row r="527" spans="1:11" ht="15.75" customHeight="1">
      <c r="A527" s="4"/>
      <c r="B527" s="2"/>
      <c r="C527" s="2"/>
      <c r="D527" s="2"/>
      <c r="E527" s="2"/>
      <c r="F527" s="2"/>
      <c r="G527" s="2"/>
      <c r="H527" s="2"/>
      <c r="I527" s="81"/>
      <c r="J527" s="2"/>
      <c r="K527" s="253"/>
    </row>
    <row r="528" spans="1:11" ht="15.75" customHeight="1">
      <c r="A528" s="4"/>
      <c r="B528" s="2"/>
      <c r="C528" s="2"/>
      <c r="D528" s="2"/>
      <c r="E528" s="2"/>
      <c r="F528" s="2"/>
      <c r="G528" s="2"/>
      <c r="H528" s="2"/>
      <c r="I528" s="81"/>
      <c r="J528" s="2"/>
      <c r="K528" s="253"/>
    </row>
    <row r="529" spans="1:11" ht="15.75" customHeight="1">
      <c r="A529" s="4"/>
      <c r="B529" s="2"/>
      <c r="C529" s="2"/>
      <c r="D529" s="2"/>
      <c r="E529" s="2"/>
      <c r="F529" s="2"/>
      <c r="G529" s="2"/>
      <c r="H529" s="2"/>
      <c r="I529" s="81"/>
      <c r="J529" s="2"/>
      <c r="K529" s="253"/>
    </row>
    <row r="530" spans="1:11" ht="15.75" customHeight="1">
      <c r="A530" s="4"/>
      <c r="B530" s="2"/>
      <c r="C530" s="2"/>
      <c r="D530" s="2"/>
      <c r="E530" s="2"/>
      <c r="F530" s="2"/>
      <c r="G530" s="2"/>
      <c r="H530" s="2"/>
      <c r="I530" s="81"/>
      <c r="J530" s="2"/>
      <c r="K530" s="253"/>
    </row>
    <row r="531" spans="1:11" ht="15.75" customHeight="1">
      <c r="A531" s="4"/>
      <c r="B531" s="2"/>
      <c r="C531" s="2"/>
      <c r="D531" s="2"/>
      <c r="E531" s="2"/>
      <c r="F531" s="2"/>
      <c r="G531" s="2"/>
      <c r="H531" s="2"/>
      <c r="I531" s="81"/>
      <c r="J531" s="2"/>
      <c r="K531" s="253"/>
    </row>
    <row r="532" spans="1:11" ht="15.75" customHeight="1">
      <c r="A532" s="4"/>
      <c r="B532" s="2"/>
      <c r="C532" s="2"/>
      <c r="D532" s="2"/>
      <c r="E532" s="2"/>
      <c r="F532" s="2"/>
      <c r="G532" s="2"/>
      <c r="H532" s="2"/>
      <c r="I532" s="81"/>
      <c r="J532" s="2"/>
      <c r="K532" s="253"/>
    </row>
    <row r="533" spans="1:11" ht="15.75" customHeight="1">
      <c r="A533" s="4"/>
      <c r="B533" s="2"/>
      <c r="C533" s="2"/>
      <c r="D533" s="2"/>
      <c r="E533" s="2"/>
      <c r="F533" s="2"/>
      <c r="G533" s="2"/>
      <c r="H533" s="2"/>
      <c r="I533" s="81"/>
      <c r="J533" s="2"/>
      <c r="K533" s="253"/>
    </row>
    <row r="534" spans="1:11" ht="15.75" customHeight="1">
      <c r="A534" s="4"/>
      <c r="B534" s="2"/>
      <c r="C534" s="2"/>
      <c r="D534" s="2"/>
      <c r="E534" s="2"/>
      <c r="F534" s="2"/>
      <c r="G534" s="2"/>
      <c r="H534" s="2"/>
      <c r="I534" s="81"/>
      <c r="J534" s="2"/>
      <c r="K534" s="253"/>
    </row>
    <row r="535" spans="1:11" ht="15.75" customHeight="1">
      <c r="A535" s="4"/>
      <c r="B535" s="2"/>
      <c r="C535" s="2"/>
      <c r="D535" s="2"/>
      <c r="E535" s="2"/>
      <c r="F535" s="2"/>
      <c r="G535" s="2"/>
      <c r="H535" s="2"/>
      <c r="I535" s="81"/>
      <c r="J535" s="2"/>
      <c r="K535" s="253"/>
    </row>
    <row r="536" spans="1:11" ht="15.75" customHeight="1">
      <c r="A536" s="4"/>
      <c r="B536" s="2"/>
      <c r="C536" s="2"/>
      <c r="D536" s="2"/>
      <c r="E536" s="2"/>
      <c r="F536" s="2"/>
      <c r="G536" s="2"/>
      <c r="H536" s="2"/>
      <c r="I536" s="81"/>
      <c r="J536" s="2"/>
      <c r="K536" s="253"/>
    </row>
    <row r="537" spans="1:11" ht="15.75" customHeight="1">
      <c r="A537" s="4"/>
      <c r="B537" s="2"/>
      <c r="C537" s="2"/>
      <c r="D537" s="2"/>
      <c r="E537" s="2"/>
      <c r="F537" s="2"/>
      <c r="G537" s="2"/>
      <c r="H537" s="2"/>
      <c r="I537" s="81"/>
      <c r="J537" s="2"/>
      <c r="K537" s="253"/>
    </row>
    <row r="538" spans="1:11" ht="15.75" customHeight="1">
      <c r="A538" s="4"/>
      <c r="B538" s="2"/>
      <c r="C538" s="2"/>
      <c r="D538" s="2"/>
      <c r="E538" s="2"/>
      <c r="F538" s="2"/>
      <c r="G538" s="2"/>
      <c r="H538" s="2"/>
      <c r="I538" s="81"/>
      <c r="J538" s="2"/>
      <c r="K538" s="253"/>
    </row>
    <row r="539" spans="1:11" ht="15.75" customHeight="1">
      <c r="A539" s="4"/>
      <c r="B539" s="2"/>
      <c r="C539" s="2"/>
      <c r="D539" s="2"/>
      <c r="E539" s="2"/>
      <c r="F539" s="2"/>
      <c r="G539" s="2"/>
      <c r="H539" s="2"/>
      <c r="I539" s="81"/>
      <c r="J539" s="2"/>
      <c r="K539" s="253"/>
    </row>
    <row r="540" spans="1:11" ht="15.75" customHeight="1">
      <c r="A540" s="4"/>
      <c r="B540" s="2"/>
      <c r="C540" s="2"/>
      <c r="D540" s="2"/>
      <c r="E540" s="2"/>
      <c r="F540" s="2"/>
      <c r="G540" s="2"/>
      <c r="H540" s="2"/>
      <c r="I540" s="81"/>
      <c r="J540" s="2"/>
      <c r="K540" s="253"/>
    </row>
    <row r="541" spans="1:11" ht="15.75" customHeight="1">
      <c r="A541" s="4"/>
      <c r="B541" s="2"/>
      <c r="C541" s="2"/>
      <c r="D541" s="2"/>
      <c r="E541" s="2"/>
      <c r="F541" s="2"/>
      <c r="G541" s="2"/>
      <c r="H541" s="2"/>
      <c r="I541" s="81"/>
      <c r="J541" s="2"/>
      <c r="K541" s="253"/>
    </row>
    <row r="542" spans="1:11" ht="15.75" customHeight="1">
      <c r="A542" s="4"/>
      <c r="B542" s="2"/>
      <c r="C542" s="2"/>
      <c r="D542" s="2"/>
      <c r="E542" s="2"/>
      <c r="F542" s="2"/>
      <c r="G542" s="2"/>
      <c r="H542" s="2"/>
      <c r="I542" s="81"/>
      <c r="J542" s="2"/>
      <c r="K542" s="253"/>
    </row>
    <row r="543" spans="1:11" ht="15.75" customHeight="1">
      <c r="A543" s="4"/>
      <c r="B543" s="2"/>
      <c r="C543" s="2"/>
      <c r="D543" s="2"/>
      <c r="E543" s="2"/>
      <c r="F543" s="2"/>
      <c r="G543" s="2"/>
      <c r="H543" s="2"/>
      <c r="I543" s="81"/>
      <c r="J543" s="2"/>
      <c r="K543" s="253"/>
    </row>
    <row r="544" spans="1:11" ht="15.75" customHeight="1">
      <c r="A544" s="4"/>
      <c r="B544" s="2"/>
      <c r="C544" s="2"/>
      <c r="D544" s="2"/>
      <c r="E544" s="2"/>
      <c r="F544" s="2"/>
      <c r="G544" s="2"/>
      <c r="H544" s="2"/>
      <c r="I544" s="81"/>
      <c r="J544" s="2"/>
      <c r="K544" s="253"/>
    </row>
    <row r="545" spans="1:11" ht="15.75" customHeight="1">
      <c r="A545" s="4"/>
      <c r="B545" s="2"/>
      <c r="C545" s="2"/>
      <c r="D545" s="2"/>
      <c r="E545" s="2"/>
      <c r="F545" s="2"/>
      <c r="G545" s="2"/>
      <c r="H545" s="2"/>
      <c r="I545" s="81"/>
      <c r="J545" s="2"/>
      <c r="K545" s="253"/>
    </row>
    <row r="546" spans="1:11" ht="15.75" customHeight="1">
      <c r="A546" s="4"/>
      <c r="B546" s="2"/>
      <c r="C546" s="2"/>
      <c r="D546" s="2"/>
      <c r="E546" s="2"/>
      <c r="F546" s="2"/>
      <c r="G546" s="2"/>
      <c r="H546" s="2"/>
      <c r="I546" s="81"/>
      <c r="J546" s="2"/>
      <c r="K546" s="253"/>
    </row>
    <row r="547" spans="1:11" ht="15.75" customHeight="1">
      <c r="A547" s="4"/>
      <c r="B547" s="2"/>
      <c r="C547" s="2"/>
      <c r="D547" s="2"/>
      <c r="E547" s="2"/>
      <c r="F547" s="2"/>
      <c r="G547" s="2"/>
      <c r="H547" s="2"/>
      <c r="I547" s="81"/>
      <c r="J547" s="2"/>
      <c r="K547" s="253"/>
    </row>
    <row r="548" spans="1:11" ht="15.75" customHeight="1">
      <c r="A548" s="4"/>
      <c r="B548" s="2"/>
      <c r="C548" s="2"/>
      <c r="D548" s="2"/>
      <c r="E548" s="2"/>
      <c r="F548" s="2"/>
      <c r="G548" s="2"/>
      <c r="H548" s="2"/>
      <c r="I548" s="81"/>
      <c r="J548" s="2"/>
      <c r="K548" s="253"/>
    </row>
    <row r="549" spans="1:11" ht="15.75" customHeight="1">
      <c r="A549" s="4"/>
      <c r="B549" s="2"/>
      <c r="C549" s="2"/>
      <c r="D549" s="2"/>
      <c r="E549" s="2"/>
      <c r="F549" s="2"/>
      <c r="G549" s="2"/>
      <c r="H549" s="2"/>
      <c r="I549" s="81"/>
      <c r="J549" s="2"/>
      <c r="K549" s="253"/>
    </row>
    <row r="550" spans="1:11" ht="15.75" customHeight="1">
      <c r="A550" s="4"/>
      <c r="B550" s="2"/>
      <c r="C550" s="2"/>
      <c r="D550" s="2"/>
      <c r="E550" s="2"/>
      <c r="F550" s="2"/>
      <c r="G550" s="2"/>
      <c r="H550" s="2"/>
      <c r="I550" s="81"/>
      <c r="J550" s="2"/>
      <c r="K550" s="253"/>
    </row>
    <row r="551" spans="1:11" ht="15.75" customHeight="1">
      <c r="A551" s="4"/>
      <c r="B551" s="2"/>
      <c r="C551" s="2"/>
      <c r="D551" s="2"/>
      <c r="E551" s="2"/>
      <c r="F551" s="2"/>
      <c r="G551" s="2"/>
      <c r="H551" s="2"/>
      <c r="I551" s="81"/>
      <c r="J551" s="2"/>
      <c r="K551" s="253"/>
    </row>
    <row r="552" spans="1:11" ht="15.75" customHeight="1">
      <c r="A552" s="4"/>
      <c r="B552" s="2"/>
      <c r="C552" s="2"/>
      <c r="D552" s="2"/>
      <c r="E552" s="2"/>
      <c r="F552" s="2"/>
      <c r="G552" s="2"/>
      <c r="H552" s="2"/>
      <c r="I552" s="81"/>
      <c r="J552" s="2"/>
      <c r="K552" s="253"/>
    </row>
    <row r="553" spans="1:11" ht="15.75" customHeight="1">
      <c r="A553" s="4"/>
      <c r="B553" s="2"/>
      <c r="C553" s="2"/>
      <c r="D553" s="2"/>
      <c r="E553" s="2"/>
      <c r="F553" s="2"/>
      <c r="G553" s="2"/>
      <c r="H553" s="2"/>
      <c r="I553" s="81"/>
      <c r="J553" s="2"/>
      <c r="K553" s="253"/>
    </row>
    <row r="554" spans="1:11" ht="15.75" customHeight="1">
      <c r="A554" s="4"/>
      <c r="B554" s="2"/>
      <c r="C554" s="2"/>
      <c r="D554" s="2"/>
      <c r="E554" s="2"/>
      <c r="F554" s="2"/>
      <c r="G554" s="2"/>
      <c r="H554" s="2"/>
      <c r="I554" s="81"/>
      <c r="J554" s="2"/>
      <c r="K554" s="253"/>
    </row>
    <row r="555" spans="1:11" ht="15.75" customHeight="1">
      <c r="A555" s="4"/>
      <c r="B555" s="2"/>
      <c r="C555" s="2"/>
      <c r="D555" s="2"/>
      <c r="E555" s="2"/>
      <c r="F555" s="2"/>
      <c r="G555" s="2"/>
      <c r="H555" s="2"/>
      <c r="I555" s="81"/>
      <c r="J555" s="2"/>
      <c r="K555" s="253"/>
    </row>
    <row r="556" spans="1:11" ht="15.75" customHeight="1">
      <c r="A556" s="4"/>
      <c r="B556" s="2"/>
      <c r="C556" s="2"/>
      <c r="D556" s="2"/>
      <c r="E556" s="2"/>
      <c r="F556" s="2"/>
      <c r="G556" s="2"/>
      <c r="H556" s="2"/>
      <c r="I556" s="81"/>
      <c r="J556" s="2"/>
      <c r="K556" s="253"/>
    </row>
    <row r="557" spans="1:11" ht="15.75" customHeight="1">
      <c r="A557" s="4"/>
      <c r="B557" s="2"/>
      <c r="C557" s="2"/>
      <c r="D557" s="2"/>
      <c r="E557" s="2"/>
      <c r="F557" s="2"/>
      <c r="G557" s="2"/>
      <c r="H557" s="2"/>
      <c r="I557" s="81"/>
      <c r="J557" s="2"/>
      <c r="K557" s="253"/>
    </row>
    <row r="558" spans="1:11" ht="15.75" customHeight="1">
      <c r="A558" s="4"/>
      <c r="B558" s="2"/>
      <c r="C558" s="2"/>
      <c r="D558" s="2"/>
      <c r="E558" s="2"/>
      <c r="F558" s="2"/>
      <c r="G558" s="2"/>
      <c r="H558" s="2"/>
      <c r="I558" s="81"/>
      <c r="J558" s="2"/>
      <c r="K558" s="253"/>
    </row>
    <row r="559" spans="1:11" ht="15.75" customHeight="1">
      <c r="A559" s="4"/>
      <c r="B559" s="2"/>
      <c r="C559" s="2"/>
      <c r="D559" s="2"/>
      <c r="E559" s="2"/>
      <c r="F559" s="2"/>
      <c r="G559" s="2"/>
      <c r="H559" s="2"/>
      <c r="I559" s="81"/>
      <c r="J559" s="2"/>
      <c r="K559" s="253"/>
    </row>
    <row r="560" spans="1:11" ht="15.75" customHeight="1">
      <c r="A560" s="4"/>
      <c r="B560" s="2"/>
      <c r="C560" s="2"/>
      <c r="D560" s="2"/>
      <c r="E560" s="2"/>
      <c r="F560" s="2"/>
      <c r="G560" s="2"/>
      <c r="H560" s="2"/>
      <c r="I560" s="81"/>
      <c r="J560" s="2"/>
      <c r="K560" s="253"/>
    </row>
    <row r="561" spans="1:11" ht="15.75" customHeight="1">
      <c r="A561" s="4"/>
      <c r="B561" s="2"/>
      <c r="C561" s="2"/>
      <c r="D561" s="2"/>
      <c r="E561" s="2"/>
      <c r="F561" s="2"/>
      <c r="G561" s="2"/>
      <c r="H561" s="2"/>
      <c r="I561" s="81"/>
      <c r="J561" s="2"/>
      <c r="K561" s="253"/>
    </row>
    <row r="562" spans="1:11" ht="15.75" customHeight="1">
      <c r="A562" s="4"/>
      <c r="B562" s="2"/>
      <c r="C562" s="2"/>
      <c r="D562" s="2"/>
      <c r="E562" s="2"/>
      <c r="F562" s="2"/>
      <c r="G562" s="2"/>
      <c r="H562" s="2"/>
      <c r="I562" s="81"/>
      <c r="J562" s="2"/>
      <c r="K562" s="253"/>
    </row>
    <row r="563" spans="1:11" ht="15.75" customHeight="1">
      <c r="A563" s="4"/>
      <c r="B563" s="2"/>
      <c r="C563" s="2"/>
      <c r="D563" s="2"/>
      <c r="E563" s="2"/>
      <c r="F563" s="2"/>
      <c r="G563" s="2"/>
      <c r="H563" s="2"/>
      <c r="I563" s="81"/>
      <c r="J563" s="2"/>
      <c r="K563" s="253"/>
    </row>
    <row r="564" spans="1:11" ht="15.75" customHeight="1">
      <c r="A564" s="4"/>
      <c r="B564" s="2"/>
      <c r="C564" s="2"/>
      <c r="D564" s="2"/>
      <c r="E564" s="2"/>
      <c r="F564" s="2"/>
      <c r="G564" s="2"/>
      <c r="H564" s="2"/>
      <c r="I564" s="81"/>
      <c r="J564" s="2"/>
      <c r="K564" s="253"/>
    </row>
    <row r="565" spans="1:11" ht="15.75" customHeight="1">
      <c r="A565" s="4"/>
      <c r="B565" s="2"/>
      <c r="C565" s="2"/>
      <c r="D565" s="2"/>
      <c r="E565" s="2"/>
      <c r="F565" s="2"/>
      <c r="G565" s="2"/>
      <c r="H565" s="2"/>
      <c r="I565" s="81"/>
      <c r="J565" s="2"/>
      <c r="K565" s="253"/>
    </row>
    <row r="566" spans="1:11" ht="15.75" customHeight="1">
      <c r="A566" s="4"/>
      <c r="B566" s="2"/>
      <c r="C566" s="2"/>
      <c r="D566" s="2"/>
      <c r="E566" s="2"/>
      <c r="F566" s="2"/>
      <c r="G566" s="2"/>
      <c r="H566" s="2"/>
      <c r="I566" s="81"/>
      <c r="J566" s="2"/>
      <c r="K566" s="253"/>
    </row>
    <row r="567" spans="1:11" ht="15.75" customHeight="1">
      <c r="A567" s="4"/>
      <c r="B567" s="2"/>
      <c r="C567" s="2"/>
      <c r="D567" s="2"/>
      <c r="E567" s="2"/>
      <c r="F567" s="2"/>
      <c r="G567" s="2"/>
      <c r="H567" s="2"/>
      <c r="I567" s="81"/>
      <c r="J567" s="2"/>
      <c r="K567" s="253"/>
    </row>
    <row r="568" spans="1:11" ht="15.75" customHeight="1">
      <c r="A568" s="4"/>
      <c r="B568" s="2"/>
      <c r="C568" s="2"/>
      <c r="D568" s="2"/>
      <c r="E568" s="2"/>
      <c r="F568" s="2"/>
      <c r="G568" s="2"/>
      <c r="H568" s="2"/>
      <c r="I568" s="81"/>
      <c r="J568" s="2"/>
      <c r="K568" s="253"/>
    </row>
    <row r="569" spans="1:11" ht="15.75" customHeight="1">
      <c r="A569" s="4"/>
      <c r="B569" s="2"/>
      <c r="C569" s="2"/>
      <c r="D569" s="2"/>
      <c r="E569" s="2"/>
      <c r="F569" s="2"/>
      <c r="G569" s="2"/>
      <c r="H569" s="2"/>
      <c r="I569" s="81"/>
      <c r="J569" s="2"/>
      <c r="K569" s="253"/>
    </row>
    <row r="570" spans="1:11" ht="15.75" customHeight="1">
      <c r="A570" s="4"/>
      <c r="B570" s="2"/>
      <c r="C570" s="2"/>
      <c r="D570" s="2"/>
      <c r="E570" s="2"/>
      <c r="F570" s="2"/>
      <c r="G570" s="2"/>
      <c r="H570" s="2"/>
      <c r="I570" s="81"/>
      <c r="J570" s="2"/>
      <c r="K570" s="253"/>
    </row>
    <row r="571" spans="1:11" ht="15.75" customHeight="1">
      <c r="A571" s="4"/>
      <c r="B571" s="2"/>
      <c r="C571" s="2"/>
      <c r="D571" s="2"/>
      <c r="E571" s="2"/>
      <c r="F571" s="2"/>
      <c r="G571" s="2"/>
      <c r="H571" s="2"/>
      <c r="I571" s="81"/>
      <c r="J571" s="2"/>
      <c r="K571" s="253"/>
    </row>
    <row r="572" spans="1:11" ht="15.75" customHeight="1">
      <c r="A572" s="4"/>
      <c r="B572" s="2"/>
      <c r="C572" s="2"/>
      <c r="D572" s="2"/>
      <c r="E572" s="2"/>
      <c r="F572" s="2"/>
      <c r="G572" s="2"/>
      <c r="H572" s="2"/>
      <c r="I572" s="81"/>
      <c r="J572" s="2"/>
      <c r="K572" s="253"/>
    </row>
    <row r="573" spans="1:11" ht="15.75" customHeight="1">
      <c r="A573" s="4"/>
      <c r="B573" s="2"/>
      <c r="C573" s="2"/>
      <c r="D573" s="2"/>
      <c r="E573" s="2"/>
      <c r="F573" s="2"/>
      <c r="G573" s="2"/>
      <c r="H573" s="2"/>
      <c r="I573" s="81"/>
      <c r="J573" s="2"/>
      <c r="K573" s="253"/>
    </row>
    <row r="574" spans="1:11" ht="15.75" customHeight="1">
      <c r="A574" s="4"/>
      <c r="B574" s="2"/>
      <c r="C574" s="2"/>
      <c r="D574" s="2"/>
      <c r="E574" s="2"/>
      <c r="F574" s="2"/>
      <c r="G574" s="2"/>
      <c r="H574" s="2"/>
      <c r="I574" s="81"/>
      <c r="J574" s="2"/>
      <c r="K574" s="253"/>
    </row>
    <row r="575" spans="1:11" ht="15.75" customHeight="1">
      <c r="A575" s="4"/>
      <c r="B575" s="2"/>
      <c r="C575" s="2"/>
      <c r="D575" s="2"/>
      <c r="E575" s="2"/>
      <c r="F575" s="2"/>
      <c r="G575" s="2"/>
      <c r="H575" s="2"/>
      <c r="I575" s="81"/>
      <c r="J575" s="2"/>
      <c r="K575" s="253"/>
    </row>
    <row r="576" spans="1:11" ht="15.75" customHeight="1">
      <c r="A576" s="4"/>
      <c r="B576" s="2"/>
      <c r="C576" s="2"/>
      <c r="D576" s="2"/>
      <c r="E576" s="2"/>
      <c r="F576" s="2"/>
      <c r="G576" s="2"/>
      <c r="H576" s="2"/>
      <c r="I576" s="81"/>
      <c r="J576" s="2"/>
      <c r="K576" s="253"/>
    </row>
    <row r="577" spans="1:11" ht="15.75" customHeight="1">
      <c r="A577" s="4"/>
      <c r="B577" s="2"/>
      <c r="C577" s="2"/>
      <c r="D577" s="2"/>
      <c r="E577" s="2"/>
      <c r="F577" s="2"/>
      <c r="G577" s="2"/>
      <c r="H577" s="2"/>
      <c r="I577" s="81"/>
      <c r="J577" s="2"/>
      <c r="K577" s="253"/>
    </row>
    <row r="578" spans="1:11" ht="15.75" customHeight="1">
      <c r="A578" s="4"/>
      <c r="B578" s="2"/>
      <c r="C578" s="2"/>
      <c r="D578" s="2"/>
      <c r="E578" s="2"/>
      <c r="F578" s="2"/>
      <c r="G578" s="2"/>
      <c r="H578" s="2"/>
      <c r="I578" s="81"/>
      <c r="J578" s="2"/>
      <c r="K578" s="253"/>
    </row>
    <row r="579" spans="1:11" ht="15.75" customHeight="1">
      <c r="A579" s="4"/>
      <c r="B579" s="2"/>
      <c r="C579" s="2"/>
      <c r="D579" s="2"/>
      <c r="E579" s="2"/>
      <c r="F579" s="2"/>
      <c r="G579" s="2"/>
      <c r="H579" s="2"/>
      <c r="I579" s="81"/>
      <c r="J579" s="2"/>
      <c r="K579" s="253"/>
    </row>
    <row r="580" spans="1:11" ht="15.75" customHeight="1">
      <c r="A580" s="4"/>
      <c r="B580" s="2"/>
      <c r="C580" s="2"/>
      <c r="D580" s="2"/>
      <c r="E580" s="2"/>
      <c r="F580" s="2"/>
      <c r="G580" s="2"/>
      <c r="H580" s="2"/>
      <c r="I580" s="81"/>
      <c r="J580" s="2"/>
      <c r="K580" s="253"/>
    </row>
    <row r="581" spans="1:11" ht="15.75" customHeight="1">
      <c r="A581" s="4"/>
      <c r="B581" s="2"/>
      <c r="C581" s="2"/>
      <c r="D581" s="2"/>
      <c r="E581" s="2"/>
      <c r="F581" s="2"/>
      <c r="G581" s="2"/>
      <c r="H581" s="2"/>
      <c r="I581" s="81"/>
      <c r="J581" s="2"/>
      <c r="K581" s="253"/>
    </row>
    <row r="582" spans="1:11" ht="15.75" customHeight="1">
      <c r="A582" s="4"/>
      <c r="B582" s="2"/>
      <c r="C582" s="2"/>
      <c r="D582" s="2"/>
      <c r="E582" s="2"/>
      <c r="F582" s="2"/>
      <c r="G582" s="2"/>
      <c r="H582" s="2"/>
      <c r="I582" s="81"/>
      <c r="J582" s="2"/>
      <c r="K582" s="253"/>
    </row>
    <row r="583" spans="1:11" ht="15.75" customHeight="1">
      <c r="A583" s="4"/>
      <c r="B583" s="2"/>
      <c r="C583" s="2"/>
      <c r="D583" s="2"/>
      <c r="E583" s="2"/>
      <c r="F583" s="2"/>
      <c r="G583" s="2"/>
      <c r="H583" s="2"/>
      <c r="I583" s="81"/>
      <c r="J583" s="2"/>
      <c r="K583" s="253"/>
    </row>
    <row r="584" spans="1:11" ht="15.75" customHeight="1">
      <c r="A584" s="4"/>
      <c r="B584" s="2"/>
      <c r="C584" s="2"/>
      <c r="D584" s="2"/>
      <c r="E584" s="2"/>
      <c r="F584" s="2"/>
      <c r="G584" s="2"/>
      <c r="H584" s="2"/>
      <c r="I584" s="81"/>
      <c r="J584" s="2"/>
      <c r="K584" s="253"/>
    </row>
    <row r="585" spans="1:11" ht="15.75" customHeight="1">
      <c r="A585" s="4"/>
      <c r="B585" s="2"/>
      <c r="C585" s="2"/>
      <c r="D585" s="2"/>
      <c r="E585" s="2"/>
      <c r="F585" s="2"/>
      <c r="G585" s="2"/>
      <c r="H585" s="2"/>
      <c r="I585" s="81"/>
      <c r="J585" s="2"/>
      <c r="K585" s="253"/>
    </row>
    <row r="586" spans="1:11" ht="15.75" customHeight="1">
      <c r="A586" s="4"/>
      <c r="B586" s="2"/>
      <c r="C586" s="2"/>
      <c r="D586" s="2"/>
      <c r="E586" s="2"/>
      <c r="F586" s="2"/>
      <c r="G586" s="2"/>
      <c r="H586" s="2"/>
      <c r="I586" s="81"/>
      <c r="J586" s="2"/>
      <c r="K586" s="253"/>
    </row>
    <row r="587" spans="1:11" ht="15.75" customHeight="1">
      <c r="A587" s="4"/>
      <c r="B587" s="2"/>
      <c r="C587" s="2"/>
      <c r="D587" s="2"/>
      <c r="E587" s="2"/>
      <c r="F587" s="2"/>
      <c r="G587" s="2"/>
      <c r="H587" s="2"/>
      <c r="I587" s="81"/>
      <c r="J587" s="2"/>
      <c r="K587" s="253"/>
    </row>
    <row r="588" spans="1:11" ht="15.75" customHeight="1">
      <c r="A588" s="4"/>
      <c r="B588" s="2"/>
      <c r="C588" s="2"/>
      <c r="D588" s="2"/>
      <c r="E588" s="2"/>
      <c r="F588" s="2"/>
      <c r="G588" s="2"/>
      <c r="H588" s="2"/>
      <c r="I588" s="81"/>
      <c r="J588" s="2"/>
      <c r="K588" s="253"/>
    </row>
    <row r="589" spans="1:11" ht="15.75" customHeight="1">
      <c r="A589" s="4"/>
      <c r="B589" s="2"/>
      <c r="C589" s="2"/>
      <c r="D589" s="2"/>
      <c r="E589" s="2"/>
      <c r="F589" s="2"/>
      <c r="G589" s="2"/>
      <c r="H589" s="2"/>
      <c r="I589" s="81"/>
      <c r="J589" s="2"/>
      <c r="K589" s="253"/>
    </row>
    <row r="590" spans="1:11" ht="15.75" customHeight="1">
      <c r="A590" s="4"/>
      <c r="B590" s="2"/>
      <c r="C590" s="2"/>
      <c r="D590" s="2"/>
      <c r="E590" s="2"/>
      <c r="F590" s="2"/>
      <c r="G590" s="2"/>
      <c r="H590" s="2"/>
      <c r="I590" s="81"/>
      <c r="J590" s="2"/>
      <c r="K590" s="253"/>
    </row>
    <row r="591" spans="1:11" ht="15.75" customHeight="1">
      <c r="A591" s="4"/>
      <c r="B591" s="2"/>
      <c r="C591" s="2"/>
      <c r="D591" s="2"/>
      <c r="E591" s="2"/>
      <c r="F591" s="2"/>
      <c r="G591" s="2"/>
      <c r="H591" s="2"/>
      <c r="I591" s="81"/>
      <c r="J591" s="2"/>
      <c r="K591" s="253"/>
    </row>
    <row r="592" spans="1:11" ht="15.75" customHeight="1">
      <c r="A592" s="4"/>
      <c r="B592" s="2"/>
      <c r="C592" s="2"/>
      <c r="D592" s="2"/>
      <c r="E592" s="2"/>
      <c r="F592" s="2"/>
      <c r="G592" s="2"/>
      <c r="H592" s="2"/>
      <c r="I592" s="81"/>
      <c r="J592" s="2"/>
      <c r="K592" s="253"/>
    </row>
    <row r="593" spans="1:11" ht="15.75" customHeight="1">
      <c r="A593" s="4"/>
      <c r="B593" s="2"/>
      <c r="C593" s="2"/>
      <c r="D593" s="2"/>
      <c r="E593" s="2"/>
      <c r="F593" s="2"/>
      <c r="G593" s="2"/>
      <c r="H593" s="2"/>
      <c r="I593" s="81"/>
      <c r="J593" s="2"/>
      <c r="K593" s="253"/>
    </row>
    <row r="594" spans="1:11" ht="15.75" customHeight="1">
      <c r="A594" s="4"/>
      <c r="B594" s="2"/>
      <c r="C594" s="2"/>
      <c r="D594" s="2"/>
      <c r="E594" s="2"/>
      <c r="F594" s="2"/>
      <c r="G594" s="2"/>
      <c r="H594" s="2"/>
      <c r="I594" s="81"/>
      <c r="J594" s="2"/>
      <c r="K594" s="253"/>
    </row>
    <row r="595" spans="1:11" ht="15.75" customHeight="1">
      <c r="A595" s="4"/>
      <c r="B595" s="2"/>
      <c r="C595" s="2"/>
      <c r="D595" s="2"/>
      <c r="E595" s="2"/>
      <c r="F595" s="2"/>
      <c r="G595" s="2"/>
      <c r="H595" s="2"/>
      <c r="I595" s="81"/>
      <c r="J595" s="2"/>
      <c r="K595" s="253"/>
    </row>
    <row r="596" spans="1:11" ht="15.75" customHeight="1">
      <c r="A596" s="4"/>
      <c r="B596" s="2"/>
      <c r="C596" s="2"/>
      <c r="D596" s="2"/>
      <c r="E596" s="2"/>
      <c r="F596" s="2"/>
      <c r="G596" s="2"/>
      <c r="H596" s="2"/>
      <c r="I596" s="81"/>
      <c r="J596" s="2"/>
      <c r="K596" s="253"/>
    </row>
    <row r="597" spans="1:11" ht="15.75" customHeight="1">
      <c r="A597" s="4"/>
      <c r="B597" s="2"/>
      <c r="C597" s="2"/>
      <c r="D597" s="2"/>
      <c r="E597" s="2"/>
      <c r="F597" s="2"/>
      <c r="G597" s="2"/>
      <c r="H597" s="2"/>
      <c r="I597" s="81"/>
      <c r="J597" s="2"/>
      <c r="K597" s="253"/>
    </row>
    <row r="598" spans="1:11" ht="15.75" customHeight="1">
      <c r="A598" s="4"/>
      <c r="B598" s="2"/>
      <c r="C598" s="2"/>
      <c r="D598" s="2"/>
      <c r="E598" s="2"/>
      <c r="F598" s="2"/>
      <c r="G598" s="2"/>
      <c r="H598" s="2"/>
      <c r="I598" s="81"/>
      <c r="J598" s="2"/>
      <c r="K598" s="253"/>
    </row>
    <row r="599" spans="1:11" ht="15.75" customHeight="1">
      <c r="A599" s="4"/>
      <c r="B599" s="2"/>
      <c r="C599" s="2"/>
      <c r="D599" s="2"/>
      <c r="E599" s="2"/>
      <c r="F599" s="2"/>
      <c r="G599" s="2"/>
      <c r="H599" s="2"/>
      <c r="I599" s="81"/>
      <c r="J599" s="2"/>
      <c r="K599" s="253"/>
    </row>
    <row r="600" spans="1:11" ht="15.75" customHeight="1">
      <c r="A600" s="4"/>
      <c r="B600" s="2"/>
      <c r="C600" s="2"/>
      <c r="D600" s="2"/>
      <c r="E600" s="2"/>
      <c r="F600" s="2"/>
      <c r="G600" s="2"/>
      <c r="H600" s="2"/>
      <c r="I600" s="81"/>
      <c r="J600" s="2"/>
      <c r="K600" s="253"/>
    </row>
    <row r="601" spans="1:11" ht="15.75" customHeight="1">
      <c r="A601" s="4"/>
      <c r="B601" s="2"/>
      <c r="C601" s="2"/>
      <c r="D601" s="2"/>
      <c r="E601" s="2"/>
      <c r="F601" s="2"/>
      <c r="G601" s="2"/>
      <c r="H601" s="2"/>
      <c r="I601" s="81"/>
      <c r="J601" s="2"/>
      <c r="K601" s="253"/>
    </row>
    <row r="602" spans="1:11" ht="15.75" customHeight="1">
      <c r="A602" s="4"/>
      <c r="B602" s="2"/>
      <c r="C602" s="2"/>
      <c r="D602" s="2"/>
      <c r="E602" s="2"/>
      <c r="F602" s="2"/>
      <c r="G602" s="2"/>
      <c r="H602" s="2"/>
      <c r="I602" s="81"/>
      <c r="J602" s="2"/>
      <c r="K602" s="253"/>
    </row>
    <row r="603" spans="1:11" ht="15.75" customHeight="1">
      <c r="A603" s="4"/>
      <c r="B603" s="2"/>
      <c r="C603" s="2"/>
      <c r="D603" s="2"/>
      <c r="E603" s="2"/>
      <c r="F603" s="2"/>
      <c r="G603" s="2"/>
      <c r="H603" s="2"/>
      <c r="I603" s="81"/>
      <c r="J603" s="2"/>
      <c r="K603" s="253"/>
    </row>
    <row r="604" spans="1:11" ht="15.75" customHeight="1">
      <c r="A604" s="4"/>
      <c r="B604" s="2"/>
      <c r="C604" s="2"/>
      <c r="D604" s="2"/>
      <c r="E604" s="2"/>
      <c r="F604" s="2"/>
      <c r="G604" s="2"/>
      <c r="H604" s="2"/>
      <c r="I604" s="81"/>
      <c r="J604" s="2"/>
      <c r="K604" s="253"/>
    </row>
    <row r="605" spans="1:11" ht="15.75" customHeight="1">
      <c r="A605" s="4"/>
      <c r="B605" s="2"/>
      <c r="C605" s="2"/>
      <c r="D605" s="2"/>
      <c r="E605" s="2"/>
      <c r="F605" s="2"/>
      <c r="G605" s="2"/>
      <c r="H605" s="2"/>
      <c r="I605" s="81"/>
      <c r="J605" s="2"/>
      <c r="K605" s="253"/>
    </row>
    <row r="606" spans="1:11" ht="15.75" customHeight="1">
      <c r="A606" s="4"/>
      <c r="B606" s="2"/>
      <c r="C606" s="2"/>
      <c r="D606" s="2"/>
      <c r="E606" s="2"/>
      <c r="F606" s="2"/>
      <c r="G606" s="2"/>
      <c r="H606" s="2"/>
      <c r="I606" s="81"/>
      <c r="J606" s="2"/>
      <c r="K606" s="253"/>
    </row>
    <row r="607" spans="1:11" ht="15.75" customHeight="1">
      <c r="A607" s="4"/>
      <c r="B607" s="2"/>
      <c r="C607" s="2"/>
      <c r="D607" s="2"/>
      <c r="E607" s="2"/>
      <c r="F607" s="2"/>
      <c r="G607" s="2"/>
      <c r="H607" s="2"/>
      <c r="I607" s="81"/>
      <c r="J607" s="2"/>
      <c r="K607" s="253"/>
    </row>
    <row r="608" spans="1:11" ht="15.75" customHeight="1">
      <c r="A608" s="4"/>
      <c r="B608" s="2"/>
      <c r="C608" s="2"/>
      <c r="D608" s="2"/>
      <c r="E608" s="2"/>
      <c r="F608" s="2"/>
      <c r="G608" s="2"/>
      <c r="H608" s="2"/>
      <c r="I608" s="81"/>
      <c r="J608" s="2"/>
      <c r="K608" s="253"/>
    </row>
    <row r="609" spans="1:11" ht="15.75" customHeight="1">
      <c r="A609" s="4"/>
      <c r="B609" s="2"/>
      <c r="C609" s="2"/>
      <c r="D609" s="2"/>
      <c r="E609" s="2"/>
      <c r="F609" s="2"/>
      <c r="G609" s="2"/>
      <c r="H609" s="2"/>
      <c r="I609" s="81"/>
      <c r="J609" s="2"/>
      <c r="K609" s="253"/>
    </row>
    <row r="610" spans="1:11" ht="15.75" customHeight="1">
      <c r="A610" s="4"/>
      <c r="B610" s="2"/>
      <c r="C610" s="2"/>
      <c r="D610" s="2"/>
      <c r="E610" s="2"/>
      <c r="F610" s="2"/>
      <c r="G610" s="2"/>
      <c r="H610" s="2"/>
      <c r="I610" s="81"/>
      <c r="J610" s="2"/>
      <c r="K610" s="253"/>
    </row>
    <row r="611" spans="1:11" ht="15.75" customHeight="1">
      <c r="A611" s="4"/>
      <c r="B611" s="2"/>
      <c r="C611" s="2"/>
      <c r="D611" s="2"/>
      <c r="E611" s="2"/>
      <c r="F611" s="2"/>
      <c r="G611" s="2"/>
      <c r="H611" s="2"/>
      <c r="I611" s="81"/>
      <c r="J611" s="2"/>
      <c r="K611" s="253"/>
    </row>
    <row r="612" spans="1:11" ht="15.75" customHeight="1">
      <c r="A612" s="4"/>
      <c r="B612" s="2"/>
      <c r="C612" s="2"/>
      <c r="D612" s="2"/>
      <c r="E612" s="2"/>
      <c r="F612" s="2"/>
      <c r="G612" s="2"/>
      <c r="H612" s="2"/>
      <c r="I612" s="81"/>
      <c r="J612" s="2"/>
      <c r="K612" s="253"/>
    </row>
    <row r="613" spans="1:11" ht="15.75" customHeight="1">
      <c r="A613" s="4"/>
      <c r="B613" s="2"/>
      <c r="C613" s="2"/>
      <c r="D613" s="2"/>
      <c r="E613" s="2"/>
      <c r="F613" s="2"/>
      <c r="G613" s="2"/>
      <c r="H613" s="2"/>
      <c r="I613" s="81"/>
      <c r="J613" s="2"/>
      <c r="K613" s="253"/>
    </row>
    <row r="614" spans="1:11" ht="15.75" customHeight="1">
      <c r="A614" s="4"/>
      <c r="B614" s="2"/>
      <c r="C614" s="2"/>
      <c r="D614" s="2"/>
      <c r="E614" s="2"/>
      <c r="F614" s="2"/>
      <c r="G614" s="2"/>
      <c r="H614" s="2"/>
      <c r="I614" s="81"/>
      <c r="J614" s="2"/>
      <c r="K614" s="253"/>
    </row>
    <row r="615" spans="1:11" ht="15.75" customHeight="1">
      <c r="A615" s="4"/>
      <c r="B615" s="2"/>
      <c r="C615" s="2"/>
      <c r="D615" s="2"/>
      <c r="E615" s="2"/>
      <c r="F615" s="2"/>
      <c r="G615" s="2"/>
      <c r="H615" s="2"/>
      <c r="I615" s="81"/>
      <c r="J615" s="2"/>
      <c r="K615" s="253"/>
    </row>
    <row r="616" spans="1:11" ht="15.75" customHeight="1">
      <c r="A616" s="4"/>
      <c r="B616" s="2"/>
      <c r="C616" s="2"/>
      <c r="D616" s="2"/>
      <c r="E616" s="2"/>
      <c r="F616" s="2"/>
      <c r="G616" s="2"/>
      <c r="H616" s="2"/>
      <c r="I616" s="81"/>
      <c r="J616" s="2"/>
      <c r="K616" s="253"/>
    </row>
    <row r="617" spans="1:11" ht="15.75" customHeight="1">
      <c r="A617" s="4"/>
      <c r="B617" s="2"/>
      <c r="C617" s="2"/>
      <c r="D617" s="2"/>
      <c r="E617" s="2"/>
      <c r="F617" s="2"/>
      <c r="G617" s="2"/>
      <c r="H617" s="2"/>
      <c r="I617" s="81"/>
      <c r="J617" s="2"/>
      <c r="K617" s="253"/>
    </row>
    <row r="618" spans="1:11" ht="15.75" customHeight="1">
      <c r="A618" s="4"/>
      <c r="B618" s="2"/>
      <c r="C618" s="2"/>
      <c r="D618" s="2"/>
      <c r="E618" s="2"/>
      <c r="F618" s="2"/>
      <c r="G618" s="2"/>
      <c r="H618" s="2"/>
      <c r="I618" s="81"/>
      <c r="J618" s="2"/>
      <c r="K618" s="253"/>
    </row>
    <row r="619" spans="1:11" ht="15.75" customHeight="1">
      <c r="A619" s="4"/>
      <c r="B619" s="2"/>
      <c r="C619" s="2"/>
      <c r="D619" s="2"/>
      <c r="E619" s="2"/>
      <c r="F619" s="2"/>
      <c r="G619" s="2"/>
      <c r="H619" s="2"/>
      <c r="I619" s="81"/>
      <c r="J619" s="2"/>
      <c r="K619" s="253"/>
    </row>
    <row r="620" spans="1:11" ht="15.75" customHeight="1">
      <c r="A620" s="4"/>
      <c r="B620" s="2"/>
      <c r="C620" s="2"/>
      <c r="D620" s="2"/>
      <c r="E620" s="2"/>
      <c r="F620" s="2"/>
      <c r="G620" s="2"/>
      <c r="H620" s="2"/>
      <c r="I620" s="81"/>
      <c r="J620" s="2"/>
      <c r="K620" s="253"/>
    </row>
    <row r="621" spans="1:11" ht="15.75" customHeight="1">
      <c r="A621" s="4"/>
      <c r="B621" s="2"/>
      <c r="C621" s="2"/>
      <c r="D621" s="2"/>
      <c r="E621" s="2"/>
      <c r="F621" s="2"/>
      <c r="G621" s="2"/>
      <c r="H621" s="2"/>
      <c r="I621" s="81"/>
      <c r="J621" s="2"/>
      <c r="K621" s="253"/>
    </row>
    <row r="622" spans="1:11" ht="15.75" customHeight="1">
      <c r="A622" s="4"/>
      <c r="B622" s="2"/>
      <c r="C622" s="2"/>
      <c r="D622" s="2"/>
      <c r="E622" s="2"/>
      <c r="F622" s="2"/>
      <c r="G622" s="2"/>
      <c r="H622" s="2"/>
      <c r="I622" s="81"/>
      <c r="J622" s="2"/>
      <c r="K622" s="253"/>
    </row>
    <row r="623" spans="1:11" ht="15.75" customHeight="1">
      <c r="A623" s="4"/>
      <c r="B623" s="2"/>
      <c r="C623" s="2"/>
      <c r="D623" s="2"/>
      <c r="E623" s="2"/>
      <c r="F623" s="2"/>
      <c r="G623" s="2"/>
      <c r="H623" s="2"/>
      <c r="I623" s="81"/>
      <c r="J623" s="2"/>
      <c r="K623" s="253"/>
    </row>
    <row r="624" spans="1:11" ht="15.75" customHeight="1">
      <c r="A624" s="4"/>
      <c r="B624" s="2"/>
      <c r="C624" s="2"/>
      <c r="D624" s="2"/>
      <c r="E624" s="2"/>
      <c r="F624" s="2"/>
      <c r="G624" s="2"/>
      <c r="H624" s="2"/>
      <c r="I624" s="81"/>
      <c r="J624" s="2"/>
      <c r="K624" s="253"/>
    </row>
    <row r="625" spans="1:11" ht="15.75" customHeight="1">
      <c r="A625" s="4"/>
      <c r="B625" s="2"/>
      <c r="C625" s="2"/>
      <c r="D625" s="2"/>
      <c r="E625" s="2"/>
      <c r="F625" s="2"/>
      <c r="G625" s="2"/>
      <c r="H625" s="2"/>
      <c r="I625" s="81"/>
      <c r="J625" s="2"/>
      <c r="K625" s="253"/>
    </row>
    <row r="626" spans="1:11" ht="15.75" customHeight="1">
      <c r="A626" s="4"/>
      <c r="B626" s="2"/>
      <c r="C626" s="2"/>
      <c r="D626" s="2"/>
      <c r="E626" s="2"/>
      <c r="F626" s="2"/>
      <c r="G626" s="2"/>
      <c r="H626" s="2"/>
      <c r="I626" s="81"/>
      <c r="J626" s="2"/>
      <c r="K626" s="253"/>
    </row>
    <row r="627" spans="1:11" ht="15.75" customHeight="1">
      <c r="A627" s="4"/>
      <c r="B627" s="2"/>
      <c r="C627" s="2"/>
      <c r="D627" s="2"/>
      <c r="E627" s="2"/>
      <c r="F627" s="2"/>
      <c r="G627" s="2"/>
      <c r="H627" s="2"/>
      <c r="I627" s="81"/>
      <c r="J627" s="2"/>
      <c r="K627" s="253"/>
    </row>
    <row r="628" spans="1:11" ht="15.75" customHeight="1">
      <c r="A628" s="4"/>
      <c r="B628" s="2"/>
      <c r="C628" s="2"/>
      <c r="D628" s="2"/>
      <c r="E628" s="2"/>
      <c r="F628" s="2"/>
      <c r="G628" s="2"/>
      <c r="H628" s="2"/>
      <c r="I628" s="81"/>
      <c r="J628" s="2"/>
      <c r="K628" s="253"/>
    </row>
    <row r="629" spans="1:11" ht="15.75" customHeight="1">
      <c r="A629" s="4"/>
      <c r="B629" s="2"/>
      <c r="C629" s="2"/>
      <c r="D629" s="2"/>
      <c r="E629" s="2"/>
      <c r="F629" s="2"/>
      <c r="G629" s="2"/>
      <c r="H629" s="2"/>
      <c r="I629" s="81"/>
      <c r="J629" s="2"/>
      <c r="K629" s="253"/>
    </row>
    <row r="630" spans="1:11" ht="15.75" customHeight="1">
      <c r="A630" s="4"/>
      <c r="B630" s="2"/>
      <c r="C630" s="2"/>
      <c r="D630" s="2"/>
      <c r="E630" s="2"/>
      <c r="F630" s="2"/>
      <c r="G630" s="2"/>
      <c r="H630" s="2"/>
      <c r="I630" s="81"/>
      <c r="J630" s="2"/>
      <c r="K630" s="253"/>
    </row>
    <row r="631" spans="1:11" ht="15.75" customHeight="1">
      <c r="A631" s="4"/>
      <c r="B631" s="2"/>
      <c r="C631" s="2"/>
      <c r="D631" s="2"/>
      <c r="E631" s="2"/>
      <c r="F631" s="2"/>
      <c r="G631" s="2"/>
      <c r="H631" s="2"/>
      <c r="I631" s="81"/>
      <c r="J631" s="2"/>
      <c r="K631" s="253"/>
    </row>
    <row r="632" spans="1:11" ht="15.75" customHeight="1">
      <c r="A632" s="4"/>
      <c r="B632" s="2"/>
      <c r="C632" s="2"/>
      <c r="D632" s="2"/>
      <c r="E632" s="2"/>
      <c r="F632" s="2"/>
      <c r="G632" s="2"/>
      <c r="H632" s="2"/>
      <c r="I632" s="81"/>
      <c r="J632" s="2"/>
      <c r="K632" s="253"/>
    </row>
    <row r="633" spans="1:11" ht="15.75" customHeight="1">
      <c r="A633" s="4"/>
      <c r="B633" s="2"/>
      <c r="C633" s="2"/>
      <c r="D633" s="2"/>
      <c r="E633" s="2"/>
      <c r="F633" s="2"/>
      <c r="G633" s="2"/>
      <c r="H633" s="2"/>
      <c r="I633" s="81"/>
      <c r="J633" s="2"/>
      <c r="K633" s="253"/>
    </row>
    <row r="634" spans="1:11" ht="15.75" customHeight="1">
      <c r="A634" s="4"/>
      <c r="B634" s="2"/>
      <c r="C634" s="2"/>
      <c r="D634" s="2"/>
      <c r="E634" s="2"/>
      <c r="F634" s="2"/>
      <c r="G634" s="2"/>
      <c r="H634" s="2"/>
      <c r="I634" s="81"/>
      <c r="J634" s="2"/>
      <c r="K634" s="253"/>
    </row>
    <row r="635" spans="1:11" ht="15.75" customHeight="1">
      <c r="A635" s="4"/>
      <c r="B635" s="2"/>
      <c r="C635" s="2"/>
      <c r="D635" s="2"/>
      <c r="E635" s="2"/>
      <c r="F635" s="2"/>
      <c r="G635" s="2"/>
      <c r="H635" s="2"/>
      <c r="I635" s="81"/>
      <c r="J635" s="2"/>
      <c r="K635" s="253"/>
    </row>
    <row r="636" spans="1:11" ht="15.75" customHeight="1">
      <c r="A636" s="4"/>
      <c r="B636" s="2"/>
      <c r="C636" s="2"/>
      <c r="D636" s="2"/>
      <c r="E636" s="2"/>
      <c r="F636" s="2"/>
      <c r="G636" s="2"/>
      <c r="H636" s="2"/>
      <c r="I636" s="81"/>
      <c r="J636" s="2"/>
      <c r="K636" s="253"/>
    </row>
    <row r="637" spans="1:11" ht="15.75" customHeight="1">
      <c r="A637" s="4"/>
      <c r="B637" s="2"/>
      <c r="C637" s="2"/>
      <c r="D637" s="2"/>
      <c r="E637" s="2"/>
      <c r="F637" s="2"/>
      <c r="G637" s="2"/>
      <c r="H637" s="2"/>
      <c r="I637" s="81"/>
      <c r="J637" s="2"/>
      <c r="K637" s="253"/>
    </row>
    <row r="638" spans="1:11" ht="15.75" customHeight="1">
      <c r="A638" s="4"/>
      <c r="B638" s="2"/>
      <c r="C638" s="2"/>
      <c r="D638" s="2"/>
      <c r="E638" s="2"/>
      <c r="F638" s="2"/>
      <c r="G638" s="2"/>
      <c r="H638" s="2"/>
      <c r="I638" s="81"/>
      <c r="J638" s="2"/>
      <c r="K638" s="253"/>
    </row>
    <row r="639" spans="1:11" ht="15.75" customHeight="1">
      <c r="A639" s="4"/>
      <c r="B639" s="2"/>
      <c r="C639" s="2"/>
      <c r="D639" s="2"/>
      <c r="E639" s="2"/>
      <c r="F639" s="2"/>
      <c r="G639" s="2"/>
      <c r="H639" s="2"/>
      <c r="I639" s="81"/>
      <c r="J639" s="2"/>
      <c r="K639" s="253"/>
    </row>
    <row r="640" spans="1:11" ht="15.75" customHeight="1">
      <c r="A640" s="4"/>
      <c r="B640" s="2"/>
      <c r="C640" s="2"/>
      <c r="D640" s="2"/>
      <c r="E640" s="2"/>
      <c r="F640" s="2"/>
      <c r="G640" s="2"/>
      <c r="H640" s="2"/>
      <c r="I640" s="81"/>
      <c r="J640" s="2"/>
      <c r="K640" s="253"/>
    </row>
    <row r="641" spans="1:11" ht="15.75" customHeight="1">
      <c r="A641" s="4"/>
      <c r="B641" s="2"/>
      <c r="C641" s="2"/>
      <c r="D641" s="2"/>
      <c r="E641" s="2"/>
      <c r="F641" s="2"/>
      <c r="G641" s="2"/>
      <c r="H641" s="2"/>
      <c r="I641" s="81"/>
      <c r="J641" s="2"/>
      <c r="K641" s="253"/>
    </row>
    <row r="642" spans="1:11" ht="15.75" customHeight="1">
      <c r="A642" s="4"/>
      <c r="B642" s="2"/>
      <c r="C642" s="2"/>
      <c r="D642" s="2"/>
      <c r="E642" s="2"/>
      <c r="F642" s="2"/>
      <c r="G642" s="2"/>
      <c r="H642" s="2"/>
      <c r="I642" s="81"/>
      <c r="J642" s="2"/>
      <c r="K642" s="253"/>
    </row>
    <row r="643" spans="1:11" ht="15.75" customHeight="1">
      <c r="A643" s="4"/>
      <c r="B643" s="2"/>
      <c r="C643" s="2"/>
      <c r="D643" s="2"/>
      <c r="E643" s="2"/>
      <c r="F643" s="2"/>
      <c r="G643" s="2"/>
      <c r="H643" s="2"/>
      <c r="I643" s="81"/>
      <c r="J643" s="2"/>
      <c r="K643" s="253"/>
    </row>
    <row r="644" spans="1:11" ht="15.75" customHeight="1">
      <c r="A644" s="4"/>
      <c r="B644" s="2"/>
      <c r="C644" s="2"/>
      <c r="D644" s="2"/>
      <c r="E644" s="2"/>
      <c r="F644" s="2"/>
      <c r="G644" s="2"/>
      <c r="H644" s="2"/>
      <c r="I644" s="81"/>
      <c r="J644" s="2"/>
      <c r="K644" s="253"/>
    </row>
    <row r="645" spans="1:11" ht="15.75" customHeight="1">
      <c r="A645" s="4"/>
      <c r="B645" s="2"/>
      <c r="C645" s="2"/>
      <c r="D645" s="2"/>
      <c r="E645" s="2"/>
      <c r="F645" s="2"/>
      <c r="G645" s="2"/>
      <c r="H645" s="2"/>
      <c r="I645" s="81"/>
      <c r="J645" s="2"/>
      <c r="K645" s="253"/>
    </row>
    <row r="646" spans="1:11" ht="15.75" customHeight="1">
      <c r="A646" s="4"/>
      <c r="B646" s="2"/>
      <c r="C646" s="2"/>
      <c r="D646" s="2"/>
      <c r="E646" s="2"/>
      <c r="F646" s="2"/>
      <c r="G646" s="2"/>
      <c r="H646" s="2"/>
      <c r="I646" s="81"/>
      <c r="J646" s="2"/>
      <c r="K646" s="253"/>
    </row>
    <row r="647" spans="1:11" ht="15.75" customHeight="1">
      <c r="A647" s="4"/>
      <c r="B647" s="2"/>
      <c r="C647" s="2"/>
      <c r="D647" s="2"/>
      <c r="E647" s="2"/>
      <c r="F647" s="2"/>
      <c r="G647" s="2"/>
      <c r="H647" s="2"/>
      <c r="I647" s="81"/>
      <c r="J647" s="2"/>
      <c r="K647" s="253"/>
    </row>
    <row r="648" spans="1:11" ht="15.75" customHeight="1">
      <c r="A648" s="4"/>
      <c r="B648" s="2"/>
      <c r="C648" s="2"/>
      <c r="D648" s="2"/>
      <c r="E648" s="2"/>
      <c r="F648" s="2"/>
      <c r="G648" s="2"/>
      <c r="H648" s="2"/>
      <c r="I648" s="81"/>
      <c r="J648" s="2"/>
      <c r="K648" s="253"/>
    </row>
    <row r="649" spans="1:11" ht="15.75" customHeight="1">
      <c r="A649" s="4"/>
      <c r="B649" s="2"/>
      <c r="C649" s="2"/>
      <c r="D649" s="2"/>
      <c r="E649" s="2"/>
      <c r="F649" s="2"/>
      <c r="G649" s="2"/>
      <c r="H649" s="2"/>
      <c r="I649" s="81"/>
      <c r="J649" s="2"/>
      <c r="K649" s="253"/>
    </row>
    <row r="650" spans="1:11" ht="15.75" customHeight="1">
      <c r="A650" s="4"/>
      <c r="B650" s="2"/>
      <c r="C650" s="2"/>
      <c r="D650" s="2"/>
      <c r="E650" s="2"/>
      <c r="F650" s="2"/>
      <c r="G650" s="2"/>
      <c r="H650" s="2"/>
      <c r="I650" s="81"/>
      <c r="J650" s="2"/>
      <c r="K650" s="253"/>
    </row>
    <row r="651" spans="1:11" ht="15.75" customHeight="1">
      <c r="A651" s="4"/>
      <c r="B651" s="2"/>
      <c r="C651" s="2"/>
      <c r="D651" s="2"/>
      <c r="E651" s="2"/>
      <c r="F651" s="2"/>
      <c r="G651" s="2"/>
      <c r="H651" s="2"/>
      <c r="I651" s="81"/>
      <c r="J651" s="2"/>
      <c r="K651" s="253"/>
    </row>
    <row r="652" spans="1:11" ht="15.75" customHeight="1">
      <c r="A652" s="4"/>
      <c r="B652" s="2"/>
      <c r="C652" s="2"/>
      <c r="D652" s="2"/>
      <c r="E652" s="2"/>
      <c r="F652" s="2"/>
      <c r="G652" s="2"/>
      <c r="H652" s="2"/>
      <c r="I652" s="81"/>
      <c r="J652" s="2"/>
      <c r="K652" s="253"/>
    </row>
    <row r="653" spans="1:11" ht="15.75" customHeight="1">
      <c r="A653" s="4"/>
      <c r="B653" s="2"/>
      <c r="C653" s="2"/>
      <c r="D653" s="2"/>
      <c r="E653" s="2"/>
      <c r="F653" s="2"/>
      <c r="G653" s="2"/>
      <c r="H653" s="2"/>
      <c r="I653" s="81"/>
      <c r="J653" s="2"/>
      <c r="K653" s="253"/>
    </row>
    <row r="654" spans="1:11" ht="15.75" customHeight="1">
      <c r="A654" s="4"/>
      <c r="B654" s="2"/>
      <c r="C654" s="2"/>
      <c r="D654" s="2"/>
      <c r="E654" s="2"/>
      <c r="F654" s="2"/>
      <c r="G654" s="2"/>
      <c r="H654" s="2"/>
      <c r="I654" s="81"/>
      <c r="J654" s="2"/>
      <c r="K654" s="253"/>
    </row>
    <row r="655" spans="1:11" ht="15.75" customHeight="1">
      <c r="A655" s="4"/>
      <c r="B655" s="2"/>
      <c r="C655" s="2"/>
      <c r="D655" s="2"/>
      <c r="E655" s="2"/>
      <c r="F655" s="2"/>
      <c r="G655" s="2"/>
      <c r="H655" s="2"/>
      <c r="I655" s="81"/>
      <c r="J655" s="2"/>
      <c r="K655" s="253"/>
    </row>
    <row r="656" spans="1:11" ht="15.75" customHeight="1">
      <c r="A656" s="4"/>
      <c r="B656" s="2"/>
      <c r="C656" s="2"/>
      <c r="D656" s="2"/>
      <c r="E656" s="2"/>
      <c r="F656" s="2"/>
      <c r="G656" s="2"/>
      <c r="H656" s="2"/>
      <c r="I656" s="81"/>
      <c r="J656" s="2"/>
      <c r="K656" s="253"/>
    </row>
    <row r="657" spans="1:11" ht="15.75" customHeight="1">
      <c r="A657" s="4"/>
      <c r="B657" s="2"/>
      <c r="C657" s="2"/>
      <c r="D657" s="2"/>
      <c r="E657" s="2"/>
      <c r="F657" s="2"/>
      <c r="G657" s="2"/>
      <c r="H657" s="2"/>
      <c r="I657" s="81"/>
      <c r="J657" s="2"/>
      <c r="K657" s="253"/>
    </row>
    <row r="658" spans="1:11" ht="15.75" customHeight="1">
      <c r="A658" s="4"/>
      <c r="B658" s="2"/>
      <c r="C658" s="2"/>
      <c r="D658" s="2"/>
      <c r="E658" s="2"/>
      <c r="F658" s="2"/>
      <c r="G658" s="2"/>
      <c r="H658" s="2"/>
      <c r="I658" s="81"/>
      <c r="J658" s="2"/>
      <c r="K658" s="253"/>
    </row>
    <row r="659" spans="1:11" ht="15.75" customHeight="1">
      <c r="A659" s="4"/>
      <c r="B659" s="2"/>
      <c r="C659" s="2"/>
      <c r="D659" s="2"/>
      <c r="E659" s="2"/>
      <c r="F659" s="2"/>
      <c r="G659" s="2"/>
      <c r="H659" s="2"/>
      <c r="I659" s="81"/>
      <c r="J659" s="2"/>
      <c r="K659" s="253"/>
    </row>
    <row r="660" spans="1:11" ht="15.75" customHeight="1">
      <c r="A660" s="4"/>
      <c r="B660" s="2"/>
      <c r="C660" s="2"/>
      <c r="D660" s="2"/>
      <c r="E660" s="2"/>
      <c r="F660" s="2"/>
      <c r="G660" s="2"/>
      <c r="H660" s="2"/>
      <c r="I660" s="81"/>
      <c r="J660" s="2"/>
      <c r="K660" s="253"/>
    </row>
    <row r="661" spans="1:11" ht="15.75" customHeight="1">
      <c r="A661" s="4"/>
      <c r="B661" s="2"/>
      <c r="C661" s="2"/>
      <c r="D661" s="2"/>
      <c r="E661" s="2"/>
      <c r="F661" s="2"/>
      <c r="G661" s="2"/>
      <c r="H661" s="2"/>
      <c r="I661" s="81"/>
      <c r="J661" s="2"/>
      <c r="K661" s="253"/>
    </row>
    <row r="662" spans="1:11" ht="15.75" customHeight="1">
      <c r="A662" s="4"/>
      <c r="B662" s="2"/>
      <c r="C662" s="2"/>
      <c r="D662" s="2"/>
      <c r="E662" s="2"/>
      <c r="F662" s="2"/>
      <c r="G662" s="2"/>
      <c r="H662" s="2"/>
      <c r="I662" s="81"/>
      <c r="J662" s="2"/>
      <c r="K662" s="253"/>
    </row>
    <row r="663" spans="1:11" ht="15.75" customHeight="1">
      <c r="A663" s="4"/>
      <c r="B663" s="2"/>
      <c r="C663" s="2"/>
      <c r="D663" s="2"/>
      <c r="E663" s="2"/>
      <c r="F663" s="2"/>
      <c r="G663" s="2"/>
      <c r="H663" s="2"/>
      <c r="I663" s="81"/>
      <c r="J663" s="2"/>
      <c r="K663" s="253"/>
    </row>
    <row r="664" spans="1:11" ht="15.75" customHeight="1">
      <c r="A664" s="4"/>
      <c r="B664" s="2"/>
      <c r="C664" s="2"/>
      <c r="D664" s="2"/>
      <c r="E664" s="2"/>
      <c r="F664" s="2"/>
      <c r="G664" s="2"/>
      <c r="H664" s="2"/>
      <c r="I664" s="81"/>
      <c r="J664" s="2"/>
      <c r="K664" s="253"/>
    </row>
    <row r="665" spans="1:11" ht="15.75" customHeight="1">
      <c r="A665" s="4"/>
      <c r="B665" s="2"/>
      <c r="C665" s="2"/>
      <c r="D665" s="2"/>
      <c r="E665" s="2"/>
      <c r="F665" s="2"/>
      <c r="G665" s="2"/>
      <c r="H665" s="2"/>
      <c r="I665" s="81"/>
      <c r="J665" s="2"/>
      <c r="K665" s="253"/>
    </row>
    <row r="666" spans="1:11" ht="15.75" customHeight="1">
      <c r="A666" s="4"/>
      <c r="B666" s="2"/>
      <c r="C666" s="2"/>
      <c r="D666" s="2"/>
      <c r="E666" s="2"/>
      <c r="F666" s="2"/>
      <c r="G666" s="2"/>
      <c r="H666" s="2"/>
      <c r="I666" s="81"/>
      <c r="J666" s="2"/>
      <c r="K666" s="253"/>
    </row>
    <row r="667" spans="1:11" ht="15.75" customHeight="1">
      <c r="A667" s="4"/>
      <c r="B667" s="2"/>
      <c r="C667" s="2"/>
      <c r="D667" s="2"/>
      <c r="E667" s="2"/>
      <c r="F667" s="2"/>
      <c r="G667" s="2"/>
      <c r="H667" s="2"/>
      <c r="I667" s="81"/>
      <c r="J667" s="2"/>
      <c r="K667" s="253"/>
    </row>
    <row r="668" spans="1:11" ht="15.75" customHeight="1">
      <c r="A668" s="4"/>
      <c r="B668" s="2"/>
      <c r="C668" s="2"/>
      <c r="D668" s="2"/>
      <c r="E668" s="2"/>
      <c r="F668" s="2"/>
      <c r="G668" s="2"/>
      <c r="H668" s="2"/>
      <c r="I668" s="81"/>
      <c r="J668" s="2"/>
      <c r="K668" s="253"/>
    </row>
    <row r="669" spans="1:11" ht="15.75" customHeight="1">
      <c r="A669" s="4"/>
      <c r="B669" s="2"/>
      <c r="C669" s="2"/>
      <c r="D669" s="2"/>
      <c r="E669" s="2"/>
      <c r="F669" s="2"/>
      <c r="G669" s="2"/>
      <c r="H669" s="2"/>
      <c r="I669" s="81"/>
      <c r="J669" s="2"/>
      <c r="K669" s="253"/>
    </row>
    <row r="670" spans="1:11" ht="15.75" customHeight="1">
      <c r="A670" s="4"/>
      <c r="B670" s="2"/>
      <c r="C670" s="2"/>
      <c r="D670" s="2"/>
      <c r="E670" s="2"/>
      <c r="F670" s="2"/>
      <c r="G670" s="2"/>
      <c r="H670" s="2"/>
      <c r="I670" s="81"/>
      <c r="J670" s="2"/>
      <c r="K670" s="253"/>
    </row>
    <row r="671" spans="1:11" ht="15.75" customHeight="1">
      <c r="A671" s="4"/>
      <c r="B671" s="2"/>
      <c r="C671" s="2"/>
      <c r="D671" s="2"/>
      <c r="E671" s="2"/>
      <c r="F671" s="2"/>
      <c r="G671" s="2"/>
      <c r="H671" s="2"/>
      <c r="I671" s="81"/>
      <c r="J671" s="2"/>
      <c r="K671" s="253"/>
    </row>
    <row r="672" spans="1:11" ht="15.75" customHeight="1">
      <c r="A672" s="4"/>
      <c r="B672" s="2"/>
      <c r="C672" s="2"/>
      <c r="D672" s="2"/>
      <c r="E672" s="2"/>
      <c r="F672" s="2"/>
      <c r="G672" s="2"/>
      <c r="H672" s="2"/>
      <c r="I672" s="81"/>
      <c r="J672" s="2"/>
      <c r="K672" s="253"/>
    </row>
    <row r="673" spans="1:11" ht="15.75" customHeight="1">
      <c r="A673" s="4"/>
      <c r="B673" s="2"/>
      <c r="C673" s="2"/>
      <c r="D673" s="2"/>
      <c r="E673" s="2"/>
      <c r="F673" s="2"/>
      <c r="G673" s="2"/>
      <c r="H673" s="2"/>
      <c r="I673" s="81"/>
      <c r="J673" s="2"/>
      <c r="K673" s="253"/>
    </row>
    <row r="674" spans="1:11" ht="15.75" customHeight="1">
      <c r="A674" s="4"/>
      <c r="B674" s="2"/>
      <c r="C674" s="2"/>
      <c r="D674" s="2"/>
      <c r="E674" s="2"/>
      <c r="F674" s="2"/>
      <c r="G674" s="2"/>
      <c r="H674" s="2"/>
      <c r="I674" s="81"/>
      <c r="J674" s="2"/>
      <c r="K674" s="253"/>
    </row>
    <row r="675" spans="1:11" ht="15.75" customHeight="1">
      <c r="A675" s="4"/>
      <c r="B675" s="2"/>
      <c r="C675" s="2"/>
      <c r="D675" s="2"/>
      <c r="E675" s="2"/>
      <c r="F675" s="2"/>
      <c r="G675" s="2"/>
      <c r="H675" s="2"/>
      <c r="I675" s="81"/>
      <c r="J675" s="2"/>
      <c r="K675" s="253"/>
    </row>
    <row r="676" spans="1:11" ht="15.75" customHeight="1">
      <c r="A676" s="4"/>
      <c r="B676" s="2"/>
      <c r="C676" s="2"/>
      <c r="D676" s="2"/>
      <c r="E676" s="2"/>
      <c r="F676" s="2"/>
      <c r="G676" s="2"/>
      <c r="H676" s="2"/>
      <c r="I676" s="81"/>
      <c r="J676" s="2"/>
      <c r="K676" s="253"/>
    </row>
    <row r="677" spans="1:11" ht="15.75" customHeight="1">
      <c r="A677" s="4"/>
      <c r="B677" s="2"/>
      <c r="C677" s="2"/>
      <c r="D677" s="2"/>
      <c r="E677" s="2"/>
      <c r="F677" s="2"/>
      <c r="G677" s="2"/>
      <c r="H677" s="2"/>
      <c r="I677" s="81"/>
      <c r="J677" s="2"/>
      <c r="K677" s="253"/>
    </row>
    <row r="678" spans="1:11" ht="15.75" customHeight="1">
      <c r="A678" s="4"/>
      <c r="B678" s="2"/>
      <c r="C678" s="2"/>
      <c r="D678" s="2"/>
      <c r="E678" s="2"/>
      <c r="F678" s="2"/>
      <c r="G678" s="2"/>
      <c r="H678" s="2"/>
      <c r="I678" s="81"/>
      <c r="J678" s="2"/>
      <c r="K678" s="253"/>
    </row>
    <row r="679" spans="1:11" ht="15.75" customHeight="1">
      <c r="A679" s="4"/>
      <c r="B679" s="2"/>
      <c r="C679" s="2"/>
      <c r="D679" s="2"/>
      <c r="E679" s="2"/>
      <c r="F679" s="2"/>
      <c r="G679" s="2"/>
      <c r="H679" s="2"/>
      <c r="I679" s="81"/>
      <c r="J679" s="2"/>
      <c r="K679" s="253"/>
    </row>
    <row r="680" spans="1:11" ht="15.75" customHeight="1">
      <c r="A680" s="4"/>
      <c r="B680" s="2"/>
      <c r="C680" s="2"/>
      <c r="D680" s="2"/>
      <c r="E680" s="2"/>
      <c r="F680" s="2"/>
      <c r="G680" s="2"/>
      <c r="H680" s="2"/>
      <c r="I680" s="81"/>
      <c r="J680" s="2"/>
      <c r="K680" s="253"/>
    </row>
    <row r="681" spans="1:11" ht="15.75" customHeight="1">
      <c r="A681" s="4"/>
      <c r="B681" s="2"/>
      <c r="C681" s="2"/>
      <c r="D681" s="2"/>
      <c r="E681" s="2"/>
      <c r="F681" s="2"/>
      <c r="G681" s="2"/>
      <c r="H681" s="2"/>
      <c r="I681" s="81"/>
      <c r="J681" s="2"/>
      <c r="K681" s="253"/>
    </row>
    <row r="682" spans="1:11" ht="15.75" customHeight="1">
      <c r="A682" s="4"/>
      <c r="B682" s="2"/>
      <c r="C682" s="2"/>
      <c r="D682" s="2"/>
      <c r="E682" s="2"/>
      <c r="F682" s="2"/>
      <c r="G682" s="2"/>
      <c r="H682" s="2"/>
      <c r="I682" s="81"/>
      <c r="J682" s="2"/>
      <c r="K682" s="253"/>
    </row>
    <row r="683" spans="1:11" ht="15.75" customHeight="1">
      <c r="A683" s="4"/>
      <c r="B683" s="2"/>
      <c r="C683" s="2"/>
      <c r="D683" s="2"/>
      <c r="E683" s="2"/>
      <c r="F683" s="2"/>
      <c r="G683" s="2"/>
      <c r="H683" s="2"/>
      <c r="I683" s="81"/>
      <c r="J683" s="2"/>
      <c r="K683" s="253"/>
    </row>
    <row r="684" spans="1:11" ht="15.75" customHeight="1">
      <c r="A684" s="4"/>
      <c r="B684" s="2"/>
      <c r="C684" s="2"/>
      <c r="D684" s="2"/>
      <c r="E684" s="2"/>
      <c r="F684" s="2"/>
      <c r="G684" s="2"/>
      <c r="H684" s="2"/>
      <c r="I684" s="81"/>
      <c r="J684" s="2"/>
      <c r="K684" s="253"/>
    </row>
    <row r="685" spans="1:11" ht="15.75" customHeight="1">
      <c r="A685" s="4"/>
      <c r="B685" s="2"/>
      <c r="C685" s="2"/>
      <c r="D685" s="2"/>
      <c r="E685" s="2"/>
      <c r="F685" s="2"/>
      <c r="G685" s="2"/>
      <c r="H685" s="2"/>
      <c r="I685" s="81"/>
      <c r="J685" s="2"/>
      <c r="K685" s="253"/>
    </row>
    <row r="686" spans="1:11" ht="15.75" customHeight="1">
      <c r="A686" s="4"/>
      <c r="B686" s="2"/>
      <c r="C686" s="2"/>
      <c r="D686" s="2"/>
      <c r="E686" s="2"/>
      <c r="F686" s="2"/>
      <c r="G686" s="2"/>
      <c r="H686" s="2"/>
      <c r="I686" s="81"/>
      <c r="J686" s="2"/>
      <c r="K686" s="253"/>
    </row>
    <row r="687" spans="1:11" ht="15.75" customHeight="1">
      <c r="A687" s="4"/>
      <c r="B687" s="2"/>
      <c r="C687" s="2"/>
      <c r="D687" s="2"/>
      <c r="E687" s="2"/>
      <c r="F687" s="2"/>
      <c r="G687" s="2"/>
      <c r="H687" s="2"/>
      <c r="I687" s="81"/>
      <c r="J687" s="2"/>
      <c r="K687" s="253"/>
    </row>
    <row r="688" spans="1:11" ht="15.75" customHeight="1">
      <c r="A688" s="4"/>
      <c r="B688" s="2"/>
      <c r="C688" s="2"/>
      <c r="D688" s="2"/>
      <c r="E688" s="2"/>
      <c r="F688" s="2"/>
      <c r="G688" s="2"/>
      <c r="H688" s="2"/>
      <c r="I688" s="81"/>
      <c r="J688" s="2"/>
      <c r="K688" s="253"/>
    </row>
    <row r="689" spans="1:11" ht="15.75" customHeight="1">
      <c r="A689" s="4"/>
      <c r="B689" s="2"/>
      <c r="C689" s="2"/>
      <c r="D689" s="2"/>
      <c r="E689" s="2"/>
      <c r="F689" s="2"/>
      <c r="G689" s="2"/>
      <c r="H689" s="2"/>
      <c r="I689" s="81"/>
      <c r="J689" s="2"/>
      <c r="K689" s="253"/>
    </row>
    <row r="690" spans="1:11" ht="15.75" customHeight="1">
      <c r="A690" s="4"/>
      <c r="B690" s="2"/>
      <c r="C690" s="2"/>
      <c r="D690" s="2"/>
      <c r="E690" s="2"/>
      <c r="F690" s="2"/>
      <c r="G690" s="2"/>
      <c r="H690" s="2"/>
      <c r="I690" s="81"/>
      <c r="J690" s="2"/>
      <c r="K690" s="253"/>
    </row>
    <row r="691" spans="1:11" ht="15.75" customHeight="1">
      <c r="A691" s="4"/>
      <c r="B691" s="2"/>
      <c r="C691" s="2"/>
      <c r="D691" s="2"/>
      <c r="E691" s="2"/>
      <c r="F691" s="2"/>
      <c r="G691" s="2"/>
      <c r="H691" s="2"/>
      <c r="I691" s="81"/>
      <c r="J691" s="2"/>
      <c r="K691" s="253"/>
    </row>
    <row r="692" spans="1:11" ht="15.75" customHeight="1">
      <c r="A692" s="4"/>
      <c r="B692" s="2"/>
      <c r="C692" s="2"/>
      <c r="D692" s="2"/>
      <c r="E692" s="2"/>
      <c r="F692" s="2"/>
      <c r="G692" s="2"/>
      <c r="H692" s="2"/>
      <c r="I692" s="81"/>
      <c r="J692" s="2"/>
      <c r="K692" s="253"/>
    </row>
    <row r="693" spans="1:11" ht="15.75" customHeight="1">
      <c r="A693" s="4"/>
      <c r="B693" s="2"/>
      <c r="C693" s="2"/>
      <c r="D693" s="2"/>
      <c r="E693" s="2"/>
      <c r="F693" s="2"/>
      <c r="G693" s="2"/>
      <c r="H693" s="2"/>
      <c r="I693" s="81"/>
      <c r="J693" s="2"/>
      <c r="K693" s="253"/>
    </row>
    <row r="694" spans="1:11" ht="15.75" customHeight="1">
      <c r="A694" s="4"/>
      <c r="B694" s="2"/>
      <c r="C694" s="2"/>
      <c r="D694" s="2"/>
      <c r="E694" s="2"/>
      <c r="F694" s="2"/>
      <c r="G694" s="2"/>
      <c r="H694" s="2"/>
      <c r="I694" s="81"/>
      <c r="J694" s="2"/>
      <c r="K694" s="253"/>
    </row>
    <row r="695" spans="1:11" ht="15.75" customHeight="1">
      <c r="A695" s="4"/>
      <c r="B695" s="2"/>
      <c r="C695" s="2"/>
      <c r="D695" s="2"/>
      <c r="E695" s="2"/>
      <c r="F695" s="2"/>
      <c r="G695" s="2"/>
      <c r="H695" s="2"/>
      <c r="I695" s="81"/>
      <c r="J695" s="2"/>
      <c r="K695" s="253"/>
    </row>
    <row r="696" spans="1:11" ht="15.75" customHeight="1">
      <c r="A696" s="4"/>
      <c r="B696" s="2"/>
      <c r="C696" s="2"/>
      <c r="D696" s="2"/>
      <c r="E696" s="2"/>
      <c r="F696" s="2"/>
      <c r="G696" s="2"/>
      <c r="H696" s="2"/>
      <c r="I696" s="81"/>
      <c r="J696" s="2"/>
      <c r="K696" s="253"/>
    </row>
    <row r="697" spans="1:11" ht="15.75" customHeight="1">
      <c r="A697" s="4"/>
      <c r="B697" s="2"/>
      <c r="C697" s="2"/>
      <c r="D697" s="2"/>
      <c r="E697" s="2"/>
      <c r="F697" s="2"/>
      <c r="G697" s="2"/>
      <c r="H697" s="2"/>
      <c r="I697" s="81"/>
      <c r="J697" s="2"/>
      <c r="K697" s="253"/>
    </row>
    <row r="698" spans="1:11" ht="15.75" customHeight="1">
      <c r="A698" s="4"/>
      <c r="B698" s="2"/>
      <c r="C698" s="2"/>
      <c r="D698" s="2"/>
      <c r="E698" s="2"/>
      <c r="F698" s="2"/>
      <c r="G698" s="2"/>
      <c r="H698" s="2"/>
      <c r="I698" s="81"/>
      <c r="J698" s="2"/>
      <c r="K698" s="253"/>
    </row>
    <row r="699" spans="1:11" ht="15.75" customHeight="1">
      <c r="A699" s="4"/>
      <c r="B699" s="2"/>
      <c r="C699" s="2"/>
      <c r="D699" s="2"/>
      <c r="E699" s="2"/>
      <c r="F699" s="2"/>
      <c r="G699" s="2"/>
      <c r="H699" s="2"/>
      <c r="I699" s="81"/>
      <c r="J699" s="2"/>
      <c r="K699" s="253"/>
    </row>
    <row r="700" spans="1:11" ht="15.75" customHeight="1">
      <c r="A700" s="4"/>
      <c r="B700" s="2"/>
      <c r="C700" s="2"/>
      <c r="D700" s="2"/>
      <c r="E700" s="2"/>
      <c r="F700" s="2"/>
      <c r="G700" s="2"/>
      <c r="H700" s="2"/>
      <c r="I700" s="81"/>
      <c r="J700" s="2"/>
      <c r="K700" s="253"/>
    </row>
    <row r="701" spans="1:11" ht="15.75" customHeight="1">
      <c r="A701" s="4"/>
      <c r="B701" s="2"/>
      <c r="C701" s="2"/>
      <c r="D701" s="2"/>
      <c r="E701" s="2"/>
      <c r="F701" s="2"/>
      <c r="G701" s="2"/>
      <c r="H701" s="2"/>
      <c r="I701" s="81"/>
      <c r="J701" s="2"/>
      <c r="K701" s="253"/>
    </row>
    <row r="702" spans="1:11" ht="15.75" customHeight="1">
      <c r="A702" s="4"/>
      <c r="B702" s="2"/>
      <c r="C702" s="2"/>
      <c r="D702" s="2"/>
      <c r="E702" s="2"/>
      <c r="F702" s="2"/>
      <c r="G702" s="2"/>
      <c r="H702" s="2"/>
      <c r="I702" s="81"/>
      <c r="J702" s="2"/>
      <c r="K702" s="253"/>
    </row>
    <row r="703" spans="1:11" ht="15.75" customHeight="1">
      <c r="A703" s="4"/>
      <c r="B703" s="2"/>
      <c r="C703" s="2"/>
      <c r="D703" s="2"/>
      <c r="E703" s="2"/>
      <c r="F703" s="2"/>
      <c r="G703" s="2"/>
      <c r="H703" s="2"/>
      <c r="I703" s="81"/>
      <c r="J703" s="2"/>
      <c r="K703" s="253"/>
    </row>
    <row r="704" spans="1:11" ht="15.75" customHeight="1">
      <c r="A704" s="4"/>
      <c r="B704" s="2"/>
      <c r="C704" s="2"/>
      <c r="D704" s="2"/>
      <c r="E704" s="2"/>
      <c r="F704" s="2"/>
      <c r="G704" s="2"/>
      <c r="H704" s="2"/>
      <c r="I704" s="81"/>
      <c r="J704" s="2"/>
      <c r="K704" s="253"/>
    </row>
    <row r="705" spans="1:11" ht="15.75" customHeight="1">
      <c r="A705" s="4"/>
      <c r="B705" s="2"/>
      <c r="C705" s="2"/>
      <c r="D705" s="2"/>
      <c r="E705" s="2"/>
      <c r="F705" s="2"/>
      <c r="G705" s="2"/>
      <c r="H705" s="2"/>
      <c r="I705" s="81"/>
      <c r="J705" s="2"/>
      <c r="K705" s="253"/>
    </row>
    <row r="706" spans="1:11" ht="15.75" customHeight="1">
      <c r="A706" s="4"/>
      <c r="B706" s="2"/>
      <c r="C706" s="2"/>
      <c r="D706" s="2"/>
      <c r="E706" s="2"/>
      <c r="F706" s="2"/>
      <c r="G706" s="2"/>
      <c r="H706" s="2"/>
      <c r="I706" s="81"/>
      <c r="J706" s="2"/>
      <c r="K706" s="253"/>
    </row>
    <row r="707" spans="1:11" ht="15.75" customHeight="1">
      <c r="A707" s="4"/>
      <c r="B707" s="2"/>
      <c r="C707" s="2"/>
      <c r="D707" s="2"/>
      <c r="E707" s="2"/>
      <c r="F707" s="2"/>
      <c r="G707" s="2"/>
      <c r="H707" s="2"/>
      <c r="I707" s="81"/>
      <c r="J707" s="2"/>
      <c r="K707" s="253"/>
    </row>
    <row r="708" spans="1:11" ht="15.75" customHeight="1">
      <c r="A708" s="4"/>
      <c r="B708" s="2"/>
      <c r="C708" s="2"/>
      <c r="D708" s="2"/>
      <c r="E708" s="2"/>
      <c r="F708" s="2"/>
      <c r="G708" s="2"/>
      <c r="H708" s="2"/>
      <c r="I708" s="81"/>
      <c r="J708" s="2"/>
      <c r="K708" s="253"/>
    </row>
    <row r="709" spans="1:11" ht="15.75" customHeight="1">
      <c r="A709" s="4"/>
      <c r="B709" s="2"/>
      <c r="C709" s="2"/>
      <c r="D709" s="2"/>
      <c r="E709" s="2"/>
      <c r="F709" s="2"/>
      <c r="G709" s="2"/>
      <c r="H709" s="2"/>
      <c r="I709" s="81"/>
      <c r="J709" s="2"/>
      <c r="K709" s="253"/>
    </row>
    <row r="710" spans="1:11" ht="15.75" customHeight="1">
      <c r="A710" s="4"/>
      <c r="B710" s="2"/>
      <c r="C710" s="2"/>
      <c r="D710" s="2"/>
      <c r="E710" s="2"/>
      <c r="F710" s="2"/>
      <c r="G710" s="2"/>
      <c r="H710" s="2"/>
      <c r="I710" s="81"/>
      <c r="J710" s="2"/>
      <c r="K710" s="253"/>
    </row>
    <row r="711" spans="1:11" ht="15.75" customHeight="1">
      <c r="A711" s="4"/>
      <c r="B711" s="2"/>
      <c r="C711" s="2"/>
      <c r="D711" s="2"/>
      <c r="E711" s="2"/>
      <c r="F711" s="2"/>
      <c r="G711" s="2"/>
      <c r="H711" s="2"/>
      <c r="I711" s="81"/>
      <c r="J711" s="2"/>
      <c r="K711" s="253"/>
    </row>
    <row r="712" spans="1:11" ht="15.75" customHeight="1">
      <c r="A712" s="4"/>
      <c r="B712" s="2"/>
      <c r="C712" s="2"/>
      <c r="D712" s="2"/>
      <c r="E712" s="2"/>
      <c r="F712" s="2"/>
      <c r="G712" s="2"/>
      <c r="H712" s="2"/>
      <c r="I712" s="81"/>
      <c r="J712" s="2"/>
      <c r="K712" s="253"/>
    </row>
    <row r="713" spans="1:11" ht="15.75" customHeight="1">
      <c r="A713" s="4"/>
      <c r="B713" s="2"/>
      <c r="C713" s="2"/>
      <c r="D713" s="2"/>
      <c r="E713" s="2"/>
      <c r="F713" s="2"/>
      <c r="G713" s="2"/>
      <c r="H713" s="2"/>
      <c r="I713" s="81"/>
      <c r="J713" s="2"/>
      <c r="K713" s="253"/>
    </row>
    <row r="714" spans="1:11" ht="15.75" customHeight="1">
      <c r="A714" s="4"/>
      <c r="B714" s="2"/>
      <c r="C714" s="2"/>
      <c r="D714" s="2"/>
      <c r="E714" s="2"/>
      <c r="F714" s="2"/>
      <c r="G714" s="2"/>
      <c r="H714" s="2"/>
      <c r="I714" s="81"/>
      <c r="J714" s="2"/>
      <c r="K714" s="253"/>
    </row>
    <row r="715" spans="1:11" ht="15.75" customHeight="1">
      <c r="A715" s="4"/>
      <c r="B715" s="2"/>
      <c r="C715" s="2"/>
      <c r="D715" s="2"/>
      <c r="E715" s="2"/>
      <c r="F715" s="2"/>
      <c r="G715" s="2"/>
      <c r="H715" s="2"/>
      <c r="I715" s="81"/>
      <c r="J715" s="2"/>
      <c r="K715" s="253"/>
    </row>
    <row r="716" spans="1:11" ht="15.75" customHeight="1">
      <c r="A716" s="4"/>
      <c r="B716" s="2"/>
      <c r="C716" s="2"/>
      <c r="D716" s="2"/>
      <c r="E716" s="2"/>
      <c r="F716" s="2"/>
      <c r="G716" s="2"/>
      <c r="H716" s="2"/>
      <c r="I716" s="81"/>
      <c r="J716" s="2"/>
      <c r="K716" s="253"/>
    </row>
    <row r="717" spans="1:11" ht="15.75" customHeight="1">
      <c r="A717" s="4"/>
      <c r="B717" s="2"/>
      <c r="C717" s="2"/>
      <c r="D717" s="2"/>
      <c r="E717" s="2"/>
      <c r="F717" s="2"/>
      <c r="G717" s="2"/>
      <c r="H717" s="2"/>
      <c r="I717" s="81"/>
      <c r="J717" s="2"/>
      <c r="K717" s="253"/>
    </row>
    <row r="718" spans="1:11" ht="15.75" customHeight="1">
      <c r="A718" s="4"/>
      <c r="B718" s="2"/>
      <c r="C718" s="2"/>
      <c r="D718" s="2"/>
      <c r="E718" s="2"/>
      <c r="F718" s="2"/>
      <c r="G718" s="2"/>
      <c r="H718" s="2"/>
      <c r="I718" s="81"/>
      <c r="J718" s="2"/>
      <c r="K718" s="253"/>
    </row>
    <row r="719" spans="1:11" ht="15.75" customHeight="1">
      <c r="A719" s="4"/>
      <c r="B719" s="2"/>
      <c r="C719" s="2"/>
      <c r="D719" s="2"/>
      <c r="E719" s="2"/>
      <c r="F719" s="2"/>
      <c r="G719" s="2"/>
      <c r="H719" s="2"/>
      <c r="I719" s="81"/>
      <c r="J719" s="2"/>
      <c r="K719" s="253"/>
    </row>
    <row r="720" spans="1:11" ht="15.75" customHeight="1">
      <c r="A720" s="4"/>
      <c r="B720" s="2"/>
      <c r="C720" s="2"/>
      <c r="D720" s="2"/>
      <c r="E720" s="2"/>
      <c r="F720" s="2"/>
      <c r="G720" s="2"/>
      <c r="H720" s="2"/>
      <c r="I720" s="81"/>
      <c r="J720" s="2"/>
      <c r="K720" s="253"/>
    </row>
    <row r="721" spans="1:11" ht="15.75" customHeight="1">
      <c r="A721" s="4"/>
      <c r="B721" s="2"/>
      <c r="C721" s="2"/>
      <c r="D721" s="2"/>
      <c r="E721" s="2"/>
      <c r="F721" s="2"/>
      <c r="G721" s="2"/>
      <c r="H721" s="2"/>
      <c r="I721" s="81"/>
      <c r="J721" s="2"/>
      <c r="K721" s="253"/>
    </row>
    <row r="722" spans="1:11" ht="15.75" customHeight="1">
      <c r="A722" s="4"/>
      <c r="B722" s="2"/>
      <c r="C722" s="2"/>
      <c r="D722" s="2"/>
      <c r="E722" s="2"/>
      <c r="F722" s="2"/>
      <c r="G722" s="2"/>
      <c r="H722" s="2"/>
      <c r="I722" s="81"/>
      <c r="J722" s="2"/>
      <c r="K722" s="253"/>
    </row>
    <row r="723" spans="1:11" ht="15.75" customHeight="1">
      <c r="A723" s="4"/>
      <c r="B723" s="2"/>
      <c r="C723" s="2"/>
      <c r="D723" s="2"/>
      <c r="E723" s="2"/>
      <c r="F723" s="2"/>
      <c r="G723" s="2"/>
      <c r="H723" s="2"/>
      <c r="I723" s="81"/>
      <c r="J723" s="2"/>
      <c r="K723" s="253"/>
    </row>
    <row r="724" spans="1:11" ht="15.75" customHeight="1">
      <c r="A724" s="4"/>
      <c r="B724" s="2"/>
      <c r="C724" s="2"/>
      <c r="D724" s="2"/>
      <c r="E724" s="2"/>
      <c r="F724" s="2"/>
      <c r="G724" s="2"/>
      <c r="H724" s="2"/>
      <c r="I724" s="81"/>
      <c r="J724" s="2"/>
      <c r="K724" s="253"/>
    </row>
    <row r="725" spans="1:11" ht="15.75" customHeight="1">
      <c r="A725" s="4"/>
      <c r="B725" s="2"/>
      <c r="C725" s="2"/>
      <c r="D725" s="2"/>
      <c r="E725" s="2"/>
      <c r="F725" s="2"/>
      <c r="G725" s="2"/>
      <c r="H725" s="2"/>
      <c r="I725" s="81"/>
      <c r="J725" s="2"/>
      <c r="K725" s="253"/>
    </row>
    <row r="726" spans="1:11" ht="15.75" customHeight="1">
      <c r="A726" s="4"/>
      <c r="B726" s="2"/>
      <c r="C726" s="2"/>
      <c r="D726" s="2"/>
      <c r="E726" s="2"/>
      <c r="F726" s="2"/>
      <c r="G726" s="2"/>
      <c r="H726" s="2"/>
      <c r="I726" s="81"/>
      <c r="J726" s="2"/>
      <c r="K726" s="253"/>
    </row>
    <row r="727" spans="1:11" ht="15.75" customHeight="1">
      <c r="A727" s="4"/>
      <c r="B727" s="2"/>
      <c r="C727" s="2"/>
      <c r="D727" s="2"/>
      <c r="E727" s="2"/>
      <c r="F727" s="2"/>
      <c r="G727" s="2"/>
      <c r="H727" s="2"/>
      <c r="I727" s="81"/>
      <c r="J727" s="2"/>
      <c r="K727" s="253"/>
    </row>
    <row r="728" spans="1:11" ht="15.75" customHeight="1">
      <c r="A728" s="4"/>
      <c r="B728" s="2"/>
      <c r="C728" s="2"/>
      <c r="D728" s="2"/>
      <c r="E728" s="2"/>
      <c r="F728" s="2"/>
      <c r="G728" s="2"/>
      <c r="H728" s="2"/>
      <c r="I728" s="81"/>
      <c r="J728" s="2"/>
      <c r="K728" s="253"/>
    </row>
    <row r="729" spans="1:11" ht="15.75" customHeight="1">
      <c r="A729" s="4"/>
      <c r="B729" s="2"/>
      <c r="C729" s="2"/>
      <c r="D729" s="2"/>
      <c r="E729" s="2"/>
      <c r="F729" s="2"/>
      <c r="G729" s="2"/>
      <c r="H729" s="2"/>
      <c r="I729" s="81"/>
      <c r="J729" s="2"/>
      <c r="K729" s="253"/>
    </row>
    <row r="730" spans="1:11" ht="15.75" customHeight="1">
      <c r="A730" s="4"/>
      <c r="B730" s="2"/>
      <c r="C730" s="2"/>
      <c r="D730" s="2"/>
      <c r="E730" s="2"/>
      <c r="F730" s="2"/>
      <c r="G730" s="2"/>
      <c r="H730" s="2"/>
      <c r="I730" s="81"/>
      <c r="J730" s="2"/>
      <c r="K730" s="253"/>
    </row>
    <row r="731" spans="1:11" ht="15.75" customHeight="1">
      <c r="A731" s="4"/>
      <c r="B731" s="2"/>
      <c r="C731" s="2"/>
      <c r="D731" s="2"/>
      <c r="E731" s="2"/>
      <c r="F731" s="2"/>
      <c r="G731" s="2"/>
      <c r="H731" s="2"/>
      <c r="I731" s="81"/>
      <c r="J731" s="2"/>
      <c r="K731" s="253"/>
    </row>
    <row r="732" spans="1:11" ht="15.75" customHeight="1">
      <c r="A732" s="4"/>
      <c r="B732" s="2"/>
      <c r="C732" s="2"/>
      <c r="D732" s="2"/>
      <c r="E732" s="2"/>
      <c r="F732" s="2"/>
      <c r="G732" s="2"/>
      <c r="H732" s="2"/>
      <c r="I732" s="81"/>
      <c r="J732" s="2"/>
      <c r="K732" s="253"/>
    </row>
    <row r="733" spans="1:11" ht="15.75" customHeight="1">
      <c r="A733" s="4"/>
      <c r="B733" s="2"/>
      <c r="C733" s="2"/>
      <c r="D733" s="2"/>
      <c r="E733" s="2"/>
      <c r="F733" s="2"/>
      <c r="G733" s="2"/>
      <c r="H733" s="2"/>
      <c r="I733" s="81"/>
      <c r="J733" s="2"/>
      <c r="K733" s="253"/>
    </row>
    <row r="734" spans="1:11" ht="15.75" customHeight="1">
      <c r="A734" s="4"/>
      <c r="B734" s="2"/>
      <c r="C734" s="2"/>
      <c r="D734" s="2"/>
      <c r="E734" s="2"/>
      <c r="F734" s="2"/>
      <c r="G734" s="2"/>
      <c r="H734" s="2"/>
      <c r="I734" s="81"/>
      <c r="J734" s="2"/>
      <c r="K734" s="253"/>
    </row>
    <row r="735" spans="1:11" ht="15.75" customHeight="1">
      <c r="A735" s="4"/>
      <c r="B735" s="2"/>
      <c r="C735" s="2"/>
      <c r="D735" s="2"/>
      <c r="E735" s="2"/>
      <c r="F735" s="2"/>
      <c r="G735" s="2"/>
      <c r="H735" s="2"/>
      <c r="I735" s="81"/>
      <c r="J735" s="2"/>
      <c r="K735" s="253"/>
    </row>
    <row r="736" spans="1:11" ht="15.75" customHeight="1">
      <c r="A736" s="4"/>
      <c r="B736" s="2"/>
      <c r="C736" s="2"/>
      <c r="D736" s="2"/>
      <c r="E736" s="2"/>
      <c r="F736" s="2"/>
      <c r="G736" s="2"/>
      <c r="H736" s="2"/>
      <c r="I736" s="81"/>
      <c r="J736" s="2"/>
      <c r="K736" s="253"/>
    </row>
    <row r="737" spans="1:11" ht="15.75" customHeight="1">
      <c r="A737" s="4"/>
      <c r="B737" s="2"/>
      <c r="C737" s="2"/>
      <c r="D737" s="2"/>
      <c r="E737" s="2"/>
      <c r="F737" s="2"/>
      <c r="G737" s="2"/>
      <c r="H737" s="2"/>
      <c r="I737" s="81"/>
      <c r="J737" s="2"/>
      <c r="K737" s="253"/>
    </row>
    <row r="738" spans="1:11" ht="15.75" customHeight="1">
      <c r="A738" s="4"/>
      <c r="B738" s="2"/>
      <c r="C738" s="2"/>
      <c r="D738" s="2"/>
      <c r="E738" s="2"/>
      <c r="F738" s="2"/>
      <c r="G738" s="2"/>
      <c r="H738" s="2"/>
      <c r="I738" s="81"/>
      <c r="J738" s="2"/>
      <c r="K738" s="253"/>
    </row>
    <row r="739" spans="1:11" ht="15.75" customHeight="1">
      <c r="A739" s="4"/>
      <c r="B739" s="2"/>
      <c r="C739" s="2"/>
      <c r="D739" s="2"/>
      <c r="E739" s="2"/>
      <c r="F739" s="2"/>
      <c r="G739" s="2"/>
      <c r="H739" s="2"/>
      <c r="I739" s="81"/>
      <c r="J739" s="2"/>
      <c r="K739" s="253"/>
    </row>
    <row r="740" spans="1:11" ht="15.75" customHeight="1">
      <c r="A740" s="4"/>
      <c r="B740" s="2"/>
      <c r="C740" s="2"/>
      <c r="D740" s="2"/>
      <c r="E740" s="2"/>
      <c r="F740" s="2"/>
      <c r="G740" s="2"/>
      <c r="H740" s="2"/>
      <c r="I740" s="81"/>
      <c r="J740" s="2"/>
      <c r="K740" s="253"/>
    </row>
    <row r="741" spans="1:11" ht="15.75" customHeight="1">
      <c r="A741" s="4"/>
      <c r="B741" s="2"/>
      <c r="C741" s="2"/>
      <c r="D741" s="2"/>
      <c r="E741" s="2"/>
      <c r="F741" s="2"/>
      <c r="G741" s="2"/>
      <c r="H741" s="2"/>
      <c r="I741" s="81"/>
      <c r="J741" s="2"/>
      <c r="K741" s="253"/>
    </row>
    <row r="742" spans="1:11" ht="15.75" customHeight="1">
      <c r="A742" s="4"/>
      <c r="B742" s="2"/>
      <c r="C742" s="2"/>
      <c r="D742" s="2"/>
      <c r="E742" s="2"/>
      <c r="F742" s="2"/>
      <c r="G742" s="2"/>
      <c r="H742" s="2"/>
      <c r="I742" s="81"/>
      <c r="J742" s="2"/>
      <c r="K742" s="253"/>
    </row>
    <row r="743" spans="1:11" ht="15.75" customHeight="1">
      <c r="A743" s="4"/>
      <c r="B743" s="2"/>
      <c r="C743" s="2"/>
      <c r="D743" s="2"/>
      <c r="E743" s="2"/>
      <c r="F743" s="2"/>
      <c r="G743" s="2"/>
      <c r="H743" s="2"/>
      <c r="I743" s="81"/>
      <c r="J743" s="2"/>
      <c r="K743" s="253"/>
    </row>
    <row r="744" spans="1:11" ht="15.75" customHeight="1">
      <c r="A744" s="4"/>
      <c r="B744" s="2"/>
      <c r="C744" s="2"/>
      <c r="D744" s="2"/>
      <c r="E744" s="2"/>
      <c r="F744" s="2"/>
      <c r="G744" s="2"/>
      <c r="H744" s="2"/>
      <c r="I744" s="81"/>
      <c r="J744" s="2"/>
      <c r="K744" s="253"/>
    </row>
    <row r="745" spans="1:11" ht="15.75" customHeight="1">
      <c r="A745" s="4"/>
      <c r="B745" s="2"/>
      <c r="C745" s="2"/>
      <c r="D745" s="2"/>
      <c r="E745" s="2"/>
      <c r="F745" s="2"/>
      <c r="G745" s="2"/>
      <c r="H745" s="2"/>
      <c r="I745" s="81"/>
      <c r="J745" s="2"/>
      <c r="K745" s="253"/>
    </row>
    <row r="746" spans="1:11" ht="15.75" customHeight="1">
      <c r="A746" s="4"/>
      <c r="B746" s="2"/>
      <c r="C746" s="2"/>
      <c r="D746" s="2"/>
      <c r="E746" s="2"/>
      <c r="F746" s="2"/>
      <c r="G746" s="2"/>
      <c r="H746" s="2"/>
      <c r="I746" s="81"/>
      <c r="J746" s="2"/>
      <c r="K746" s="253"/>
    </row>
    <row r="747" spans="1:11" ht="15.75" customHeight="1">
      <c r="A747" s="4"/>
      <c r="B747" s="2"/>
      <c r="C747" s="2"/>
      <c r="D747" s="2"/>
      <c r="E747" s="2"/>
      <c r="F747" s="2"/>
      <c r="G747" s="2"/>
      <c r="H747" s="2"/>
      <c r="I747" s="81"/>
      <c r="J747" s="2"/>
      <c r="K747" s="253"/>
    </row>
    <row r="748" spans="1:11" ht="15.75" customHeight="1">
      <c r="A748" s="4"/>
      <c r="B748" s="2"/>
      <c r="C748" s="2"/>
      <c r="D748" s="2"/>
      <c r="E748" s="2"/>
      <c r="F748" s="2"/>
      <c r="G748" s="2"/>
      <c r="H748" s="2"/>
      <c r="I748" s="81"/>
      <c r="J748" s="2"/>
      <c r="K748" s="253"/>
    </row>
    <row r="749" spans="1:11" ht="15.75" customHeight="1">
      <c r="A749" s="4"/>
      <c r="B749" s="2"/>
      <c r="C749" s="2"/>
      <c r="D749" s="2"/>
      <c r="E749" s="2"/>
      <c r="F749" s="2"/>
      <c r="G749" s="2"/>
      <c r="H749" s="2"/>
      <c r="I749" s="81"/>
      <c r="J749" s="2"/>
      <c r="K749" s="253"/>
    </row>
    <row r="750" spans="1:11" ht="15.75" customHeight="1">
      <c r="A750" s="4"/>
      <c r="B750" s="2"/>
      <c r="C750" s="2"/>
      <c r="D750" s="2"/>
      <c r="E750" s="2"/>
      <c r="F750" s="2"/>
      <c r="G750" s="2"/>
      <c r="H750" s="2"/>
      <c r="I750" s="81"/>
      <c r="J750" s="2"/>
      <c r="K750" s="253"/>
    </row>
    <row r="751" spans="1:11" ht="15.75" customHeight="1">
      <c r="A751" s="4"/>
      <c r="B751" s="2"/>
      <c r="C751" s="2"/>
      <c r="D751" s="2"/>
      <c r="E751" s="2"/>
      <c r="F751" s="2"/>
      <c r="G751" s="2"/>
      <c r="H751" s="2"/>
      <c r="I751" s="81"/>
      <c r="J751" s="2"/>
      <c r="K751" s="253"/>
    </row>
    <row r="752" spans="1:11" ht="15.75" customHeight="1">
      <c r="A752" s="4"/>
      <c r="B752" s="2"/>
      <c r="C752" s="2"/>
      <c r="D752" s="2"/>
      <c r="E752" s="2"/>
      <c r="F752" s="2"/>
      <c r="G752" s="2"/>
      <c r="H752" s="2"/>
      <c r="I752" s="81"/>
      <c r="J752" s="2"/>
      <c r="K752" s="253"/>
    </row>
    <row r="753" spans="1:11" ht="15.75" customHeight="1">
      <c r="A753" s="4"/>
      <c r="B753" s="2"/>
      <c r="C753" s="2"/>
      <c r="D753" s="2"/>
      <c r="E753" s="2"/>
      <c r="F753" s="2"/>
      <c r="G753" s="2"/>
      <c r="H753" s="2"/>
      <c r="I753" s="81"/>
      <c r="J753" s="2"/>
      <c r="K753" s="253"/>
    </row>
    <row r="754" spans="1:11" ht="15.75" customHeight="1">
      <c r="A754" s="4"/>
      <c r="B754" s="2"/>
      <c r="C754" s="2"/>
      <c r="D754" s="2"/>
      <c r="E754" s="2"/>
      <c r="F754" s="2"/>
      <c r="G754" s="2"/>
      <c r="H754" s="2"/>
      <c r="I754" s="81"/>
      <c r="J754" s="2"/>
      <c r="K754" s="253"/>
    </row>
    <row r="755" spans="1:11" ht="15.75" customHeight="1">
      <c r="A755" s="4"/>
      <c r="B755" s="2"/>
      <c r="C755" s="2"/>
      <c r="D755" s="2"/>
      <c r="E755" s="2"/>
      <c r="F755" s="2"/>
      <c r="G755" s="2"/>
      <c r="H755" s="2"/>
      <c r="I755" s="81"/>
      <c r="J755" s="2"/>
      <c r="K755" s="253"/>
    </row>
    <row r="756" spans="1:11" ht="15.75" customHeight="1">
      <c r="A756" s="4"/>
      <c r="B756" s="2"/>
      <c r="C756" s="2"/>
      <c r="D756" s="2"/>
      <c r="E756" s="2"/>
      <c r="F756" s="2"/>
      <c r="G756" s="2"/>
      <c r="H756" s="2"/>
      <c r="I756" s="81"/>
      <c r="J756" s="2"/>
      <c r="K756" s="253"/>
    </row>
    <row r="757" spans="1:11" ht="15.75" customHeight="1">
      <c r="A757" s="4"/>
      <c r="B757" s="2"/>
      <c r="C757" s="2"/>
      <c r="D757" s="2"/>
      <c r="E757" s="2"/>
      <c r="F757" s="2"/>
      <c r="G757" s="2"/>
      <c r="H757" s="2"/>
      <c r="I757" s="81"/>
      <c r="J757" s="2"/>
      <c r="K757" s="253"/>
    </row>
    <row r="758" spans="1:11" ht="15.75" customHeight="1">
      <c r="A758" s="4"/>
      <c r="B758" s="2"/>
      <c r="C758" s="2"/>
      <c r="D758" s="2"/>
      <c r="E758" s="2"/>
      <c r="F758" s="2"/>
      <c r="G758" s="2"/>
      <c r="H758" s="2"/>
      <c r="I758" s="81"/>
      <c r="J758" s="2"/>
      <c r="K758" s="253"/>
    </row>
    <row r="759" spans="1:11" ht="15.75" customHeight="1">
      <c r="A759" s="4"/>
      <c r="B759" s="2"/>
      <c r="C759" s="2"/>
      <c r="D759" s="2"/>
      <c r="E759" s="2"/>
      <c r="F759" s="2"/>
      <c r="G759" s="2"/>
      <c r="H759" s="2"/>
      <c r="I759" s="81"/>
      <c r="J759" s="2"/>
      <c r="K759" s="253"/>
    </row>
    <row r="760" spans="1:11" ht="15.75" customHeight="1">
      <c r="A760" s="4"/>
      <c r="B760" s="2"/>
      <c r="C760" s="2"/>
      <c r="D760" s="2"/>
      <c r="E760" s="2"/>
      <c r="F760" s="2"/>
      <c r="G760" s="2"/>
      <c r="H760" s="2"/>
      <c r="I760" s="81"/>
      <c r="J760" s="2"/>
      <c r="K760" s="253"/>
    </row>
    <row r="761" spans="1:11" ht="15.75" customHeight="1">
      <c r="A761" s="4"/>
      <c r="B761" s="2"/>
      <c r="C761" s="2"/>
      <c r="D761" s="2"/>
      <c r="E761" s="2"/>
      <c r="F761" s="2"/>
      <c r="G761" s="2"/>
      <c r="H761" s="2"/>
      <c r="I761" s="81"/>
      <c r="J761" s="2"/>
      <c r="K761" s="253"/>
    </row>
    <row r="762" spans="1:11" ht="15.75" customHeight="1">
      <c r="A762" s="4"/>
      <c r="B762" s="2"/>
      <c r="C762" s="2"/>
      <c r="D762" s="2"/>
      <c r="E762" s="2"/>
      <c r="F762" s="2"/>
      <c r="G762" s="2"/>
      <c r="H762" s="2"/>
      <c r="I762" s="81"/>
      <c r="J762" s="2"/>
      <c r="K762" s="253"/>
    </row>
    <row r="763" spans="1:11" ht="15.75" customHeight="1">
      <c r="A763" s="4"/>
      <c r="B763" s="2"/>
      <c r="C763" s="2"/>
      <c r="D763" s="2"/>
      <c r="E763" s="2"/>
      <c r="F763" s="2"/>
      <c r="G763" s="2"/>
      <c r="H763" s="2"/>
      <c r="I763" s="81"/>
      <c r="J763" s="2"/>
      <c r="K763" s="253"/>
    </row>
    <row r="764" spans="1:11" ht="15.75" customHeight="1">
      <c r="A764" s="4"/>
      <c r="B764" s="2"/>
      <c r="C764" s="2"/>
      <c r="D764" s="2"/>
      <c r="E764" s="2"/>
      <c r="F764" s="2"/>
      <c r="G764" s="2"/>
      <c r="H764" s="2"/>
      <c r="I764" s="81"/>
      <c r="J764" s="2"/>
      <c r="K764" s="253"/>
    </row>
    <row r="765" spans="1:11" ht="15.75" customHeight="1">
      <c r="A765" s="4"/>
      <c r="B765" s="2"/>
      <c r="C765" s="2"/>
      <c r="D765" s="2"/>
      <c r="E765" s="2"/>
      <c r="F765" s="2"/>
      <c r="G765" s="2"/>
      <c r="H765" s="2"/>
      <c r="I765" s="81"/>
      <c r="J765" s="2"/>
      <c r="K765" s="253"/>
    </row>
    <row r="766" spans="1:11" ht="15.75" customHeight="1">
      <c r="A766" s="4"/>
      <c r="B766" s="2"/>
      <c r="C766" s="2"/>
      <c r="D766" s="2"/>
      <c r="E766" s="2"/>
      <c r="F766" s="2"/>
      <c r="G766" s="2"/>
      <c r="H766" s="2"/>
      <c r="I766" s="81"/>
      <c r="J766" s="2"/>
      <c r="K766" s="253"/>
    </row>
    <row r="767" spans="1:11" ht="15.75" customHeight="1">
      <c r="A767" s="4"/>
      <c r="B767" s="2"/>
      <c r="C767" s="2"/>
      <c r="D767" s="2"/>
      <c r="E767" s="2"/>
      <c r="F767" s="2"/>
      <c r="G767" s="2"/>
      <c r="H767" s="2"/>
      <c r="I767" s="81"/>
      <c r="J767" s="2"/>
      <c r="K767" s="253"/>
    </row>
    <row r="768" spans="1:11" ht="15.75" customHeight="1">
      <c r="A768" s="4"/>
      <c r="B768" s="2"/>
      <c r="C768" s="2"/>
      <c r="D768" s="2"/>
      <c r="E768" s="2"/>
      <c r="F768" s="2"/>
      <c r="G768" s="2"/>
      <c r="H768" s="2"/>
      <c r="I768" s="81"/>
      <c r="J768" s="2"/>
      <c r="K768" s="253"/>
    </row>
    <row r="769" spans="1:11" ht="15.75" customHeight="1">
      <c r="A769" s="4"/>
      <c r="B769" s="2"/>
      <c r="C769" s="2"/>
      <c r="D769" s="2"/>
      <c r="E769" s="2"/>
      <c r="F769" s="2"/>
      <c r="G769" s="2"/>
      <c r="H769" s="2"/>
      <c r="I769" s="81"/>
      <c r="J769" s="2"/>
      <c r="K769" s="253"/>
    </row>
    <row r="770" spans="1:11" ht="15.75" customHeight="1">
      <c r="A770" s="4"/>
      <c r="B770" s="2"/>
      <c r="C770" s="2"/>
      <c r="D770" s="2"/>
      <c r="E770" s="2"/>
      <c r="F770" s="2"/>
      <c r="G770" s="2"/>
      <c r="H770" s="2"/>
      <c r="I770" s="81"/>
      <c r="J770" s="2"/>
      <c r="K770" s="253"/>
    </row>
    <row r="771" spans="1:11" ht="15.75" customHeight="1">
      <c r="A771" s="4"/>
      <c r="B771" s="2"/>
      <c r="C771" s="2"/>
      <c r="D771" s="2"/>
      <c r="E771" s="2"/>
      <c r="F771" s="2"/>
      <c r="G771" s="2"/>
      <c r="H771" s="2"/>
      <c r="I771" s="81"/>
      <c r="J771" s="2"/>
      <c r="K771" s="253"/>
    </row>
    <row r="772" spans="1:11" ht="15.75" customHeight="1">
      <c r="A772" s="4"/>
      <c r="B772" s="2"/>
      <c r="C772" s="2"/>
      <c r="D772" s="2"/>
      <c r="E772" s="2"/>
      <c r="F772" s="2"/>
      <c r="G772" s="2"/>
      <c r="H772" s="2"/>
      <c r="I772" s="81"/>
      <c r="J772" s="2"/>
      <c r="K772" s="253"/>
    </row>
    <row r="773" spans="1:11" ht="15.75" customHeight="1">
      <c r="A773" s="4"/>
      <c r="B773" s="2"/>
      <c r="C773" s="2"/>
      <c r="D773" s="2"/>
      <c r="E773" s="2"/>
      <c r="F773" s="2"/>
      <c r="G773" s="2"/>
      <c r="H773" s="2"/>
      <c r="I773" s="81"/>
      <c r="J773" s="2"/>
      <c r="K773" s="253"/>
    </row>
    <row r="774" spans="1:11" ht="15.75" customHeight="1">
      <c r="A774" s="4"/>
      <c r="B774" s="2"/>
      <c r="C774" s="2"/>
      <c r="D774" s="2"/>
      <c r="E774" s="2"/>
      <c r="F774" s="2"/>
      <c r="G774" s="2"/>
      <c r="H774" s="2"/>
      <c r="I774" s="81"/>
      <c r="J774" s="2"/>
      <c r="K774" s="253"/>
    </row>
    <row r="775" spans="1:11" ht="15.75" customHeight="1">
      <c r="A775" s="4"/>
      <c r="B775" s="2"/>
      <c r="C775" s="2"/>
      <c r="D775" s="2"/>
      <c r="E775" s="2"/>
      <c r="F775" s="2"/>
      <c r="G775" s="2"/>
      <c r="H775" s="2"/>
      <c r="I775" s="81"/>
      <c r="J775" s="2"/>
      <c r="K775" s="253"/>
    </row>
    <row r="776" spans="1:11" ht="15.75" customHeight="1">
      <c r="A776" s="4"/>
      <c r="B776" s="2"/>
      <c r="C776" s="2"/>
      <c r="D776" s="2"/>
      <c r="E776" s="2"/>
      <c r="F776" s="2"/>
      <c r="G776" s="2"/>
      <c r="H776" s="2"/>
      <c r="I776" s="81"/>
      <c r="J776" s="2"/>
      <c r="K776" s="253"/>
    </row>
    <row r="777" spans="1:11" ht="15.75" customHeight="1">
      <c r="A777" s="4"/>
      <c r="B777" s="2"/>
      <c r="C777" s="2"/>
      <c r="D777" s="2"/>
      <c r="E777" s="2"/>
      <c r="F777" s="2"/>
      <c r="G777" s="2"/>
      <c r="H777" s="2"/>
      <c r="I777" s="81"/>
      <c r="J777" s="2"/>
      <c r="K777" s="253"/>
    </row>
    <row r="778" spans="1:11" ht="15.75" customHeight="1">
      <c r="A778" s="4"/>
      <c r="B778" s="2"/>
      <c r="C778" s="2"/>
      <c r="D778" s="2"/>
      <c r="E778" s="2"/>
      <c r="F778" s="2"/>
      <c r="G778" s="2"/>
      <c r="H778" s="2"/>
      <c r="I778" s="81"/>
      <c r="J778" s="2"/>
      <c r="K778" s="253"/>
    </row>
    <row r="779" spans="1:11" ht="15.75" customHeight="1">
      <c r="A779" s="4"/>
      <c r="B779" s="2"/>
      <c r="C779" s="2"/>
      <c r="D779" s="2"/>
      <c r="E779" s="2"/>
      <c r="F779" s="2"/>
      <c r="G779" s="2"/>
      <c r="H779" s="2"/>
      <c r="I779" s="81"/>
      <c r="J779" s="2"/>
      <c r="K779" s="253"/>
    </row>
    <row r="780" spans="1:11" ht="15.75" customHeight="1">
      <c r="A780" s="4"/>
      <c r="B780" s="2"/>
      <c r="C780" s="2"/>
      <c r="D780" s="2"/>
      <c r="E780" s="2"/>
      <c r="F780" s="2"/>
      <c r="G780" s="2"/>
      <c r="H780" s="2"/>
      <c r="I780" s="81"/>
      <c r="J780" s="2"/>
      <c r="K780" s="253"/>
    </row>
    <row r="781" spans="1:11" ht="15.75" customHeight="1">
      <c r="A781" s="4"/>
      <c r="B781" s="2"/>
      <c r="C781" s="2"/>
      <c r="D781" s="2"/>
      <c r="E781" s="2"/>
      <c r="F781" s="2"/>
      <c r="G781" s="2"/>
      <c r="H781" s="2"/>
      <c r="I781" s="81"/>
      <c r="J781" s="2"/>
      <c r="K781" s="253"/>
    </row>
    <row r="782" spans="1:11" ht="15.75" customHeight="1">
      <c r="A782" s="4"/>
      <c r="B782" s="2"/>
      <c r="C782" s="2"/>
      <c r="D782" s="2"/>
      <c r="E782" s="2"/>
      <c r="F782" s="2"/>
      <c r="G782" s="2"/>
      <c r="H782" s="2"/>
      <c r="I782" s="81"/>
      <c r="J782" s="2"/>
      <c r="K782" s="253"/>
    </row>
    <row r="783" spans="1:11" ht="15.75" customHeight="1">
      <c r="A783" s="4"/>
      <c r="B783" s="2"/>
      <c r="C783" s="2"/>
      <c r="D783" s="2"/>
      <c r="E783" s="2"/>
      <c r="F783" s="2"/>
      <c r="G783" s="2"/>
      <c r="H783" s="2"/>
      <c r="I783" s="81"/>
      <c r="J783" s="2"/>
      <c r="K783" s="253"/>
    </row>
    <row r="784" spans="1:11" ht="15.75" customHeight="1">
      <c r="A784" s="4"/>
      <c r="B784" s="2"/>
      <c r="C784" s="2"/>
      <c r="D784" s="2"/>
      <c r="E784" s="2"/>
      <c r="F784" s="2"/>
      <c r="G784" s="2"/>
      <c r="H784" s="2"/>
      <c r="I784" s="81"/>
      <c r="J784" s="2"/>
      <c r="K784" s="253"/>
    </row>
    <row r="785" spans="1:11" ht="15.75" customHeight="1">
      <c r="A785" s="4"/>
      <c r="B785" s="2"/>
      <c r="C785" s="2"/>
      <c r="D785" s="2"/>
      <c r="E785" s="2"/>
      <c r="F785" s="2"/>
      <c r="G785" s="2"/>
      <c r="H785" s="2"/>
      <c r="I785" s="81"/>
      <c r="J785" s="2"/>
      <c r="K785" s="253"/>
    </row>
    <row r="786" spans="1:11" ht="15.75" customHeight="1">
      <c r="A786" s="4"/>
      <c r="B786" s="2"/>
      <c r="C786" s="2"/>
      <c r="D786" s="2"/>
      <c r="E786" s="2"/>
      <c r="F786" s="2"/>
      <c r="G786" s="2"/>
      <c r="H786" s="2"/>
      <c r="I786" s="81"/>
      <c r="J786" s="2"/>
      <c r="K786" s="253"/>
    </row>
    <row r="787" spans="1:11" ht="15.75" customHeight="1">
      <c r="A787" s="4"/>
      <c r="B787" s="2"/>
      <c r="C787" s="2"/>
      <c r="D787" s="2"/>
      <c r="E787" s="2"/>
      <c r="F787" s="2"/>
      <c r="G787" s="2"/>
      <c r="H787" s="2"/>
      <c r="I787" s="81"/>
      <c r="J787" s="2"/>
      <c r="K787" s="253"/>
    </row>
    <row r="788" spans="1:11" ht="15.75" customHeight="1">
      <c r="A788" s="4"/>
      <c r="B788" s="2"/>
      <c r="C788" s="2"/>
      <c r="D788" s="2"/>
      <c r="E788" s="2"/>
      <c r="F788" s="2"/>
      <c r="G788" s="2"/>
      <c r="H788" s="2"/>
      <c r="I788" s="81"/>
      <c r="J788" s="2"/>
      <c r="K788" s="253"/>
    </row>
    <row r="789" spans="1:11" ht="15.75" customHeight="1">
      <c r="A789" s="4"/>
      <c r="B789" s="2"/>
      <c r="C789" s="2"/>
      <c r="D789" s="2"/>
      <c r="E789" s="2"/>
      <c r="F789" s="2"/>
      <c r="G789" s="2"/>
      <c r="H789" s="2"/>
      <c r="I789" s="81"/>
      <c r="J789" s="2"/>
      <c r="K789" s="253"/>
    </row>
    <row r="790" spans="1:11" ht="15.75" customHeight="1">
      <c r="A790" s="4"/>
      <c r="B790" s="2"/>
      <c r="C790" s="2"/>
      <c r="D790" s="2"/>
      <c r="E790" s="2"/>
      <c r="F790" s="2"/>
      <c r="G790" s="2"/>
      <c r="H790" s="2"/>
      <c r="I790" s="81"/>
      <c r="J790" s="2"/>
      <c r="K790" s="253"/>
    </row>
    <row r="791" spans="1:11" ht="15.75" customHeight="1">
      <c r="A791" s="4"/>
      <c r="B791" s="2"/>
      <c r="C791" s="2"/>
      <c r="D791" s="2"/>
      <c r="E791" s="2"/>
      <c r="F791" s="2"/>
      <c r="G791" s="2"/>
      <c r="H791" s="2"/>
      <c r="I791" s="81"/>
      <c r="J791" s="2"/>
      <c r="K791" s="253"/>
    </row>
    <row r="792" spans="1:11" ht="15.75" customHeight="1">
      <c r="A792" s="4"/>
      <c r="B792" s="2"/>
      <c r="C792" s="2"/>
      <c r="D792" s="2"/>
      <c r="E792" s="2"/>
      <c r="F792" s="2"/>
      <c r="G792" s="2"/>
      <c r="H792" s="2"/>
      <c r="I792" s="81"/>
      <c r="J792" s="2"/>
      <c r="K792" s="253"/>
    </row>
    <row r="793" spans="1:11" ht="15.75" customHeight="1">
      <c r="A793" s="4"/>
      <c r="B793" s="2"/>
      <c r="C793" s="2"/>
      <c r="D793" s="2"/>
      <c r="E793" s="2"/>
      <c r="F793" s="2"/>
      <c r="G793" s="2"/>
      <c r="H793" s="2"/>
      <c r="I793" s="81"/>
      <c r="J793" s="2"/>
      <c r="K793" s="253"/>
    </row>
    <row r="794" spans="1:11" ht="15.75" customHeight="1">
      <c r="A794" s="4"/>
      <c r="B794" s="2"/>
      <c r="C794" s="2"/>
      <c r="D794" s="2"/>
      <c r="E794" s="2"/>
      <c r="F794" s="2"/>
      <c r="G794" s="2"/>
      <c r="H794" s="2"/>
      <c r="I794" s="81"/>
      <c r="J794" s="2"/>
      <c r="K794" s="253"/>
    </row>
    <row r="795" spans="1:11" ht="15.75" customHeight="1">
      <c r="A795" s="4"/>
      <c r="B795" s="2"/>
      <c r="C795" s="2"/>
      <c r="D795" s="2"/>
      <c r="E795" s="2"/>
      <c r="F795" s="2"/>
      <c r="G795" s="2"/>
      <c r="H795" s="2"/>
      <c r="I795" s="81"/>
      <c r="J795" s="2"/>
      <c r="K795" s="253"/>
    </row>
    <row r="796" spans="1:11" ht="15.75" customHeight="1">
      <c r="A796" s="4"/>
      <c r="B796" s="2"/>
      <c r="C796" s="2"/>
      <c r="D796" s="2"/>
      <c r="E796" s="2"/>
      <c r="F796" s="2"/>
      <c r="G796" s="2"/>
      <c r="H796" s="2"/>
      <c r="I796" s="81"/>
      <c r="J796" s="2"/>
      <c r="K796" s="253"/>
    </row>
    <row r="797" spans="1:11" ht="15.75" customHeight="1">
      <c r="A797" s="4"/>
      <c r="B797" s="2"/>
      <c r="C797" s="2"/>
      <c r="D797" s="2"/>
      <c r="E797" s="2"/>
      <c r="F797" s="2"/>
      <c r="G797" s="2"/>
      <c r="H797" s="2"/>
      <c r="I797" s="81"/>
      <c r="J797" s="2"/>
      <c r="K797" s="253"/>
    </row>
    <row r="798" spans="1:11" ht="15.75" customHeight="1">
      <c r="A798" s="4"/>
      <c r="B798" s="2"/>
      <c r="C798" s="2"/>
      <c r="D798" s="2"/>
      <c r="E798" s="2"/>
      <c r="F798" s="2"/>
      <c r="G798" s="2"/>
      <c r="H798" s="2"/>
      <c r="I798" s="81"/>
      <c r="J798" s="2"/>
      <c r="K798" s="253"/>
    </row>
    <row r="799" spans="1:11" ht="15.75" customHeight="1">
      <c r="A799" s="4"/>
      <c r="B799" s="2"/>
      <c r="C799" s="2"/>
      <c r="D799" s="2"/>
      <c r="E799" s="2"/>
      <c r="F799" s="2"/>
      <c r="G799" s="2"/>
      <c r="H799" s="2"/>
      <c r="I799" s="81"/>
      <c r="J799" s="2"/>
      <c r="K799" s="253"/>
    </row>
    <row r="800" spans="1:11" ht="15.75" customHeight="1">
      <c r="A800" s="4"/>
      <c r="B800" s="2"/>
      <c r="C800" s="2"/>
      <c r="D800" s="2"/>
      <c r="E800" s="2"/>
      <c r="F800" s="2"/>
      <c r="G800" s="2"/>
      <c r="H800" s="2"/>
      <c r="I800" s="81"/>
      <c r="J800" s="2"/>
      <c r="K800" s="253"/>
    </row>
    <row r="801" spans="1:11" ht="15.75" customHeight="1">
      <c r="A801" s="4"/>
      <c r="B801" s="2"/>
      <c r="C801" s="2"/>
      <c r="D801" s="2"/>
      <c r="E801" s="2"/>
      <c r="F801" s="2"/>
      <c r="G801" s="2"/>
      <c r="H801" s="2"/>
      <c r="I801" s="81"/>
      <c r="J801" s="2"/>
      <c r="K801" s="253"/>
    </row>
    <row r="802" spans="1:11" ht="15.75" customHeight="1">
      <c r="A802" s="4"/>
      <c r="B802" s="2"/>
      <c r="C802" s="2"/>
      <c r="D802" s="2"/>
      <c r="E802" s="2"/>
      <c r="F802" s="2"/>
      <c r="G802" s="2"/>
      <c r="H802" s="2"/>
      <c r="I802" s="81"/>
      <c r="J802" s="2"/>
      <c r="K802" s="253"/>
    </row>
    <row r="803" spans="1:11" ht="15.75" customHeight="1">
      <c r="A803" s="4"/>
      <c r="B803" s="2"/>
      <c r="C803" s="2"/>
      <c r="D803" s="2"/>
      <c r="E803" s="2"/>
      <c r="F803" s="2"/>
      <c r="G803" s="2"/>
      <c r="H803" s="2"/>
      <c r="I803" s="81"/>
      <c r="J803" s="2"/>
      <c r="K803" s="253"/>
    </row>
    <row r="804" spans="1:11" ht="15.75" customHeight="1">
      <c r="A804" s="4"/>
      <c r="B804" s="2"/>
      <c r="C804" s="2"/>
      <c r="D804" s="2"/>
      <c r="E804" s="2"/>
      <c r="F804" s="2"/>
      <c r="G804" s="2"/>
      <c r="H804" s="2"/>
      <c r="I804" s="81"/>
      <c r="J804" s="2"/>
      <c r="K804" s="253"/>
    </row>
    <row r="805" spans="1:11" ht="15.75" customHeight="1">
      <c r="A805" s="4"/>
      <c r="B805" s="2"/>
      <c r="C805" s="2"/>
      <c r="D805" s="2"/>
      <c r="E805" s="2"/>
      <c r="F805" s="2"/>
      <c r="G805" s="2"/>
      <c r="H805" s="2"/>
      <c r="I805" s="81"/>
      <c r="J805" s="2"/>
      <c r="K805" s="253"/>
    </row>
    <row r="806" spans="1:11" ht="15.75" customHeight="1">
      <c r="A806" s="4"/>
      <c r="B806" s="2"/>
      <c r="C806" s="2"/>
      <c r="D806" s="2"/>
      <c r="E806" s="2"/>
      <c r="F806" s="2"/>
      <c r="G806" s="2"/>
      <c r="H806" s="2"/>
      <c r="I806" s="81"/>
      <c r="J806" s="2"/>
      <c r="K806" s="253"/>
    </row>
    <row r="807" spans="1:11" ht="15.75" customHeight="1">
      <c r="A807" s="4"/>
      <c r="B807" s="2"/>
      <c r="C807" s="2"/>
      <c r="D807" s="2"/>
      <c r="E807" s="2"/>
      <c r="F807" s="2"/>
      <c r="G807" s="2"/>
      <c r="H807" s="2"/>
      <c r="I807" s="81"/>
      <c r="J807" s="2"/>
      <c r="K807" s="253"/>
    </row>
    <row r="808" spans="1:11" ht="15.75" customHeight="1">
      <c r="A808" s="4"/>
      <c r="B808" s="2"/>
      <c r="C808" s="2"/>
      <c r="D808" s="2"/>
      <c r="E808" s="2"/>
      <c r="F808" s="2"/>
      <c r="G808" s="2"/>
      <c r="H808" s="2"/>
      <c r="I808" s="81"/>
      <c r="J808" s="2"/>
      <c r="K808" s="253"/>
    </row>
    <row r="809" spans="1:11" ht="15.75" customHeight="1">
      <c r="A809" s="4"/>
      <c r="B809" s="2"/>
      <c r="C809" s="2"/>
      <c r="D809" s="2"/>
      <c r="E809" s="2"/>
      <c r="F809" s="2"/>
      <c r="G809" s="2"/>
      <c r="H809" s="2"/>
      <c r="I809" s="81"/>
      <c r="J809" s="2"/>
      <c r="K809" s="253"/>
    </row>
    <row r="810" spans="1:11" ht="15.75" customHeight="1">
      <c r="A810" s="4"/>
      <c r="B810" s="2"/>
      <c r="C810" s="2"/>
      <c r="D810" s="2"/>
      <c r="E810" s="2"/>
      <c r="F810" s="2"/>
      <c r="G810" s="2"/>
      <c r="H810" s="2"/>
      <c r="I810" s="81"/>
      <c r="J810" s="2"/>
      <c r="K810" s="253"/>
    </row>
    <row r="811" spans="1:11" ht="15.75" customHeight="1">
      <c r="A811" s="4"/>
      <c r="B811" s="2"/>
      <c r="C811" s="2"/>
      <c r="D811" s="2"/>
      <c r="E811" s="2"/>
      <c r="F811" s="2"/>
      <c r="G811" s="2"/>
      <c r="H811" s="2"/>
      <c r="I811" s="81"/>
      <c r="J811" s="2"/>
      <c r="K811" s="253"/>
    </row>
    <row r="812" spans="1:11" ht="15.75" customHeight="1">
      <c r="A812" s="4"/>
      <c r="B812" s="2"/>
      <c r="C812" s="2"/>
      <c r="D812" s="2"/>
      <c r="E812" s="2"/>
      <c r="F812" s="2"/>
      <c r="G812" s="2"/>
      <c r="H812" s="2"/>
      <c r="I812" s="81"/>
      <c r="J812" s="2"/>
      <c r="K812" s="253"/>
    </row>
    <row r="813" spans="1:11" ht="15.75" customHeight="1">
      <c r="A813" s="4"/>
      <c r="B813" s="2"/>
      <c r="C813" s="2"/>
      <c r="D813" s="2"/>
      <c r="E813" s="2"/>
      <c r="F813" s="2"/>
      <c r="G813" s="2"/>
      <c r="H813" s="2"/>
      <c r="I813" s="81"/>
      <c r="J813" s="2"/>
      <c r="K813" s="253"/>
    </row>
    <row r="814" spans="1:11" ht="15.75" customHeight="1">
      <c r="A814" s="4"/>
      <c r="B814" s="2"/>
      <c r="C814" s="2"/>
      <c r="D814" s="2"/>
      <c r="E814" s="2"/>
      <c r="F814" s="2"/>
      <c r="G814" s="2"/>
      <c r="H814" s="2"/>
      <c r="I814" s="81"/>
      <c r="J814" s="2"/>
      <c r="K814" s="253"/>
    </row>
    <row r="815" spans="1:11" ht="15.75" customHeight="1">
      <c r="A815" s="4"/>
      <c r="B815" s="2"/>
      <c r="C815" s="2"/>
      <c r="D815" s="2"/>
      <c r="E815" s="2"/>
      <c r="F815" s="2"/>
      <c r="G815" s="2"/>
      <c r="H815" s="2"/>
      <c r="I815" s="81"/>
      <c r="J815" s="2"/>
      <c r="K815" s="253"/>
    </row>
    <row r="816" spans="1:11" ht="15.75" customHeight="1">
      <c r="A816" s="4"/>
      <c r="B816" s="2"/>
      <c r="C816" s="2"/>
      <c r="D816" s="2"/>
      <c r="E816" s="2"/>
      <c r="F816" s="2"/>
      <c r="G816" s="2"/>
      <c r="H816" s="2"/>
      <c r="I816" s="81"/>
      <c r="J816" s="2"/>
      <c r="K816" s="253"/>
    </row>
    <row r="817" spans="1:11" ht="15.75" customHeight="1">
      <c r="A817" s="4"/>
      <c r="B817" s="2"/>
      <c r="C817" s="2"/>
      <c r="D817" s="2"/>
      <c r="E817" s="2"/>
      <c r="F817" s="2"/>
      <c r="G817" s="2"/>
      <c r="H817" s="2"/>
      <c r="I817" s="81"/>
      <c r="J817" s="2"/>
      <c r="K817" s="253"/>
    </row>
    <row r="818" spans="1:11" ht="15.75" customHeight="1">
      <c r="A818" s="4"/>
      <c r="B818" s="2"/>
      <c r="C818" s="2"/>
      <c r="D818" s="2"/>
      <c r="E818" s="2"/>
      <c r="F818" s="2"/>
      <c r="G818" s="2"/>
      <c r="H818" s="2"/>
      <c r="I818" s="81"/>
      <c r="J818" s="2"/>
      <c r="K818" s="253"/>
    </row>
    <row r="819" spans="1:11" ht="15.75" customHeight="1">
      <c r="A819" s="4"/>
      <c r="B819" s="2"/>
      <c r="C819" s="2"/>
      <c r="D819" s="2"/>
      <c r="E819" s="2"/>
      <c r="F819" s="2"/>
      <c r="G819" s="2"/>
      <c r="H819" s="2"/>
      <c r="I819" s="81"/>
      <c r="J819" s="2"/>
      <c r="K819" s="253"/>
    </row>
    <row r="820" spans="1:11" ht="15.75" customHeight="1">
      <c r="A820" s="4"/>
      <c r="B820" s="2"/>
      <c r="C820" s="2"/>
      <c r="D820" s="2"/>
      <c r="E820" s="2"/>
      <c r="F820" s="2"/>
      <c r="G820" s="2"/>
      <c r="H820" s="2"/>
      <c r="I820" s="81"/>
      <c r="J820" s="2"/>
      <c r="K820" s="253"/>
    </row>
    <row r="821" spans="1:11" ht="15.75" customHeight="1">
      <c r="A821" s="4"/>
      <c r="B821" s="2"/>
      <c r="C821" s="2"/>
      <c r="D821" s="2"/>
      <c r="E821" s="2"/>
      <c r="F821" s="2"/>
      <c r="G821" s="2"/>
      <c r="H821" s="2"/>
      <c r="I821" s="81"/>
      <c r="J821" s="2"/>
      <c r="K821" s="253"/>
    </row>
    <row r="822" spans="1:11" ht="15.75" customHeight="1">
      <c r="A822" s="4"/>
      <c r="B822" s="2"/>
      <c r="C822" s="2"/>
      <c r="D822" s="2"/>
      <c r="E822" s="2"/>
      <c r="F822" s="2"/>
      <c r="G822" s="2"/>
      <c r="H822" s="2"/>
      <c r="I822" s="81"/>
      <c r="J822" s="2"/>
      <c r="K822" s="253"/>
    </row>
    <row r="823" spans="1:11" ht="15.75" customHeight="1">
      <c r="A823" s="4"/>
      <c r="B823" s="2"/>
      <c r="C823" s="2"/>
      <c r="D823" s="2"/>
      <c r="E823" s="2"/>
      <c r="F823" s="2"/>
      <c r="G823" s="2"/>
      <c r="H823" s="2"/>
      <c r="I823" s="81"/>
      <c r="J823" s="2"/>
      <c r="K823" s="253"/>
    </row>
    <row r="824" spans="1:11" ht="15.75" customHeight="1">
      <c r="A824" s="4"/>
      <c r="B824" s="2"/>
      <c r="C824" s="2"/>
      <c r="D824" s="2"/>
      <c r="E824" s="2"/>
      <c r="F824" s="2"/>
      <c r="G824" s="2"/>
      <c r="H824" s="2"/>
      <c r="I824" s="81"/>
      <c r="J824" s="2"/>
      <c r="K824" s="253"/>
    </row>
    <row r="825" spans="1:11" ht="15.75" customHeight="1">
      <c r="A825" s="4"/>
      <c r="B825" s="2"/>
      <c r="C825" s="2"/>
      <c r="D825" s="2"/>
      <c r="E825" s="2"/>
      <c r="F825" s="2"/>
      <c r="G825" s="2"/>
      <c r="H825" s="2"/>
      <c r="I825" s="81"/>
      <c r="J825" s="2"/>
      <c r="K825" s="253"/>
    </row>
    <row r="826" spans="1:11" ht="15.75" customHeight="1">
      <c r="A826" s="4"/>
      <c r="B826" s="2"/>
      <c r="C826" s="2"/>
      <c r="D826" s="2"/>
      <c r="E826" s="2"/>
      <c r="F826" s="2"/>
      <c r="G826" s="2"/>
      <c r="H826" s="2"/>
      <c r="I826" s="81"/>
      <c r="J826" s="2"/>
      <c r="K826" s="253"/>
    </row>
    <row r="827" spans="1:11" ht="15.75" customHeight="1">
      <c r="A827" s="4"/>
      <c r="B827" s="2"/>
      <c r="C827" s="2"/>
      <c r="D827" s="2"/>
      <c r="E827" s="2"/>
      <c r="F827" s="2"/>
      <c r="G827" s="2"/>
      <c r="H827" s="2"/>
      <c r="I827" s="81"/>
      <c r="J827" s="2"/>
      <c r="K827" s="253"/>
    </row>
    <row r="828" spans="1:11" ht="15.75" customHeight="1">
      <c r="A828" s="4"/>
      <c r="B828" s="2"/>
      <c r="C828" s="2"/>
      <c r="D828" s="2"/>
      <c r="E828" s="2"/>
      <c r="F828" s="2"/>
      <c r="G828" s="2"/>
      <c r="H828" s="2"/>
      <c r="I828" s="81"/>
      <c r="J828" s="2"/>
      <c r="K828" s="253"/>
    </row>
    <row r="829" spans="1:11" ht="15.75" customHeight="1">
      <c r="A829" s="4"/>
      <c r="B829" s="2"/>
      <c r="C829" s="2"/>
      <c r="D829" s="2"/>
      <c r="E829" s="2"/>
      <c r="F829" s="2"/>
      <c r="G829" s="2"/>
      <c r="H829" s="2"/>
      <c r="I829" s="81"/>
      <c r="J829" s="2"/>
      <c r="K829" s="253"/>
    </row>
    <row r="830" spans="1:11" ht="15.75" customHeight="1">
      <c r="A830" s="4"/>
      <c r="B830" s="2"/>
      <c r="C830" s="2"/>
      <c r="D830" s="2"/>
      <c r="E830" s="2"/>
      <c r="F830" s="2"/>
      <c r="G830" s="2"/>
      <c r="H830" s="2"/>
      <c r="I830" s="81"/>
      <c r="J830" s="2"/>
      <c r="K830" s="253"/>
    </row>
    <row r="831" spans="1:11" ht="15.75" customHeight="1">
      <c r="A831" s="4"/>
      <c r="B831" s="2"/>
      <c r="C831" s="2"/>
      <c r="D831" s="2"/>
      <c r="E831" s="2"/>
      <c r="F831" s="2"/>
      <c r="G831" s="2"/>
      <c r="H831" s="2"/>
      <c r="I831" s="81"/>
      <c r="J831" s="2"/>
      <c r="K831" s="253"/>
    </row>
    <row r="832" spans="1:11" ht="15.75" customHeight="1">
      <c r="A832" s="4"/>
      <c r="B832" s="2"/>
      <c r="C832" s="2"/>
      <c r="D832" s="2"/>
      <c r="E832" s="2"/>
      <c r="F832" s="2"/>
      <c r="G832" s="2"/>
      <c r="H832" s="2"/>
      <c r="I832" s="81"/>
      <c r="J832" s="2"/>
      <c r="K832" s="253"/>
    </row>
    <row r="833" spans="1:11" ht="15.75" customHeight="1">
      <c r="A833" s="4"/>
      <c r="B833" s="2"/>
      <c r="C833" s="2"/>
      <c r="D833" s="2"/>
      <c r="E833" s="2"/>
      <c r="F833" s="2"/>
      <c r="G833" s="2"/>
      <c r="H833" s="2"/>
      <c r="I833" s="81"/>
      <c r="J833" s="2"/>
      <c r="K833" s="253"/>
    </row>
    <row r="834" spans="1:11" ht="15.75" customHeight="1">
      <c r="A834" s="4"/>
      <c r="B834" s="2"/>
      <c r="C834" s="2"/>
      <c r="D834" s="2"/>
      <c r="E834" s="2"/>
      <c r="F834" s="2"/>
      <c r="G834" s="2"/>
      <c r="H834" s="2"/>
      <c r="I834" s="81"/>
      <c r="J834" s="2"/>
      <c r="K834" s="253"/>
    </row>
    <row r="835" spans="1:11" ht="15.75" customHeight="1">
      <c r="A835" s="4"/>
      <c r="B835" s="2"/>
      <c r="C835" s="2"/>
      <c r="D835" s="2"/>
      <c r="E835" s="2"/>
      <c r="F835" s="2"/>
      <c r="G835" s="2"/>
      <c r="H835" s="2"/>
      <c r="I835" s="81"/>
      <c r="J835" s="2"/>
      <c r="K835" s="253"/>
    </row>
    <row r="836" spans="1:11" ht="15.75" customHeight="1">
      <c r="A836" s="4"/>
      <c r="B836" s="2"/>
      <c r="C836" s="2"/>
      <c r="D836" s="2"/>
      <c r="E836" s="2"/>
      <c r="F836" s="2"/>
      <c r="G836" s="2"/>
      <c r="H836" s="2"/>
      <c r="I836" s="81"/>
      <c r="J836" s="2"/>
      <c r="K836" s="253"/>
    </row>
    <row r="837" spans="1:11" ht="15.75" customHeight="1">
      <c r="A837" s="4"/>
      <c r="B837" s="2"/>
      <c r="C837" s="2"/>
      <c r="D837" s="2"/>
      <c r="E837" s="2"/>
      <c r="F837" s="2"/>
      <c r="G837" s="2"/>
      <c r="H837" s="2"/>
      <c r="I837" s="81"/>
      <c r="J837" s="2"/>
      <c r="K837" s="253"/>
    </row>
    <row r="838" spans="1:11" ht="15.75" customHeight="1">
      <c r="A838" s="4"/>
      <c r="B838" s="2"/>
      <c r="C838" s="2"/>
      <c r="D838" s="2"/>
      <c r="E838" s="2"/>
      <c r="F838" s="2"/>
      <c r="G838" s="2"/>
      <c r="H838" s="2"/>
      <c r="I838" s="81"/>
      <c r="J838" s="2"/>
      <c r="K838" s="253"/>
    </row>
    <row r="839" spans="1:11" ht="15.75" customHeight="1">
      <c r="A839" s="4"/>
      <c r="B839" s="2"/>
      <c r="C839" s="2"/>
      <c r="D839" s="2"/>
      <c r="E839" s="2"/>
      <c r="F839" s="2"/>
      <c r="G839" s="2"/>
      <c r="H839" s="2"/>
      <c r="I839" s="81"/>
      <c r="J839" s="2"/>
      <c r="K839" s="253"/>
    </row>
    <row r="840" spans="1:11" ht="15.75" customHeight="1">
      <c r="A840" s="4"/>
      <c r="B840" s="2"/>
      <c r="C840" s="2"/>
      <c r="D840" s="2"/>
      <c r="E840" s="2"/>
      <c r="F840" s="2"/>
      <c r="G840" s="2"/>
      <c r="H840" s="2"/>
      <c r="I840" s="81"/>
      <c r="J840" s="2"/>
      <c r="K840" s="253"/>
    </row>
    <row r="841" spans="1:11" ht="15.75" customHeight="1">
      <c r="A841" s="4"/>
      <c r="B841" s="2"/>
      <c r="C841" s="2"/>
      <c r="D841" s="2"/>
      <c r="E841" s="2"/>
      <c r="F841" s="2"/>
      <c r="G841" s="2"/>
      <c r="H841" s="2"/>
      <c r="I841" s="81"/>
      <c r="J841" s="2"/>
      <c r="K841" s="253"/>
    </row>
    <row r="842" spans="1:11" ht="15.75" customHeight="1">
      <c r="A842" s="4"/>
      <c r="B842" s="2"/>
      <c r="C842" s="2"/>
      <c r="D842" s="2"/>
      <c r="E842" s="2"/>
      <c r="F842" s="2"/>
      <c r="G842" s="2"/>
      <c r="H842" s="2"/>
      <c r="I842" s="81"/>
      <c r="J842" s="2"/>
      <c r="K842" s="253"/>
    </row>
    <row r="843" spans="1:11" ht="15.75" customHeight="1">
      <c r="A843" s="4"/>
      <c r="B843" s="2"/>
      <c r="C843" s="2"/>
      <c r="D843" s="2"/>
      <c r="E843" s="2"/>
      <c r="F843" s="2"/>
      <c r="G843" s="2"/>
      <c r="H843" s="2"/>
      <c r="I843" s="81"/>
      <c r="J843" s="2"/>
      <c r="K843" s="253"/>
    </row>
    <row r="844" spans="1:11" ht="15.75" customHeight="1">
      <c r="A844" s="4"/>
      <c r="B844" s="2"/>
      <c r="C844" s="2"/>
      <c r="D844" s="2"/>
      <c r="E844" s="2"/>
      <c r="F844" s="2"/>
      <c r="G844" s="2"/>
      <c r="H844" s="2"/>
      <c r="I844" s="81"/>
      <c r="J844" s="2"/>
      <c r="K844" s="253"/>
    </row>
    <row r="845" spans="1:11" ht="15.75" customHeight="1">
      <c r="A845" s="4"/>
      <c r="B845" s="2"/>
      <c r="C845" s="2"/>
      <c r="D845" s="2"/>
      <c r="E845" s="2"/>
      <c r="F845" s="2"/>
      <c r="G845" s="2"/>
      <c r="H845" s="2"/>
      <c r="I845" s="81"/>
      <c r="J845" s="2"/>
      <c r="K845" s="253"/>
    </row>
    <row r="846" spans="1:11" ht="15.75" customHeight="1">
      <c r="A846" s="4"/>
      <c r="B846" s="2"/>
      <c r="C846" s="2"/>
      <c r="D846" s="2"/>
      <c r="E846" s="2"/>
      <c r="F846" s="2"/>
      <c r="G846" s="2"/>
      <c r="H846" s="2"/>
      <c r="I846" s="81"/>
      <c r="J846" s="2"/>
      <c r="K846" s="253"/>
    </row>
    <row r="847" spans="1:11" ht="15.75" customHeight="1">
      <c r="A847" s="4"/>
      <c r="B847" s="2"/>
      <c r="C847" s="2"/>
      <c r="D847" s="2"/>
      <c r="E847" s="2"/>
      <c r="F847" s="2"/>
      <c r="G847" s="2"/>
      <c r="H847" s="2"/>
      <c r="I847" s="81"/>
      <c r="J847" s="2"/>
      <c r="K847" s="253"/>
    </row>
    <row r="848" spans="1:11" ht="15.75" customHeight="1">
      <c r="A848" s="4"/>
      <c r="B848" s="2"/>
      <c r="C848" s="2"/>
      <c r="D848" s="2"/>
      <c r="E848" s="2"/>
      <c r="F848" s="2"/>
      <c r="G848" s="2"/>
      <c r="H848" s="2"/>
      <c r="I848" s="81"/>
      <c r="J848" s="2"/>
      <c r="K848" s="253"/>
    </row>
    <row r="849" spans="1:11" ht="15.75" customHeight="1">
      <c r="A849" s="4"/>
      <c r="B849" s="2"/>
      <c r="C849" s="2"/>
      <c r="D849" s="2"/>
      <c r="E849" s="2"/>
      <c r="F849" s="2"/>
      <c r="G849" s="2"/>
      <c r="H849" s="2"/>
      <c r="I849" s="81"/>
      <c r="J849" s="2"/>
      <c r="K849" s="253"/>
    </row>
    <row r="850" spans="1:11" ht="15.75" customHeight="1">
      <c r="A850" s="4"/>
      <c r="B850" s="2"/>
      <c r="C850" s="2"/>
      <c r="D850" s="2"/>
      <c r="E850" s="2"/>
      <c r="F850" s="2"/>
      <c r="G850" s="2"/>
      <c r="H850" s="2"/>
      <c r="I850" s="81"/>
      <c r="J850" s="2"/>
      <c r="K850" s="253"/>
    </row>
    <row r="851" spans="1:11" ht="15.75" customHeight="1">
      <c r="A851" s="4"/>
      <c r="B851" s="2"/>
      <c r="C851" s="2"/>
      <c r="D851" s="2"/>
      <c r="E851" s="2"/>
      <c r="F851" s="2"/>
      <c r="G851" s="2"/>
      <c r="H851" s="2"/>
      <c r="I851" s="81"/>
      <c r="J851" s="2"/>
      <c r="K851" s="253"/>
    </row>
    <row r="852" spans="1:11" ht="15.75" customHeight="1">
      <c r="A852" s="4"/>
      <c r="B852" s="2"/>
      <c r="C852" s="2"/>
      <c r="D852" s="2"/>
      <c r="E852" s="2"/>
      <c r="F852" s="2"/>
      <c r="G852" s="2"/>
      <c r="H852" s="2"/>
      <c r="I852" s="81"/>
      <c r="J852" s="2"/>
      <c r="K852" s="253"/>
    </row>
    <row r="853" spans="1:11" ht="15.75" customHeight="1">
      <c r="A853" s="4"/>
      <c r="B853" s="2"/>
      <c r="C853" s="2"/>
      <c r="D853" s="2"/>
      <c r="E853" s="2"/>
      <c r="F853" s="2"/>
      <c r="G853" s="2"/>
      <c r="H853" s="2"/>
      <c r="I853" s="81"/>
      <c r="J853" s="2"/>
      <c r="K853" s="253"/>
    </row>
    <row r="854" spans="1:11" ht="15.75" customHeight="1">
      <c r="A854" s="4"/>
      <c r="B854" s="2"/>
      <c r="C854" s="2"/>
      <c r="D854" s="2"/>
      <c r="E854" s="2"/>
      <c r="F854" s="2"/>
      <c r="G854" s="2"/>
      <c r="H854" s="2"/>
      <c r="I854" s="81"/>
      <c r="J854" s="2"/>
      <c r="K854" s="253"/>
    </row>
    <row r="855" spans="1:11" ht="15.75" customHeight="1">
      <c r="A855" s="4"/>
      <c r="B855" s="2"/>
      <c r="C855" s="2"/>
      <c r="D855" s="2"/>
      <c r="E855" s="2"/>
      <c r="F855" s="2"/>
      <c r="G855" s="2"/>
      <c r="H855" s="2"/>
      <c r="I855" s="81"/>
      <c r="J855" s="2"/>
      <c r="K855" s="253"/>
    </row>
    <row r="856" spans="1:11" ht="15.75" customHeight="1">
      <c r="A856" s="4"/>
      <c r="B856" s="2"/>
      <c r="C856" s="2"/>
      <c r="D856" s="2"/>
      <c r="E856" s="2"/>
      <c r="F856" s="2"/>
      <c r="G856" s="2"/>
      <c r="H856" s="2"/>
      <c r="I856" s="81"/>
      <c r="J856" s="2"/>
      <c r="K856" s="253"/>
    </row>
    <row r="857" spans="1:11" ht="15.75" customHeight="1">
      <c r="A857" s="4"/>
      <c r="B857" s="2"/>
      <c r="C857" s="2"/>
      <c r="D857" s="2"/>
      <c r="E857" s="2"/>
      <c r="F857" s="2"/>
      <c r="G857" s="2"/>
      <c r="H857" s="2"/>
      <c r="I857" s="81"/>
      <c r="J857" s="2"/>
      <c r="K857" s="253"/>
    </row>
    <row r="858" spans="1:11" ht="15.75" customHeight="1">
      <c r="A858" s="4"/>
      <c r="B858" s="2"/>
      <c r="C858" s="2"/>
      <c r="D858" s="2"/>
      <c r="E858" s="2"/>
      <c r="F858" s="2"/>
      <c r="G858" s="2"/>
      <c r="H858" s="2"/>
      <c r="I858" s="81"/>
      <c r="J858" s="2"/>
      <c r="K858" s="253"/>
    </row>
    <row r="859" spans="1:11" ht="15.75" customHeight="1">
      <c r="A859" s="4"/>
      <c r="B859" s="2"/>
      <c r="C859" s="2"/>
      <c r="D859" s="2"/>
      <c r="E859" s="2"/>
      <c r="F859" s="2"/>
      <c r="G859" s="2"/>
      <c r="H859" s="2"/>
      <c r="I859" s="81"/>
      <c r="J859" s="2"/>
      <c r="K859" s="253"/>
    </row>
    <row r="860" spans="1:11" ht="15.75" customHeight="1">
      <c r="A860" s="4"/>
      <c r="B860" s="2"/>
      <c r="C860" s="2"/>
      <c r="D860" s="2"/>
      <c r="E860" s="2"/>
      <c r="F860" s="2"/>
      <c r="G860" s="2"/>
      <c r="H860" s="2"/>
      <c r="I860" s="81"/>
      <c r="J860" s="2"/>
      <c r="K860" s="253"/>
    </row>
    <row r="861" spans="1:11" ht="15.75" customHeight="1">
      <c r="A861" s="4"/>
      <c r="B861" s="2"/>
      <c r="C861" s="2"/>
      <c r="D861" s="2"/>
      <c r="E861" s="2"/>
      <c r="F861" s="2"/>
      <c r="G861" s="2"/>
      <c r="H861" s="2"/>
      <c r="I861" s="81"/>
      <c r="J861" s="2"/>
      <c r="K861" s="253"/>
    </row>
    <row r="862" spans="1:11" ht="15.75" customHeight="1">
      <c r="A862" s="4"/>
      <c r="B862" s="2"/>
      <c r="C862" s="2"/>
      <c r="D862" s="2"/>
      <c r="E862" s="2"/>
      <c r="F862" s="2"/>
      <c r="G862" s="2"/>
      <c r="H862" s="2"/>
      <c r="I862" s="81"/>
      <c r="J862" s="2"/>
      <c r="K862" s="253"/>
    </row>
    <row r="863" spans="1:11" ht="15.75" customHeight="1">
      <c r="A863" s="4"/>
      <c r="B863" s="2"/>
      <c r="C863" s="2"/>
      <c r="D863" s="2"/>
      <c r="E863" s="2"/>
      <c r="F863" s="2"/>
      <c r="G863" s="2"/>
      <c r="H863" s="2"/>
      <c r="I863" s="81"/>
      <c r="J863" s="2"/>
      <c r="K863" s="253"/>
    </row>
    <row r="864" spans="1:11" ht="15.75" customHeight="1">
      <c r="A864" s="4"/>
      <c r="B864" s="2"/>
      <c r="C864" s="2"/>
      <c r="D864" s="2"/>
      <c r="E864" s="2"/>
      <c r="F864" s="2"/>
      <c r="G864" s="2"/>
      <c r="H864" s="2"/>
      <c r="I864" s="81"/>
      <c r="J864" s="2"/>
      <c r="K864" s="253"/>
    </row>
    <row r="865" spans="1:11" ht="15.75" customHeight="1">
      <c r="A865" s="4"/>
      <c r="B865" s="2"/>
      <c r="C865" s="2"/>
      <c r="D865" s="2"/>
      <c r="E865" s="2"/>
      <c r="F865" s="2"/>
      <c r="G865" s="2"/>
      <c r="H865" s="2"/>
      <c r="I865" s="81"/>
      <c r="J865" s="2"/>
      <c r="K865" s="253"/>
    </row>
    <row r="866" spans="1:11" ht="15.75" customHeight="1">
      <c r="A866" s="4"/>
      <c r="B866" s="2"/>
      <c r="C866" s="2"/>
      <c r="D866" s="2"/>
      <c r="E866" s="2"/>
      <c r="F866" s="2"/>
      <c r="G866" s="2"/>
      <c r="H866" s="2"/>
      <c r="I866" s="81"/>
      <c r="J866" s="2"/>
      <c r="K866" s="253"/>
    </row>
    <row r="867" spans="1:11" ht="15.75" customHeight="1">
      <c r="A867" s="4"/>
      <c r="B867" s="2"/>
      <c r="C867" s="2"/>
      <c r="D867" s="2"/>
      <c r="E867" s="2"/>
      <c r="F867" s="2"/>
      <c r="G867" s="2"/>
      <c r="H867" s="2"/>
      <c r="I867" s="81"/>
      <c r="J867" s="2"/>
      <c r="K867" s="253"/>
    </row>
    <row r="868" spans="1:11" ht="15.75" customHeight="1">
      <c r="A868" s="4"/>
      <c r="B868" s="2"/>
      <c r="C868" s="2"/>
      <c r="D868" s="2"/>
      <c r="E868" s="2"/>
      <c r="F868" s="2"/>
      <c r="G868" s="2"/>
      <c r="H868" s="2"/>
      <c r="I868" s="81"/>
      <c r="J868" s="2"/>
      <c r="K868" s="253"/>
    </row>
    <row r="869" spans="1:11" ht="15.75" customHeight="1">
      <c r="A869" s="4"/>
      <c r="B869" s="2"/>
      <c r="C869" s="2"/>
      <c r="D869" s="2"/>
      <c r="E869" s="2"/>
      <c r="F869" s="2"/>
      <c r="G869" s="2"/>
      <c r="H869" s="2"/>
      <c r="I869" s="81"/>
      <c r="J869" s="2"/>
      <c r="K869" s="253"/>
    </row>
    <row r="870" spans="1:11" ht="15.75" customHeight="1">
      <c r="A870" s="4"/>
      <c r="B870" s="2"/>
      <c r="C870" s="2"/>
      <c r="D870" s="2"/>
      <c r="E870" s="2"/>
      <c r="F870" s="2"/>
      <c r="G870" s="2"/>
      <c r="H870" s="2"/>
      <c r="I870" s="81"/>
      <c r="J870" s="2"/>
      <c r="K870" s="253"/>
    </row>
    <row r="871" spans="1:11" ht="15.75" customHeight="1">
      <c r="A871" s="4"/>
      <c r="B871" s="2"/>
      <c r="C871" s="2"/>
      <c r="D871" s="2"/>
      <c r="E871" s="2"/>
      <c r="F871" s="2"/>
      <c r="G871" s="2"/>
      <c r="H871" s="2"/>
      <c r="I871" s="81"/>
      <c r="J871" s="2"/>
      <c r="K871" s="253"/>
    </row>
    <row r="872" spans="1:11" ht="15.75" customHeight="1">
      <c r="A872" s="4"/>
      <c r="B872" s="2"/>
      <c r="C872" s="2"/>
      <c r="D872" s="2"/>
      <c r="E872" s="2"/>
      <c r="F872" s="2"/>
      <c r="G872" s="2"/>
      <c r="H872" s="2"/>
      <c r="I872" s="81"/>
      <c r="J872" s="2"/>
      <c r="K872" s="253"/>
    </row>
    <row r="873" spans="1:11" ht="15.75" customHeight="1">
      <c r="A873" s="4"/>
      <c r="B873" s="2"/>
      <c r="C873" s="2"/>
      <c r="D873" s="2"/>
      <c r="E873" s="2"/>
      <c r="F873" s="2"/>
      <c r="G873" s="2"/>
      <c r="H873" s="2"/>
      <c r="I873" s="81"/>
      <c r="J873" s="2"/>
      <c r="K873" s="253"/>
    </row>
    <row r="874" spans="1:11" ht="15.75" customHeight="1">
      <c r="A874" s="4"/>
      <c r="B874" s="2"/>
      <c r="C874" s="2"/>
      <c r="D874" s="2"/>
      <c r="E874" s="2"/>
      <c r="F874" s="2"/>
      <c r="G874" s="2"/>
      <c r="H874" s="2"/>
      <c r="I874" s="81"/>
      <c r="J874" s="2"/>
      <c r="K874" s="253"/>
    </row>
    <row r="875" spans="1:11" ht="15.75" customHeight="1">
      <c r="A875" s="4"/>
      <c r="B875" s="2"/>
      <c r="C875" s="2"/>
      <c r="D875" s="2"/>
      <c r="E875" s="2"/>
      <c r="F875" s="2"/>
      <c r="G875" s="2"/>
      <c r="H875" s="2"/>
      <c r="I875" s="81"/>
      <c r="J875" s="2"/>
      <c r="K875" s="253"/>
    </row>
    <row r="876" spans="1:11" ht="15.75" customHeight="1">
      <c r="A876" s="4"/>
      <c r="B876" s="2"/>
      <c r="C876" s="2"/>
      <c r="D876" s="2"/>
      <c r="E876" s="2"/>
      <c r="F876" s="2"/>
      <c r="G876" s="2"/>
      <c r="H876" s="2"/>
      <c r="I876" s="81"/>
      <c r="J876" s="2"/>
      <c r="K876" s="253"/>
    </row>
    <row r="877" spans="1:11" ht="15.75" customHeight="1">
      <c r="A877" s="4"/>
      <c r="B877" s="2"/>
      <c r="C877" s="2"/>
      <c r="D877" s="2"/>
      <c r="E877" s="2"/>
      <c r="F877" s="2"/>
      <c r="G877" s="2"/>
      <c r="H877" s="2"/>
      <c r="I877" s="81"/>
      <c r="J877" s="2"/>
      <c r="K877" s="253"/>
    </row>
    <row r="878" spans="1:11" ht="15.75" customHeight="1">
      <c r="A878" s="4"/>
      <c r="B878" s="2"/>
      <c r="C878" s="2"/>
      <c r="D878" s="2"/>
      <c r="E878" s="2"/>
      <c r="F878" s="2"/>
      <c r="G878" s="2"/>
      <c r="H878" s="2"/>
      <c r="I878" s="81"/>
      <c r="J878" s="2"/>
      <c r="K878" s="253"/>
    </row>
    <row r="879" spans="1:11" ht="15.75" customHeight="1">
      <c r="A879" s="4"/>
      <c r="B879" s="2"/>
      <c r="C879" s="2"/>
      <c r="D879" s="2"/>
      <c r="E879" s="2"/>
      <c r="F879" s="2"/>
      <c r="G879" s="2"/>
      <c r="H879" s="2"/>
      <c r="I879" s="81"/>
      <c r="J879" s="2"/>
      <c r="K879" s="253"/>
    </row>
    <row r="880" spans="1:11" ht="15.75" customHeight="1">
      <c r="A880" s="4"/>
      <c r="B880" s="2"/>
      <c r="C880" s="2"/>
      <c r="D880" s="2"/>
      <c r="E880" s="2"/>
      <c r="F880" s="2"/>
      <c r="G880" s="2"/>
      <c r="H880" s="2"/>
      <c r="I880" s="81"/>
      <c r="J880" s="2"/>
      <c r="K880" s="253"/>
    </row>
    <row r="881" spans="1:11" ht="15.75" customHeight="1">
      <c r="A881" s="4"/>
      <c r="B881" s="2"/>
      <c r="C881" s="2"/>
      <c r="D881" s="2"/>
      <c r="E881" s="2"/>
      <c r="F881" s="2"/>
      <c r="G881" s="2"/>
      <c r="H881" s="2"/>
      <c r="I881" s="81"/>
      <c r="J881" s="2"/>
      <c r="K881" s="253"/>
    </row>
    <row r="882" spans="1:11" ht="15.75" customHeight="1">
      <c r="A882" s="4"/>
      <c r="B882" s="2"/>
      <c r="C882" s="2"/>
      <c r="D882" s="2"/>
      <c r="E882" s="2"/>
      <c r="F882" s="2"/>
      <c r="G882" s="2"/>
      <c r="H882" s="2"/>
      <c r="I882" s="81"/>
      <c r="J882" s="2"/>
      <c r="K882" s="253"/>
    </row>
    <row r="883" spans="1:11" ht="15.75" customHeight="1">
      <c r="A883" s="4"/>
      <c r="B883" s="2"/>
      <c r="C883" s="2"/>
      <c r="D883" s="2"/>
      <c r="E883" s="2"/>
      <c r="F883" s="2"/>
      <c r="G883" s="2"/>
      <c r="H883" s="2"/>
      <c r="I883" s="81"/>
      <c r="J883" s="2"/>
      <c r="K883" s="253"/>
    </row>
    <row r="884" spans="1:11" ht="15.75" customHeight="1">
      <c r="A884" s="4"/>
      <c r="B884" s="2"/>
      <c r="C884" s="2"/>
      <c r="D884" s="2"/>
      <c r="E884" s="2"/>
      <c r="F884" s="2"/>
      <c r="G884" s="2"/>
      <c r="H884" s="2"/>
      <c r="I884" s="81"/>
      <c r="J884" s="2"/>
      <c r="K884" s="253"/>
    </row>
    <row r="885" spans="1:11" ht="15.75" customHeight="1">
      <c r="A885" s="4"/>
      <c r="B885" s="2"/>
      <c r="C885" s="2"/>
      <c r="D885" s="2"/>
      <c r="E885" s="2"/>
      <c r="F885" s="2"/>
      <c r="G885" s="2"/>
      <c r="H885" s="2"/>
      <c r="I885" s="81"/>
      <c r="J885" s="2"/>
      <c r="K885" s="253"/>
    </row>
    <row r="886" spans="1:11" ht="15.75" customHeight="1">
      <c r="A886" s="4"/>
      <c r="B886" s="2"/>
      <c r="C886" s="2"/>
      <c r="D886" s="2"/>
      <c r="E886" s="2"/>
      <c r="F886" s="2"/>
      <c r="G886" s="2"/>
      <c r="H886" s="2"/>
      <c r="I886" s="81"/>
      <c r="J886" s="2"/>
      <c r="K886" s="253"/>
    </row>
    <row r="887" spans="1:11" ht="15.75" customHeight="1">
      <c r="A887" s="4"/>
      <c r="B887" s="2"/>
      <c r="C887" s="2"/>
      <c r="D887" s="2"/>
      <c r="E887" s="2"/>
      <c r="F887" s="2"/>
      <c r="G887" s="2"/>
      <c r="H887" s="2"/>
      <c r="I887" s="81"/>
      <c r="J887" s="2"/>
      <c r="K887" s="253"/>
    </row>
    <row r="888" spans="1:11" ht="15.75" customHeight="1">
      <c r="A888" s="4"/>
      <c r="B888" s="2"/>
      <c r="C888" s="2"/>
      <c r="D888" s="2"/>
      <c r="E888" s="2"/>
      <c r="F888" s="2"/>
      <c r="G888" s="2"/>
      <c r="H888" s="2"/>
      <c r="I888" s="81"/>
      <c r="J888" s="2"/>
      <c r="K888" s="253"/>
    </row>
    <row r="889" spans="1:11" ht="15.75" customHeight="1">
      <c r="A889" s="4"/>
      <c r="B889" s="2"/>
      <c r="C889" s="2"/>
      <c r="D889" s="2"/>
      <c r="E889" s="2"/>
      <c r="F889" s="2"/>
      <c r="G889" s="2"/>
      <c r="H889" s="2"/>
      <c r="I889" s="81"/>
      <c r="J889" s="2"/>
      <c r="K889" s="253"/>
    </row>
    <row r="890" spans="1:11" ht="15.75" customHeight="1">
      <c r="A890" s="4"/>
      <c r="B890" s="2"/>
      <c r="C890" s="2"/>
      <c r="D890" s="2"/>
      <c r="E890" s="2"/>
      <c r="F890" s="2"/>
      <c r="G890" s="2"/>
      <c r="H890" s="2"/>
      <c r="I890" s="81"/>
      <c r="J890" s="2"/>
      <c r="K890" s="253"/>
    </row>
    <row r="891" spans="1:11" ht="15.75" customHeight="1">
      <c r="A891" s="4"/>
      <c r="B891" s="2"/>
      <c r="C891" s="2"/>
      <c r="D891" s="2"/>
      <c r="E891" s="2"/>
      <c r="F891" s="2"/>
      <c r="G891" s="2"/>
      <c r="H891" s="2"/>
      <c r="I891" s="81"/>
      <c r="J891" s="2"/>
      <c r="K891" s="253"/>
    </row>
    <row r="892" spans="1:11" ht="15.75" customHeight="1">
      <c r="A892" s="4"/>
      <c r="B892" s="2"/>
      <c r="C892" s="2"/>
      <c r="D892" s="2"/>
      <c r="E892" s="2"/>
      <c r="F892" s="2"/>
      <c r="G892" s="2"/>
      <c r="H892" s="2"/>
      <c r="I892" s="81"/>
      <c r="J892" s="2"/>
      <c r="K892" s="253"/>
    </row>
    <row r="893" spans="1:11" ht="15.75" customHeight="1">
      <c r="A893" s="4"/>
      <c r="B893" s="2"/>
      <c r="C893" s="2"/>
      <c r="D893" s="2"/>
      <c r="E893" s="2"/>
      <c r="F893" s="2"/>
      <c r="G893" s="2"/>
      <c r="H893" s="2"/>
      <c r="I893" s="81"/>
      <c r="J893" s="2"/>
      <c r="K893" s="253"/>
    </row>
    <row r="894" spans="1:11" ht="15.75" customHeight="1">
      <c r="A894" s="4"/>
      <c r="B894" s="2"/>
      <c r="C894" s="2"/>
      <c r="D894" s="2"/>
      <c r="E894" s="2"/>
      <c r="F894" s="2"/>
      <c r="G894" s="2"/>
      <c r="H894" s="2"/>
      <c r="I894" s="81"/>
      <c r="J894" s="2"/>
      <c r="K894" s="253"/>
    </row>
    <row r="895" spans="1:11" ht="15.75" customHeight="1">
      <c r="A895" s="4"/>
      <c r="B895" s="2"/>
      <c r="C895" s="2"/>
      <c r="D895" s="2"/>
      <c r="E895" s="2"/>
      <c r="F895" s="2"/>
      <c r="G895" s="2"/>
      <c r="H895" s="2"/>
      <c r="I895" s="81"/>
      <c r="J895" s="2"/>
      <c r="K895" s="253"/>
    </row>
    <row r="896" spans="1:11" ht="15.75" customHeight="1">
      <c r="A896" s="4"/>
      <c r="B896" s="2"/>
      <c r="C896" s="2"/>
      <c r="D896" s="2"/>
      <c r="E896" s="2"/>
      <c r="F896" s="2"/>
      <c r="G896" s="2"/>
      <c r="H896" s="2"/>
      <c r="I896" s="81"/>
      <c r="J896" s="2"/>
      <c r="K896" s="253"/>
    </row>
    <row r="897" spans="1:11" ht="15.75" customHeight="1">
      <c r="A897" s="4"/>
      <c r="B897" s="2"/>
      <c r="C897" s="2"/>
      <c r="D897" s="2"/>
      <c r="E897" s="2"/>
      <c r="F897" s="2"/>
      <c r="G897" s="2"/>
      <c r="H897" s="2"/>
      <c r="I897" s="81"/>
      <c r="J897" s="2"/>
      <c r="K897" s="253"/>
    </row>
    <row r="898" spans="1:11" ht="15.75" customHeight="1">
      <c r="A898" s="4"/>
      <c r="B898" s="2"/>
      <c r="C898" s="2"/>
      <c r="D898" s="2"/>
      <c r="E898" s="2"/>
      <c r="F898" s="2"/>
      <c r="G898" s="2"/>
      <c r="H898" s="2"/>
      <c r="I898" s="81"/>
      <c r="J898" s="2"/>
      <c r="K898" s="253"/>
    </row>
    <row r="899" spans="1:11" ht="15.75" customHeight="1">
      <c r="A899" s="4"/>
      <c r="B899" s="2"/>
      <c r="C899" s="2"/>
      <c r="D899" s="2"/>
      <c r="E899" s="2"/>
      <c r="F899" s="2"/>
      <c r="G899" s="2"/>
      <c r="H899" s="2"/>
      <c r="I899" s="81"/>
      <c r="J899" s="2"/>
      <c r="K899" s="253"/>
    </row>
    <row r="900" spans="1:11" ht="15.75" customHeight="1">
      <c r="A900" s="4"/>
      <c r="B900" s="2"/>
      <c r="C900" s="2"/>
      <c r="D900" s="2"/>
      <c r="E900" s="2"/>
      <c r="F900" s="2"/>
      <c r="G900" s="2"/>
      <c r="H900" s="2"/>
      <c r="I900" s="81"/>
      <c r="J900" s="2"/>
      <c r="K900" s="253"/>
    </row>
    <row r="901" spans="1:11" ht="15.75" customHeight="1">
      <c r="A901" s="4"/>
      <c r="B901" s="2"/>
      <c r="C901" s="2"/>
      <c r="D901" s="2"/>
      <c r="E901" s="2"/>
      <c r="F901" s="2"/>
      <c r="G901" s="2"/>
      <c r="H901" s="2"/>
      <c r="I901" s="81"/>
      <c r="J901" s="2"/>
      <c r="K901" s="253"/>
    </row>
    <row r="902" spans="1:11" ht="15.75" customHeight="1">
      <c r="A902" s="4"/>
      <c r="B902" s="2"/>
      <c r="C902" s="2"/>
      <c r="D902" s="2"/>
      <c r="E902" s="2"/>
      <c r="F902" s="2"/>
      <c r="G902" s="2"/>
      <c r="H902" s="2"/>
      <c r="I902" s="81"/>
      <c r="J902" s="2"/>
      <c r="K902" s="253"/>
    </row>
    <row r="903" spans="1:11" ht="15.75" customHeight="1">
      <c r="A903" s="4"/>
      <c r="B903" s="2"/>
      <c r="C903" s="2"/>
      <c r="D903" s="2"/>
      <c r="E903" s="2"/>
      <c r="F903" s="2"/>
      <c r="G903" s="2"/>
      <c r="H903" s="2"/>
      <c r="I903" s="81"/>
      <c r="J903" s="2"/>
      <c r="K903" s="253"/>
    </row>
    <row r="904" spans="1:11" ht="15.75" customHeight="1">
      <c r="A904" s="4"/>
      <c r="B904" s="2"/>
      <c r="C904" s="2"/>
      <c r="D904" s="2"/>
      <c r="E904" s="2"/>
      <c r="F904" s="2"/>
      <c r="G904" s="2"/>
      <c r="H904" s="2"/>
      <c r="I904" s="81"/>
      <c r="J904" s="2"/>
      <c r="K904" s="253"/>
    </row>
    <row r="905" spans="1:11" ht="15.75" customHeight="1">
      <c r="A905" s="4"/>
      <c r="B905" s="2"/>
      <c r="C905" s="2"/>
      <c r="D905" s="2"/>
      <c r="E905" s="2"/>
      <c r="F905" s="2"/>
      <c r="G905" s="2"/>
      <c r="H905" s="2"/>
      <c r="I905" s="81"/>
      <c r="J905" s="2"/>
      <c r="K905" s="253"/>
    </row>
    <row r="906" spans="1:11" ht="15.75" customHeight="1">
      <c r="A906" s="4"/>
      <c r="B906" s="2"/>
      <c r="C906" s="2"/>
      <c r="D906" s="2"/>
      <c r="E906" s="2"/>
      <c r="F906" s="2"/>
      <c r="G906" s="2"/>
      <c r="H906" s="2"/>
      <c r="I906" s="81"/>
      <c r="J906" s="2"/>
      <c r="K906" s="253"/>
    </row>
    <row r="907" spans="1:11" ht="15.75" customHeight="1">
      <c r="A907" s="4"/>
      <c r="B907" s="2"/>
      <c r="C907" s="2"/>
      <c r="D907" s="2"/>
      <c r="E907" s="2"/>
      <c r="F907" s="2"/>
      <c r="G907" s="2"/>
      <c r="H907" s="2"/>
      <c r="I907" s="81"/>
      <c r="J907" s="2"/>
      <c r="K907" s="253"/>
    </row>
    <row r="908" spans="1:11" ht="15.75" customHeight="1">
      <c r="A908" s="4"/>
      <c r="B908" s="2"/>
      <c r="C908" s="2"/>
      <c r="D908" s="2"/>
      <c r="E908" s="2"/>
      <c r="F908" s="2"/>
      <c r="G908" s="2"/>
      <c r="H908" s="2"/>
      <c r="I908" s="81"/>
      <c r="J908" s="2"/>
      <c r="K908" s="253"/>
    </row>
    <row r="909" spans="1:11" ht="15.75" customHeight="1">
      <c r="A909" s="4"/>
      <c r="B909" s="2"/>
      <c r="C909" s="2"/>
      <c r="D909" s="2"/>
      <c r="E909" s="2"/>
      <c r="F909" s="2"/>
      <c r="G909" s="2"/>
      <c r="H909" s="2"/>
      <c r="I909" s="81"/>
      <c r="J909" s="2"/>
      <c r="K909" s="253"/>
    </row>
    <row r="910" spans="1:11" ht="15.75" customHeight="1">
      <c r="A910" s="4"/>
      <c r="B910" s="2"/>
      <c r="C910" s="2"/>
      <c r="D910" s="2"/>
      <c r="E910" s="2"/>
      <c r="F910" s="2"/>
      <c r="G910" s="2"/>
      <c r="H910" s="2"/>
      <c r="I910" s="81"/>
      <c r="J910" s="2"/>
      <c r="K910" s="253"/>
    </row>
    <row r="911" spans="1:11" ht="15.75" customHeight="1">
      <c r="A911" s="4"/>
      <c r="B911" s="2"/>
      <c r="C911" s="2"/>
      <c r="D911" s="2"/>
      <c r="E911" s="2"/>
      <c r="F911" s="2"/>
      <c r="G911" s="2"/>
      <c r="H911" s="2"/>
      <c r="I911" s="81"/>
      <c r="J911" s="2"/>
      <c r="K911" s="253"/>
    </row>
    <row r="912" spans="1:11" ht="15.75" customHeight="1">
      <c r="A912" s="4"/>
      <c r="B912" s="2"/>
      <c r="C912" s="2"/>
      <c r="D912" s="2"/>
      <c r="E912" s="2"/>
      <c r="F912" s="2"/>
      <c r="G912" s="2"/>
      <c r="H912" s="2"/>
      <c r="I912" s="81"/>
      <c r="J912" s="2"/>
      <c r="K912" s="253"/>
    </row>
    <row r="913" spans="1:11" ht="15.75" customHeight="1">
      <c r="A913" s="4"/>
      <c r="B913" s="2"/>
      <c r="C913" s="2"/>
      <c r="D913" s="2"/>
      <c r="E913" s="2"/>
      <c r="F913" s="2"/>
      <c r="G913" s="2"/>
      <c r="H913" s="2"/>
      <c r="I913" s="81"/>
      <c r="J913" s="2"/>
      <c r="K913" s="253"/>
    </row>
    <row r="914" spans="1:11" ht="15.75" customHeight="1">
      <c r="A914" s="4"/>
      <c r="B914" s="2"/>
      <c r="C914" s="2"/>
      <c r="D914" s="2"/>
      <c r="E914" s="2"/>
      <c r="F914" s="2"/>
      <c r="G914" s="2"/>
      <c r="H914" s="2"/>
      <c r="I914" s="81"/>
      <c r="J914" s="2"/>
      <c r="K914" s="253"/>
    </row>
    <row r="915" spans="1:11" ht="15.75" customHeight="1">
      <c r="A915" s="4"/>
      <c r="B915" s="2"/>
      <c r="C915" s="2"/>
      <c r="D915" s="2"/>
      <c r="E915" s="2"/>
      <c r="F915" s="2"/>
      <c r="G915" s="2"/>
      <c r="H915" s="2"/>
      <c r="I915" s="81"/>
      <c r="J915" s="2"/>
      <c r="K915" s="253"/>
    </row>
    <row r="916" spans="1:11" ht="15.75" customHeight="1">
      <c r="A916" s="4"/>
      <c r="B916" s="2"/>
      <c r="C916" s="2"/>
      <c r="D916" s="2"/>
      <c r="E916" s="2"/>
      <c r="F916" s="2"/>
      <c r="G916" s="2"/>
      <c r="H916" s="2"/>
      <c r="I916" s="81"/>
      <c r="J916" s="2"/>
      <c r="K916" s="253"/>
    </row>
    <row r="917" spans="1:11" ht="15.75" customHeight="1">
      <c r="A917" s="4"/>
      <c r="B917" s="2"/>
      <c r="C917" s="2"/>
      <c r="D917" s="2"/>
      <c r="E917" s="2"/>
      <c r="F917" s="2"/>
      <c r="G917" s="2"/>
      <c r="H917" s="2"/>
      <c r="I917" s="81"/>
      <c r="J917" s="2"/>
      <c r="K917" s="253"/>
    </row>
    <row r="918" spans="1:11" ht="15.75" customHeight="1">
      <c r="A918" s="4"/>
      <c r="B918" s="2"/>
      <c r="C918" s="2"/>
      <c r="D918" s="2"/>
      <c r="E918" s="2"/>
      <c r="F918" s="2"/>
      <c r="G918" s="2"/>
      <c r="H918" s="2"/>
      <c r="I918" s="81"/>
      <c r="J918" s="2"/>
      <c r="K918" s="253"/>
    </row>
    <row r="919" spans="1:11" ht="15.75" customHeight="1">
      <c r="A919" s="4"/>
      <c r="B919" s="2"/>
      <c r="C919" s="2"/>
      <c r="D919" s="2"/>
      <c r="E919" s="2"/>
      <c r="F919" s="2"/>
      <c r="G919" s="2"/>
      <c r="H919" s="2"/>
      <c r="I919" s="81"/>
      <c r="J919" s="2"/>
      <c r="K919" s="253"/>
    </row>
    <row r="920" spans="1:11" ht="15.75" customHeight="1">
      <c r="A920" s="4"/>
      <c r="B920" s="2"/>
      <c r="C920" s="2"/>
      <c r="D920" s="2"/>
      <c r="E920" s="2"/>
      <c r="F920" s="2"/>
      <c r="G920" s="2"/>
      <c r="H920" s="2"/>
      <c r="I920" s="81"/>
      <c r="J920" s="2"/>
      <c r="K920" s="253"/>
    </row>
    <row r="921" spans="1:11" ht="15.75" customHeight="1">
      <c r="A921" s="4"/>
      <c r="B921" s="2"/>
      <c r="C921" s="2"/>
      <c r="D921" s="2"/>
      <c r="E921" s="2"/>
      <c r="F921" s="2"/>
      <c r="G921" s="2"/>
      <c r="H921" s="2"/>
      <c r="I921" s="81"/>
      <c r="J921" s="2"/>
      <c r="K921" s="253"/>
    </row>
    <row r="922" spans="1:11" ht="15.75" customHeight="1">
      <c r="A922" s="4"/>
      <c r="B922" s="2"/>
      <c r="C922" s="2"/>
      <c r="D922" s="2"/>
      <c r="E922" s="2"/>
      <c r="F922" s="2"/>
      <c r="G922" s="2"/>
      <c r="H922" s="2"/>
      <c r="I922" s="81"/>
      <c r="J922" s="2"/>
      <c r="K922" s="253"/>
    </row>
    <row r="923" spans="1:11" ht="15.75" customHeight="1">
      <c r="A923" s="4"/>
      <c r="B923" s="2"/>
      <c r="C923" s="2"/>
      <c r="D923" s="2"/>
      <c r="E923" s="2"/>
      <c r="F923" s="2"/>
      <c r="G923" s="2"/>
      <c r="H923" s="2"/>
      <c r="I923" s="81"/>
      <c r="J923" s="2"/>
      <c r="K923" s="253"/>
    </row>
    <row r="924" spans="1:11" ht="15.75" customHeight="1">
      <c r="A924" s="4"/>
      <c r="B924" s="2"/>
      <c r="C924" s="2"/>
      <c r="D924" s="2"/>
      <c r="E924" s="2"/>
      <c r="F924" s="2"/>
      <c r="G924" s="2"/>
      <c r="H924" s="2"/>
      <c r="I924" s="81"/>
      <c r="J924" s="2"/>
      <c r="K924" s="253"/>
    </row>
    <row r="925" spans="1:11" ht="15.75" customHeight="1">
      <c r="A925" s="4"/>
      <c r="B925" s="2"/>
      <c r="C925" s="2"/>
      <c r="D925" s="2"/>
      <c r="E925" s="2"/>
      <c r="F925" s="2"/>
      <c r="G925" s="2"/>
      <c r="H925" s="2"/>
      <c r="I925" s="81"/>
      <c r="J925" s="2"/>
      <c r="K925" s="253"/>
    </row>
    <row r="926" spans="1:11" ht="15.75" customHeight="1">
      <c r="A926" s="4"/>
      <c r="B926" s="2"/>
      <c r="C926" s="2"/>
      <c r="D926" s="2"/>
      <c r="E926" s="2"/>
      <c r="F926" s="2"/>
      <c r="G926" s="2"/>
      <c r="H926" s="2"/>
      <c r="I926" s="81"/>
      <c r="J926" s="2"/>
      <c r="K926" s="253"/>
    </row>
    <row r="927" spans="1:11" ht="15.75" customHeight="1">
      <c r="A927" s="4"/>
      <c r="B927" s="2"/>
      <c r="C927" s="2"/>
      <c r="D927" s="2"/>
      <c r="E927" s="2"/>
      <c r="F927" s="2"/>
      <c r="G927" s="2"/>
      <c r="H927" s="2"/>
      <c r="I927" s="81"/>
      <c r="J927" s="2"/>
      <c r="K927" s="253"/>
    </row>
    <row r="928" spans="1:11" ht="15.75" customHeight="1">
      <c r="A928" s="4"/>
      <c r="B928" s="2"/>
      <c r="C928" s="2"/>
      <c r="D928" s="2"/>
      <c r="E928" s="2"/>
      <c r="F928" s="2"/>
      <c r="G928" s="2"/>
      <c r="H928" s="2"/>
      <c r="I928" s="81"/>
      <c r="J928" s="2"/>
      <c r="K928" s="253"/>
    </row>
    <row r="929" spans="1:11" ht="15.75" customHeight="1">
      <c r="A929" s="4"/>
      <c r="B929" s="2"/>
      <c r="C929" s="2"/>
      <c r="D929" s="2"/>
      <c r="E929" s="2"/>
      <c r="F929" s="2"/>
      <c r="G929" s="2"/>
      <c r="H929" s="2"/>
      <c r="I929" s="81"/>
      <c r="J929" s="2"/>
      <c r="K929" s="253"/>
    </row>
    <row r="930" spans="1:11" ht="15.75" customHeight="1">
      <c r="A930" s="4"/>
      <c r="B930" s="2"/>
      <c r="C930" s="2"/>
      <c r="D930" s="2"/>
      <c r="E930" s="2"/>
      <c r="F930" s="2"/>
      <c r="G930" s="2"/>
      <c r="H930" s="2"/>
      <c r="I930" s="81"/>
      <c r="J930" s="2"/>
      <c r="K930" s="253"/>
    </row>
    <row r="931" spans="1:11" ht="15.75" customHeight="1">
      <c r="A931" s="4"/>
      <c r="B931" s="2"/>
      <c r="C931" s="2"/>
      <c r="D931" s="2"/>
      <c r="E931" s="2"/>
      <c r="F931" s="2"/>
      <c r="G931" s="2"/>
      <c r="H931" s="2"/>
      <c r="I931" s="81"/>
      <c r="J931" s="2"/>
      <c r="K931" s="253"/>
    </row>
    <row r="932" spans="1:11" ht="15.75" customHeight="1">
      <c r="A932" s="4"/>
      <c r="B932" s="2"/>
      <c r="C932" s="2"/>
      <c r="D932" s="2"/>
      <c r="E932" s="2"/>
      <c r="F932" s="2"/>
      <c r="G932" s="2"/>
      <c r="H932" s="2"/>
      <c r="I932" s="81"/>
      <c r="J932" s="2"/>
      <c r="K932" s="253"/>
    </row>
    <row r="933" spans="1:11" ht="15.75" customHeight="1">
      <c r="A933" s="4"/>
      <c r="B933" s="2"/>
      <c r="C933" s="2"/>
      <c r="D933" s="2"/>
      <c r="E933" s="2"/>
      <c r="F933" s="2"/>
      <c r="G933" s="2"/>
      <c r="H933" s="2"/>
      <c r="I933" s="81"/>
      <c r="J933" s="2"/>
      <c r="K933" s="253"/>
    </row>
    <row r="934" spans="1:11" ht="15.75" customHeight="1">
      <c r="A934" s="4"/>
      <c r="B934" s="2"/>
      <c r="C934" s="2"/>
      <c r="D934" s="2"/>
      <c r="E934" s="2"/>
      <c r="F934" s="2"/>
      <c r="G934" s="2"/>
      <c r="H934" s="2"/>
      <c r="I934" s="81"/>
      <c r="J934" s="2"/>
      <c r="K934" s="253"/>
    </row>
    <row r="935" spans="1:11" ht="15.75" customHeight="1">
      <c r="A935" s="4"/>
      <c r="B935" s="2"/>
      <c r="C935" s="2"/>
      <c r="D935" s="2"/>
      <c r="E935" s="2"/>
      <c r="F935" s="2"/>
      <c r="G935" s="2"/>
      <c r="H935" s="2"/>
      <c r="I935" s="81"/>
      <c r="J935" s="2"/>
      <c r="K935" s="253"/>
    </row>
    <row r="936" spans="1:11" ht="15.75" customHeight="1">
      <c r="A936" s="4"/>
      <c r="B936" s="2"/>
      <c r="C936" s="2"/>
      <c r="D936" s="2"/>
      <c r="E936" s="2"/>
      <c r="F936" s="2"/>
      <c r="G936" s="2"/>
      <c r="H936" s="2"/>
      <c r="I936" s="81"/>
      <c r="J936" s="2"/>
      <c r="K936" s="253"/>
    </row>
    <row r="937" spans="1:11" ht="15.75" customHeight="1">
      <c r="A937" s="4"/>
      <c r="B937" s="2"/>
      <c r="C937" s="2"/>
      <c r="D937" s="2"/>
      <c r="E937" s="2"/>
      <c r="F937" s="2"/>
      <c r="G937" s="2"/>
      <c r="H937" s="2"/>
      <c r="I937" s="81"/>
      <c r="J937" s="2"/>
      <c r="K937" s="253"/>
    </row>
    <row r="938" spans="1:11" ht="15.75" customHeight="1">
      <c r="A938" s="4"/>
      <c r="B938" s="2"/>
      <c r="C938" s="2"/>
      <c r="D938" s="2"/>
      <c r="E938" s="2"/>
      <c r="F938" s="2"/>
      <c r="G938" s="2"/>
      <c r="H938" s="2"/>
      <c r="I938" s="81"/>
      <c r="J938" s="2"/>
      <c r="K938" s="253"/>
    </row>
    <row r="939" spans="1:11" ht="15.75" customHeight="1">
      <c r="A939" s="4"/>
      <c r="B939" s="2"/>
      <c r="C939" s="2"/>
      <c r="D939" s="2"/>
      <c r="E939" s="2"/>
      <c r="F939" s="2"/>
      <c r="G939" s="2"/>
      <c r="H939" s="2"/>
      <c r="I939" s="81"/>
      <c r="J939" s="2"/>
      <c r="K939" s="253"/>
    </row>
    <row r="940" spans="1:11" ht="15.75" customHeight="1">
      <c r="A940" s="4"/>
      <c r="B940" s="2"/>
      <c r="C940" s="2"/>
      <c r="D940" s="2"/>
      <c r="E940" s="2"/>
      <c r="F940" s="2"/>
      <c r="G940" s="2"/>
      <c r="H940" s="2"/>
      <c r="I940" s="81"/>
      <c r="J940" s="2"/>
      <c r="K940" s="253"/>
    </row>
    <row r="941" spans="1:11" ht="15.75" customHeight="1">
      <c r="A941" s="4"/>
      <c r="B941" s="2"/>
      <c r="C941" s="2"/>
      <c r="D941" s="2"/>
      <c r="E941" s="2"/>
      <c r="F941" s="2"/>
      <c r="G941" s="2"/>
      <c r="H941" s="2"/>
      <c r="I941" s="81"/>
      <c r="J941" s="2"/>
      <c r="K941" s="253"/>
    </row>
    <row r="942" spans="1:11" ht="15.75" customHeight="1">
      <c r="A942" s="4"/>
      <c r="B942" s="2"/>
      <c r="C942" s="2"/>
      <c r="D942" s="2"/>
      <c r="E942" s="2"/>
      <c r="F942" s="2"/>
      <c r="G942" s="2"/>
      <c r="H942" s="2"/>
      <c r="I942" s="81"/>
      <c r="J942" s="2"/>
      <c r="K942" s="253"/>
    </row>
    <row r="943" spans="1:11" ht="15.75" customHeight="1">
      <c r="A943" s="4"/>
      <c r="B943" s="2"/>
      <c r="C943" s="2"/>
      <c r="D943" s="2"/>
      <c r="E943" s="2"/>
      <c r="F943" s="2"/>
      <c r="G943" s="2"/>
      <c r="H943" s="2"/>
      <c r="I943" s="81"/>
      <c r="J943" s="2"/>
      <c r="K943" s="253"/>
    </row>
    <row r="944" spans="1:11" ht="15.75" customHeight="1">
      <c r="A944" s="4"/>
      <c r="B944" s="2"/>
      <c r="C944" s="2"/>
      <c r="D944" s="2"/>
      <c r="E944" s="2"/>
      <c r="F944" s="2"/>
      <c r="G944" s="2"/>
      <c r="H944" s="2"/>
      <c r="I944" s="81"/>
      <c r="J944" s="2"/>
      <c r="K944" s="253"/>
    </row>
    <row r="945" spans="1:11" ht="15.75" customHeight="1">
      <c r="A945" s="4"/>
      <c r="B945" s="2"/>
      <c r="C945" s="2"/>
      <c r="D945" s="2"/>
      <c r="E945" s="2"/>
      <c r="F945" s="2"/>
      <c r="G945" s="2"/>
      <c r="H945" s="2"/>
      <c r="I945" s="81"/>
      <c r="J945" s="2"/>
      <c r="K945" s="253"/>
    </row>
    <row r="946" spans="1:11" ht="15.75" customHeight="1">
      <c r="A946" s="4"/>
      <c r="B946" s="2"/>
      <c r="C946" s="2"/>
      <c r="D946" s="2"/>
      <c r="E946" s="2"/>
      <c r="F946" s="2"/>
      <c r="G946" s="2"/>
      <c r="H946" s="2"/>
      <c r="I946" s="81"/>
      <c r="J946" s="2"/>
      <c r="K946" s="253"/>
    </row>
    <row r="947" spans="1:11" ht="15.75" customHeight="1">
      <c r="A947" s="4"/>
      <c r="B947" s="2"/>
      <c r="C947" s="2"/>
      <c r="D947" s="2"/>
      <c r="E947" s="2"/>
      <c r="F947" s="2"/>
      <c r="G947" s="2"/>
      <c r="H947" s="2"/>
      <c r="I947" s="81"/>
      <c r="J947" s="2"/>
      <c r="K947" s="253"/>
    </row>
    <row r="948" spans="1:11" ht="15.75" customHeight="1">
      <c r="A948" s="4"/>
      <c r="B948" s="2"/>
      <c r="C948" s="2"/>
      <c r="D948" s="2"/>
      <c r="E948" s="2"/>
      <c r="F948" s="2"/>
      <c r="G948" s="2"/>
      <c r="H948" s="2"/>
      <c r="I948" s="81"/>
      <c r="J948" s="2"/>
      <c r="K948" s="253"/>
    </row>
    <row r="949" spans="1:11" ht="15.75" customHeight="1">
      <c r="A949" s="4"/>
      <c r="B949" s="2"/>
      <c r="C949" s="2"/>
      <c r="D949" s="2"/>
      <c r="E949" s="2"/>
      <c r="F949" s="2"/>
      <c r="G949" s="2"/>
      <c r="H949" s="2"/>
      <c r="I949" s="81"/>
      <c r="J949" s="2"/>
      <c r="K949" s="253"/>
    </row>
    <row r="950" spans="1:11" ht="15.75" customHeight="1">
      <c r="A950" s="4"/>
      <c r="B950" s="2"/>
      <c r="C950" s="2"/>
      <c r="D950" s="2"/>
      <c r="E950" s="2"/>
      <c r="F950" s="2"/>
      <c r="G950" s="2"/>
      <c r="H950" s="2"/>
      <c r="I950" s="81"/>
      <c r="J950" s="2"/>
      <c r="K950" s="253"/>
    </row>
    <row r="951" spans="1:11" ht="15.75" customHeight="1">
      <c r="A951" s="4"/>
      <c r="B951" s="2"/>
      <c r="C951" s="2"/>
      <c r="D951" s="2"/>
      <c r="E951" s="2"/>
      <c r="F951" s="2"/>
      <c r="G951" s="2"/>
      <c r="H951" s="2"/>
      <c r="I951" s="81"/>
      <c r="J951" s="2"/>
      <c r="K951" s="253"/>
    </row>
    <row r="952" spans="1:11" ht="15.75" customHeight="1">
      <c r="A952" s="4"/>
      <c r="B952" s="2"/>
      <c r="C952" s="2"/>
      <c r="D952" s="2"/>
      <c r="E952" s="2"/>
      <c r="F952" s="2"/>
      <c r="G952" s="2"/>
      <c r="H952" s="2"/>
      <c r="I952" s="81"/>
      <c r="J952" s="2"/>
      <c r="K952" s="253"/>
    </row>
    <row r="953" spans="1:11" ht="15.75" customHeight="1">
      <c r="A953" s="4"/>
      <c r="B953" s="2"/>
      <c r="C953" s="2"/>
      <c r="D953" s="2"/>
      <c r="E953" s="2"/>
      <c r="F953" s="2"/>
      <c r="G953" s="2"/>
      <c r="H953" s="2"/>
      <c r="I953" s="81"/>
      <c r="J953" s="2"/>
      <c r="K953" s="253"/>
    </row>
    <row r="954" spans="1:11" ht="15.75" customHeight="1">
      <c r="A954" s="4"/>
      <c r="B954" s="2"/>
      <c r="C954" s="2"/>
      <c r="D954" s="2"/>
      <c r="E954" s="2"/>
      <c r="F954" s="2"/>
      <c r="G954" s="2"/>
      <c r="H954" s="2"/>
      <c r="I954" s="81"/>
      <c r="J954" s="2"/>
      <c r="K954" s="253"/>
    </row>
    <row r="955" spans="1:11" ht="15.75" customHeight="1">
      <c r="A955" s="4"/>
      <c r="B955" s="2"/>
      <c r="C955" s="2"/>
      <c r="D955" s="2"/>
      <c r="E955" s="2"/>
      <c r="F955" s="2"/>
      <c r="G955" s="2"/>
      <c r="H955" s="2"/>
      <c r="I955" s="81"/>
      <c r="J955" s="2"/>
      <c r="K955" s="253"/>
    </row>
    <row r="956" spans="1:11" ht="15.75" customHeight="1">
      <c r="A956" s="4"/>
      <c r="B956" s="2"/>
      <c r="C956" s="2"/>
      <c r="D956" s="2"/>
      <c r="E956" s="2"/>
      <c r="F956" s="2"/>
      <c r="G956" s="2"/>
      <c r="H956" s="2"/>
      <c r="I956" s="81"/>
      <c r="J956" s="2"/>
      <c r="K956" s="253"/>
    </row>
    <row r="957" spans="1:11" ht="15.75" customHeight="1">
      <c r="A957" s="4"/>
      <c r="B957" s="2"/>
      <c r="C957" s="2"/>
      <c r="D957" s="2"/>
      <c r="E957" s="2"/>
      <c r="F957" s="2"/>
      <c r="G957" s="2"/>
      <c r="H957" s="2"/>
      <c r="I957" s="81"/>
      <c r="J957" s="2"/>
      <c r="K957" s="253"/>
    </row>
    <row r="958" spans="1:11" ht="15.75" customHeight="1">
      <c r="A958" s="4"/>
      <c r="B958" s="2"/>
      <c r="C958" s="2"/>
      <c r="D958" s="2"/>
      <c r="E958" s="2"/>
      <c r="F958" s="2"/>
      <c r="G958" s="2"/>
      <c r="H958" s="2"/>
      <c r="I958" s="81"/>
      <c r="J958" s="2"/>
      <c r="K958" s="253"/>
    </row>
    <row r="959" spans="1:11" ht="15.75" customHeight="1">
      <c r="A959" s="4"/>
      <c r="B959" s="2"/>
      <c r="C959" s="2"/>
      <c r="D959" s="2"/>
      <c r="E959" s="2"/>
      <c r="F959" s="2"/>
      <c r="G959" s="2"/>
      <c r="H959" s="2"/>
      <c r="I959" s="81"/>
      <c r="J959" s="2"/>
      <c r="K959" s="253"/>
    </row>
    <row r="960" spans="1:11" ht="15.75" customHeight="1">
      <c r="A960" s="4"/>
      <c r="B960" s="2"/>
      <c r="C960" s="2"/>
      <c r="D960" s="2"/>
      <c r="E960" s="2"/>
      <c r="F960" s="2"/>
      <c r="G960" s="2"/>
      <c r="H960" s="2"/>
      <c r="I960" s="81"/>
      <c r="J960" s="2"/>
      <c r="K960" s="253"/>
    </row>
    <row r="961" spans="1:11" ht="15.75" customHeight="1">
      <c r="A961" s="4"/>
      <c r="B961" s="2"/>
      <c r="C961" s="2"/>
      <c r="D961" s="2"/>
      <c r="E961" s="2"/>
      <c r="F961" s="2"/>
      <c r="G961" s="2"/>
      <c r="H961" s="2"/>
      <c r="I961" s="81"/>
      <c r="J961" s="2"/>
      <c r="K961" s="253"/>
    </row>
    <row r="962" spans="1:11" ht="15.75" customHeight="1">
      <c r="A962" s="4"/>
      <c r="B962" s="2"/>
      <c r="C962" s="2"/>
      <c r="D962" s="2"/>
      <c r="E962" s="2"/>
      <c r="F962" s="2"/>
      <c r="G962" s="2"/>
      <c r="H962" s="2"/>
      <c r="I962" s="81"/>
      <c r="J962" s="2"/>
      <c r="K962" s="253"/>
    </row>
    <row r="963" spans="1:11" ht="15.75" customHeight="1">
      <c r="A963" s="4"/>
      <c r="B963" s="2"/>
      <c r="C963" s="2"/>
      <c r="D963" s="2"/>
      <c r="E963" s="2"/>
      <c r="F963" s="2"/>
      <c r="G963" s="2"/>
      <c r="H963" s="2"/>
      <c r="I963" s="81"/>
      <c r="J963" s="2"/>
      <c r="K963" s="253"/>
    </row>
    <row r="964" spans="1:11" ht="15.75" customHeight="1">
      <c r="A964" s="4"/>
      <c r="B964" s="2"/>
      <c r="C964" s="2"/>
      <c r="D964" s="2"/>
      <c r="E964" s="2"/>
      <c r="F964" s="2"/>
      <c r="G964" s="2"/>
      <c r="H964" s="2"/>
      <c r="I964" s="81"/>
      <c r="J964" s="2"/>
      <c r="K964" s="253"/>
    </row>
    <row r="965" spans="1:11" ht="15.75" customHeight="1">
      <c r="A965" s="4"/>
      <c r="B965" s="2"/>
      <c r="C965" s="2"/>
      <c r="D965" s="2"/>
      <c r="E965" s="2"/>
      <c r="F965" s="2"/>
      <c r="G965" s="2"/>
      <c r="H965" s="2"/>
      <c r="I965" s="81"/>
      <c r="J965" s="2"/>
      <c r="K965" s="253"/>
    </row>
    <row r="966" spans="1:11" ht="15.75" customHeight="1">
      <c r="A966" s="4"/>
      <c r="B966" s="2"/>
      <c r="C966" s="2"/>
      <c r="D966" s="2"/>
      <c r="E966" s="2"/>
      <c r="F966" s="2"/>
      <c r="G966" s="2"/>
      <c r="H966" s="2"/>
      <c r="I966" s="81"/>
      <c r="J966" s="2"/>
      <c r="K966" s="253"/>
    </row>
    <row r="967" spans="1:11" ht="15.75" customHeight="1">
      <c r="A967" s="4"/>
      <c r="B967" s="2"/>
      <c r="C967" s="2"/>
      <c r="D967" s="2"/>
      <c r="E967" s="2"/>
      <c r="F967" s="2"/>
      <c r="G967" s="2"/>
      <c r="H967" s="2"/>
      <c r="I967" s="81"/>
      <c r="J967" s="2"/>
      <c r="K967" s="253"/>
    </row>
    <row r="968" spans="1:11" ht="15.75" customHeight="1">
      <c r="A968" s="4"/>
      <c r="B968" s="2"/>
      <c r="C968" s="2"/>
      <c r="D968" s="2"/>
      <c r="E968" s="2"/>
      <c r="F968" s="2"/>
      <c r="G968" s="2"/>
      <c r="H968" s="2"/>
      <c r="I968" s="81"/>
      <c r="J968" s="2"/>
      <c r="K968" s="253"/>
    </row>
    <row r="969" spans="1:11" ht="15.75" customHeight="1">
      <c r="A969" s="4"/>
      <c r="B969" s="2"/>
      <c r="C969" s="2"/>
      <c r="D969" s="2"/>
      <c r="E969" s="2"/>
      <c r="F969" s="2"/>
      <c r="G969" s="2"/>
      <c r="H969" s="2"/>
      <c r="I969" s="81"/>
      <c r="J969" s="2"/>
      <c r="K969" s="253"/>
    </row>
    <row r="970" spans="1:11" ht="15.75" customHeight="1">
      <c r="A970" s="4"/>
      <c r="B970" s="2"/>
      <c r="C970" s="2"/>
      <c r="D970" s="2"/>
      <c r="E970" s="2"/>
      <c r="F970" s="2"/>
      <c r="G970" s="2"/>
      <c r="H970" s="2"/>
      <c r="I970" s="81"/>
      <c r="J970" s="2"/>
      <c r="K970" s="253"/>
    </row>
    <row r="971" spans="1:11" ht="15.75" customHeight="1">
      <c r="A971" s="4"/>
      <c r="B971" s="2"/>
      <c r="C971" s="2"/>
      <c r="D971" s="2"/>
      <c r="E971" s="2"/>
      <c r="F971" s="2"/>
      <c r="G971" s="2"/>
      <c r="H971" s="2"/>
      <c r="I971" s="81"/>
      <c r="J971" s="2"/>
      <c r="K971" s="253"/>
    </row>
    <row r="972" spans="1:11" ht="15.75" customHeight="1">
      <c r="A972" s="4"/>
      <c r="B972" s="2"/>
      <c r="C972" s="2"/>
      <c r="D972" s="2"/>
      <c r="E972" s="2"/>
      <c r="F972" s="2"/>
      <c r="G972" s="2"/>
      <c r="H972" s="2"/>
      <c r="I972" s="81"/>
      <c r="J972" s="2"/>
      <c r="K972" s="253"/>
    </row>
    <row r="973" spans="1:11" ht="15.75" customHeight="1">
      <c r="A973" s="4"/>
      <c r="B973" s="2"/>
      <c r="C973" s="2"/>
      <c r="D973" s="2"/>
      <c r="E973" s="2"/>
      <c r="F973" s="2"/>
      <c r="G973" s="2"/>
      <c r="H973" s="2"/>
      <c r="I973" s="81"/>
      <c r="J973" s="2"/>
      <c r="K973" s="253"/>
    </row>
    <row r="974" spans="1:11" ht="15.75" customHeight="1">
      <c r="A974" s="4"/>
      <c r="B974" s="2"/>
      <c r="C974" s="2"/>
      <c r="D974" s="2"/>
      <c r="E974" s="2"/>
      <c r="F974" s="2"/>
      <c r="G974" s="2"/>
      <c r="H974" s="2"/>
      <c r="I974" s="81"/>
      <c r="J974" s="2"/>
      <c r="K974" s="253"/>
    </row>
    <row r="975" spans="1:11" ht="15.75" customHeight="1">
      <c r="A975" s="4"/>
      <c r="B975" s="2"/>
      <c r="C975" s="2"/>
      <c r="D975" s="2"/>
      <c r="E975" s="2"/>
      <c r="F975" s="2"/>
      <c r="G975" s="2"/>
      <c r="H975" s="2"/>
      <c r="I975" s="81"/>
      <c r="J975" s="2"/>
      <c r="K975" s="253"/>
    </row>
    <row r="976" spans="1:11" ht="15.75" customHeight="1">
      <c r="A976" s="4"/>
      <c r="B976" s="2"/>
      <c r="C976" s="2"/>
      <c r="D976" s="2"/>
      <c r="E976" s="2"/>
      <c r="F976" s="2"/>
      <c r="G976" s="2"/>
      <c r="H976" s="2"/>
      <c r="I976" s="81"/>
      <c r="J976" s="2"/>
      <c r="K976" s="253"/>
    </row>
    <row r="977" spans="1:11" ht="15.75" customHeight="1">
      <c r="A977" s="4"/>
      <c r="B977" s="2"/>
      <c r="C977" s="2"/>
      <c r="D977" s="2"/>
      <c r="E977" s="2"/>
      <c r="F977" s="2"/>
      <c r="G977" s="2"/>
      <c r="H977" s="2"/>
      <c r="I977" s="81"/>
      <c r="J977" s="2"/>
      <c r="K977" s="253"/>
    </row>
    <row r="978" spans="1:11" ht="15.75" customHeight="1">
      <c r="A978" s="4"/>
      <c r="B978" s="2"/>
      <c r="C978" s="2"/>
      <c r="D978" s="2"/>
      <c r="E978" s="2"/>
      <c r="F978" s="2"/>
      <c r="G978" s="2"/>
      <c r="H978" s="2"/>
      <c r="I978" s="81"/>
      <c r="J978" s="2"/>
      <c r="K978" s="253"/>
    </row>
    <row r="979" spans="1:11" ht="15.75" customHeight="1">
      <c r="A979" s="4"/>
      <c r="B979" s="2"/>
      <c r="C979" s="2"/>
      <c r="D979" s="2"/>
      <c r="E979" s="2"/>
      <c r="F979" s="2"/>
      <c r="G979" s="2"/>
      <c r="H979" s="2"/>
      <c r="I979" s="81"/>
      <c r="J979" s="2"/>
      <c r="K979" s="253"/>
    </row>
    <row r="980" spans="1:11" ht="15.75" customHeight="1">
      <c r="A980" s="4"/>
      <c r="B980" s="2"/>
      <c r="C980" s="2"/>
      <c r="D980" s="2"/>
      <c r="E980" s="2"/>
      <c r="F980" s="2"/>
      <c r="G980" s="2"/>
      <c r="H980" s="2"/>
      <c r="I980" s="81"/>
      <c r="J980" s="2"/>
      <c r="K980" s="253"/>
    </row>
    <row r="981" spans="1:11" ht="15.75" customHeight="1">
      <c r="A981" s="4"/>
      <c r="B981" s="2"/>
      <c r="C981" s="2"/>
      <c r="D981" s="2"/>
      <c r="E981" s="2"/>
      <c r="F981" s="2"/>
      <c r="G981" s="2"/>
      <c r="H981" s="2"/>
      <c r="I981" s="81"/>
      <c r="J981" s="2"/>
      <c r="K981" s="253"/>
    </row>
    <row r="982" spans="1:11" ht="15.75" customHeight="1">
      <c r="A982" s="4"/>
      <c r="B982" s="2"/>
      <c r="C982" s="2"/>
      <c r="D982" s="2"/>
      <c r="E982" s="2"/>
      <c r="F982" s="2"/>
      <c r="G982" s="2"/>
      <c r="H982" s="2"/>
      <c r="I982" s="81"/>
      <c r="J982" s="2"/>
      <c r="K982" s="253"/>
    </row>
    <row r="983" spans="1:11" ht="15.75" customHeight="1">
      <c r="A983" s="4"/>
      <c r="B983" s="2"/>
      <c r="C983" s="2"/>
      <c r="D983" s="2"/>
      <c r="E983" s="2"/>
      <c r="F983" s="2"/>
      <c r="G983" s="2"/>
      <c r="H983" s="2"/>
      <c r="I983" s="81"/>
      <c r="J983" s="2"/>
      <c r="K983" s="253"/>
    </row>
    <row r="984" spans="1:11" ht="15.75" customHeight="1">
      <c r="A984" s="4"/>
      <c r="B984" s="2"/>
      <c r="C984" s="2"/>
      <c r="D984" s="2"/>
      <c r="E984" s="2"/>
      <c r="F984" s="2"/>
      <c r="G984" s="2"/>
      <c r="H984" s="2"/>
      <c r="I984" s="81"/>
      <c r="J984" s="2"/>
      <c r="K984" s="253"/>
    </row>
    <row r="985" spans="1:11" ht="15.75" customHeight="1">
      <c r="A985" s="4"/>
      <c r="B985" s="2"/>
      <c r="C985" s="2"/>
      <c r="D985" s="2"/>
      <c r="E985" s="2"/>
      <c r="F985" s="2"/>
      <c r="G985" s="2"/>
      <c r="H985" s="2"/>
      <c r="I985" s="81"/>
      <c r="J985" s="2"/>
      <c r="K985" s="253"/>
    </row>
    <row r="986" spans="1:11" ht="15.75" customHeight="1">
      <c r="A986" s="4"/>
      <c r="B986" s="2"/>
      <c r="C986" s="2"/>
      <c r="D986" s="2"/>
      <c r="E986" s="2"/>
      <c r="F986" s="2"/>
      <c r="G986" s="2"/>
      <c r="H986" s="2"/>
      <c r="I986" s="81"/>
      <c r="J986" s="2"/>
      <c r="K986" s="253"/>
    </row>
    <row r="987" spans="1:11" ht="15.75" customHeight="1">
      <c r="A987" s="4"/>
      <c r="B987" s="2"/>
      <c r="C987" s="2"/>
      <c r="D987" s="2"/>
      <c r="E987" s="2"/>
      <c r="F987" s="2"/>
      <c r="G987" s="2"/>
      <c r="H987" s="2"/>
      <c r="I987" s="81"/>
      <c r="J987" s="2"/>
      <c r="K987" s="253"/>
    </row>
    <row r="988" spans="1:11" ht="15.75" customHeight="1">
      <c r="A988" s="4"/>
      <c r="B988" s="2"/>
      <c r="C988" s="2"/>
      <c r="D988" s="2"/>
      <c r="E988" s="2"/>
      <c r="F988" s="2"/>
      <c r="G988" s="2"/>
      <c r="H988" s="2"/>
      <c r="I988" s="81"/>
      <c r="J988" s="2"/>
      <c r="K988" s="253"/>
    </row>
    <row r="989" spans="1:11" ht="15.75" customHeight="1">
      <c r="A989" s="4"/>
      <c r="B989" s="2"/>
      <c r="C989" s="2"/>
      <c r="D989" s="2"/>
      <c r="E989" s="2"/>
      <c r="F989" s="2"/>
      <c r="G989" s="2"/>
      <c r="H989" s="2"/>
      <c r="I989" s="81"/>
      <c r="J989" s="2"/>
      <c r="K989" s="253"/>
    </row>
    <row r="990" spans="1:11" ht="15.75" customHeight="1">
      <c r="A990" s="4"/>
      <c r="B990" s="2"/>
      <c r="C990" s="2"/>
      <c r="D990" s="2"/>
      <c r="E990" s="2"/>
      <c r="F990" s="2"/>
      <c r="G990" s="2"/>
      <c r="H990" s="2"/>
      <c r="I990" s="81"/>
      <c r="J990" s="2"/>
      <c r="K990" s="253"/>
    </row>
    <row r="991" spans="1:11" ht="15.75" customHeight="1">
      <c r="A991" s="4"/>
      <c r="B991" s="2"/>
      <c r="C991" s="2"/>
      <c r="D991" s="2"/>
      <c r="E991" s="2"/>
      <c r="F991" s="2"/>
      <c r="G991" s="2"/>
      <c r="H991" s="2"/>
      <c r="I991" s="81"/>
      <c r="J991" s="2"/>
      <c r="K991" s="253"/>
    </row>
    <row r="992" spans="1:11" ht="15.75" customHeight="1">
      <c r="A992" s="4"/>
      <c r="B992" s="2"/>
      <c r="C992" s="2"/>
      <c r="D992" s="2"/>
      <c r="E992" s="2"/>
      <c r="F992" s="2"/>
      <c r="G992" s="2"/>
      <c r="H992" s="2"/>
      <c r="I992" s="81"/>
      <c r="J992" s="2"/>
      <c r="K992" s="253"/>
    </row>
    <row r="993" spans="1:11" ht="15.75" customHeight="1">
      <c r="A993" s="4"/>
      <c r="B993" s="2"/>
      <c r="C993" s="2"/>
      <c r="D993" s="2"/>
      <c r="E993" s="2"/>
      <c r="F993" s="2"/>
      <c r="G993" s="2"/>
      <c r="H993" s="2"/>
      <c r="I993" s="81"/>
      <c r="J993" s="2"/>
      <c r="K993" s="253"/>
    </row>
    <row r="994" spans="1:11" ht="15.75" customHeight="1">
      <c r="A994" s="4"/>
      <c r="B994" s="2"/>
      <c r="C994" s="2"/>
      <c r="D994" s="2"/>
      <c r="E994" s="2"/>
      <c r="F994" s="2"/>
      <c r="G994" s="2"/>
      <c r="H994" s="2"/>
      <c r="I994" s="81"/>
      <c r="J994" s="2"/>
      <c r="K994" s="253"/>
    </row>
    <row r="995" spans="1:11" ht="15.75" customHeight="1">
      <c r="A995" s="4"/>
      <c r="B995" s="2"/>
      <c r="C995" s="2"/>
      <c r="D995" s="2"/>
      <c r="E995" s="2"/>
      <c r="F995" s="2"/>
      <c r="G995" s="2"/>
      <c r="H995" s="2"/>
      <c r="I995" s="81"/>
      <c r="J995" s="2"/>
      <c r="K995" s="253"/>
    </row>
    <row r="996" spans="1:11" ht="15.75" customHeight="1">
      <c r="A996" s="4"/>
      <c r="B996" s="2"/>
      <c r="C996" s="2"/>
      <c r="D996" s="2"/>
      <c r="E996" s="2"/>
      <c r="F996" s="2"/>
      <c r="G996" s="2"/>
      <c r="H996" s="2"/>
      <c r="I996" s="81"/>
      <c r="J996" s="2"/>
      <c r="K996" s="253"/>
    </row>
    <row r="997" spans="1:11" ht="15.75" customHeight="1">
      <c r="A997" s="4"/>
      <c r="B997" s="2"/>
      <c r="C997" s="2"/>
      <c r="D997" s="2"/>
      <c r="E997" s="2"/>
      <c r="F997" s="2"/>
      <c r="G997" s="2"/>
      <c r="H997" s="2"/>
      <c r="I997" s="81"/>
      <c r="J997" s="2"/>
      <c r="K997" s="253"/>
    </row>
    <row r="998" spans="1:11" ht="15.75" customHeight="1">
      <c r="A998" s="4"/>
      <c r="B998" s="2"/>
      <c r="C998" s="2"/>
      <c r="D998" s="2"/>
      <c r="E998" s="2"/>
      <c r="F998" s="2"/>
      <c r="G998" s="2"/>
      <c r="H998" s="2"/>
      <c r="I998" s="81"/>
      <c r="J998" s="2"/>
      <c r="K998" s="253"/>
    </row>
    <row r="999" spans="1:11" ht="15.75" customHeight="1">
      <c r="A999" s="4"/>
      <c r="B999" s="2"/>
      <c r="C999" s="2"/>
      <c r="D999" s="2"/>
      <c r="E999" s="2"/>
      <c r="F999" s="2"/>
      <c r="G999" s="2"/>
      <c r="H999" s="2"/>
      <c r="I999" s="81"/>
      <c r="J999" s="2"/>
      <c r="K999" s="253"/>
    </row>
    <row r="1000" spans="1:11" ht="15.75" customHeight="1">
      <c r="A1000" s="4"/>
      <c r="B1000" s="2"/>
      <c r="C1000" s="2"/>
      <c r="D1000" s="2"/>
      <c r="E1000" s="2"/>
      <c r="F1000" s="2"/>
      <c r="G1000" s="2"/>
      <c r="H1000" s="2"/>
      <c r="I1000" s="81"/>
      <c r="J1000" s="2"/>
      <c r="K1000" s="253"/>
    </row>
  </sheetData>
  <mergeCells count="9">
    <mergeCell ref="L165:L166"/>
    <mergeCell ref="E246:G246"/>
    <mergeCell ref="E247:H247"/>
    <mergeCell ref="A1:I1"/>
    <mergeCell ref="B2:I2"/>
    <mergeCell ref="J3:K3"/>
    <mergeCell ref="F7:H7"/>
    <mergeCell ref="J7:K7"/>
    <mergeCell ref="A8:B8"/>
  </mergeCells>
  <pageMargins left="0.7" right="0.7" top="0.75" bottom="0.75" header="0" footer="0"/>
  <pageSetup paperSize="5" scale="90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L1000"/>
  <sheetViews>
    <sheetView workbookViewId="0">
      <selection sqref="A1:J1"/>
    </sheetView>
  </sheetViews>
  <sheetFormatPr defaultColWidth="14.42578125" defaultRowHeight="15" customHeight="1"/>
  <cols>
    <col min="1" max="1" width="4.7109375" customWidth="1"/>
    <col min="2" max="2" width="24" customWidth="1"/>
    <col min="3" max="3" width="8.140625" customWidth="1"/>
    <col min="4" max="4" width="12.42578125" customWidth="1"/>
    <col min="5" max="5" width="14.7109375" customWidth="1"/>
    <col min="6" max="6" width="12" customWidth="1"/>
    <col min="7" max="7" width="17.140625" customWidth="1"/>
    <col min="8" max="8" width="13.5703125" customWidth="1"/>
    <col min="9" max="9" width="14.42578125" customWidth="1"/>
    <col min="10" max="10" width="11.85546875" customWidth="1"/>
    <col min="11" max="11" width="13" customWidth="1"/>
    <col min="12" max="12" width="19.85546875" customWidth="1"/>
    <col min="13" max="26" width="8.7109375" customWidth="1"/>
  </cols>
  <sheetData>
    <row r="1" spans="1:12" ht="23.25">
      <c r="A1" s="710" t="s">
        <v>0</v>
      </c>
      <c r="B1" s="711"/>
      <c r="C1" s="711"/>
      <c r="D1" s="711"/>
      <c r="E1" s="711"/>
      <c r="F1" s="711"/>
      <c r="G1" s="711"/>
      <c r="H1" s="711"/>
      <c r="I1" s="711"/>
      <c r="J1" s="711"/>
      <c r="K1" s="2"/>
    </row>
    <row r="2" spans="1:12" ht="18">
      <c r="A2" s="4"/>
      <c r="B2" s="5"/>
      <c r="C2" s="755" t="s">
        <v>3485</v>
      </c>
      <c r="D2" s="711"/>
      <c r="E2" s="711"/>
      <c r="F2" s="711"/>
      <c r="G2" s="711"/>
      <c r="H2" s="711"/>
      <c r="I2" s="55"/>
      <c r="J2" s="92"/>
      <c r="K2" s="9"/>
      <c r="L2" s="9"/>
    </row>
    <row r="3" spans="1:12">
      <c r="A3" s="4"/>
      <c r="B3" s="5"/>
      <c r="C3" s="93"/>
      <c r="D3" s="5"/>
      <c r="E3" s="5"/>
      <c r="G3" s="5"/>
      <c r="H3" s="93"/>
      <c r="I3" s="55"/>
      <c r="J3" s="92"/>
      <c r="K3" s="11" t="s">
        <v>3705</v>
      </c>
      <c r="L3" s="104"/>
    </row>
    <row r="4" spans="1:12">
      <c r="A4" s="4"/>
      <c r="B4" s="5"/>
      <c r="C4" s="93"/>
      <c r="D4" s="5"/>
      <c r="E4" s="5"/>
      <c r="G4" s="5"/>
      <c r="H4" s="93"/>
      <c r="I4" s="55"/>
      <c r="J4" s="92"/>
      <c r="K4" s="94" t="s">
        <v>3706</v>
      </c>
      <c r="L4" s="253"/>
    </row>
    <row r="5" spans="1:12">
      <c r="A5" s="4"/>
      <c r="B5" s="5"/>
      <c r="C5" s="93"/>
      <c r="D5" s="5"/>
      <c r="E5" s="5"/>
      <c r="G5" s="5"/>
      <c r="H5" s="93"/>
      <c r="I5" s="55"/>
      <c r="J5" s="92"/>
      <c r="K5" s="94" t="s">
        <v>3707</v>
      </c>
      <c r="L5" s="253"/>
    </row>
    <row r="6" spans="1:12" ht="18">
      <c r="A6" s="181" t="s">
        <v>958</v>
      </c>
      <c r="B6" s="142"/>
      <c r="C6" s="96"/>
      <c r="D6" s="5"/>
      <c r="E6" s="15"/>
      <c r="F6" s="9"/>
      <c r="G6" s="5"/>
      <c r="H6" s="93"/>
      <c r="I6" s="55"/>
      <c r="J6" s="92"/>
      <c r="K6" s="16" t="s">
        <v>3708</v>
      </c>
      <c r="L6" s="62"/>
    </row>
    <row r="7" spans="1:12">
      <c r="A7" s="18"/>
      <c r="B7" s="19"/>
      <c r="C7" s="97" t="s">
        <v>534</v>
      </c>
      <c r="D7" s="21"/>
      <c r="E7" s="21"/>
      <c r="F7" s="98" t="s">
        <v>535</v>
      </c>
      <c r="G7" s="97" t="s">
        <v>536</v>
      </c>
      <c r="H7" s="715" t="s">
        <v>537</v>
      </c>
      <c r="I7" s="717"/>
      <c r="J7" s="99"/>
      <c r="K7" s="718" t="s">
        <v>8</v>
      </c>
      <c r="L7" s="719"/>
    </row>
    <row r="8" spans="1:12">
      <c r="A8" s="720" t="s">
        <v>538</v>
      </c>
      <c r="B8" s="721"/>
      <c r="C8" s="98" t="s">
        <v>539</v>
      </c>
      <c r="D8" s="25" t="s">
        <v>11</v>
      </c>
      <c r="E8" s="26" t="s">
        <v>12</v>
      </c>
      <c r="F8" s="98" t="s">
        <v>540</v>
      </c>
      <c r="G8" s="100" t="s">
        <v>541</v>
      </c>
      <c r="H8" s="101"/>
      <c r="I8" s="102" t="s">
        <v>14</v>
      </c>
      <c r="J8" s="103" t="s">
        <v>15</v>
      </c>
      <c r="K8" s="32"/>
      <c r="L8" s="104"/>
    </row>
    <row r="9" spans="1:12">
      <c r="A9" s="33"/>
      <c r="B9" s="34"/>
      <c r="C9" s="98" t="s">
        <v>542</v>
      </c>
      <c r="D9" s="35"/>
      <c r="E9" s="34"/>
      <c r="F9" s="98" t="s">
        <v>543</v>
      </c>
      <c r="G9" s="100" t="s">
        <v>544</v>
      </c>
      <c r="H9" s="98" t="s">
        <v>17</v>
      </c>
      <c r="I9" s="102" t="s">
        <v>18</v>
      </c>
      <c r="J9" s="106"/>
      <c r="K9" s="25" t="s">
        <v>19</v>
      </c>
      <c r="L9" s="25" t="s">
        <v>20</v>
      </c>
    </row>
    <row r="10" spans="1:12">
      <c r="A10" s="38"/>
      <c r="B10" s="39"/>
      <c r="C10" s="107"/>
      <c r="D10" s="41"/>
      <c r="E10" s="41"/>
      <c r="F10" s="108" t="s">
        <v>545</v>
      </c>
      <c r="G10" s="46"/>
      <c r="H10" s="109"/>
      <c r="I10" s="110" t="s">
        <v>546</v>
      </c>
      <c r="J10" s="111"/>
      <c r="K10" s="42"/>
      <c r="L10" s="46" t="s">
        <v>22</v>
      </c>
    </row>
    <row r="11" spans="1:12">
      <c r="A11" s="510" t="s">
        <v>24</v>
      </c>
      <c r="B11" s="21"/>
      <c r="C11" s="360"/>
      <c r="D11" s="21"/>
      <c r="E11" s="21"/>
      <c r="F11" s="104"/>
      <c r="G11" s="21"/>
      <c r="H11" s="511"/>
      <c r="I11" s="361"/>
      <c r="J11" s="99"/>
      <c r="K11" s="104"/>
      <c r="L11" s="104"/>
    </row>
    <row r="12" spans="1:12" ht="28.5" customHeight="1">
      <c r="A12" s="116">
        <v>16</v>
      </c>
      <c r="B12" s="546" t="s">
        <v>3709</v>
      </c>
      <c r="C12" s="50"/>
      <c r="D12" s="256" t="s">
        <v>153</v>
      </c>
      <c r="E12" s="256" t="s">
        <v>89</v>
      </c>
      <c r="F12" s="547" t="s">
        <v>3710</v>
      </c>
      <c r="G12" s="548" t="s">
        <v>504</v>
      </c>
      <c r="H12" s="527" t="s">
        <v>30</v>
      </c>
      <c r="I12" s="549">
        <v>10000</v>
      </c>
      <c r="J12" s="550" t="s">
        <v>1586</v>
      </c>
      <c r="K12" s="264"/>
      <c r="L12" s="257"/>
    </row>
    <row r="13" spans="1:12" ht="20.25" customHeight="1">
      <c r="A13" s="116">
        <v>16</v>
      </c>
      <c r="B13" s="120" t="s">
        <v>3711</v>
      </c>
      <c r="C13" s="50"/>
      <c r="D13" s="120" t="s">
        <v>1029</v>
      </c>
      <c r="E13" s="120" t="s">
        <v>310</v>
      </c>
      <c r="F13" s="531" t="s">
        <v>3712</v>
      </c>
      <c r="G13" s="120" t="s">
        <v>1028</v>
      </c>
      <c r="H13" s="349" t="s">
        <v>30</v>
      </c>
      <c r="I13" s="74">
        <v>7500</v>
      </c>
      <c r="J13" s="114" t="s">
        <v>1586</v>
      </c>
      <c r="K13" s="324"/>
      <c r="L13" s="113"/>
    </row>
    <row r="14" spans="1:12" ht="20.25" customHeight="1">
      <c r="A14" s="48"/>
      <c r="B14" s="255"/>
      <c r="C14" s="79"/>
      <c r="D14" s="120"/>
      <c r="E14" s="120"/>
      <c r="F14" s="48"/>
      <c r="G14" s="120"/>
      <c r="H14" s="349"/>
      <c r="I14" s="51"/>
      <c r="J14" s="418"/>
      <c r="K14" s="324"/>
      <c r="L14" s="358"/>
    </row>
    <row r="15" spans="1:12">
      <c r="A15" s="48"/>
      <c r="B15" s="255"/>
      <c r="C15" s="79"/>
      <c r="D15" s="120"/>
      <c r="E15" s="120"/>
      <c r="F15" s="48"/>
      <c r="G15" s="120"/>
      <c r="H15" s="349"/>
      <c r="I15" s="51"/>
      <c r="J15" s="418"/>
      <c r="K15" s="324"/>
      <c r="L15" s="358"/>
    </row>
    <row r="16" spans="1:12">
      <c r="I16" s="83"/>
      <c r="J16" s="83"/>
    </row>
    <row r="17" spans="2:12">
      <c r="J17" s="137" t="s">
        <v>508</v>
      </c>
    </row>
    <row r="18" spans="2:12">
      <c r="J18" s="83"/>
    </row>
    <row r="19" spans="2:12">
      <c r="B19" s="126" t="s">
        <v>509</v>
      </c>
      <c r="E19" s="126" t="s">
        <v>510</v>
      </c>
      <c r="J19" s="754" t="s">
        <v>513</v>
      </c>
      <c r="K19" s="711"/>
      <c r="L19" s="711"/>
    </row>
    <row r="20" spans="2:12">
      <c r="J20" s="83"/>
      <c r="K20" s="797" t="s">
        <v>3713</v>
      </c>
      <c r="L20" s="711"/>
    </row>
    <row r="21" spans="2:12" ht="15.75" customHeight="1">
      <c r="J21" s="83"/>
      <c r="K21" s="797" t="s">
        <v>3714</v>
      </c>
      <c r="L21" s="711"/>
    </row>
    <row r="22" spans="2:12" ht="15.75" customHeight="1">
      <c r="B22" s="139" t="s">
        <v>516</v>
      </c>
      <c r="E22" s="737" t="s">
        <v>517</v>
      </c>
      <c r="F22" s="711"/>
      <c r="G22" s="711"/>
      <c r="H22" s="711"/>
      <c r="J22" s="83"/>
      <c r="K22" s="359"/>
    </row>
    <row r="23" spans="2:12" ht="15.75" customHeight="1">
      <c r="B23" s="4" t="s">
        <v>980</v>
      </c>
      <c r="E23" s="732" t="s">
        <v>521</v>
      </c>
      <c r="F23" s="711"/>
      <c r="G23" s="711"/>
      <c r="H23" s="711"/>
      <c r="J23" s="83"/>
      <c r="K23" s="55"/>
    </row>
    <row r="24" spans="2:12" ht="15.75" customHeight="1">
      <c r="J24" s="83"/>
    </row>
    <row r="25" spans="2:12" ht="15.75" customHeight="1">
      <c r="J25" s="10"/>
    </row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21:L21"/>
    <mergeCell ref="E22:H22"/>
    <mergeCell ref="E23:H23"/>
    <mergeCell ref="A1:J1"/>
    <mergeCell ref="C2:H2"/>
    <mergeCell ref="H7:I7"/>
    <mergeCell ref="K7:L7"/>
    <mergeCell ref="A8:B8"/>
    <mergeCell ref="J19:L19"/>
    <mergeCell ref="K20:L20"/>
  </mergeCells>
  <pageMargins left="1" right="1" top="0.75" bottom="0.75" header="0" footer="0"/>
  <pageSetup paperSize="5" scale="90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Z1000"/>
  <sheetViews>
    <sheetView topLeftCell="A37" workbookViewId="0"/>
  </sheetViews>
  <sheetFormatPr defaultColWidth="14.42578125" defaultRowHeight="15" customHeight="1"/>
  <cols>
    <col min="1" max="1" width="7.85546875" customWidth="1"/>
    <col min="2" max="2" width="23.5703125" customWidth="1"/>
    <col min="3" max="3" width="8" customWidth="1"/>
    <col min="4" max="4" width="12.140625" customWidth="1"/>
    <col min="5" max="5" width="18.85546875" customWidth="1"/>
    <col min="6" max="6" width="18.140625" customWidth="1"/>
    <col min="7" max="7" width="9.140625" customWidth="1"/>
    <col min="8" max="8" width="10.5703125" customWidth="1"/>
    <col min="9" max="9" width="13.140625" customWidth="1"/>
    <col min="10" max="10" width="18.85546875" customWidth="1"/>
    <col min="11" max="26" width="8.7109375" customWidth="1"/>
  </cols>
  <sheetData>
    <row r="1" spans="1:10" ht="22.5" customHeight="1">
      <c r="A1" s="506" t="s">
        <v>3715</v>
      </c>
      <c r="B1" s="2"/>
      <c r="C1" s="2"/>
      <c r="D1" s="2"/>
      <c r="E1" s="2"/>
      <c r="F1" s="2"/>
      <c r="G1" s="2"/>
      <c r="H1" s="2"/>
      <c r="I1" s="5"/>
      <c r="J1" s="93"/>
    </row>
    <row r="2" spans="1:10">
      <c r="A2" s="787">
        <v>13</v>
      </c>
      <c r="B2" s="798" t="s">
        <v>705</v>
      </c>
      <c r="C2" s="784" t="s">
        <v>27</v>
      </c>
      <c r="D2" s="784" t="s">
        <v>645</v>
      </c>
      <c r="E2" s="784" t="s">
        <v>29</v>
      </c>
      <c r="F2" s="789"/>
      <c r="G2" s="48" t="s">
        <v>30</v>
      </c>
      <c r="H2" s="51">
        <v>6000</v>
      </c>
      <c r="I2" s="295" t="s">
        <v>90</v>
      </c>
      <c r="J2" s="551" t="s">
        <v>769</v>
      </c>
    </row>
    <row r="3" spans="1:10">
      <c r="A3" s="788"/>
      <c r="B3" s="788"/>
      <c r="C3" s="788"/>
      <c r="D3" s="788"/>
      <c r="E3" s="788"/>
      <c r="F3" s="788"/>
      <c r="G3" s="48" t="s">
        <v>30</v>
      </c>
      <c r="H3" s="51">
        <v>12000</v>
      </c>
      <c r="I3" s="295" t="s">
        <v>90</v>
      </c>
      <c r="J3" s="551" t="s">
        <v>771</v>
      </c>
    </row>
    <row r="4" spans="1:10" ht="24" customHeight="1">
      <c r="A4" s="506" t="s">
        <v>3716</v>
      </c>
      <c r="B4" s="2"/>
      <c r="C4" s="2"/>
      <c r="D4" s="2"/>
      <c r="E4" s="2"/>
      <c r="F4" s="2"/>
      <c r="G4" s="2"/>
      <c r="H4" s="2"/>
      <c r="I4" s="5"/>
      <c r="J4" s="93"/>
    </row>
    <row r="5" spans="1:10">
      <c r="A5" s="50">
        <v>10</v>
      </c>
      <c r="B5" s="48" t="s">
        <v>1699</v>
      </c>
      <c r="C5" s="48" t="s">
        <v>27</v>
      </c>
      <c r="D5" s="48" t="s">
        <v>1558</v>
      </c>
      <c r="E5" s="48" t="s">
        <v>68</v>
      </c>
      <c r="F5" s="48"/>
      <c r="G5" s="48" t="s">
        <v>30</v>
      </c>
      <c r="H5" s="51">
        <v>1500</v>
      </c>
      <c r="I5" s="295" t="s">
        <v>1586</v>
      </c>
      <c r="J5" s="551" t="s">
        <v>769</v>
      </c>
    </row>
    <row r="6" spans="1:10" ht="39">
      <c r="A6" s="116">
        <v>3</v>
      </c>
      <c r="B6" s="255" t="s">
        <v>1826</v>
      </c>
      <c r="C6" s="48"/>
      <c r="D6" s="262" t="s">
        <v>804</v>
      </c>
      <c r="E6" s="262" t="s">
        <v>41</v>
      </c>
      <c r="F6" s="262" t="s">
        <v>1827</v>
      </c>
      <c r="G6" s="259" t="s">
        <v>30</v>
      </c>
      <c r="H6" s="260">
        <v>5000</v>
      </c>
      <c r="I6" s="258" t="s">
        <v>1586</v>
      </c>
      <c r="J6" s="552" t="s">
        <v>771</v>
      </c>
    </row>
    <row r="7" spans="1:10" ht="24" customHeight="1">
      <c r="A7" s="2" t="s">
        <v>3717</v>
      </c>
      <c r="B7" s="2"/>
      <c r="C7" s="2"/>
      <c r="D7" s="2"/>
      <c r="E7" s="2"/>
      <c r="F7" s="2"/>
      <c r="G7" s="2"/>
      <c r="H7" s="2"/>
      <c r="I7" s="5"/>
      <c r="J7" s="93"/>
    </row>
    <row r="8" spans="1:10">
      <c r="A8" s="50">
        <v>14</v>
      </c>
      <c r="B8" s="48" t="s">
        <v>2399</v>
      </c>
      <c r="C8" s="48" t="s">
        <v>27</v>
      </c>
      <c r="D8" s="48" t="s">
        <v>2400</v>
      </c>
      <c r="E8" s="48" t="s">
        <v>68</v>
      </c>
      <c r="F8" s="48"/>
      <c r="G8" s="48" t="s">
        <v>30</v>
      </c>
      <c r="H8" s="51">
        <v>1500</v>
      </c>
      <c r="I8" s="553" t="s">
        <v>1586</v>
      </c>
      <c r="J8" s="551" t="s">
        <v>771</v>
      </c>
    </row>
    <row r="9" spans="1:10">
      <c r="A9" s="50">
        <v>14</v>
      </c>
      <c r="B9" s="48" t="s">
        <v>2401</v>
      </c>
      <c r="C9" s="48" t="s">
        <v>27</v>
      </c>
      <c r="D9" s="48" t="s">
        <v>100</v>
      </c>
      <c r="E9" s="48" t="s">
        <v>68</v>
      </c>
      <c r="F9" s="48"/>
      <c r="G9" s="48" t="s">
        <v>30</v>
      </c>
      <c r="H9" s="51">
        <v>1500</v>
      </c>
      <c r="I9" s="553" t="s">
        <v>1586</v>
      </c>
      <c r="J9" s="551" t="s">
        <v>771</v>
      </c>
    </row>
    <row r="10" spans="1:10" ht="22.5" customHeight="1">
      <c r="A10" s="506" t="s">
        <v>3718</v>
      </c>
      <c r="B10" s="2"/>
      <c r="C10" s="2"/>
      <c r="D10" s="2"/>
      <c r="E10" s="2"/>
      <c r="F10" s="2"/>
      <c r="G10" s="2"/>
      <c r="H10" s="2"/>
      <c r="I10" s="5"/>
      <c r="J10" s="93"/>
    </row>
    <row r="11" spans="1:10">
      <c r="A11" s="50">
        <v>14</v>
      </c>
      <c r="B11" s="48" t="s">
        <v>2777</v>
      </c>
      <c r="C11" s="48" t="s">
        <v>27</v>
      </c>
      <c r="D11" s="48" t="s">
        <v>2776</v>
      </c>
      <c r="E11" s="48" t="s">
        <v>484</v>
      </c>
      <c r="F11" s="48"/>
      <c r="G11" s="48" t="s">
        <v>30</v>
      </c>
      <c r="H11" s="51">
        <v>1500</v>
      </c>
      <c r="I11" s="553" t="s">
        <v>1586</v>
      </c>
      <c r="J11" s="551" t="s">
        <v>771</v>
      </c>
    </row>
    <row r="12" spans="1:10">
      <c r="A12" s="50">
        <v>24</v>
      </c>
      <c r="B12" s="48" t="s">
        <v>2956</v>
      </c>
      <c r="C12" s="48" t="s">
        <v>27</v>
      </c>
      <c r="D12" s="48" t="s">
        <v>910</v>
      </c>
      <c r="E12" s="48" t="s">
        <v>36</v>
      </c>
      <c r="F12" s="48"/>
      <c r="G12" s="48" t="s">
        <v>30</v>
      </c>
      <c r="H12" s="51">
        <v>2000</v>
      </c>
      <c r="I12" s="553" t="s">
        <v>1586</v>
      </c>
      <c r="J12" s="551" t="s">
        <v>769</v>
      </c>
    </row>
    <row r="13" spans="1:10">
      <c r="A13" s="50">
        <v>24</v>
      </c>
      <c r="B13" s="48" t="s">
        <v>1012</v>
      </c>
      <c r="C13" s="48" t="s">
        <v>39</v>
      </c>
      <c r="D13" s="48" t="s">
        <v>889</v>
      </c>
      <c r="E13" s="48" t="s">
        <v>36</v>
      </c>
      <c r="F13" s="48"/>
      <c r="G13" s="48" t="s">
        <v>30</v>
      </c>
      <c r="H13" s="51">
        <v>2000</v>
      </c>
      <c r="I13" s="553" t="s">
        <v>1586</v>
      </c>
      <c r="J13" s="551" t="s">
        <v>769</v>
      </c>
    </row>
    <row r="14" spans="1:10">
      <c r="A14" s="50">
        <v>24</v>
      </c>
      <c r="B14" s="48" t="s">
        <v>474</v>
      </c>
      <c r="C14" s="48" t="s">
        <v>27</v>
      </c>
      <c r="D14" s="48" t="s">
        <v>889</v>
      </c>
      <c r="E14" s="48" t="s">
        <v>36</v>
      </c>
      <c r="F14" s="48"/>
      <c r="G14" s="48" t="s">
        <v>30</v>
      </c>
      <c r="H14" s="51">
        <v>1500</v>
      </c>
      <c r="I14" s="553" t="s">
        <v>1586</v>
      </c>
      <c r="J14" s="551" t="s">
        <v>771</v>
      </c>
    </row>
    <row r="15" spans="1:10">
      <c r="A15" s="50">
        <v>24</v>
      </c>
      <c r="B15" s="48" t="s">
        <v>2957</v>
      </c>
      <c r="C15" s="48" t="s">
        <v>27</v>
      </c>
      <c r="D15" s="48" t="s">
        <v>108</v>
      </c>
      <c r="E15" s="48" t="s">
        <v>36</v>
      </c>
      <c r="F15" s="48"/>
      <c r="G15" s="48" t="s">
        <v>30</v>
      </c>
      <c r="H15" s="51">
        <v>1500</v>
      </c>
      <c r="I15" s="553" t="s">
        <v>1586</v>
      </c>
      <c r="J15" s="551" t="s">
        <v>771</v>
      </c>
    </row>
    <row r="16" spans="1:10">
      <c r="A16" s="50">
        <v>24</v>
      </c>
      <c r="B16" s="48" t="s">
        <v>2958</v>
      </c>
      <c r="C16" s="48" t="s">
        <v>27</v>
      </c>
      <c r="D16" s="48" t="s">
        <v>110</v>
      </c>
      <c r="E16" s="48" t="s">
        <v>36</v>
      </c>
      <c r="F16" s="48"/>
      <c r="G16" s="48" t="s">
        <v>30</v>
      </c>
      <c r="H16" s="51">
        <v>1500</v>
      </c>
      <c r="I16" s="553" t="s">
        <v>1586</v>
      </c>
      <c r="J16" s="551" t="s">
        <v>771</v>
      </c>
    </row>
    <row r="17" spans="1:26">
      <c r="A17" s="50">
        <v>24</v>
      </c>
      <c r="B17" s="48" t="s">
        <v>2963</v>
      </c>
      <c r="C17" s="48" t="s">
        <v>27</v>
      </c>
      <c r="D17" s="48" t="s">
        <v>108</v>
      </c>
      <c r="E17" s="48" t="s">
        <v>36</v>
      </c>
      <c r="F17" s="48"/>
      <c r="G17" s="48" t="s">
        <v>30</v>
      </c>
      <c r="H17" s="51">
        <v>2000</v>
      </c>
      <c r="I17" s="553" t="s">
        <v>1586</v>
      </c>
      <c r="J17" s="551" t="s">
        <v>769</v>
      </c>
    </row>
    <row r="18" spans="1:26">
      <c r="A18" s="50">
        <v>24</v>
      </c>
      <c r="B18" s="48" t="s">
        <v>2964</v>
      </c>
      <c r="C18" s="48" t="s">
        <v>27</v>
      </c>
      <c r="D18" s="48" t="s">
        <v>104</v>
      </c>
      <c r="E18" s="48" t="s">
        <v>36</v>
      </c>
      <c r="F18" s="48"/>
      <c r="G18" s="48" t="s">
        <v>30</v>
      </c>
      <c r="H18" s="51">
        <v>2000</v>
      </c>
      <c r="I18" s="553" t="s">
        <v>1586</v>
      </c>
      <c r="J18" s="551" t="s">
        <v>769</v>
      </c>
    </row>
    <row r="19" spans="1:26">
      <c r="A19" s="50">
        <v>24</v>
      </c>
      <c r="B19" s="255" t="s">
        <v>2990</v>
      </c>
      <c r="C19" s="79">
        <v>7</v>
      </c>
      <c r="D19" s="120"/>
      <c r="E19" s="120" t="s">
        <v>552</v>
      </c>
      <c r="F19" s="120" t="s">
        <v>553</v>
      </c>
      <c r="G19" s="118" t="s">
        <v>30</v>
      </c>
      <c r="H19" s="51">
        <v>11500</v>
      </c>
      <c r="I19" s="296" t="s">
        <v>1586</v>
      </c>
      <c r="J19" s="554" t="s">
        <v>771</v>
      </c>
    </row>
    <row r="20" spans="1:26">
      <c r="A20" s="50">
        <v>24</v>
      </c>
      <c r="B20" s="255" t="s">
        <v>2991</v>
      </c>
      <c r="C20" s="79">
        <v>5</v>
      </c>
      <c r="D20" s="120"/>
      <c r="E20" s="120" t="s">
        <v>51</v>
      </c>
      <c r="F20" s="120"/>
      <c r="G20" s="118" t="s">
        <v>30</v>
      </c>
      <c r="H20" s="51">
        <v>7500</v>
      </c>
      <c r="I20" s="296" t="s">
        <v>1586</v>
      </c>
      <c r="J20" s="554" t="s">
        <v>771</v>
      </c>
    </row>
    <row r="21" spans="1:26" ht="15.75" customHeight="1">
      <c r="A21" s="50">
        <v>25</v>
      </c>
      <c r="B21" s="255" t="s">
        <v>2992</v>
      </c>
      <c r="C21" s="79"/>
      <c r="D21" s="120"/>
      <c r="E21" s="120" t="s">
        <v>484</v>
      </c>
      <c r="F21" s="120" t="s">
        <v>2993</v>
      </c>
      <c r="G21" s="118" t="s">
        <v>30</v>
      </c>
      <c r="H21" s="51">
        <v>3000</v>
      </c>
      <c r="I21" s="296" t="s">
        <v>1586</v>
      </c>
      <c r="J21" s="554" t="s">
        <v>771</v>
      </c>
    </row>
    <row r="22" spans="1:26" ht="24" customHeight="1">
      <c r="A22" s="506" t="s">
        <v>3719</v>
      </c>
      <c r="B22" s="2"/>
      <c r="C22" s="2"/>
      <c r="D22" s="2"/>
      <c r="E22" s="2"/>
      <c r="F22" s="2"/>
      <c r="G22" s="2"/>
      <c r="H22" s="2"/>
      <c r="I22" s="5"/>
      <c r="J22" s="93"/>
    </row>
    <row r="23" spans="1:26" ht="15.75" customHeight="1">
      <c r="A23" s="48">
        <v>27</v>
      </c>
      <c r="B23" s="255" t="s">
        <v>2620</v>
      </c>
      <c r="C23" s="79"/>
      <c r="D23" s="120"/>
      <c r="E23" s="120" t="s">
        <v>334</v>
      </c>
      <c r="F23" s="120" t="s">
        <v>3262</v>
      </c>
      <c r="G23" s="118" t="s">
        <v>30</v>
      </c>
      <c r="H23" s="51">
        <v>12000</v>
      </c>
      <c r="I23" s="296" t="s">
        <v>1586</v>
      </c>
      <c r="J23" s="554" t="s">
        <v>771</v>
      </c>
    </row>
    <row r="24" spans="1:26" ht="15.75" customHeight="1">
      <c r="A24" s="256">
        <v>28</v>
      </c>
      <c r="B24" s="261" t="s">
        <v>3263</v>
      </c>
      <c r="C24" s="526"/>
      <c r="D24" s="262" t="s">
        <v>100</v>
      </c>
      <c r="E24" s="262" t="s">
        <v>29</v>
      </c>
      <c r="F24" s="262" t="s">
        <v>2741</v>
      </c>
      <c r="G24" s="555" t="s">
        <v>30</v>
      </c>
      <c r="H24" s="263">
        <v>13500</v>
      </c>
      <c r="I24" s="556" t="s">
        <v>1586</v>
      </c>
      <c r="J24" s="557" t="s">
        <v>3473</v>
      </c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spans="1:26" ht="25.5" customHeight="1">
      <c r="A25" s="506" t="s">
        <v>3720</v>
      </c>
      <c r="B25" s="2"/>
      <c r="C25" s="2"/>
      <c r="D25" s="2"/>
      <c r="E25" s="2"/>
      <c r="F25" s="2"/>
      <c r="G25" s="2"/>
      <c r="H25" s="2"/>
      <c r="I25" s="5"/>
      <c r="J25" s="93"/>
    </row>
    <row r="26" spans="1:26" ht="15.75" customHeight="1">
      <c r="A26" s="50">
        <v>12</v>
      </c>
      <c r="B26" s="48" t="s">
        <v>3377</v>
      </c>
      <c r="C26" s="48" t="s">
        <v>39</v>
      </c>
      <c r="D26" s="48" t="s">
        <v>43</v>
      </c>
      <c r="E26" s="48" t="s">
        <v>44</v>
      </c>
      <c r="F26" s="48"/>
      <c r="G26" s="48" t="s">
        <v>30</v>
      </c>
      <c r="H26" s="51">
        <v>1500</v>
      </c>
      <c r="I26" s="553" t="s">
        <v>1586</v>
      </c>
      <c r="J26" s="517" t="s">
        <v>771</v>
      </c>
    </row>
    <row r="27" spans="1:26" ht="15.75" customHeight="1">
      <c r="A27" s="50">
        <v>13</v>
      </c>
      <c r="B27" s="48" t="s">
        <v>3392</v>
      </c>
      <c r="C27" s="48" t="s">
        <v>27</v>
      </c>
      <c r="D27" s="48" t="s">
        <v>2642</v>
      </c>
      <c r="E27" s="48" t="s">
        <v>47</v>
      </c>
      <c r="F27" s="48"/>
      <c r="G27" s="48" t="s">
        <v>30</v>
      </c>
      <c r="H27" s="51">
        <v>5000</v>
      </c>
      <c r="I27" s="553" t="s">
        <v>1586</v>
      </c>
      <c r="J27" s="517" t="s">
        <v>771</v>
      </c>
    </row>
    <row r="28" spans="1:26" ht="15.75" customHeight="1">
      <c r="A28" s="50">
        <v>3</v>
      </c>
      <c r="B28" s="48" t="s">
        <v>3462</v>
      </c>
      <c r="C28" s="50"/>
      <c r="D28" s="48"/>
      <c r="E28" s="48" t="s">
        <v>135</v>
      </c>
      <c r="F28" s="117" t="s">
        <v>3463</v>
      </c>
      <c r="G28" s="118" t="s">
        <v>30</v>
      </c>
      <c r="H28" s="74">
        <v>4500</v>
      </c>
      <c r="I28" s="295" t="s">
        <v>1586</v>
      </c>
      <c r="J28" s="517" t="s">
        <v>769</v>
      </c>
    </row>
    <row r="29" spans="1:26" ht="15.75" customHeight="1">
      <c r="A29" s="50">
        <v>6</v>
      </c>
      <c r="B29" s="120" t="s">
        <v>3254</v>
      </c>
      <c r="C29" s="50"/>
      <c r="D29" s="120"/>
      <c r="E29" s="120" t="s">
        <v>47</v>
      </c>
      <c r="F29" s="120" t="s">
        <v>3464</v>
      </c>
      <c r="G29" s="118" t="s">
        <v>30</v>
      </c>
      <c r="H29" s="74">
        <v>7500</v>
      </c>
      <c r="I29" s="113" t="s">
        <v>1586</v>
      </c>
      <c r="J29" s="517" t="s">
        <v>771</v>
      </c>
    </row>
    <row r="30" spans="1:26" ht="15.75" customHeight="1">
      <c r="A30" s="116">
        <v>7</v>
      </c>
      <c r="B30" s="261" t="s">
        <v>3471</v>
      </c>
      <c r="C30" s="526"/>
      <c r="D30" s="262" t="s">
        <v>93</v>
      </c>
      <c r="E30" s="262" t="s">
        <v>89</v>
      </c>
      <c r="F30" s="262" t="s">
        <v>3472</v>
      </c>
      <c r="G30" s="555" t="s">
        <v>30</v>
      </c>
      <c r="H30" s="263">
        <v>10500</v>
      </c>
      <c r="I30" s="556" t="s">
        <v>1586</v>
      </c>
      <c r="J30" s="557" t="s">
        <v>3473</v>
      </c>
    </row>
    <row r="31" spans="1:26" ht="15.75" customHeight="1">
      <c r="A31" s="50">
        <v>13</v>
      </c>
      <c r="B31" s="255" t="s">
        <v>3476</v>
      </c>
      <c r="C31" s="79"/>
      <c r="D31" s="120"/>
      <c r="E31" s="120" t="s">
        <v>86</v>
      </c>
      <c r="F31" s="120" t="s">
        <v>550</v>
      </c>
      <c r="G31" s="118" t="s">
        <v>30</v>
      </c>
      <c r="H31" s="51">
        <v>7500</v>
      </c>
      <c r="I31" s="296" t="s">
        <v>1586</v>
      </c>
      <c r="J31" s="517" t="s">
        <v>771</v>
      </c>
    </row>
    <row r="32" spans="1:26" ht="15.75" customHeight="1">
      <c r="A32" s="50">
        <v>13</v>
      </c>
      <c r="B32" s="255" t="s">
        <v>3477</v>
      </c>
      <c r="C32" s="79"/>
      <c r="D32" s="120"/>
      <c r="E32" s="120" t="s">
        <v>151</v>
      </c>
      <c r="F32" s="120" t="s">
        <v>1251</v>
      </c>
      <c r="G32" s="118" t="s">
        <v>30</v>
      </c>
      <c r="H32" s="51">
        <v>7500</v>
      </c>
      <c r="I32" s="296" t="s">
        <v>1586</v>
      </c>
      <c r="J32" s="517" t="s">
        <v>771</v>
      </c>
    </row>
    <row r="33" spans="1:10" ht="15.75" customHeight="1">
      <c r="A33" s="116">
        <v>13</v>
      </c>
      <c r="B33" s="261" t="s">
        <v>3478</v>
      </c>
      <c r="C33" s="526"/>
      <c r="D33" s="262" t="s">
        <v>153</v>
      </c>
      <c r="E33" s="262" t="s">
        <v>89</v>
      </c>
      <c r="F33" s="262" t="s">
        <v>1824</v>
      </c>
      <c r="G33" s="555" t="s">
        <v>30</v>
      </c>
      <c r="H33" s="263">
        <v>5000</v>
      </c>
      <c r="I33" s="556" t="s">
        <v>1586</v>
      </c>
      <c r="J33" s="529" t="s">
        <v>771</v>
      </c>
    </row>
    <row r="34" spans="1:10" ht="15.75" customHeight="1">
      <c r="A34" s="116">
        <v>13</v>
      </c>
      <c r="B34" s="261" t="s">
        <v>3479</v>
      </c>
      <c r="C34" s="526"/>
      <c r="D34" s="262"/>
      <c r="E34" s="262" t="s">
        <v>209</v>
      </c>
      <c r="F34" s="262" t="s">
        <v>1825</v>
      </c>
      <c r="G34" s="555" t="s">
        <v>30</v>
      </c>
      <c r="H34" s="263">
        <v>9000</v>
      </c>
      <c r="I34" s="556" t="s">
        <v>1586</v>
      </c>
      <c r="J34" s="557" t="s">
        <v>3473</v>
      </c>
    </row>
    <row r="35" spans="1:10" ht="15.75" customHeight="1">
      <c r="A35" s="50">
        <v>14</v>
      </c>
      <c r="B35" s="255" t="s">
        <v>3480</v>
      </c>
      <c r="C35" s="79"/>
      <c r="D35" s="120"/>
      <c r="E35" s="120" t="s">
        <v>54</v>
      </c>
      <c r="F35" s="120" t="s">
        <v>3481</v>
      </c>
      <c r="G35" s="118" t="s">
        <v>30</v>
      </c>
      <c r="H35" s="51">
        <v>9000</v>
      </c>
      <c r="I35" s="296" t="s">
        <v>1586</v>
      </c>
      <c r="J35" s="517" t="s">
        <v>771</v>
      </c>
    </row>
    <row r="36" spans="1:10" ht="15.75" customHeight="1">
      <c r="A36" s="50">
        <v>20</v>
      </c>
      <c r="B36" s="255" t="s">
        <v>2623</v>
      </c>
      <c r="C36" s="79"/>
      <c r="D36" s="120"/>
      <c r="E36" s="120" t="s">
        <v>148</v>
      </c>
      <c r="F36" s="120" t="s">
        <v>3482</v>
      </c>
      <c r="G36" s="118" t="s">
        <v>30</v>
      </c>
      <c r="H36" s="51">
        <v>4900</v>
      </c>
      <c r="I36" s="296" t="s">
        <v>1586</v>
      </c>
      <c r="J36" s="517" t="s">
        <v>769</v>
      </c>
    </row>
    <row r="37" spans="1:10" ht="27" customHeight="1">
      <c r="A37" s="506" t="s">
        <v>3721</v>
      </c>
      <c r="B37" s="2"/>
      <c r="C37" s="2"/>
      <c r="D37" s="2"/>
      <c r="E37" s="2"/>
      <c r="F37" s="2"/>
      <c r="G37" s="2"/>
      <c r="H37" s="2"/>
      <c r="I37" s="5"/>
      <c r="J37" s="93"/>
    </row>
    <row r="38" spans="1:10" ht="15.75" customHeight="1">
      <c r="A38" s="50">
        <v>11</v>
      </c>
      <c r="B38" s="48" t="s">
        <v>3625</v>
      </c>
      <c r="C38" s="48" t="s">
        <v>27</v>
      </c>
      <c r="D38" s="48" t="s">
        <v>593</v>
      </c>
      <c r="E38" s="48" t="s">
        <v>169</v>
      </c>
      <c r="F38" s="48"/>
      <c r="G38" s="48" t="s">
        <v>30</v>
      </c>
      <c r="H38" s="51">
        <v>1500</v>
      </c>
      <c r="I38" s="553" t="s">
        <v>1586</v>
      </c>
      <c r="J38" s="517" t="s">
        <v>771</v>
      </c>
    </row>
    <row r="39" spans="1:10" ht="15.75" customHeight="1">
      <c r="A39" s="50">
        <v>11</v>
      </c>
      <c r="B39" s="48" t="s">
        <v>3627</v>
      </c>
      <c r="C39" s="48" t="s">
        <v>27</v>
      </c>
      <c r="D39" s="48" t="s">
        <v>775</v>
      </c>
      <c r="E39" s="48" t="s">
        <v>169</v>
      </c>
      <c r="F39" s="48"/>
      <c r="G39" s="48" t="s">
        <v>30</v>
      </c>
      <c r="H39" s="51">
        <v>1500</v>
      </c>
      <c r="I39" s="553" t="s">
        <v>1586</v>
      </c>
      <c r="J39" s="517" t="s">
        <v>771</v>
      </c>
    </row>
    <row r="40" spans="1:10" ht="15.75" customHeight="1">
      <c r="A40" s="50">
        <v>11</v>
      </c>
      <c r="B40" s="48" t="s">
        <v>167</v>
      </c>
      <c r="C40" s="48" t="s">
        <v>27</v>
      </c>
      <c r="D40" s="48" t="s">
        <v>593</v>
      </c>
      <c r="E40" s="48" t="s">
        <v>169</v>
      </c>
      <c r="F40" s="48"/>
      <c r="G40" s="48" t="s">
        <v>30</v>
      </c>
      <c r="H40" s="51">
        <v>1500</v>
      </c>
      <c r="I40" s="553" t="s">
        <v>1586</v>
      </c>
      <c r="J40" s="517" t="s">
        <v>771</v>
      </c>
    </row>
    <row r="41" spans="1:10" ht="15.75" customHeight="1">
      <c r="A41" s="50">
        <v>11</v>
      </c>
      <c r="B41" s="48" t="s">
        <v>3722</v>
      </c>
      <c r="C41" s="48" t="s">
        <v>27</v>
      </c>
      <c r="D41" s="48" t="s">
        <v>1612</v>
      </c>
      <c r="E41" s="48" t="s">
        <v>169</v>
      </c>
      <c r="F41" s="48"/>
      <c r="G41" s="48" t="s">
        <v>30</v>
      </c>
      <c r="H41" s="51">
        <v>1500</v>
      </c>
      <c r="I41" s="553" t="s">
        <v>1586</v>
      </c>
      <c r="J41" s="517" t="s">
        <v>771</v>
      </c>
    </row>
    <row r="42" spans="1:10" ht="15.75" customHeight="1">
      <c r="A42" s="50">
        <v>16</v>
      </c>
      <c r="B42" s="48" t="s">
        <v>3692</v>
      </c>
      <c r="C42" s="48" t="s">
        <v>27</v>
      </c>
      <c r="D42" s="48" t="s">
        <v>637</v>
      </c>
      <c r="E42" s="48" t="s">
        <v>68</v>
      </c>
      <c r="F42" s="48"/>
      <c r="G42" s="48" t="s">
        <v>30</v>
      </c>
      <c r="H42" s="51">
        <v>1500</v>
      </c>
      <c r="I42" s="553" t="s">
        <v>1586</v>
      </c>
      <c r="J42" s="517" t="s">
        <v>769</v>
      </c>
    </row>
    <row r="43" spans="1:10" ht="15.75" customHeight="1">
      <c r="A43" s="50">
        <v>16</v>
      </c>
      <c r="B43" s="48" t="s">
        <v>3693</v>
      </c>
      <c r="C43" s="48" t="s">
        <v>27</v>
      </c>
      <c r="D43" s="48" t="s">
        <v>234</v>
      </c>
      <c r="E43" s="48" t="s">
        <v>68</v>
      </c>
      <c r="F43" s="48"/>
      <c r="G43" s="48" t="s">
        <v>30</v>
      </c>
      <c r="H43" s="51">
        <v>1500</v>
      </c>
      <c r="I43" s="553" t="s">
        <v>1586</v>
      </c>
      <c r="J43" s="517" t="s">
        <v>769</v>
      </c>
    </row>
    <row r="44" spans="1:10" ht="15.75" customHeight="1">
      <c r="A44" s="50">
        <v>16</v>
      </c>
      <c r="B44" s="48" t="s">
        <v>3694</v>
      </c>
      <c r="C44" s="48" t="s">
        <v>39</v>
      </c>
      <c r="D44" s="48" t="s">
        <v>1099</v>
      </c>
      <c r="E44" s="48" t="s">
        <v>68</v>
      </c>
      <c r="F44" s="48"/>
      <c r="G44" s="48" t="s">
        <v>30</v>
      </c>
      <c r="H44" s="51">
        <v>1500</v>
      </c>
      <c r="I44" s="553" t="s">
        <v>1586</v>
      </c>
      <c r="J44" s="517" t="s">
        <v>769</v>
      </c>
    </row>
    <row r="45" spans="1:10" ht="15.75" customHeight="1">
      <c r="A45" s="50">
        <v>16</v>
      </c>
      <c r="B45" s="48" t="s">
        <v>3695</v>
      </c>
      <c r="C45" s="48" t="s">
        <v>27</v>
      </c>
      <c r="D45" s="48" t="s">
        <v>234</v>
      </c>
      <c r="E45" s="48" t="s">
        <v>68</v>
      </c>
      <c r="F45" s="48"/>
      <c r="G45" s="48" t="s">
        <v>30</v>
      </c>
      <c r="H45" s="51">
        <v>1500</v>
      </c>
      <c r="I45" s="553" t="s">
        <v>1586</v>
      </c>
      <c r="J45" s="517" t="s">
        <v>771</v>
      </c>
    </row>
    <row r="46" spans="1:10" ht="15.75" customHeight="1">
      <c r="A46" s="50">
        <v>16</v>
      </c>
      <c r="B46" s="48" t="s">
        <v>3696</v>
      </c>
      <c r="C46" s="48" t="s">
        <v>27</v>
      </c>
      <c r="D46" s="48" t="s">
        <v>1020</v>
      </c>
      <c r="E46" s="48" t="s">
        <v>68</v>
      </c>
      <c r="F46" s="48"/>
      <c r="G46" s="48" t="s">
        <v>30</v>
      </c>
      <c r="H46" s="51">
        <v>1500</v>
      </c>
      <c r="I46" s="553" t="s">
        <v>1586</v>
      </c>
      <c r="J46" s="517" t="s">
        <v>771</v>
      </c>
    </row>
    <row r="47" spans="1:10" ht="15.75" customHeight="1">
      <c r="A47" s="50">
        <v>16</v>
      </c>
      <c r="B47" s="48" t="s">
        <v>3697</v>
      </c>
      <c r="C47" s="48" t="s">
        <v>27</v>
      </c>
      <c r="D47" s="48" t="s">
        <v>67</v>
      </c>
      <c r="E47" s="48" t="s">
        <v>68</v>
      </c>
      <c r="F47" s="48"/>
      <c r="G47" s="48" t="s">
        <v>30</v>
      </c>
      <c r="H47" s="51">
        <v>1500</v>
      </c>
      <c r="I47" s="553" t="s">
        <v>1586</v>
      </c>
      <c r="J47" s="517" t="s">
        <v>771</v>
      </c>
    </row>
    <row r="48" spans="1:10" ht="15.75" customHeight="1">
      <c r="A48" s="50">
        <v>16</v>
      </c>
      <c r="B48" s="48" t="s">
        <v>3698</v>
      </c>
      <c r="C48" s="48" t="s">
        <v>27</v>
      </c>
      <c r="D48" s="48" t="s">
        <v>3699</v>
      </c>
      <c r="E48" s="48" t="s">
        <v>68</v>
      </c>
      <c r="F48" s="48"/>
      <c r="G48" s="48" t="s">
        <v>30</v>
      </c>
      <c r="H48" s="51">
        <v>1500</v>
      </c>
      <c r="I48" s="553" t="s">
        <v>1586</v>
      </c>
      <c r="J48" s="517" t="s">
        <v>769</v>
      </c>
    </row>
    <row r="49" spans="1:10" ht="15.75" customHeight="1">
      <c r="A49" s="50">
        <v>16</v>
      </c>
      <c r="B49" s="48" t="s">
        <v>1699</v>
      </c>
      <c r="C49" s="48" t="s">
        <v>27</v>
      </c>
      <c r="D49" s="48" t="s">
        <v>3699</v>
      </c>
      <c r="E49" s="48" t="s">
        <v>68</v>
      </c>
      <c r="F49" s="48"/>
      <c r="G49" s="48" t="s">
        <v>30</v>
      </c>
      <c r="H49" s="51">
        <v>1500</v>
      </c>
      <c r="I49" s="553" t="s">
        <v>1586</v>
      </c>
      <c r="J49" s="517" t="s">
        <v>769</v>
      </c>
    </row>
    <row r="50" spans="1:10" ht="15.75" customHeight="1">
      <c r="A50" s="2"/>
      <c r="B50" s="2"/>
      <c r="C50" s="2"/>
      <c r="D50" s="2"/>
      <c r="E50" s="2"/>
      <c r="F50" s="2"/>
      <c r="G50" s="2"/>
      <c r="H50" s="2"/>
      <c r="I50" s="5"/>
      <c r="J50" s="93"/>
    </row>
    <row r="51" spans="1:10" ht="15.75" customHeight="1">
      <c r="A51" s="2"/>
      <c r="B51" s="2"/>
      <c r="C51" s="2"/>
      <c r="D51" s="2"/>
      <c r="E51" s="2"/>
      <c r="F51" s="2"/>
      <c r="G51" s="2"/>
      <c r="H51" s="2"/>
      <c r="I51" s="5"/>
      <c r="J51" s="93"/>
    </row>
    <row r="52" spans="1:10" ht="15.75" customHeight="1">
      <c r="A52" s="2"/>
      <c r="B52" s="2"/>
      <c r="C52" s="2"/>
      <c r="D52" s="2"/>
      <c r="E52" s="2"/>
      <c r="F52" s="2"/>
      <c r="G52" s="2"/>
      <c r="H52" s="2"/>
      <c r="I52" s="5"/>
      <c r="J52" s="93"/>
    </row>
    <row r="53" spans="1:10" ht="15.75" customHeight="1">
      <c r="A53" s="2"/>
      <c r="B53" s="2"/>
      <c r="C53" s="2"/>
      <c r="D53" s="2"/>
      <c r="E53" s="2"/>
      <c r="F53" s="2"/>
      <c r="G53" s="2"/>
      <c r="H53" s="2"/>
      <c r="I53" s="5"/>
      <c r="J53" s="93"/>
    </row>
    <row r="54" spans="1:10" ht="15.75" customHeight="1">
      <c r="A54" s="2"/>
      <c r="B54" s="2"/>
      <c r="C54" s="2"/>
      <c r="D54" s="2"/>
      <c r="E54" s="2"/>
      <c r="F54" s="2"/>
      <c r="G54" s="2"/>
      <c r="H54" s="2"/>
      <c r="I54" s="5"/>
      <c r="J54" s="93"/>
    </row>
    <row r="55" spans="1:10" ht="15.75" customHeight="1">
      <c r="A55" s="2"/>
      <c r="B55" s="2"/>
      <c r="C55" s="2"/>
      <c r="D55" s="2"/>
      <c r="E55" s="2"/>
      <c r="F55" s="2"/>
      <c r="G55" s="2"/>
      <c r="H55" s="2"/>
      <c r="I55" s="5"/>
      <c r="J55" s="93"/>
    </row>
    <row r="56" spans="1:10" ht="15.75" customHeight="1">
      <c r="A56" s="2"/>
      <c r="B56" s="2"/>
      <c r="C56" s="2"/>
      <c r="D56" s="2"/>
      <c r="E56" s="2"/>
      <c r="F56" s="2"/>
      <c r="G56" s="2"/>
      <c r="H56" s="2"/>
      <c r="I56" s="5"/>
      <c r="J56" s="93"/>
    </row>
    <row r="57" spans="1:10" ht="15.75" customHeight="1">
      <c r="A57" s="2"/>
      <c r="B57" s="2"/>
      <c r="C57" s="2"/>
      <c r="D57" s="2"/>
      <c r="E57" s="2"/>
      <c r="F57" s="2"/>
      <c r="G57" s="2"/>
      <c r="H57" s="2"/>
      <c r="I57" s="5"/>
      <c r="J57" s="93"/>
    </row>
    <row r="58" spans="1:10" ht="15.75" customHeight="1">
      <c r="A58" s="2"/>
      <c r="B58" s="2"/>
      <c r="C58" s="2"/>
      <c r="D58" s="2"/>
      <c r="E58" s="2"/>
      <c r="F58" s="2"/>
      <c r="G58" s="2"/>
      <c r="H58" s="2"/>
      <c r="I58" s="5"/>
      <c r="J58" s="93"/>
    </row>
    <row r="59" spans="1:10" ht="15.75" customHeight="1">
      <c r="A59" s="2"/>
      <c r="B59" s="2"/>
      <c r="C59" s="2"/>
      <c r="D59" s="2"/>
      <c r="E59" s="2"/>
      <c r="F59" s="2"/>
      <c r="G59" s="2"/>
      <c r="H59" s="2"/>
      <c r="I59" s="5"/>
      <c r="J59" s="93"/>
    </row>
    <row r="60" spans="1:10" ht="15.75" customHeight="1">
      <c r="A60" s="2"/>
      <c r="B60" s="2"/>
      <c r="C60" s="2"/>
      <c r="D60" s="2"/>
      <c r="E60" s="2"/>
      <c r="F60" s="2"/>
      <c r="G60" s="2"/>
      <c r="H60" s="2"/>
      <c r="I60" s="5"/>
      <c r="J60" s="93"/>
    </row>
    <row r="61" spans="1:10" ht="15.75" customHeight="1">
      <c r="A61" s="2"/>
      <c r="B61" s="2"/>
      <c r="C61" s="2"/>
      <c r="D61" s="2"/>
      <c r="E61" s="2"/>
      <c r="F61" s="2"/>
      <c r="G61" s="2"/>
      <c r="H61" s="2"/>
      <c r="I61" s="5"/>
      <c r="J61" s="93"/>
    </row>
    <row r="62" spans="1:10" ht="15.75" customHeight="1">
      <c r="A62" s="2"/>
      <c r="B62" s="2"/>
      <c r="C62" s="2"/>
      <c r="D62" s="2"/>
      <c r="E62" s="2"/>
      <c r="F62" s="2"/>
      <c r="G62" s="2"/>
      <c r="H62" s="2"/>
      <c r="I62" s="5"/>
      <c r="J62" s="93"/>
    </row>
    <row r="63" spans="1:10" ht="15.75" customHeight="1">
      <c r="A63" s="2"/>
      <c r="B63" s="2"/>
      <c r="C63" s="2"/>
      <c r="D63" s="2"/>
      <c r="E63" s="2"/>
      <c r="F63" s="2"/>
      <c r="G63" s="2"/>
      <c r="H63" s="2"/>
      <c r="I63" s="5"/>
      <c r="J63" s="93"/>
    </row>
    <row r="64" spans="1:10" ht="15.75" customHeight="1">
      <c r="A64" s="2"/>
      <c r="B64" s="2"/>
      <c r="C64" s="2"/>
      <c r="D64" s="2"/>
      <c r="E64" s="2"/>
      <c r="F64" s="2"/>
      <c r="G64" s="2"/>
      <c r="H64" s="2"/>
      <c r="I64" s="5"/>
      <c r="J64" s="93"/>
    </row>
    <row r="65" spans="1:10" ht="15.75" customHeight="1">
      <c r="A65" s="2"/>
      <c r="B65" s="2"/>
      <c r="C65" s="2"/>
      <c r="D65" s="2"/>
      <c r="E65" s="2"/>
      <c r="F65" s="2"/>
      <c r="G65" s="2"/>
      <c r="H65" s="2"/>
      <c r="I65" s="5"/>
      <c r="J65" s="93"/>
    </row>
    <row r="66" spans="1:10" ht="15.75" customHeight="1">
      <c r="A66" s="2"/>
      <c r="B66" s="2"/>
      <c r="C66" s="2"/>
      <c r="D66" s="2"/>
      <c r="E66" s="2"/>
      <c r="F66" s="2"/>
      <c r="G66" s="2"/>
      <c r="H66" s="2"/>
      <c r="I66" s="5"/>
      <c r="J66" s="93"/>
    </row>
    <row r="67" spans="1:10" ht="15.75" customHeight="1">
      <c r="A67" s="2"/>
      <c r="B67" s="2"/>
      <c r="C67" s="2"/>
      <c r="D67" s="2"/>
      <c r="E67" s="2"/>
      <c r="F67" s="2"/>
      <c r="G67" s="2"/>
      <c r="H67" s="2"/>
      <c r="I67" s="5"/>
      <c r="J67" s="93"/>
    </row>
    <row r="68" spans="1:10" ht="15.75" customHeight="1">
      <c r="A68" s="2"/>
      <c r="B68" s="2"/>
      <c r="C68" s="2"/>
      <c r="D68" s="2"/>
      <c r="E68" s="2"/>
      <c r="F68" s="2"/>
      <c r="G68" s="2"/>
      <c r="H68" s="2"/>
      <c r="I68" s="5"/>
      <c r="J68" s="93"/>
    </row>
    <row r="69" spans="1:10" ht="15.75" customHeight="1">
      <c r="A69" s="2"/>
      <c r="B69" s="2"/>
      <c r="C69" s="2"/>
      <c r="D69" s="2"/>
      <c r="E69" s="2"/>
      <c r="F69" s="2"/>
      <c r="G69" s="2"/>
      <c r="H69" s="2"/>
      <c r="I69" s="5"/>
      <c r="J69" s="93"/>
    </row>
    <row r="70" spans="1:10" ht="15.75" customHeight="1">
      <c r="A70" s="2"/>
      <c r="B70" s="2"/>
      <c r="C70" s="2"/>
      <c r="D70" s="2"/>
      <c r="E70" s="2"/>
      <c r="F70" s="2"/>
      <c r="G70" s="2"/>
      <c r="H70" s="2"/>
      <c r="I70" s="5"/>
      <c r="J70" s="93"/>
    </row>
    <row r="71" spans="1:10" ht="15.75" customHeight="1">
      <c r="A71" s="2"/>
      <c r="B71" s="2"/>
      <c r="C71" s="2"/>
      <c r="D71" s="2"/>
      <c r="E71" s="2"/>
      <c r="F71" s="2"/>
      <c r="G71" s="2"/>
      <c r="H71" s="2"/>
      <c r="I71" s="5"/>
      <c r="J71" s="93"/>
    </row>
    <row r="72" spans="1:10" ht="15.75" customHeight="1">
      <c r="A72" s="2"/>
      <c r="B72" s="2"/>
      <c r="C72" s="2"/>
      <c r="D72" s="2"/>
      <c r="E72" s="2"/>
      <c r="F72" s="2"/>
      <c r="G72" s="2"/>
      <c r="H72" s="2"/>
      <c r="I72" s="5"/>
      <c r="J72" s="93"/>
    </row>
    <row r="73" spans="1:10" ht="15.75" customHeight="1">
      <c r="A73" s="2"/>
      <c r="B73" s="2"/>
      <c r="C73" s="2"/>
      <c r="D73" s="2"/>
      <c r="E73" s="2"/>
      <c r="F73" s="2"/>
      <c r="G73" s="2"/>
      <c r="H73" s="2"/>
      <c r="I73" s="5"/>
      <c r="J73" s="93"/>
    </row>
    <row r="74" spans="1:10" ht="15.75" customHeight="1">
      <c r="A74" s="2"/>
      <c r="B74" s="2"/>
      <c r="C74" s="2"/>
      <c r="D74" s="2"/>
      <c r="E74" s="2"/>
      <c r="F74" s="2"/>
      <c r="G74" s="2"/>
      <c r="H74" s="2"/>
      <c r="I74" s="5"/>
      <c r="J74" s="93"/>
    </row>
    <row r="75" spans="1:10" ht="15.75" customHeight="1">
      <c r="A75" s="2"/>
      <c r="B75" s="2"/>
      <c r="C75" s="2"/>
      <c r="D75" s="2"/>
      <c r="E75" s="2"/>
      <c r="F75" s="2"/>
      <c r="G75" s="2"/>
      <c r="H75" s="2"/>
      <c r="I75" s="5"/>
      <c r="J75" s="93"/>
    </row>
    <row r="76" spans="1:10" ht="15.75" customHeight="1">
      <c r="A76" s="2"/>
      <c r="B76" s="2"/>
      <c r="C76" s="2"/>
      <c r="D76" s="2"/>
      <c r="E76" s="2"/>
      <c r="F76" s="2"/>
      <c r="G76" s="2"/>
      <c r="H76" s="2"/>
      <c r="I76" s="5"/>
      <c r="J76" s="93"/>
    </row>
    <row r="77" spans="1:10" ht="15.75" customHeight="1">
      <c r="A77" s="2"/>
      <c r="B77" s="2"/>
      <c r="C77" s="2"/>
      <c r="D77" s="2"/>
      <c r="E77" s="2"/>
      <c r="F77" s="2"/>
      <c r="G77" s="2"/>
      <c r="H77" s="2"/>
      <c r="I77" s="5"/>
      <c r="J77" s="93"/>
    </row>
    <row r="78" spans="1:10" ht="15.75" customHeight="1">
      <c r="A78" s="2"/>
      <c r="B78" s="2"/>
      <c r="C78" s="2"/>
      <c r="D78" s="2"/>
      <c r="E78" s="2"/>
      <c r="F78" s="2"/>
      <c r="G78" s="2"/>
      <c r="H78" s="2"/>
      <c r="I78" s="5"/>
      <c r="J78" s="93"/>
    </row>
    <row r="79" spans="1:10" ht="15.75" customHeight="1">
      <c r="A79" s="2"/>
      <c r="B79" s="2"/>
      <c r="C79" s="2"/>
      <c r="D79" s="2"/>
      <c r="E79" s="2"/>
      <c r="F79" s="2"/>
      <c r="G79" s="2"/>
      <c r="H79" s="2"/>
      <c r="I79" s="5"/>
      <c r="J79" s="93"/>
    </row>
    <row r="80" spans="1:10" ht="15.75" customHeight="1">
      <c r="A80" s="2"/>
      <c r="B80" s="2"/>
      <c r="C80" s="2"/>
      <c r="D80" s="2"/>
      <c r="E80" s="2"/>
      <c r="F80" s="2"/>
      <c r="G80" s="2"/>
      <c r="H80" s="2"/>
      <c r="I80" s="5"/>
      <c r="J80" s="93"/>
    </row>
    <row r="81" spans="1:10" ht="15.75" customHeight="1">
      <c r="A81" s="2"/>
      <c r="B81" s="2"/>
      <c r="C81" s="2"/>
      <c r="D81" s="2"/>
      <c r="E81" s="2"/>
      <c r="F81" s="2"/>
      <c r="G81" s="2"/>
      <c r="H81" s="2"/>
      <c r="I81" s="5"/>
      <c r="J81" s="93"/>
    </row>
    <row r="82" spans="1:10" ht="15.75" customHeight="1">
      <c r="A82" s="2"/>
      <c r="B82" s="2"/>
      <c r="C82" s="2"/>
      <c r="D82" s="2"/>
      <c r="E82" s="2"/>
      <c r="F82" s="2"/>
      <c r="G82" s="2"/>
      <c r="H82" s="2"/>
      <c r="I82" s="5"/>
      <c r="J82" s="93"/>
    </row>
    <row r="83" spans="1:10" ht="15.75" customHeight="1">
      <c r="A83" s="2"/>
      <c r="B83" s="2"/>
      <c r="C83" s="2"/>
      <c r="D83" s="2"/>
      <c r="E83" s="2"/>
      <c r="F83" s="2"/>
      <c r="G83" s="2"/>
      <c r="H83" s="2"/>
      <c r="I83" s="5"/>
      <c r="J83" s="93"/>
    </row>
    <row r="84" spans="1:10" ht="15.75" customHeight="1">
      <c r="A84" s="2"/>
      <c r="B84" s="2"/>
      <c r="C84" s="2"/>
      <c r="D84" s="2"/>
      <c r="E84" s="2"/>
      <c r="F84" s="2"/>
      <c r="G84" s="2"/>
      <c r="H84" s="2"/>
      <c r="I84" s="5"/>
      <c r="J84" s="93"/>
    </row>
    <row r="85" spans="1:10" ht="15.75" customHeight="1">
      <c r="A85" s="2"/>
      <c r="B85" s="2"/>
      <c r="C85" s="2"/>
      <c r="D85" s="2"/>
      <c r="E85" s="2"/>
      <c r="F85" s="2"/>
      <c r="G85" s="2"/>
      <c r="H85" s="2"/>
      <c r="I85" s="5"/>
      <c r="J85" s="93"/>
    </row>
    <row r="86" spans="1:10" ht="15.75" customHeight="1">
      <c r="A86" s="2"/>
      <c r="B86" s="2"/>
      <c r="C86" s="2"/>
      <c r="D86" s="2"/>
      <c r="E86" s="2"/>
      <c r="F86" s="2"/>
      <c r="G86" s="2"/>
      <c r="H86" s="2"/>
      <c r="I86" s="5"/>
      <c r="J86" s="93"/>
    </row>
    <row r="87" spans="1:10" ht="15.75" customHeight="1">
      <c r="A87" s="2"/>
      <c r="B87" s="2"/>
      <c r="C87" s="2"/>
      <c r="D87" s="2"/>
      <c r="E87" s="2"/>
      <c r="F87" s="2"/>
      <c r="G87" s="2"/>
      <c r="H87" s="2"/>
      <c r="I87" s="5"/>
      <c r="J87" s="93"/>
    </row>
    <row r="88" spans="1:10" ht="15.75" customHeight="1">
      <c r="A88" s="2"/>
      <c r="B88" s="2"/>
      <c r="C88" s="2"/>
      <c r="D88" s="2"/>
      <c r="E88" s="2"/>
      <c r="F88" s="2"/>
      <c r="G88" s="2"/>
      <c r="H88" s="2"/>
      <c r="I88" s="5"/>
      <c r="J88" s="93"/>
    </row>
    <row r="89" spans="1:10" ht="15.75" customHeight="1">
      <c r="A89" s="2"/>
      <c r="B89" s="2"/>
      <c r="C89" s="2"/>
      <c r="D89" s="2"/>
      <c r="E89" s="2"/>
      <c r="F89" s="2"/>
      <c r="G89" s="2"/>
      <c r="H89" s="2"/>
      <c r="I89" s="5"/>
      <c r="J89" s="93"/>
    </row>
    <row r="90" spans="1:10" ht="15.75" customHeight="1">
      <c r="A90" s="2"/>
      <c r="B90" s="2"/>
      <c r="C90" s="2"/>
      <c r="D90" s="2"/>
      <c r="E90" s="2"/>
      <c r="F90" s="2"/>
      <c r="G90" s="2"/>
      <c r="H90" s="2"/>
      <c r="I90" s="5"/>
      <c r="J90" s="93"/>
    </row>
    <row r="91" spans="1:10" ht="15.75" customHeight="1">
      <c r="A91" s="2"/>
      <c r="B91" s="2"/>
      <c r="C91" s="2"/>
      <c r="D91" s="2"/>
      <c r="E91" s="2"/>
      <c r="F91" s="2"/>
      <c r="G91" s="2"/>
      <c r="H91" s="2"/>
      <c r="I91" s="5"/>
      <c r="J91" s="93"/>
    </row>
    <row r="92" spans="1:10" ht="15.75" customHeight="1">
      <c r="A92" s="2"/>
      <c r="B92" s="2"/>
      <c r="C92" s="2"/>
      <c r="D92" s="2"/>
      <c r="E92" s="2"/>
      <c r="F92" s="2"/>
      <c r="G92" s="2"/>
      <c r="H92" s="2"/>
      <c r="I92" s="5"/>
      <c r="J92" s="93"/>
    </row>
    <row r="93" spans="1:10" ht="15.75" customHeight="1">
      <c r="A93" s="2"/>
      <c r="B93" s="2"/>
      <c r="C93" s="2"/>
      <c r="D93" s="2"/>
      <c r="E93" s="2"/>
      <c r="F93" s="2"/>
      <c r="G93" s="2"/>
      <c r="H93" s="2"/>
      <c r="I93" s="5"/>
      <c r="J93" s="93"/>
    </row>
    <row r="94" spans="1:10" ht="15.75" customHeight="1">
      <c r="A94" s="2"/>
      <c r="B94" s="2"/>
      <c r="C94" s="2"/>
      <c r="D94" s="2"/>
      <c r="E94" s="2"/>
      <c r="F94" s="2"/>
      <c r="G94" s="2"/>
      <c r="H94" s="2"/>
      <c r="I94" s="5"/>
      <c r="J94" s="93"/>
    </row>
    <row r="95" spans="1:10" ht="15.75" customHeight="1">
      <c r="A95" s="2"/>
      <c r="B95" s="2"/>
      <c r="C95" s="2"/>
      <c r="D95" s="2"/>
      <c r="E95" s="2"/>
      <c r="F95" s="2"/>
      <c r="G95" s="2"/>
      <c r="H95" s="2"/>
      <c r="I95" s="5"/>
      <c r="J95" s="93"/>
    </row>
    <row r="96" spans="1:10" ht="15.75" customHeight="1">
      <c r="A96" s="2"/>
      <c r="B96" s="2"/>
      <c r="C96" s="2"/>
      <c r="D96" s="2"/>
      <c r="E96" s="2"/>
      <c r="F96" s="2"/>
      <c r="G96" s="2"/>
      <c r="H96" s="2"/>
      <c r="I96" s="5"/>
      <c r="J96" s="93"/>
    </row>
    <row r="97" spans="1:10" ht="15.75" customHeight="1">
      <c r="A97" s="2"/>
      <c r="B97" s="2"/>
      <c r="C97" s="2"/>
      <c r="D97" s="2"/>
      <c r="E97" s="2"/>
      <c r="F97" s="2"/>
      <c r="G97" s="2"/>
      <c r="H97" s="2"/>
      <c r="I97" s="5"/>
      <c r="J97" s="93"/>
    </row>
    <row r="98" spans="1:10" ht="15.75" customHeight="1">
      <c r="A98" s="2"/>
      <c r="B98" s="2"/>
      <c r="C98" s="2"/>
      <c r="D98" s="2"/>
      <c r="E98" s="2"/>
      <c r="F98" s="2"/>
      <c r="G98" s="2"/>
      <c r="H98" s="2"/>
      <c r="I98" s="5"/>
      <c r="J98" s="93"/>
    </row>
    <row r="99" spans="1:10" ht="15.75" customHeight="1">
      <c r="A99" s="2"/>
      <c r="B99" s="2"/>
      <c r="C99" s="2"/>
      <c r="D99" s="2"/>
      <c r="E99" s="2"/>
      <c r="F99" s="2"/>
      <c r="G99" s="2"/>
      <c r="H99" s="2"/>
      <c r="I99" s="5"/>
      <c r="J99" s="93"/>
    </row>
    <row r="100" spans="1:10" ht="15.75" customHeight="1">
      <c r="A100" s="2"/>
      <c r="B100" s="2"/>
      <c r="C100" s="2"/>
      <c r="D100" s="2"/>
      <c r="E100" s="2"/>
      <c r="F100" s="2"/>
      <c r="G100" s="2"/>
      <c r="H100" s="2"/>
      <c r="I100" s="5"/>
      <c r="J100" s="93"/>
    </row>
    <row r="101" spans="1:10" ht="15.75" customHeight="1">
      <c r="A101" s="2"/>
      <c r="B101" s="2"/>
      <c r="C101" s="2"/>
      <c r="D101" s="2"/>
      <c r="E101" s="2"/>
      <c r="F101" s="2"/>
      <c r="G101" s="2"/>
      <c r="H101" s="2"/>
      <c r="I101" s="5"/>
      <c r="J101" s="93"/>
    </row>
    <row r="102" spans="1:10" ht="15.75" customHeight="1">
      <c r="A102" s="2"/>
      <c r="B102" s="2"/>
      <c r="C102" s="2"/>
      <c r="D102" s="2"/>
      <c r="E102" s="2"/>
      <c r="F102" s="2"/>
      <c r="G102" s="2"/>
      <c r="H102" s="2"/>
      <c r="I102" s="5"/>
      <c r="J102" s="93"/>
    </row>
    <row r="103" spans="1:10" ht="15.75" customHeight="1">
      <c r="A103" s="2"/>
      <c r="B103" s="2"/>
      <c r="C103" s="2"/>
      <c r="D103" s="2"/>
      <c r="E103" s="2"/>
      <c r="F103" s="2"/>
      <c r="G103" s="2"/>
      <c r="H103" s="2"/>
      <c r="I103" s="5"/>
      <c r="J103" s="93"/>
    </row>
    <row r="104" spans="1:10" ht="15.75" customHeight="1">
      <c r="A104" s="2"/>
      <c r="B104" s="2"/>
      <c r="C104" s="2"/>
      <c r="D104" s="2"/>
      <c r="E104" s="2"/>
      <c r="F104" s="2"/>
      <c r="G104" s="2"/>
      <c r="H104" s="2"/>
      <c r="I104" s="5"/>
      <c r="J104" s="93"/>
    </row>
    <row r="105" spans="1:10" ht="15.75" customHeight="1">
      <c r="A105" s="2"/>
      <c r="B105" s="2"/>
      <c r="C105" s="2"/>
      <c r="D105" s="2"/>
      <c r="E105" s="2"/>
      <c r="F105" s="2"/>
      <c r="G105" s="2"/>
      <c r="H105" s="2"/>
      <c r="I105" s="5"/>
      <c r="J105" s="93"/>
    </row>
    <row r="106" spans="1:10" ht="15.75" customHeight="1">
      <c r="A106" s="2"/>
      <c r="B106" s="2"/>
      <c r="C106" s="2"/>
      <c r="D106" s="2"/>
      <c r="E106" s="2"/>
      <c r="F106" s="2"/>
      <c r="G106" s="2"/>
      <c r="H106" s="2"/>
      <c r="I106" s="5"/>
      <c r="J106" s="93"/>
    </row>
    <row r="107" spans="1:10" ht="15.75" customHeight="1">
      <c r="A107" s="2"/>
      <c r="B107" s="2"/>
      <c r="C107" s="2"/>
      <c r="D107" s="2"/>
      <c r="E107" s="2"/>
      <c r="F107" s="2"/>
      <c r="G107" s="2"/>
      <c r="H107" s="2"/>
      <c r="I107" s="5"/>
      <c r="J107" s="93"/>
    </row>
    <row r="108" spans="1:10" ht="15.75" customHeight="1">
      <c r="A108" s="2"/>
      <c r="B108" s="2"/>
      <c r="C108" s="2"/>
      <c r="D108" s="2"/>
      <c r="E108" s="2"/>
      <c r="F108" s="2"/>
      <c r="G108" s="2"/>
      <c r="H108" s="2"/>
      <c r="I108" s="5"/>
      <c r="J108" s="93"/>
    </row>
    <row r="109" spans="1:10" ht="15.75" customHeight="1">
      <c r="A109" s="2"/>
      <c r="B109" s="2"/>
      <c r="C109" s="2"/>
      <c r="D109" s="2"/>
      <c r="E109" s="2"/>
      <c r="F109" s="2"/>
      <c r="G109" s="2"/>
      <c r="H109" s="2"/>
      <c r="I109" s="5"/>
      <c r="J109" s="93"/>
    </row>
    <row r="110" spans="1:10" ht="15.75" customHeight="1">
      <c r="A110" s="2"/>
      <c r="B110" s="2"/>
      <c r="C110" s="2"/>
      <c r="D110" s="2"/>
      <c r="E110" s="2"/>
      <c r="F110" s="2"/>
      <c r="G110" s="2"/>
      <c r="H110" s="2"/>
      <c r="I110" s="5"/>
      <c r="J110" s="93"/>
    </row>
    <row r="111" spans="1:10" ht="15.75" customHeight="1">
      <c r="A111" s="2"/>
      <c r="B111" s="2"/>
      <c r="C111" s="2"/>
      <c r="D111" s="2"/>
      <c r="E111" s="2"/>
      <c r="F111" s="2"/>
      <c r="G111" s="2"/>
      <c r="H111" s="2"/>
      <c r="I111" s="5"/>
      <c r="J111" s="93"/>
    </row>
    <row r="112" spans="1:10" ht="15.75" customHeight="1">
      <c r="A112" s="2"/>
      <c r="B112" s="2"/>
      <c r="C112" s="2"/>
      <c r="D112" s="2"/>
      <c r="E112" s="2"/>
      <c r="F112" s="2"/>
      <c r="G112" s="2"/>
      <c r="H112" s="2"/>
      <c r="I112" s="5"/>
      <c r="J112" s="93"/>
    </row>
    <row r="113" spans="1:10" ht="15.75" customHeight="1">
      <c r="A113" s="2"/>
      <c r="B113" s="2"/>
      <c r="C113" s="2"/>
      <c r="D113" s="2"/>
      <c r="E113" s="2"/>
      <c r="F113" s="2"/>
      <c r="G113" s="2"/>
      <c r="H113" s="2"/>
      <c r="I113" s="5"/>
      <c r="J113" s="93"/>
    </row>
    <row r="114" spans="1:10" ht="15.75" customHeight="1">
      <c r="A114" s="2"/>
      <c r="B114" s="2"/>
      <c r="C114" s="2"/>
      <c r="D114" s="2"/>
      <c r="E114" s="2"/>
      <c r="F114" s="2"/>
      <c r="G114" s="2"/>
      <c r="H114" s="2"/>
      <c r="I114" s="5"/>
      <c r="J114" s="93"/>
    </row>
    <row r="115" spans="1:10" ht="15.75" customHeight="1">
      <c r="A115" s="2"/>
      <c r="B115" s="2"/>
      <c r="C115" s="2"/>
      <c r="D115" s="2"/>
      <c r="E115" s="2"/>
      <c r="F115" s="2"/>
      <c r="G115" s="2"/>
      <c r="H115" s="2"/>
      <c r="I115" s="5"/>
      <c r="J115" s="93"/>
    </row>
    <row r="116" spans="1:10" ht="15.75" customHeight="1">
      <c r="A116" s="2"/>
      <c r="B116" s="2"/>
      <c r="C116" s="2"/>
      <c r="D116" s="2"/>
      <c r="E116" s="2"/>
      <c r="F116" s="2"/>
      <c r="G116" s="2"/>
      <c r="H116" s="2"/>
      <c r="I116" s="5"/>
      <c r="J116" s="93"/>
    </row>
    <row r="117" spans="1:10" ht="15.75" customHeight="1">
      <c r="A117" s="2"/>
      <c r="B117" s="2"/>
      <c r="C117" s="2"/>
      <c r="D117" s="2"/>
      <c r="E117" s="2"/>
      <c r="F117" s="2"/>
      <c r="G117" s="2"/>
      <c r="H117" s="2"/>
      <c r="I117" s="5"/>
      <c r="J117" s="93"/>
    </row>
    <row r="118" spans="1:10" ht="15.75" customHeight="1">
      <c r="A118" s="2"/>
      <c r="B118" s="2"/>
      <c r="C118" s="2"/>
      <c r="D118" s="2"/>
      <c r="E118" s="2"/>
      <c r="F118" s="2"/>
      <c r="G118" s="2"/>
      <c r="H118" s="2"/>
      <c r="I118" s="5"/>
      <c r="J118" s="93"/>
    </row>
    <row r="119" spans="1:10" ht="15.75" customHeight="1">
      <c r="A119" s="2"/>
      <c r="B119" s="2"/>
      <c r="C119" s="2"/>
      <c r="D119" s="2"/>
      <c r="E119" s="2"/>
      <c r="F119" s="2"/>
      <c r="G119" s="2"/>
      <c r="H119" s="2"/>
      <c r="I119" s="5"/>
      <c r="J119" s="93"/>
    </row>
    <row r="120" spans="1:10" ht="15.75" customHeight="1">
      <c r="A120" s="2"/>
      <c r="B120" s="2"/>
      <c r="C120" s="2"/>
      <c r="D120" s="2"/>
      <c r="E120" s="2"/>
      <c r="F120" s="2"/>
      <c r="G120" s="2"/>
      <c r="H120" s="2"/>
      <c r="I120" s="5"/>
      <c r="J120" s="93"/>
    </row>
    <row r="121" spans="1:10" ht="15.75" customHeight="1">
      <c r="A121" s="2"/>
      <c r="B121" s="2"/>
      <c r="C121" s="2"/>
      <c r="D121" s="2"/>
      <c r="E121" s="2"/>
      <c r="F121" s="2"/>
      <c r="G121" s="2"/>
      <c r="H121" s="2"/>
      <c r="I121" s="5"/>
      <c r="J121" s="93"/>
    </row>
    <row r="122" spans="1:10" ht="15.75" customHeight="1">
      <c r="A122" s="2"/>
      <c r="B122" s="2"/>
      <c r="C122" s="2"/>
      <c r="D122" s="2"/>
      <c r="E122" s="2"/>
      <c r="F122" s="2"/>
      <c r="G122" s="2"/>
      <c r="H122" s="2"/>
      <c r="I122" s="5"/>
      <c r="J122" s="93"/>
    </row>
    <row r="123" spans="1:10" ht="15.75" customHeight="1">
      <c r="A123" s="2"/>
      <c r="B123" s="2"/>
      <c r="C123" s="2"/>
      <c r="D123" s="2"/>
      <c r="E123" s="2"/>
      <c r="F123" s="2"/>
      <c r="G123" s="2"/>
      <c r="H123" s="2"/>
      <c r="I123" s="5"/>
      <c r="J123" s="93"/>
    </row>
    <row r="124" spans="1:10" ht="15.75" customHeight="1">
      <c r="A124" s="2"/>
      <c r="B124" s="2"/>
      <c r="C124" s="2"/>
      <c r="D124" s="2"/>
      <c r="E124" s="2"/>
      <c r="F124" s="2"/>
      <c r="G124" s="2"/>
      <c r="H124" s="2"/>
      <c r="I124" s="5"/>
      <c r="J124" s="93"/>
    </row>
    <row r="125" spans="1:10" ht="15.75" customHeight="1">
      <c r="A125" s="2"/>
      <c r="B125" s="2"/>
      <c r="C125" s="2"/>
      <c r="D125" s="2"/>
      <c r="E125" s="2"/>
      <c r="F125" s="2"/>
      <c r="G125" s="2"/>
      <c r="H125" s="2"/>
      <c r="I125" s="5"/>
      <c r="J125" s="93"/>
    </row>
    <row r="126" spans="1:10" ht="15.75" customHeight="1">
      <c r="A126" s="2"/>
      <c r="B126" s="2"/>
      <c r="C126" s="2"/>
      <c r="D126" s="2"/>
      <c r="E126" s="2"/>
      <c r="F126" s="2"/>
      <c r="G126" s="2"/>
      <c r="H126" s="2"/>
      <c r="I126" s="5"/>
      <c r="J126" s="93"/>
    </row>
    <row r="127" spans="1:10" ht="15.75" customHeight="1">
      <c r="A127" s="2"/>
      <c r="B127" s="2"/>
      <c r="C127" s="2"/>
      <c r="D127" s="2"/>
      <c r="E127" s="2"/>
      <c r="F127" s="2"/>
      <c r="G127" s="2"/>
      <c r="H127" s="2"/>
      <c r="I127" s="5"/>
      <c r="J127" s="93"/>
    </row>
    <row r="128" spans="1:10" ht="15.75" customHeight="1">
      <c r="A128" s="2"/>
      <c r="B128" s="2"/>
      <c r="C128" s="2"/>
      <c r="D128" s="2"/>
      <c r="E128" s="2"/>
      <c r="F128" s="2"/>
      <c r="G128" s="2"/>
      <c r="H128" s="2"/>
      <c r="I128" s="5"/>
      <c r="J128" s="93"/>
    </row>
    <row r="129" spans="1:10" ht="15.75" customHeight="1">
      <c r="A129" s="2"/>
      <c r="B129" s="2"/>
      <c r="C129" s="2"/>
      <c r="D129" s="2"/>
      <c r="E129" s="2"/>
      <c r="F129" s="2"/>
      <c r="G129" s="2"/>
      <c r="H129" s="2"/>
      <c r="I129" s="5"/>
      <c r="J129" s="93"/>
    </row>
    <row r="130" spans="1:10" ht="15.75" customHeight="1">
      <c r="A130" s="2"/>
      <c r="B130" s="2"/>
      <c r="C130" s="2"/>
      <c r="D130" s="2"/>
      <c r="E130" s="2"/>
      <c r="F130" s="2"/>
      <c r="G130" s="2"/>
      <c r="H130" s="2"/>
      <c r="I130" s="5"/>
      <c r="J130" s="93"/>
    </row>
    <row r="131" spans="1:10" ht="15.75" customHeight="1">
      <c r="A131" s="2"/>
      <c r="B131" s="2"/>
      <c r="C131" s="2"/>
      <c r="D131" s="2"/>
      <c r="E131" s="2"/>
      <c r="F131" s="2"/>
      <c r="G131" s="2"/>
      <c r="H131" s="2"/>
      <c r="I131" s="5"/>
      <c r="J131" s="93"/>
    </row>
    <row r="132" spans="1:10" ht="15.75" customHeight="1">
      <c r="A132" s="2"/>
      <c r="B132" s="2"/>
      <c r="C132" s="2"/>
      <c r="D132" s="2"/>
      <c r="E132" s="2"/>
      <c r="F132" s="2"/>
      <c r="G132" s="2"/>
      <c r="H132" s="2"/>
      <c r="I132" s="5"/>
      <c r="J132" s="93"/>
    </row>
    <row r="133" spans="1:10" ht="15.75" customHeight="1">
      <c r="A133" s="2"/>
      <c r="B133" s="2"/>
      <c r="C133" s="2"/>
      <c r="D133" s="2"/>
      <c r="E133" s="2"/>
      <c r="F133" s="2"/>
      <c r="G133" s="2"/>
      <c r="H133" s="2"/>
      <c r="I133" s="5"/>
      <c r="J133" s="93"/>
    </row>
    <row r="134" spans="1:10" ht="15.75" customHeight="1">
      <c r="A134" s="2"/>
      <c r="B134" s="2"/>
      <c r="C134" s="2"/>
      <c r="D134" s="2"/>
      <c r="E134" s="2"/>
      <c r="F134" s="2"/>
      <c r="G134" s="2"/>
      <c r="H134" s="2"/>
      <c r="I134" s="5"/>
      <c r="J134" s="93"/>
    </row>
    <row r="135" spans="1:10" ht="15.75" customHeight="1">
      <c r="A135" s="2"/>
      <c r="B135" s="2"/>
      <c r="C135" s="2"/>
      <c r="D135" s="2"/>
      <c r="E135" s="2"/>
      <c r="F135" s="2"/>
      <c r="G135" s="2"/>
      <c r="H135" s="2"/>
      <c r="I135" s="5"/>
      <c r="J135" s="93"/>
    </row>
    <row r="136" spans="1:10" ht="15.75" customHeight="1">
      <c r="A136" s="2"/>
      <c r="B136" s="2"/>
      <c r="C136" s="2"/>
      <c r="D136" s="2"/>
      <c r="E136" s="2"/>
      <c r="F136" s="2"/>
      <c r="G136" s="2"/>
      <c r="H136" s="2"/>
      <c r="I136" s="5"/>
      <c r="J136" s="93"/>
    </row>
    <row r="137" spans="1:10" ht="15.75" customHeight="1">
      <c r="A137" s="2"/>
      <c r="B137" s="2"/>
      <c r="C137" s="2"/>
      <c r="D137" s="2"/>
      <c r="E137" s="2"/>
      <c r="F137" s="2"/>
      <c r="G137" s="2"/>
      <c r="H137" s="2"/>
      <c r="I137" s="5"/>
      <c r="J137" s="93"/>
    </row>
    <row r="138" spans="1:10" ht="15.75" customHeight="1">
      <c r="A138" s="2"/>
      <c r="B138" s="2"/>
      <c r="C138" s="2"/>
      <c r="D138" s="2"/>
      <c r="E138" s="2"/>
      <c r="F138" s="2"/>
      <c r="G138" s="2"/>
      <c r="H138" s="2"/>
      <c r="I138" s="5"/>
      <c r="J138" s="93"/>
    </row>
    <row r="139" spans="1:10" ht="15.75" customHeight="1">
      <c r="A139" s="2"/>
      <c r="B139" s="2"/>
      <c r="C139" s="2"/>
      <c r="D139" s="2"/>
      <c r="E139" s="2"/>
      <c r="F139" s="2"/>
      <c r="G139" s="2"/>
      <c r="H139" s="2"/>
      <c r="I139" s="5"/>
      <c r="J139" s="93"/>
    </row>
    <row r="140" spans="1:10" ht="15.75" customHeight="1">
      <c r="A140" s="2"/>
      <c r="B140" s="2"/>
      <c r="C140" s="2"/>
      <c r="D140" s="2"/>
      <c r="E140" s="2"/>
      <c r="F140" s="2"/>
      <c r="G140" s="2"/>
      <c r="H140" s="2"/>
      <c r="I140" s="5"/>
      <c r="J140" s="93"/>
    </row>
    <row r="141" spans="1:10" ht="15.75" customHeight="1">
      <c r="A141" s="2"/>
      <c r="B141" s="2"/>
      <c r="C141" s="2"/>
      <c r="D141" s="2"/>
      <c r="E141" s="2"/>
      <c r="F141" s="2"/>
      <c r="G141" s="2"/>
      <c r="H141" s="2"/>
      <c r="I141" s="5"/>
      <c r="J141" s="93"/>
    </row>
    <row r="142" spans="1:10" ht="15.75" customHeight="1">
      <c r="A142" s="2"/>
      <c r="B142" s="2"/>
      <c r="C142" s="2"/>
      <c r="D142" s="2"/>
      <c r="E142" s="2"/>
      <c r="F142" s="2"/>
      <c r="G142" s="2"/>
      <c r="H142" s="2"/>
      <c r="I142" s="5"/>
      <c r="J142" s="93"/>
    </row>
    <row r="143" spans="1:10" ht="15.75" customHeight="1">
      <c r="A143" s="2"/>
      <c r="B143" s="2"/>
      <c r="C143" s="2"/>
      <c r="D143" s="2"/>
      <c r="E143" s="2"/>
      <c r="F143" s="2"/>
      <c r="G143" s="2"/>
      <c r="H143" s="2"/>
      <c r="I143" s="5"/>
      <c r="J143" s="93"/>
    </row>
    <row r="144" spans="1:10" ht="15.75" customHeight="1">
      <c r="A144" s="2"/>
      <c r="B144" s="2"/>
      <c r="C144" s="2"/>
      <c r="D144" s="2"/>
      <c r="E144" s="2"/>
      <c r="F144" s="2"/>
      <c r="G144" s="2"/>
      <c r="H144" s="2"/>
      <c r="I144" s="5"/>
      <c r="J144" s="93"/>
    </row>
    <row r="145" spans="1:10" ht="15.75" customHeight="1">
      <c r="A145" s="2"/>
      <c r="B145" s="2"/>
      <c r="C145" s="2"/>
      <c r="D145" s="2"/>
      <c r="E145" s="2"/>
      <c r="F145" s="2"/>
      <c r="G145" s="2"/>
      <c r="H145" s="2"/>
      <c r="I145" s="5"/>
      <c r="J145" s="93"/>
    </row>
    <row r="146" spans="1:10" ht="15.75" customHeight="1">
      <c r="A146" s="2"/>
      <c r="B146" s="2"/>
      <c r="C146" s="2"/>
      <c r="D146" s="2"/>
      <c r="E146" s="2"/>
      <c r="F146" s="2"/>
      <c r="G146" s="2"/>
      <c r="H146" s="2"/>
      <c r="I146" s="5"/>
      <c r="J146" s="93"/>
    </row>
    <row r="147" spans="1:10" ht="15.75" customHeight="1">
      <c r="A147" s="2"/>
      <c r="B147" s="2"/>
      <c r="C147" s="2"/>
      <c r="D147" s="2"/>
      <c r="E147" s="2"/>
      <c r="F147" s="2"/>
      <c r="G147" s="2"/>
      <c r="H147" s="2"/>
      <c r="I147" s="5"/>
      <c r="J147" s="93"/>
    </row>
    <row r="148" spans="1:10" ht="15.75" customHeight="1">
      <c r="A148" s="2"/>
      <c r="B148" s="2"/>
      <c r="C148" s="2"/>
      <c r="D148" s="2"/>
      <c r="E148" s="2"/>
      <c r="F148" s="2"/>
      <c r="G148" s="2"/>
      <c r="H148" s="2"/>
      <c r="I148" s="5"/>
      <c r="J148" s="93"/>
    </row>
    <row r="149" spans="1:10" ht="15.75" customHeight="1">
      <c r="A149" s="2"/>
      <c r="B149" s="2"/>
      <c r="C149" s="2"/>
      <c r="D149" s="2"/>
      <c r="E149" s="2"/>
      <c r="F149" s="2"/>
      <c r="G149" s="2"/>
      <c r="H149" s="2"/>
      <c r="I149" s="5"/>
      <c r="J149" s="93"/>
    </row>
    <row r="150" spans="1:10" ht="15.75" customHeight="1">
      <c r="A150" s="2"/>
      <c r="B150" s="2"/>
      <c r="C150" s="2"/>
      <c r="D150" s="2"/>
      <c r="E150" s="2"/>
      <c r="F150" s="2"/>
      <c r="G150" s="2"/>
      <c r="H150" s="2"/>
      <c r="I150" s="5"/>
      <c r="J150" s="93"/>
    </row>
    <row r="151" spans="1:10" ht="15.75" customHeight="1">
      <c r="A151" s="2"/>
      <c r="B151" s="2"/>
      <c r="C151" s="2"/>
      <c r="D151" s="2"/>
      <c r="E151" s="2"/>
      <c r="F151" s="2"/>
      <c r="G151" s="2"/>
      <c r="H151" s="2"/>
      <c r="I151" s="5"/>
      <c r="J151" s="93"/>
    </row>
    <row r="152" spans="1:10" ht="15.75" customHeight="1">
      <c r="A152" s="2"/>
      <c r="B152" s="2"/>
      <c r="C152" s="2"/>
      <c r="D152" s="2"/>
      <c r="E152" s="2"/>
      <c r="F152" s="2"/>
      <c r="G152" s="2"/>
      <c r="H152" s="2"/>
      <c r="I152" s="5"/>
      <c r="J152" s="93"/>
    </row>
    <row r="153" spans="1:10" ht="15.75" customHeight="1">
      <c r="A153" s="2"/>
      <c r="B153" s="2"/>
      <c r="C153" s="2"/>
      <c r="D153" s="2"/>
      <c r="E153" s="2"/>
      <c r="F153" s="2"/>
      <c r="G153" s="2"/>
      <c r="H153" s="2"/>
      <c r="I153" s="5"/>
      <c r="J153" s="93"/>
    </row>
    <row r="154" spans="1:10" ht="15.75" customHeight="1">
      <c r="A154" s="2"/>
      <c r="B154" s="2"/>
      <c r="C154" s="2"/>
      <c r="D154" s="2"/>
      <c r="E154" s="2"/>
      <c r="F154" s="2"/>
      <c r="G154" s="2"/>
      <c r="H154" s="2"/>
      <c r="I154" s="5"/>
      <c r="J154" s="93"/>
    </row>
    <row r="155" spans="1:10" ht="15.75" customHeight="1">
      <c r="A155" s="2"/>
      <c r="B155" s="2"/>
      <c r="C155" s="2"/>
      <c r="D155" s="2"/>
      <c r="E155" s="2"/>
      <c r="F155" s="2"/>
      <c r="G155" s="2"/>
      <c r="H155" s="2"/>
      <c r="I155" s="5"/>
      <c r="J155" s="93"/>
    </row>
    <row r="156" spans="1:10" ht="15.75" customHeight="1">
      <c r="A156" s="2"/>
      <c r="B156" s="2"/>
      <c r="C156" s="2"/>
      <c r="D156" s="2"/>
      <c r="E156" s="2"/>
      <c r="F156" s="2"/>
      <c r="G156" s="2"/>
      <c r="H156" s="2"/>
      <c r="I156" s="5"/>
      <c r="J156" s="93"/>
    </row>
    <row r="157" spans="1:10" ht="15.75" customHeight="1">
      <c r="A157" s="2"/>
      <c r="B157" s="2"/>
      <c r="C157" s="2"/>
      <c r="D157" s="2"/>
      <c r="E157" s="2"/>
      <c r="F157" s="2"/>
      <c r="G157" s="2"/>
      <c r="H157" s="2"/>
      <c r="I157" s="5"/>
      <c r="J157" s="93"/>
    </row>
    <row r="158" spans="1:10" ht="15.75" customHeight="1">
      <c r="A158" s="2"/>
      <c r="B158" s="2"/>
      <c r="C158" s="2"/>
      <c r="D158" s="2"/>
      <c r="E158" s="2"/>
      <c r="F158" s="2"/>
      <c r="G158" s="2"/>
      <c r="H158" s="2"/>
      <c r="I158" s="5"/>
      <c r="J158" s="93"/>
    </row>
    <row r="159" spans="1:10" ht="15.75" customHeight="1">
      <c r="A159" s="2"/>
      <c r="B159" s="2"/>
      <c r="C159" s="2"/>
      <c r="D159" s="2"/>
      <c r="E159" s="2"/>
      <c r="F159" s="2"/>
      <c r="G159" s="2"/>
      <c r="H159" s="2"/>
      <c r="I159" s="5"/>
      <c r="J159" s="93"/>
    </row>
    <row r="160" spans="1:10" ht="15.75" customHeight="1">
      <c r="A160" s="2"/>
      <c r="B160" s="2"/>
      <c r="C160" s="2"/>
      <c r="D160" s="2"/>
      <c r="E160" s="2"/>
      <c r="F160" s="2"/>
      <c r="G160" s="2"/>
      <c r="H160" s="2"/>
      <c r="I160" s="5"/>
      <c r="J160" s="93"/>
    </row>
    <row r="161" spans="1:10" ht="15.75" customHeight="1">
      <c r="A161" s="2"/>
      <c r="B161" s="2"/>
      <c r="C161" s="2"/>
      <c r="D161" s="2"/>
      <c r="E161" s="2"/>
      <c r="F161" s="2"/>
      <c r="G161" s="2"/>
      <c r="H161" s="2"/>
      <c r="I161" s="5"/>
      <c r="J161" s="93"/>
    </row>
    <row r="162" spans="1:10" ht="15.75" customHeight="1">
      <c r="A162" s="2"/>
      <c r="B162" s="2"/>
      <c r="C162" s="2"/>
      <c r="D162" s="2"/>
      <c r="E162" s="2"/>
      <c r="F162" s="2"/>
      <c r="G162" s="2"/>
      <c r="H162" s="2"/>
      <c r="I162" s="5"/>
      <c r="J162" s="93"/>
    </row>
    <row r="163" spans="1:10" ht="15.75" customHeight="1">
      <c r="A163" s="2"/>
      <c r="B163" s="2"/>
      <c r="C163" s="2"/>
      <c r="D163" s="2"/>
      <c r="E163" s="2"/>
      <c r="F163" s="2"/>
      <c r="G163" s="2"/>
      <c r="H163" s="2"/>
      <c r="I163" s="5"/>
      <c r="J163" s="93"/>
    </row>
    <row r="164" spans="1:10" ht="15.75" customHeight="1">
      <c r="A164" s="2"/>
      <c r="B164" s="2"/>
      <c r="C164" s="2"/>
      <c r="D164" s="2"/>
      <c r="E164" s="2"/>
      <c r="F164" s="2"/>
      <c r="G164" s="2"/>
      <c r="H164" s="2"/>
      <c r="I164" s="5"/>
      <c r="J164" s="93"/>
    </row>
    <row r="165" spans="1:10" ht="15.75" customHeight="1">
      <c r="A165" s="2"/>
      <c r="B165" s="2"/>
      <c r="C165" s="2"/>
      <c r="D165" s="2"/>
      <c r="E165" s="2"/>
      <c r="F165" s="2"/>
      <c r="G165" s="2"/>
      <c r="H165" s="2"/>
      <c r="I165" s="5"/>
      <c r="J165" s="93"/>
    </row>
    <row r="166" spans="1:10" ht="15.75" customHeight="1">
      <c r="A166" s="2"/>
      <c r="B166" s="2"/>
      <c r="C166" s="2"/>
      <c r="D166" s="2"/>
      <c r="E166" s="2"/>
      <c r="F166" s="2"/>
      <c r="G166" s="2"/>
      <c r="H166" s="2"/>
      <c r="I166" s="5"/>
      <c r="J166" s="93"/>
    </row>
    <row r="167" spans="1:10" ht="15.75" customHeight="1">
      <c r="A167" s="2"/>
      <c r="B167" s="2"/>
      <c r="C167" s="2"/>
      <c r="D167" s="2"/>
      <c r="E167" s="2"/>
      <c r="F167" s="2"/>
      <c r="G167" s="2"/>
      <c r="H167" s="2"/>
      <c r="I167" s="5"/>
      <c r="J167" s="93"/>
    </row>
    <row r="168" spans="1:10" ht="15.75" customHeight="1">
      <c r="A168" s="2"/>
      <c r="B168" s="2"/>
      <c r="C168" s="2"/>
      <c r="D168" s="2"/>
      <c r="E168" s="2"/>
      <c r="F168" s="2"/>
      <c r="G168" s="2"/>
      <c r="H168" s="2"/>
      <c r="I168" s="5"/>
      <c r="J168" s="93"/>
    </row>
    <row r="169" spans="1:10" ht="15.75" customHeight="1">
      <c r="A169" s="2"/>
      <c r="B169" s="2"/>
      <c r="C169" s="2"/>
      <c r="D169" s="2"/>
      <c r="E169" s="2"/>
      <c r="F169" s="2"/>
      <c r="G169" s="2"/>
      <c r="H169" s="2"/>
      <c r="I169" s="5"/>
      <c r="J169" s="93"/>
    </row>
    <row r="170" spans="1:10" ht="15.75" customHeight="1">
      <c r="A170" s="2"/>
      <c r="B170" s="2"/>
      <c r="C170" s="2"/>
      <c r="D170" s="2"/>
      <c r="E170" s="2"/>
      <c r="F170" s="2"/>
      <c r="G170" s="2"/>
      <c r="H170" s="2"/>
      <c r="I170" s="5"/>
      <c r="J170" s="93"/>
    </row>
    <row r="171" spans="1:10" ht="15.75" customHeight="1">
      <c r="A171" s="2"/>
      <c r="B171" s="2"/>
      <c r="C171" s="2"/>
      <c r="D171" s="2"/>
      <c r="E171" s="2"/>
      <c r="F171" s="2"/>
      <c r="G171" s="2"/>
      <c r="H171" s="2"/>
      <c r="I171" s="5"/>
      <c r="J171" s="93"/>
    </row>
    <row r="172" spans="1:10" ht="15.75" customHeight="1">
      <c r="A172" s="2"/>
      <c r="B172" s="2"/>
      <c r="C172" s="2"/>
      <c r="D172" s="2"/>
      <c r="E172" s="2"/>
      <c r="F172" s="2"/>
      <c r="G172" s="2"/>
      <c r="H172" s="2"/>
      <c r="I172" s="5"/>
      <c r="J172" s="93"/>
    </row>
    <row r="173" spans="1:10" ht="15.75" customHeight="1">
      <c r="A173" s="2"/>
      <c r="B173" s="2"/>
      <c r="C173" s="2"/>
      <c r="D173" s="2"/>
      <c r="E173" s="2"/>
      <c r="F173" s="2"/>
      <c r="G173" s="2"/>
      <c r="H173" s="2"/>
      <c r="I173" s="5"/>
      <c r="J173" s="93"/>
    </row>
    <row r="174" spans="1:10" ht="15.75" customHeight="1">
      <c r="A174" s="2"/>
      <c r="B174" s="2"/>
      <c r="C174" s="2"/>
      <c r="D174" s="2"/>
      <c r="E174" s="2"/>
      <c r="F174" s="2"/>
      <c r="G174" s="2"/>
      <c r="H174" s="2"/>
      <c r="I174" s="5"/>
      <c r="J174" s="93"/>
    </row>
    <row r="175" spans="1:10" ht="15.75" customHeight="1">
      <c r="A175" s="2"/>
      <c r="B175" s="2"/>
      <c r="C175" s="2"/>
      <c r="D175" s="2"/>
      <c r="E175" s="2"/>
      <c r="F175" s="2"/>
      <c r="G175" s="2"/>
      <c r="H175" s="2"/>
      <c r="I175" s="5"/>
      <c r="J175" s="93"/>
    </row>
    <row r="176" spans="1:10" ht="15.75" customHeight="1">
      <c r="A176" s="2"/>
      <c r="B176" s="2"/>
      <c r="C176" s="2"/>
      <c r="D176" s="2"/>
      <c r="E176" s="2"/>
      <c r="F176" s="2"/>
      <c r="G176" s="2"/>
      <c r="H176" s="2"/>
      <c r="I176" s="5"/>
      <c r="J176" s="93"/>
    </row>
    <row r="177" spans="1:10" ht="15.75" customHeight="1">
      <c r="A177" s="2"/>
      <c r="B177" s="2"/>
      <c r="C177" s="2"/>
      <c r="D177" s="2"/>
      <c r="E177" s="2"/>
      <c r="F177" s="2"/>
      <c r="G177" s="2"/>
      <c r="H177" s="2"/>
      <c r="I177" s="5"/>
      <c r="J177" s="93"/>
    </row>
    <row r="178" spans="1:10" ht="15.75" customHeight="1">
      <c r="A178" s="2"/>
      <c r="B178" s="2"/>
      <c r="C178" s="2"/>
      <c r="D178" s="2"/>
      <c r="E178" s="2"/>
      <c r="F178" s="2"/>
      <c r="G178" s="2"/>
      <c r="H178" s="2"/>
      <c r="I178" s="5"/>
      <c r="J178" s="93"/>
    </row>
    <row r="179" spans="1:10" ht="15.75" customHeight="1">
      <c r="A179" s="2"/>
      <c r="B179" s="2"/>
      <c r="C179" s="2"/>
      <c r="D179" s="2"/>
      <c r="E179" s="2"/>
      <c r="F179" s="2"/>
      <c r="G179" s="2"/>
      <c r="H179" s="2"/>
      <c r="I179" s="5"/>
      <c r="J179" s="93"/>
    </row>
    <row r="180" spans="1:10" ht="15.75" customHeight="1">
      <c r="A180" s="2"/>
      <c r="B180" s="2"/>
      <c r="C180" s="2"/>
      <c r="D180" s="2"/>
      <c r="E180" s="2"/>
      <c r="F180" s="2"/>
      <c r="G180" s="2"/>
      <c r="H180" s="2"/>
      <c r="I180" s="5"/>
      <c r="J180" s="93"/>
    </row>
    <row r="181" spans="1:10" ht="15.75" customHeight="1">
      <c r="A181" s="2"/>
      <c r="B181" s="2"/>
      <c r="C181" s="2"/>
      <c r="D181" s="2"/>
      <c r="E181" s="2"/>
      <c r="F181" s="2"/>
      <c r="G181" s="2"/>
      <c r="H181" s="2"/>
      <c r="I181" s="5"/>
      <c r="J181" s="93"/>
    </row>
    <row r="182" spans="1:10" ht="15.75" customHeight="1">
      <c r="A182" s="2"/>
      <c r="B182" s="2"/>
      <c r="C182" s="2"/>
      <c r="D182" s="2"/>
      <c r="E182" s="2"/>
      <c r="F182" s="2"/>
      <c r="G182" s="2"/>
      <c r="H182" s="2"/>
      <c r="I182" s="5"/>
      <c r="J182" s="93"/>
    </row>
    <row r="183" spans="1:10" ht="15.75" customHeight="1">
      <c r="A183" s="2"/>
      <c r="B183" s="2"/>
      <c r="C183" s="2"/>
      <c r="D183" s="2"/>
      <c r="E183" s="2"/>
      <c r="F183" s="2"/>
      <c r="G183" s="2"/>
      <c r="H183" s="2"/>
      <c r="I183" s="5"/>
      <c r="J183" s="93"/>
    </row>
    <row r="184" spans="1:10" ht="15.75" customHeight="1">
      <c r="A184" s="2"/>
      <c r="B184" s="2"/>
      <c r="C184" s="2"/>
      <c r="D184" s="2"/>
      <c r="E184" s="2"/>
      <c r="F184" s="2"/>
      <c r="G184" s="2"/>
      <c r="H184" s="2"/>
      <c r="I184" s="5"/>
      <c r="J184" s="93"/>
    </row>
    <row r="185" spans="1:10" ht="15.75" customHeight="1">
      <c r="A185" s="2"/>
      <c r="B185" s="2"/>
      <c r="C185" s="2"/>
      <c r="D185" s="2"/>
      <c r="E185" s="2"/>
      <c r="F185" s="2"/>
      <c r="G185" s="2"/>
      <c r="H185" s="2"/>
      <c r="I185" s="5"/>
      <c r="J185" s="93"/>
    </row>
    <row r="186" spans="1:10" ht="15.75" customHeight="1">
      <c r="A186" s="2"/>
      <c r="B186" s="2"/>
      <c r="C186" s="2"/>
      <c r="D186" s="2"/>
      <c r="E186" s="2"/>
      <c r="F186" s="2"/>
      <c r="G186" s="2"/>
      <c r="H186" s="2"/>
      <c r="I186" s="5"/>
      <c r="J186" s="93"/>
    </row>
    <row r="187" spans="1:10" ht="15.75" customHeight="1">
      <c r="A187" s="2"/>
      <c r="B187" s="2"/>
      <c r="C187" s="2"/>
      <c r="D187" s="2"/>
      <c r="E187" s="2"/>
      <c r="F187" s="2"/>
      <c r="G187" s="2"/>
      <c r="H187" s="2"/>
      <c r="I187" s="5"/>
      <c r="J187" s="93"/>
    </row>
    <row r="188" spans="1:10" ht="15.75" customHeight="1">
      <c r="A188" s="2"/>
      <c r="B188" s="2"/>
      <c r="C188" s="2"/>
      <c r="D188" s="2"/>
      <c r="E188" s="2"/>
      <c r="F188" s="2"/>
      <c r="G188" s="2"/>
      <c r="H188" s="2"/>
      <c r="I188" s="5"/>
      <c r="J188" s="93"/>
    </row>
    <row r="189" spans="1:10" ht="15.75" customHeight="1">
      <c r="A189" s="2"/>
      <c r="B189" s="2"/>
      <c r="C189" s="2"/>
      <c r="D189" s="2"/>
      <c r="E189" s="2"/>
      <c r="F189" s="2"/>
      <c r="G189" s="2"/>
      <c r="H189" s="2"/>
      <c r="I189" s="5"/>
      <c r="J189" s="93"/>
    </row>
    <row r="190" spans="1:10" ht="15.75" customHeight="1">
      <c r="A190" s="2"/>
      <c r="B190" s="2"/>
      <c r="C190" s="2"/>
      <c r="D190" s="2"/>
      <c r="E190" s="2"/>
      <c r="F190" s="2"/>
      <c r="G190" s="2"/>
      <c r="H190" s="2"/>
      <c r="I190" s="5"/>
      <c r="J190" s="93"/>
    </row>
    <row r="191" spans="1:10" ht="15.75" customHeight="1">
      <c r="A191" s="2"/>
      <c r="B191" s="2"/>
      <c r="C191" s="2"/>
      <c r="D191" s="2"/>
      <c r="E191" s="2"/>
      <c r="F191" s="2"/>
      <c r="G191" s="2"/>
      <c r="H191" s="2"/>
      <c r="I191" s="5"/>
      <c r="J191" s="93"/>
    </row>
    <row r="192" spans="1:10" ht="15.75" customHeight="1">
      <c r="A192" s="2"/>
      <c r="B192" s="2"/>
      <c r="C192" s="2"/>
      <c r="D192" s="2"/>
      <c r="E192" s="2"/>
      <c r="F192" s="2"/>
      <c r="G192" s="2"/>
      <c r="H192" s="2"/>
      <c r="I192" s="5"/>
      <c r="J192" s="93"/>
    </row>
    <row r="193" spans="1:10" ht="15.75" customHeight="1">
      <c r="A193" s="2"/>
      <c r="B193" s="2"/>
      <c r="C193" s="2"/>
      <c r="D193" s="2"/>
      <c r="E193" s="2"/>
      <c r="F193" s="2"/>
      <c r="G193" s="2"/>
      <c r="H193" s="2"/>
      <c r="I193" s="5"/>
      <c r="J193" s="93"/>
    </row>
    <row r="194" spans="1:10" ht="15.75" customHeight="1">
      <c r="A194" s="2"/>
      <c r="B194" s="2"/>
      <c r="C194" s="2"/>
      <c r="D194" s="2"/>
      <c r="E194" s="2"/>
      <c r="F194" s="2"/>
      <c r="G194" s="2"/>
      <c r="H194" s="2"/>
      <c r="I194" s="5"/>
      <c r="J194" s="93"/>
    </row>
    <row r="195" spans="1:10" ht="15.75" customHeight="1">
      <c r="A195" s="2"/>
      <c r="B195" s="2"/>
      <c r="C195" s="2"/>
      <c r="D195" s="2"/>
      <c r="E195" s="2"/>
      <c r="F195" s="2"/>
      <c r="G195" s="2"/>
      <c r="H195" s="2"/>
      <c r="I195" s="5"/>
      <c r="J195" s="93"/>
    </row>
    <row r="196" spans="1:10" ht="15.75" customHeight="1">
      <c r="A196" s="2"/>
      <c r="B196" s="2"/>
      <c r="C196" s="2"/>
      <c r="D196" s="2"/>
      <c r="E196" s="2"/>
      <c r="F196" s="2"/>
      <c r="G196" s="2"/>
      <c r="H196" s="2"/>
      <c r="I196" s="5"/>
      <c r="J196" s="93"/>
    </row>
    <row r="197" spans="1:10" ht="15.75" customHeight="1">
      <c r="A197" s="2"/>
      <c r="B197" s="2"/>
      <c r="C197" s="2"/>
      <c r="D197" s="2"/>
      <c r="E197" s="2"/>
      <c r="F197" s="2"/>
      <c r="G197" s="2"/>
      <c r="H197" s="2"/>
      <c r="I197" s="5"/>
      <c r="J197" s="93"/>
    </row>
    <row r="198" spans="1:10" ht="15.75" customHeight="1">
      <c r="A198" s="2"/>
      <c r="B198" s="2"/>
      <c r="C198" s="2"/>
      <c r="D198" s="2"/>
      <c r="E198" s="2"/>
      <c r="F198" s="2"/>
      <c r="G198" s="2"/>
      <c r="H198" s="2"/>
      <c r="I198" s="5"/>
      <c r="J198" s="93"/>
    </row>
    <row r="199" spans="1:10" ht="15.75" customHeight="1">
      <c r="A199" s="2"/>
      <c r="B199" s="2"/>
      <c r="C199" s="2"/>
      <c r="D199" s="2"/>
      <c r="E199" s="2"/>
      <c r="F199" s="2"/>
      <c r="G199" s="2"/>
      <c r="H199" s="2"/>
      <c r="I199" s="5"/>
      <c r="J199" s="93"/>
    </row>
    <row r="200" spans="1:10" ht="15.75" customHeight="1">
      <c r="A200" s="2"/>
      <c r="B200" s="2"/>
      <c r="C200" s="2"/>
      <c r="D200" s="2"/>
      <c r="E200" s="2"/>
      <c r="F200" s="2"/>
      <c r="G200" s="2"/>
      <c r="H200" s="2"/>
      <c r="I200" s="5"/>
      <c r="J200" s="93"/>
    </row>
    <row r="201" spans="1:10" ht="15.75" customHeight="1">
      <c r="A201" s="2"/>
      <c r="B201" s="2"/>
      <c r="C201" s="2"/>
      <c r="D201" s="2"/>
      <c r="E201" s="2"/>
      <c r="F201" s="2"/>
      <c r="G201" s="2"/>
      <c r="H201" s="2"/>
      <c r="I201" s="5"/>
      <c r="J201" s="93"/>
    </row>
    <row r="202" spans="1:10" ht="15.75" customHeight="1">
      <c r="A202" s="2"/>
      <c r="B202" s="2"/>
      <c r="C202" s="2"/>
      <c r="D202" s="2"/>
      <c r="E202" s="2"/>
      <c r="F202" s="2"/>
      <c r="G202" s="2"/>
      <c r="H202" s="2"/>
      <c r="I202" s="5"/>
      <c r="J202" s="93"/>
    </row>
    <row r="203" spans="1:10" ht="15.75" customHeight="1">
      <c r="A203" s="2"/>
      <c r="B203" s="2"/>
      <c r="C203" s="2"/>
      <c r="D203" s="2"/>
      <c r="E203" s="2"/>
      <c r="F203" s="2"/>
      <c r="G203" s="2"/>
      <c r="H203" s="2"/>
      <c r="I203" s="5"/>
      <c r="J203" s="93"/>
    </row>
    <row r="204" spans="1:10" ht="15.75" customHeight="1">
      <c r="A204" s="2"/>
      <c r="B204" s="2"/>
      <c r="C204" s="2"/>
      <c r="D204" s="2"/>
      <c r="E204" s="2"/>
      <c r="F204" s="2"/>
      <c r="G204" s="2"/>
      <c r="H204" s="2"/>
      <c r="I204" s="5"/>
      <c r="J204" s="93"/>
    </row>
    <row r="205" spans="1:10" ht="15.75" customHeight="1">
      <c r="A205" s="2"/>
      <c r="B205" s="2"/>
      <c r="C205" s="2"/>
      <c r="D205" s="2"/>
      <c r="E205" s="2"/>
      <c r="F205" s="2"/>
      <c r="G205" s="2"/>
      <c r="H205" s="2"/>
      <c r="I205" s="5"/>
      <c r="J205" s="93"/>
    </row>
    <row r="206" spans="1:10" ht="15.75" customHeight="1">
      <c r="A206" s="2"/>
      <c r="B206" s="2"/>
      <c r="C206" s="2"/>
      <c r="D206" s="2"/>
      <c r="E206" s="2"/>
      <c r="F206" s="2"/>
      <c r="G206" s="2"/>
      <c r="H206" s="2"/>
      <c r="I206" s="5"/>
      <c r="J206" s="93"/>
    </row>
    <row r="207" spans="1:10" ht="15.75" customHeight="1">
      <c r="A207" s="2"/>
      <c r="B207" s="2"/>
      <c r="C207" s="2"/>
      <c r="D207" s="2"/>
      <c r="E207" s="2"/>
      <c r="F207" s="2"/>
      <c r="G207" s="2"/>
      <c r="H207" s="2"/>
      <c r="I207" s="5"/>
      <c r="J207" s="93"/>
    </row>
    <row r="208" spans="1:10" ht="15.75" customHeight="1">
      <c r="A208" s="2"/>
      <c r="B208" s="2"/>
      <c r="C208" s="2"/>
      <c r="D208" s="2"/>
      <c r="E208" s="2"/>
      <c r="F208" s="2"/>
      <c r="G208" s="2"/>
      <c r="H208" s="2"/>
      <c r="I208" s="5"/>
      <c r="J208" s="93"/>
    </row>
    <row r="209" spans="1:10" ht="15.75" customHeight="1">
      <c r="A209" s="2"/>
      <c r="B209" s="2"/>
      <c r="C209" s="2"/>
      <c r="D209" s="2"/>
      <c r="E209" s="2"/>
      <c r="F209" s="2"/>
      <c r="G209" s="2"/>
      <c r="H209" s="2"/>
      <c r="I209" s="5"/>
      <c r="J209" s="93"/>
    </row>
    <row r="210" spans="1:10" ht="15.75" customHeight="1">
      <c r="A210" s="2"/>
      <c r="B210" s="2"/>
      <c r="C210" s="2"/>
      <c r="D210" s="2"/>
      <c r="E210" s="2"/>
      <c r="F210" s="2"/>
      <c r="G210" s="2"/>
      <c r="H210" s="2"/>
      <c r="I210" s="5"/>
      <c r="J210" s="93"/>
    </row>
    <row r="211" spans="1:10" ht="15.75" customHeight="1">
      <c r="A211" s="2"/>
      <c r="B211" s="2"/>
      <c r="C211" s="2"/>
      <c r="D211" s="2"/>
      <c r="E211" s="2"/>
      <c r="F211" s="2"/>
      <c r="G211" s="2"/>
      <c r="H211" s="2"/>
      <c r="I211" s="5"/>
      <c r="J211" s="93"/>
    </row>
    <row r="212" spans="1:10" ht="15.75" customHeight="1">
      <c r="A212" s="2"/>
      <c r="B212" s="2"/>
      <c r="C212" s="2"/>
      <c r="D212" s="2"/>
      <c r="E212" s="2"/>
      <c r="F212" s="2"/>
      <c r="G212" s="2"/>
      <c r="H212" s="2"/>
      <c r="I212" s="5"/>
      <c r="J212" s="93"/>
    </row>
    <row r="213" spans="1:10" ht="15.75" customHeight="1">
      <c r="A213" s="2"/>
      <c r="B213" s="2"/>
      <c r="C213" s="2"/>
      <c r="D213" s="2"/>
      <c r="E213" s="2"/>
      <c r="F213" s="2"/>
      <c r="G213" s="2"/>
      <c r="H213" s="2"/>
      <c r="I213" s="5"/>
      <c r="J213" s="93"/>
    </row>
    <row r="214" spans="1:10" ht="15.75" customHeight="1">
      <c r="A214" s="2"/>
      <c r="B214" s="2"/>
      <c r="C214" s="2"/>
      <c r="D214" s="2"/>
      <c r="E214" s="2"/>
      <c r="F214" s="2"/>
      <c r="G214" s="2"/>
      <c r="H214" s="2"/>
      <c r="I214" s="5"/>
      <c r="J214" s="93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5"/>
      <c r="J215" s="93"/>
    </row>
    <row r="216" spans="1:10" ht="15.75" customHeight="1">
      <c r="A216" s="2"/>
      <c r="B216" s="2"/>
      <c r="C216" s="2"/>
      <c r="D216" s="2"/>
      <c r="E216" s="2"/>
      <c r="F216" s="2"/>
      <c r="G216" s="2"/>
      <c r="H216" s="2"/>
      <c r="I216" s="5"/>
      <c r="J216" s="93"/>
    </row>
    <row r="217" spans="1:10" ht="15.75" customHeight="1">
      <c r="A217" s="2"/>
      <c r="B217" s="2"/>
      <c r="C217" s="2"/>
      <c r="D217" s="2"/>
      <c r="E217" s="2"/>
      <c r="F217" s="2"/>
      <c r="G217" s="2"/>
      <c r="H217" s="2"/>
      <c r="I217" s="5"/>
      <c r="J217" s="93"/>
    </row>
    <row r="218" spans="1:10" ht="15.75" customHeight="1">
      <c r="A218" s="2"/>
      <c r="B218" s="2"/>
      <c r="C218" s="2"/>
      <c r="D218" s="2"/>
      <c r="E218" s="2"/>
      <c r="F218" s="2"/>
      <c r="G218" s="2"/>
      <c r="H218" s="2"/>
      <c r="I218" s="5"/>
      <c r="J218" s="93"/>
    </row>
    <row r="219" spans="1:10" ht="15.75" customHeight="1">
      <c r="A219" s="2"/>
      <c r="B219" s="2"/>
      <c r="C219" s="2"/>
      <c r="D219" s="2"/>
      <c r="E219" s="2"/>
      <c r="F219" s="2"/>
      <c r="G219" s="2"/>
      <c r="H219" s="2"/>
      <c r="I219" s="5"/>
      <c r="J219" s="93"/>
    </row>
    <row r="220" spans="1:10" ht="15.75" customHeight="1">
      <c r="A220" s="2"/>
      <c r="B220" s="2"/>
      <c r="C220" s="2"/>
      <c r="D220" s="2"/>
      <c r="E220" s="2"/>
      <c r="F220" s="2"/>
      <c r="G220" s="2"/>
      <c r="H220" s="2"/>
      <c r="I220" s="5"/>
      <c r="J220" s="93"/>
    </row>
    <row r="221" spans="1:10" ht="15.75" customHeight="1">
      <c r="A221" s="2"/>
      <c r="B221" s="2"/>
      <c r="C221" s="2"/>
      <c r="D221" s="2"/>
      <c r="E221" s="2"/>
      <c r="F221" s="2"/>
      <c r="G221" s="2"/>
      <c r="H221" s="2"/>
      <c r="I221" s="5"/>
      <c r="J221" s="93"/>
    </row>
    <row r="222" spans="1:10" ht="15.75" customHeight="1">
      <c r="A222" s="2"/>
      <c r="B222" s="2"/>
      <c r="C222" s="2"/>
      <c r="D222" s="2"/>
      <c r="E222" s="2"/>
      <c r="F222" s="2"/>
      <c r="G222" s="2"/>
      <c r="H222" s="2"/>
      <c r="I222" s="5"/>
      <c r="J222" s="93"/>
    </row>
    <row r="223" spans="1:10" ht="15.75" customHeight="1">
      <c r="A223" s="2"/>
      <c r="B223" s="2"/>
      <c r="C223" s="2"/>
      <c r="D223" s="2"/>
      <c r="E223" s="2"/>
      <c r="F223" s="2"/>
      <c r="G223" s="2"/>
      <c r="H223" s="2"/>
      <c r="I223" s="5"/>
      <c r="J223" s="93"/>
    </row>
    <row r="224" spans="1:10" ht="15.75" customHeight="1">
      <c r="A224" s="2"/>
      <c r="B224" s="2"/>
      <c r="C224" s="2"/>
      <c r="D224" s="2"/>
      <c r="E224" s="2"/>
      <c r="F224" s="2"/>
      <c r="G224" s="2"/>
      <c r="H224" s="2"/>
      <c r="I224" s="5"/>
      <c r="J224" s="93"/>
    </row>
    <row r="225" spans="1:10" ht="15.75" customHeight="1">
      <c r="A225" s="2"/>
      <c r="B225" s="2"/>
      <c r="C225" s="2"/>
      <c r="D225" s="2"/>
      <c r="E225" s="2"/>
      <c r="F225" s="2"/>
      <c r="G225" s="2"/>
      <c r="H225" s="2"/>
      <c r="I225" s="5"/>
      <c r="J225" s="93"/>
    </row>
    <row r="226" spans="1:10" ht="15.75" customHeight="1">
      <c r="A226" s="2"/>
      <c r="B226" s="2"/>
      <c r="C226" s="2"/>
      <c r="D226" s="2"/>
      <c r="E226" s="2"/>
      <c r="F226" s="2"/>
      <c r="G226" s="2"/>
      <c r="H226" s="2"/>
      <c r="I226" s="5"/>
      <c r="J226" s="93"/>
    </row>
    <row r="227" spans="1:10" ht="15.75" customHeight="1">
      <c r="A227" s="2"/>
      <c r="B227" s="2"/>
      <c r="C227" s="2"/>
      <c r="D227" s="2"/>
      <c r="E227" s="2"/>
      <c r="F227" s="2"/>
      <c r="G227" s="2"/>
      <c r="H227" s="2"/>
      <c r="I227" s="5"/>
      <c r="J227" s="93"/>
    </row>
    <row r="228" spans="1:10" ht="15.75" customHeight="1">
      <c r="A228" s="2"/>
      <c r="B228" s="2"/>
      <c r="C228" s="2"/>
      <c r="D228" s="2"/>
      <c r="E228" s="2"/>
      <c r="F228" s="2"/>
      <c r="G228" s="2"/>
      <c r="H228" s="2"/>
      <c r="I228" s="5"/>
      <c r="J228" s="93"/>
    </row>
    <row r="229" spans="1:10" ht="15.75" customHeight="1">
      <c r="A229" s="2"/>
      <c r="B229" s="2"/>
      <c r="C229" s="2"/>
      <c r="D229" s="2"/>
      <c r="E229" s="2"/>
      <c r="F229" s="2"/>
      <c r="G229" s="2"/>
      <c r="H229" s="2"/>
      <c r="I229" s="5"/>
      <c r="J229" s="93"/>
    </row>
    <row r="230" spans="1:10" ht="15.75" customHeight="1">
      <c r="A230" s="2"/>
      <c r="B230" s="2"/>
      <c r="C230" s="2"/>
      <c r="D230" s="2"/>
      <c r="E230" s="2"/>
      <c r="F230" s="2"/>
      <c r="G230" s="2"/>
      <c r="H230" s="2"/>
      <c r="I230" s="5"/>
      <c r="J230" s="93"/>
    </row>
    <row r="231" spans="1:10" ht="15.75" customHeight="1">
      <c r="A231" s="2"/>
      <c r="B231" s="2"/>
      <c r="C231" s="2"/>
      <c r="D231" s="2"/>
      <c r="E231" s="2"/>
      <c r="F231" s="2"/>
      <c r="G231" s="2"/>
      <c r="H231" s="2"/>
      <c r="I231" s="5"/>
      <c r="J231" s="93"/>
    </row>
    <row r="232" spans="1:10" ht="15.75" customHeight="1">
      <c r="A232" s="2"/>
      <c r="B232" s="2"/>
      <c r="C232" s="2"/>
      <c r="D232" s="2"/>
      <c r="E232" s="2"/>
      <c r="F232" s="2"/>
      <c r="G232" s="2"/>
      <c r="H232" s="2"/>
      <c r="I232" s="5"/>
      <c r="J232" s="93"/>
    </row>
    <row r="233" spans="1:10" ht="15.75" customHeight="1">
      <c r="A233" s="2"/>
      <c r="B233" s="2"/>
      <c r="C233" s="2"/>
      <c r="D233" s="2"/>
      <c r="E233" s="2"/>
      <c r="F233" s="2"/>
      <c r="G233" s="2"/>
      <c r="H233" s="2"/>
      <c r="I233" s="5"/>
      <c r="J233" s="93"/>
    </row>
    <row r="234" spans="1:10" ht="15.75" customHeight="1">
      <c r="A234" s="2"/>
      <c r="B234" s="2"/>
      <c r="C234" s="2"/>
      <c r="D234" s="2"/>
      <c r="E234" s="2"/>
      <c r="F234" s="2"/>
      <c r="G234" s="2"/>
      <c r="H234" s="2"/>
      <c r="I234" s="5"/>
      <c r="J234" s="93"/>
    </row>
    <row r="235" spans="1:10" ht="15.75" customHeight="1">
      <c r="A235" s="2"/>
      <c r="B235" s="2"/>
      <c r="C235" s="2"/>
      <c r="D235" s="2"/>
      <c r="E235" s="2"/>
      <c r="F235" s="2"/>
      <c r="G235" s="2"/>
      <c r="H235" s="2"/>
      <c r="I235" s="5"/>
      <c r="J235" s="93"/>
    </row>
    <row r="236" spans="1:10" ht="15.75" customHeight="1">
      <c r="A236" s="2"/>
      <c r="B236" s="2"/>
      <c r="C236" s="2"/>
      <c r="D236" s="2"/>
      <c r="E236" s="2"/>
      <c r="F236" s="2"/>
      <c r="G236" s="2"/>
      <c r="H236" s="2"/>
      <c r="I236" s="5"/>
      <c r="J236" s="93"/>
    </row>
    <row r="237" spans="1:10" ht="15.75" customHeight="1">
      <c r="A237" s="2"/>
      <c r="B237" s="2"/>
      <c r="C237" s="2"/>
      <c r="D237" s="2"/>
      <c r="E237" s="2"/>
      <c r="F237" s="2"/>
      <c r="G237" s="2"/>
      <c r="H237" s="2"/>
      <c r="I237" s="5"/>
      <c r="J237" s="93"/>
    </row>
    <row r="238" spans="1:10" ht="15.75" customHeight="1">
      <c r="A238" s="2"/>
      <c r="B238" s="2"/>
      <c r="C238" s="2"/>
      <c r="D238" s="2"/>
      <c r="E238" s="2"/>
      <c r="F238" s="2"/>
      <c r="G238" s="2"/>
      <c r="H238" s="2"/>
      <c r="I238" s="5"/>
      <c r="J238" s="93"/>
    </row>
    <row r="239" spans="1:10" ht="15.75" customHeight="1">
      <c r="A239" s="2"/>
      <c r="B239" s="2"/>
      <c r="C239" s="2"/>
      <c r="D239" s="2"/>
      <c r="E239" s="2"/>
      <c r="F239" s="2"/>
      <c r="G239" s="2"/>
      <c r="H239" s="2"/>
      <c r="I239" s="5"/>
      <c r="J239" s="93"/>
    </row>
    <row r="240" spans="1:10" ht="15.75" customHeight="1">
      <c r="A240" s="2"/>
      <c r="B240" s="2"/>
      <c r="C240" s="2"/>
      <c r="D240" s="2"/>
      <c r="E240" s="2"/>
      <c r="F240" s="2"/>
      <c r="G240" s="2"/>
      <c r="H240" s="2"/>
      <c r="I240" s="5"/>
      <c r="J240" s="93"/>
    </row>
    <row r="241" spans="1:10" ht="15.75" customHeight="1">
      <c r="A241" s="2"/>
      <c r="B241" s="2"/>
      <c r="C241" s="2"/>
      <c r="D241" s="2"/>
      <c r="E241" s="2"/>
      <c r="F241" s="2"/>
      <c r="G241" s="2"/>
      <c r="H241" s="2"/>
      <c r="I241" s="5"/>
      <c r="J241" s="93"/>
    </row>
    <row r="242" spans="1:10" ht="15.75" customHeight="1">
      <c r="A242" s="2"/>
      <c r="B242" s="2"/>
      <c r="C242" s="2"/>
      <c r="D242" s="2"/>
      <c r="E242" s="2"/>
      <c r="F242" s="2"/>
      <c r="G242" s="2"/>
      <c r="H242" s="2"/>
      <c r="I242" s="5"/>
      <c r="J242" s="93"/>
    </row>
    <row r="243" spans="1:10" ht="15.75" customHeight="1">
      <c r="A243" s="2"/>
      <c r="B243" s="2"/>
      <c r="C243" s="2"/>
      <c r="D243" s="2"/>
      <c r="E243" s="2"/>
      <c r="F243" s="2"/>
      <c r="G243" s="2"/>
      <c r="H243" s="2"/>
      <c r="I243" s="5"/>
      <c r="J243" s="93"/>
    </row>
    <row r="244" spans="1:10" ht="15.75" customHeight="1">
      <c r="A244" s="2"/>
      <c r="B244" s="2"/>
      <c r="C244" s="2"/>
      <c r="D244" s="2"/>
      <c r="E244" s="2"/>
      <c r="F244" s="2"/>
      <c r="G244" s="2"/>
      <c r="H244" s="2"/>
      <c r="I244" s="5"/>
      <c r="J244" s="93"/>
    </row>
    <row r="245" spans="1:10" ht="15.75" customHeight="1">
      <c r="A245" s="2"/>
      <c r="B245" s="2"/>
      <c r="C245" s="2"/>
      <c r="D245" s="2"/>
      <c r="E245" s="2"/>
      <c r="F245" s="2"/>
      <c r="G245" s="2"/>
      <c r="H245" s="2"/>
      <c r="I245" s="5"/>
      <c r="J245" s="93"/>
    </row>
    <row r="246" spans="1:10" ht="15.75" customHeight="1">
      <c r="A246" s="2"/>
      <c r="B246" s="2"/>
      <c r="C246" s="2"/>
      <c r="D246" s="2"/>
      <c r="E246" s="2"/>
      <c r="F246" s="2"/>
      <c r="G246" s="2"/>
      <c r="H246" s="2"/>
      <c r="I246" s="5"/>
      <c r="J246" s="93"/>
    </row>
    <row r="247" spans="1:10" ht="15.75" customHeight="1">
      <c r="A247" s="2"/>
      <c r="B247" s="2"/>
      <c r="C247" s="2"/>
      <c r="D247" s="2"/>
      <c r="E247" s="2"/>
      <c r="F247" s="2"/>
      <c r="G247" s="2"/>
      <c r="H247" s="2"/>
      <c r="I247" s="5"/>
      <c r="J247" s="93"/>
    </row>
    <row r="248" spans="1:10" ht="15.75" customHeight="1">
      <c r="A248" s="2"/>
      <c r="B248" s="2"/>
      <c r="C248" s="2"/>
      <c r="D248" s="2"/>
      <c r="E248" s="2"/>
      <c r="F248" s="2"/>
      <c r="G248" s="2"/>
      <c r="H248" s="2"/>
      <c r="I248" s="5"/>
      <c r="J248" s="93"/>
    </row>
    <row r="249" spans="1:10" ht="15.75" customHeight="1">
      <c r="A249" s="2"/>
      <c r="B249" s="2"/>
      <c r="C249" s="2"/>
      <c r="D249" s="2"/>
      <c r="E249" s="2"/>
      <c r="F249" s="2"/>
      <c r="G249" s="2"/>
      <c r="H249" s="2"/>
      <c r="I249" s="5"/>
      <c r="J249" s="93"/>
    </row>
    <row r="250" spans="1:10" ht="15.75" customHeight="1">
      <c r="A250" s="2"/>
      <c r="B250" s="2"/>
      <c r="C250" s="2"/>
      <c r="D250" s="2"/>
      <c r="E250" s="2"/>
      <c r="F250" s="2"/>
      <c r="G250" s="2"/>
      <c r="H250" s="2"/>
      <c r="I250" s="5"/>
      <c r="J250" s="93"/>
    </row>
    <row r="251" spans="1:10" ht="15.75" customHeight="1">
      <c r="A251" s="2"/>
      <c r="B251" s="2"/>
      <c r="C251" s="2"/>
      <c r="D251" s="2"/>
      <c r="E251" s="2"/>
      <c r="F251" s="2"/>
      <c r="G251" s="2"/>
      <c r="H251" s="2"/>
      <c r="I251" s="5"/>
      <c r="J251" s="93"/>
    </row>
    <row r="252" spans="1:10" ht="15.75" customHeight="1">
      <c r="A252" s="2"/>
      <c r="B252" s="2"/>
      <c r="C252" s="2"/>
      <c r="D252" s="2"/>
      <c r="E252" s="2"/>
      <c r="F252" s="2"/>
      <c r="G252" s="2"/>
      <c r="H252" s="2"/>
      <c r="I252" s="5"/>
      <c r="J252" s="93"/>
    </row>
    <row r="253" spans="1:10" ht="15.75" customHeight="1">
      <c r="A253" s="2"/>
      <c r="B253" s="2"/>
      <c r="C253" s="2"/>
      <c r="D253" s="2"/>
      <c r="E253" s="2"/>
      <c r="F253" s="2"/>
      <c r="G253" s="2"/>
      <c r="H253" s="2"/>
      <c r="I253" s="5"/>
      <c r="J253" s="93"/>
    </row>
    <row r="254" spans="1:10" ht="15.75" customHeight="1">
      <c r="A254" s="2"/>
      <c r="B254" s="2"/>
      <c r="C254" s="2"/>
      <c r="D254" s="2"/>
      <c r="E254" s="2"/>
      <c r="F254" s="2"/>
      <c r="G254" s="2"/>
      <c r="H254" s="2"/>
      <c r="I254" s="5"/>
      <c r="J254" s="93"/>
    </row>
    <row r="255" spans="1:10" ht="15.75" customHeight="1">
      <c r="A255" s="2"/>
      <c r="B255" s="2"/>
      <c r="C255" s="2"/>
      <c r="D255" s="2"/>
      <c r="E255" s="2"/>
      <c r="F255" s="2"/>
      <c r="G255" s="2"/>
      <c r="H255" s="2"/>
      <c r="I255" s="5"/>
      <c r="J255" s="93"/>
    </row>
    <row r="256" spans="1:10" ht="15.75" customHeight="1">
      <c r="A256" s="2"/>
      <c r="B256" s="2"/>
      <c r="C256" s="2"/>
      <c r="D256" s="2"/>
      <c r="E256" s="2"/>
      <c r="F256" s="2"/>
      <c r="G256" s="2"/>
      <c r="H256" s="2"/>
      <c r="I256" s="5"/>
      <c r="J256" s="93"/>
    </row>
    <row r="257" spans="1:10" ht="15.75" customHeight="1">
      <c r="A257" s="2"/>
      <c r="B257" s="2"/>
      <c r="C257" s="2"/>
      <c r="D257" s="2"/>
      <c r="E257" s="2"/>
      <c r="F257" s="2"/>
      <c r="G257" s="2"/>
      <c r="H257" s="2"/>
      <c r="I257" s="5"/>
      <c r="J257" s="93"/>
    </row>
    <row r="258" spans="1:10" ht="15.75" customHeight="1">
      <c r="A258" s="2"/>
      <c r="B258" s="2"/>
      <c r="C258" s="2"/>
      <c r="D258" s="2"/>
      <c r="E258" s="2"/>
      <c r="F258" s="2"/>
      <c r="G258" s="2"/>
      <c r="H258" s="2"/>
      <c r="I258" s="5"/>
      <c r="J258" s="93"/>
    </row>
    <row r="259" spans="1:10" ht="15.75" customHeight="1">
      <c r="A259" s="2"/>
      <c r="B259" s="2"/>
      <c r="C259" s="2"/>
      <c r="D259" s="2"/>
      <c r="E259" s="2"/>
      <c r="F259" s="2"/>
      <c r="G259" s="2"/>
      <c r="H259" s="2"/>
      <c r="I259" s="5"/>
      <c r="J259" s="93"/>
    </row>
    <row r="260" spans="1:10" ht="15.75" customHeight="1">
      <c r="A260" s="2"/>
      <c r="B260" s="2"/>
      <c r="C260" s="2"/>
      <c r="D260" s="2"/>
      <c r="E260" s="2"/>
      <c r="F260" s="2"/>
      <c r="G260" s="2"/>
      <c r="H260" s="2"/>
      <c r="I260" s="5"/>
      <c r="J260" s="93"/>
    </row>
    <row r="261" spans="1:10" ht="15.75" customHeight="1">
      <c r="A261" s="2"/>
      <c r="B261" s="2"/>
      <c r="C261" s="2"/>
      <c r="D261" s="2"/>
      <c r="E261" s="2"/>
      <c r="F261" s="2"/>
      <c r="G261" s="2"/>
      <c r="H261" s="2"/>
      <c r="I261" s="5"/>
      <c r="J261" s="93"/>
    </row>
    <row r="262" spans="1:10" ht="15.75" customHeight="1">
      <c r="A262" s="2"/>
      <c r="B262" s="2"/>
      <c r="C262" s="2"/>
      <c r="D262" s="2"/>
      <c r="E262" s="2"/>
      <c r="F262" s="2"/>
      <c r="G262" s="2"/>
      <c r="H262" s="2"/>
      <c r="I262" s="5"/>
      <c r="J262" s="93"/>
    </row>
    <row r="263" spans="1:10" ht="15.75" customHeight="1">
      <c r="A263" s="2"/>
      <c r="B263" s="2"/>
      <c r="C263" s="2"/>
      <c r="D263" s="2"/>
      <c r="E263" s="2"/>
      <c r="F263" s="2"/>
      <c r="G263" s="2"/>
      <c r="H263" s="2"/>
      <c r="I263" s="5"/>
      <c r="J263" s="93"/>
    </row>
    <row r="264" spans="1:10" ht="15.75" customHeight="1">
      <c r="A264" s="2"/>
      <c r="B264" s="2"/>
      <c r="C264" s="2"/>
      <c r="D264" s="2"/>
      <c r="E264" s="2"/>
      <c r="F264" s="2"/>
      <c r="G264" s="2"/>
      <c r="H264" s="2"/>
      <c r="I264" s="5"/>
      <c r="J264" s="93"/>
    </row>
    <row r="265" spans="1:10" ht="15.75" customHeight="1">
      <c r="A265" s="2"/>
      <c r="B265" s="2"/>
      <c r="C265" s="2"/>
      <c r="D265" s="2"/>
      <c r="E265" s="2"/>
      <c r="F265" s="2"/>
      <c r="G265" s="2"/>
      <c r="H265" s="2"/>
      <c r="I265" s="5"/>
      <c r="J265" s="93"/>
    </row>
    <row r="266" spans="1:10" ht="15.75" customHeight="1">
      <c r="A266" s="2"/>
      <c r="B266" s="2"/>
      <c r="C266" s="2"/>
      <c r="D266" s="2"/>
      <c r="E266" s="2"/>
      <c r="F266" s="2"/>
      <c r="G266" s="2"/>
      <c r="H266" s="2"/>
      <c r="I266" s="5"/>
      <c r="J266" s="93"/>
    </row>
    <row r="267" spans="1:10" ht="15.75" customHeight="1">
      <c r="A267" s="2"/>
      <c r="B267" s="2"/>
      <c r="C267" s="2"/>
      <c r="D267" s="2"/>
      <c r="E267" s="2"/>
      <c r="F267" s="2"/>
      <c r="G267" s="2"/>
      <c r="H267" s="2"/>
      <c r="I267" s="5"/>
      <c r="J267" s="93"/>
    </row>
    <row r="268" spans="1:10" ht="15.75" customHeight="1">
      <c r="A268" s="2"/>
      <c r="B268" s="2"/>
      <c r="C268" s="2"/>
      <c r="D268" s="2"/>
      <c r="E268" s="2"/>
      <c r="F268" s="2"/>
      <c r="G268" s="2"/>
      <c r="H268" s="2"/>
      <c r="I268" s="5"/>
      <c r="J268" s="93"/>
    </row>
    <row r="269" spans="1:10" ht="15.75" customHeight="1">
      <c r="A269" s="2"/>
      <c r="B269" s="2"/>
      <c r="C269" s="2"/>
      <c r="D269" s="2"/>
      <c r="E269" s="2"/>
      <c r="F269" s="2"/>
      <c r="G269" s="2"/>
      <c r="H269" s="2"/>
      <c r="I269" s="5"/>
      <c r="J269" s="93"/>
    </row>
    <row r="270" spans="1:10" ht="15.75" customHeight="1">
      <c r="A270" s="2"/>
      <c r="B270" s="2"/>
      <c r="C270" s="2"/>
      <c r="D270" s="2"/>
      <c r="E270" s="2"/>
      <c r="F270" s="2"/>
      <c r="G270" s="2"/>
      <c r="H270" s="2"/>
      <c r="I270" s="5"/>
      <c r="J270" s="93"/>
    </row>
    <row r="271" spans="1:10" ht="15.75" customHeight="1">
      <c r="A271" s="2"/>
      <c r="B271" s="2"/>
      <c r="C271" s="2"/>
      <c r="D271" s="2"/>
      <c r="E271" s="2"/>
      <c r="F271" s="2"/>
      <c r="G271" s="2"/>
      <c r="H271" s="2"/>
      <c r="I271" s="5"/>
      <c r="J271" s="93"/>
    </row>
    <row r="272" spans="1:10" ht="15.75" customHeight="1">
      <c r="A272" s="2"/>
      <c r="B272" s="2"/>
      <c r="C272" s="2"/>
      <c r="D272" s="2"/>
      <c r="E272" s="2"/>
      <c r="F272" s="2"/>
      <c r="G272" s="2"/>
      <c r="H272" s="2"/>
      <c r="I272" s="5"/>
      <c r="J272" s="93"/>
    </row>
    <row r="273" spans="1:10" ht="15.75" customHeight="1">
      <c r="A273" s="2"/>
      <c r="B273" s="2"/>
      <c r="C273" s="2"/>
      <c r="D273" s="2"/>
      <c r="E273" s="2"/>
      <c r="F273" s="2"/>
      <c r="G273" s="2"/>
      <c r="H273" s="2"/>
      <c r="I273" s="5"/>
      <c r="J273" s="93"/>
    </row>
    <row r="274" spans="1:10" ht="15.75" customHeight="1">
      <c r="A274" s="2"/>
      <c r="B274" s="2"/>
      <c r="C274" s="2"/>
      <c r="D274" s="2"/>
      <c r="E274" s="2"/>
      <c r="F274" s="2"/>
      <c r="G274" s="2"/>
      <c r="H274" s="2"/>
      <c r="I274" s="5"/>
      <c r="J274" s="93"/>
    </row>
    <row r="275" spans="1:10" ht="15.75" customHeight="1">
      <c r="A275" s="2"/>
      <c r="B275" s="2"/>
      <c r="C275" s="2"/>
      <c r="D275" s="2"/>
      <c r="E275" s="2"/>
      <c r="F275" s="2"/>
      <c r="G275" s="2"/>
      <c r="H275" s="2"/>
      <c r="I275" s="5"/>
      <c r="J275" s="93"/>
    </row>
    <row r="276" spans="1:10" ht="15.75" customHeight="1">
      <c r="A276" s="2"/>
      <c r="B276" s="2"/>
      <c r="C276" s="2"/>
      <c r="D276" s="2"/>
      <c r="E276" s="2"/>
      <c r="F276" s="2"/>
      <c r="G276" s="2"/>
      <c r="H276" s="2"/>
      <c r="I276" s="5"/>
      <c r="J276" s="93"/>
    </row>
    <row r="277" spans="1:10" ht="15.75" customHeight="1">
      <c r="A277" s="2"/>
      <c r="B277" s="2"/>
      <c r="C277" s="2"/>
      <c r="D277" s="2"/>
      <c r="E277" s="2"/>
      <c r="F277" s="2"/>
      <c r="G277" s="2"/>
      <c r="H277" s="2"/>
      <c r="I277" s="5"/>
      <c r="J277" s="93"/>
    </row>
    <row r="278" spans="1:10" ht="15.75" customHeight="1">
      <c r="A278" s="2"/>
      <c r="B278" s="2"/>
      <c r="C278" s="2"/>
      <c r="D278" s="2"/>
      <c r="E278" s="2"/>
      <c r="F278" s="2"/>
      <c r="G278" s="2"/>
      <c r="H278" s="2"/>
      <c r="I278" s="5"/>
      <c r="J278" s="93"/>
    </row>
    <row r="279" spans="1:10" ht="15.75" customHeight="1">
      <c r="A279" s="2"/>
      <c r="B279" s="2"/>
      <c r="C279" s="2"/>
      <c r="D279" s="2"/>
      <c r="E279" s="2"/>
      <c r="F279" s="2"/>
      <c r="G279" s="2"/>
      <c r="H279" s="2"/>
      <c r="I279" s="5"/>
      <c r="J279" s="93"/>
    </row>
    <row r="280" spans="1:10" ht="15.75" customHeight="1">
      <c r="A280" s="2"/>
      <c r="B280" s="2"/>
      <c r="C280" s="2"/>
      <c r="D280" s="2"/>
      <c r="E280" s="2"/>
      <c r="F280" s="2"/>
      <c r="G280" s="2"/>
      <c r="H280" s="2"/>
      <c r="I280" s="5"/>
      <c r="J280" s="93"/>
    </row>
    <row r="281" spans="1:10" ht="15.75" customHeight="1">
      <c r="A281" s="2"/>
      <c r="B281" s="2"/>
      <c r="C281" s="2"/>
      <c r="D281" s="2"/>
      <c r="E281" s="2"/>
      <c r="F281" s="2"/>
      <c r="G281" s="2"/>
      <c r="H281" s="2"/>
      <c r="I281" s="5"/>
      <c r="J281" s="93"/>
    </row>
    <row r="282" spans="1:10" ht="15.75" customHeight="1">
      <c r="A282" s="2"/>
      <c r="B282" s="2"/>
      <c r="C282" s="2"/>
      <c r="D282" s="2"/>
      <c r="E282" s="2"/>
      <c r="F282" s="2"/>
      <c r="G282" s="2"/>
      <c r="H282" s="2"/>
      <c r="I282" s="5"/>
      <c r="J282" s="93"/>
    </row>
    <row r="283" spans="1:10" ht="15.75" customHeight="1">
      <c r="A283" s="2"/>
      <c r="B283" s="2"/>
      <c r="C283" s="2"/>
      <c r="D283" s="2"/>
      <c r="E283" s="2"/>
      <c r="F283" s="2"/>
      <c r="G283" s="2"/>
      <c r="H283" s="2"/>
      <c r="I283" s="5"/>
      <c r="J283" s="93"/>
    </row>
    <row r="284" spans="1:10" ht="15.75" customHeight="1">
      <c r="A284" s="2"/>
      <c r="B284" s="2"/>
      <c r="C284" s="2"/>
      <c r="D284" s="2"/>
      <c r="E284" s="2"/>
      <c r="F284" s="2"/>
      <c r="G284" s="2"/>
      <c r="H284" s="2"/>
      <c r="I284" s="5"/>
      <c r="J284" s="93"/>
    </row>
    <row r="285" spans="1:10" ht="15.75" customHeight="1">
      <c r="A285" s="2"/>
      <c r="B285" s="2"/>
      <c r="C285" s="2"/>
      <c r="D285" s="2"/>
      <c r="E285" s="2"/>
      <c r="F285" s="2"/>
      <c r="G285" s="2"/>
      <c r="H285" s="2"/>
      <c r="I285" s="5"/>
      <c r="J285" s="93"/>
    </row>
    <row r="286" spans="1:10" ht="15.75" customHeight="1">
      <c r="A286" s="2"/>
      <c r="B286" s="2"/>
      <c r="C286" s="2"/>
      <c r="D286" s="2"/>
      <c r="E286" s="2"/>
      <c r="F286" s="2"/>
      <c r="G286" s="2"/>
      <c r="H286" s="2"/>
      <c r="I286" s="5"/>
      <c r="J286" s="93"/>
    </row>
    <row r="287" spans="1:10" ht="15.75" customHeight="1">
      <c r="A287" s="2"/>
      <c r="B287" s="2"/>
      <c r="C287" s="2"/>
      <c r="D287" s="2"/>
      <c r="E287" s="2"/>
      <c r="F287" s="2"/>
      <c r="G287" s="2"/>
      <c r="H287" s="2"/>
      <c r="I287" s="5"/>
      <c r="J287" s="93"/>
    </row>
    <row r="288" spans="1:10" ht="15.75" customHeight="1">
      <c r="A288" s="2"/>
      <c r="B288" s="2"/>
      <c r="C288" s="2"/>
      <c r="D288" s="2"/>
      <c r="E288" s="2"/>
      <c r="F288" s="2"/>
      <c r="G288" s="2"/>
      <c r="H288" s="2"/>
      <c r="I288" s="5"/>
      <c r="J288" s="93"/>
    </row>
    <row r="289" spans="1:10" ht="15.75" customHeight="1">
      <c r="A289" s="2"/>
      <c r="B289" s="2"/>
      <c r="C289" s="2"/>
      <c r="D289" s="2"/>
      <c r="E289" s="2"/>
      <c r="F289" s="2"/>
      <c r="G289" s="2"/>
      <c r="H289" s="2"/>
      <c r="I289" s="5"/>
      <c r="J289" s="93"/>
    </row>
    <row r="290" spans="1:10" ht="15.75" customHeight="1">
      <c r="A290" s="2"/>
      <c r="B290" s="2"/>
      <c r="C290" s="2"/>
      <c r="D290" s="2"/>
      <c r="E290" s="2"/>
      <c r="F290" s="2"/>
      <c r="G290" s="2"/>
      <c r="H290" s="2"/>
      <c r="I290" s="5"/>
      <c r="J290" s="93"/>
    </row>
    <row r="291" spans="1:10" ht="15.75" customHeight="1">
      <c r="A291" s="2"/>
      <c r="B291" s="2"/>
      <c r="C291" s="2"/>
      <c r="D291" s="2"/>
      <c r="E291" s="2"/>
      <c r="F291" s="2"/>
      <c r="G291" s="2"/>
      <c r="H291" s="2"/>
      <c r="I291" s="5"/>
      <c r="J291" s="93"/>
    </row>
    <row r="292" spans="1:10" ht="15.75" customHeight="1">
      <c r="A292" s="2"/>
      <c r="B292" s="2"/>
      <c r="C292" s="2"/>
      <c r="D292" s="2"/>
      <c r="E292" s="2"/>
      <c r="F292" s="2"/>
      <c r="G292" s="2"/>
      <c r="H292" s="2"/>
      <c r="I292" s="5"/>
      <c r="J292" s="93"/>
    </row>
    <row r="293" spans="1:10" ht="15.75" customHeight="1">
      <c r="A293" s="2"/>
      <c r="B293" s="2"/>
      <c r="C293" s="2"/>
      <c r="D293" s="2"/>
      <c r="E293" s="2"/>
      <c r="F293" s="2"/>
      <c r="G293" s="2"/>
      <c r="H293" s="2"/>
      <c r="I293" s="5"/>
      <c r="J293" s="93"/>
    </row>
    <row r="294" spans="1:10" ht="15.75" customHeight="1">
      <c r="A294" s="2"/>
      <c r="B294" s="2"/>
      <c r="C294" s="2"/>
      <c r="D294" s="2"/>
      <c r="E294" s="2"/>
      <c r="F294" s="2"/>
      <c r="G294" s="2"/>
      <c r="H294" s="2"/>
      <c r="I294" s="5"/>
      <c r="J294" s="93"/>
    </row>
    <row r="295" spans="1:10" ht="15.75" customHeight="1">
      <c r="A295" s="2"/>
      <c r="B295" s="2"/>
      <c r="C295" s="2"/>
      <c r="D295" s="2"/>
      <c r="E295" s="2"/>
      <c r="F295" s="2"/>
      <c r="G295" s="2"/>
      <c r="H295" s="2"/>
      <c r="I295" s="5"/>
      <c r="J295" s="93"/>
    </row>
    <row r="296" spans="1:10" ht="15.75" customHeight="1">
      <c r="A296" s="2"/>
      <c r="B296" s="2"/>
      <c r="C296" s="2"/>
      <c r="D296" s="2"/>
      <c r="E296" s="2"/>
      <c r="F296" s="2"/>
      <c r="G296" s="2"/>
      <c r="H296" s="2"/>
      <c r="I296" s="5"/>
      <c r="J296" s="93"/>
    </row>
    <row r="297" spans="1:10" ht="15.75" customHeight="1">
      <c r="A297" s="2"/>
      <c r="B297" s="2"/>
      <c r="C297" s="2"/>
      <c r="D297" s="2"/>
      <c r="E297" s="2"/>
      <c r="F297" s="2"/>
      <c r="G297" s="2"/>
      <c r="H297" s="2"/>
      <c r="I297" s="5"/>
      <c r="J297" s="93"/>
    </row>
    <row r="298" spans="1:10" ht="15.75" customHeight="1">
      <c r="A298" s="2"/>
      <c r="B298" s="2"/>
      <c r="C298" s="2"/>
      <c r="D298" s="2"/>
      <c r="E298" s="2"/>
      <c r="F298" s="2"/>
      <c r="G298" s="2"/>
      <c r="H298" s="2"/>
      <c r="I298" s="5"/>
      <c r="J298" s="93"/>
    </row>
    <row r="299" spans="1:10" ht="15.75" customHeight="1">
      <c r="A299" s="2"/>
      <c r="B299" s="2"/>
      <c r="C299" s="2"/>
      <c r="D299" s="2"/>
      <c r="E299" s="2"/>
      <c r="F299" s="2"/>
      <c r="G299" s="2"/>
      <c r="H299" s="2"/>
      <c r="I299" s="5"/>
      <c r="J299" s="93"/>
    </row>
    <row r="300" spans="1:10" ht="15.75" customHeight="1">
      <c r="A300" s="2"/>
      <c r="B300" s="2"/>
      <c r="C300" s="2"/>
      <c r="D300" s="2"/>
      <c r="E300" s="2"/>
      <c r="F300" s="2"/>
      <c r="G300" s="2"/>
      <c r="H300" s="2"/>
      <c r="I300" s="5"/>
      <c r="J300" s="93"/>
    </row>
    <row r="301" spans="1:10" ht="15.75" customHeight="1">
      <c r="A301" s="2"/>
      <c r="B301" s="2"/>
      <c r="C301" s="2"/>
      <c r="D301" s="2"/>
      <c r="E301" s="2"/>
      <c r="F301" s="2"/>
      <c r="G301" s="2"/>
      <c r="H301" s="2"/>
      <c r="I301" s="5"/>
      <c r="J301" s="93"/>
    </row>
    <row r="302" spans="1:10" ht="15.75" customHeight="1">
      <c r="A302" s="2"/>
      <c r="B302" s="2"/>
      <c r="C302" s="2"/>
      <c r="D302" s="2"/>
      <c r="E302" s="2"/>
      <c r="F302" s="2"/>
      <c r="G302" s="2"/>
      <c r="H302" s="2"/>
      <c r="I302" s="5"/>
      <c r="J302" s="93"/>
    </row>
    <row r="303" spans="1:10" ht="15.75" customHeight="1">
      <c r="A303" s="2"/>
      <c r="B303" s="2"/>
      <c r="C303" s="2"/>
      <c r="D303" s="2"/>
      <c r="E303" s="2"/>
      <c r="F303" s="2"/>
      <c r="G303" s="2"/>
      <c r="H303" s="2"/>
      <c r="I303" s="5"/>
      <c r="J303" s="93"/>
    </row>
    <row r="304" spans="1:10" ht="15.75" customHeight="1">
      <c r="A304" s="2"/>
      <c r="B304" s="2"/>
      <c r="C304" s="2"/>
      <c r="D304" s="2"/>
      <c r="E304" s="2"/>
      <c r="F304" s="2"/>
      <c r="G304" s="2"/>
      <c r="H304" s="2"/>
      <c r="I304" s="5"/>
      <c r="J304" s="93"/>
    </row>
    <row r="305" spans="1:10" ht="15.75" customHeight="1">
      <c r="A305" s="2"/>
      <c r="B305" s="2"/>
      <c r="C305" s="2"/>
      <c r="D305" s="2"/>
      <c r="E305" s="2"/>
      <c r="F305" s="2"/>
      <c r="G305" s="2"/>
      <c r="H305" s="2"/>
      <c r="I305" s="5"/>
      <c r="J305" s="93"/>
    </row>
    <row r="306" spans="1:10" ht="15.75" customHeight="1">
      <c r="A306" s="2"/>
      <c r="B306" s="2"/>
      <c r="C306" s="2"/>
      <c r="D306" s="2"/>
      <c r="E306" s="2"/>
      <c r="F306" s="2"/>
      <c r="G306" s="2"/>
      <c r="H306" s="2"/>
      <c r="I306" s="5"/>
      <c r="J306" s="93"/>
    </row>
    <row r="307" spans="1:10" ht="15.75" customHeight="1">
      <c r="A307" s="2"/>
      <c r="B307" s="2"/>
      <c r="C307" s="2"/>
      <c r="D307" s="2"/>
      <c r="E307" s="2"/>
      <c r="F307" s="2"/>
      <c r="G307" s="2"/>
      <c r="H307" s="2"/>
      <c r="I307" s="5"/>
      <c r="J307" s="93"/>
    </row>
    <row r="308" spans="1:10" ht="15.75" customHeight="1">
      <c r="A308" s="2"/>
      <c r="B308" s="2"/>
      <c r="C308" s="2"/>
      <c r="D308" s="2"/>
      <c r="E308" s="2"/>
      <c r="F308" s="2"/>
      <c r="G308" s="2"/>
      <c r="H308" s="2"/>
      <c r="I308" s="5"/>
      <c r="J308" s="93"/>
    </row>
    <row r="309" spans="1:10" ht="15.75" customHeight="1">
      <c r="A309" s="2"/>
      <c r="B309" s="2"/>
      <c r="C309" s="2"/>
      <c r="D309" s="2"/>
      <c r="E309" s="2"/>
      <c r="F309" s="2"/>
      <c r="G309" s="2"/>
      <c r="H309" s="2"/>
      <c r="I309" s="5"/>
      <c r="J309" s="93"/>
    </row>
    <row r="310" spans="1:10" ht="15.75" customHeight="1">
      <c r="A310" s="2"/>
      <c r="B310" s="2"/>
      <c r="C310" s="2"/>
      <c r="D310" s="2"/>
      <c r="E310" s="2"/>
      <c r="F310" s="2"/>
      <c r="G310" s="2"/>
      <c r="H310" s="2"/>
      <c r="I310" s="5"/>
      <c r="J310" s="93"/>
    </row>
    <row r="311" spans="1:10" ht="15.75" customHeight="1">
      <c r="A311" s="2"/>
      <c r="B311" s="2"/>
      <c r="C311" s="2"/>
      <c r="D311" s="2"/>
      <c r="E311" s="2"/>
      <c r="F311" s="2"/>
      <c r="G311" s="2"/>
      <c r="H311" s="2"/>
      <c r="I311" s="5"/>
      <c r="J311" s="93"/>
    </row>
    <row r="312" spans="1:10" ht="15.75" customHeight="1">
      <c r="A312" s="2"/>
      <c r="B312" s="2"/>
      <c r="C312" s="2"/>
      <c r="D312" s="2"/>
      <c r="E312" s="2"/>
      <c r="F312" s="2"/>
      <c r="G312" s="2"/>
      <c r="H312" s="2"/>
      <c r="I312" s="5"/>
      <c r="J312" s="93"/>
    </row>
    <row r="313" spans="1:10" ht="15.75" customHeight="1">
      <c r="A313" s="2"/>
      <c r="B313" s="2"/>
      <c r="C313" s="2"/>
      <c r="D313" s="2"/>
      <c r="E313" s="2"/>
      <c r="F313" s="2"/>
      <c r="G313" s="2"/>
      <c r="H313" s="2"/>
      <c r="I313" s="5"/>
      <c r="J313" s="93"/>
    </row>
    <row r="314" spans="1:10" ht="15.75" customHeight="1">
      <c r="A314" s="2"/>
      <c r="B314" s="2"/>
      <c r="C314" s="2"/>
      <c r="D314" s="2"/>
      <c r="E314" s="2"/>
      <c r="F314" s="2"/>
      <c r="G314" s="2"/>
      <c r="H314" s="2"/>
      <c r="I314" s="5"/>
      <c r="J314" s="93"/>
    </row>
    <row r="315" spans="1:10" ht="15.75" customHeight="1">
      <c r="A315" s="2"/>
      <c r="B315" s="2"/>
      <c r="C315" s="2"/>
      <c r="D315" s="2"/>
      <c r="E315" s="2"/>
      <c r="F315" s="2"/>
      <c r="G315" s="2"/>
      <c r="H315" s="2"/>
      <c r="I315" s="5"/>
      <c r="J315" s="93"/>
    </row>
    <row r="316" spans="1:10" ht="15.75" customHeight="1">
      <c r="A316" s="2"/>
      <c r="B316" s="2"/>
      <c r="C316" s="2"/>
      <c r="D316" s="2"/>
      <c r="E316" s="2"/>
      <c r="F316" s="2"/>
      <c r="G316" s="2"/>
      <c r="H316" s="2"/>
      <c r="I316" s="5"/>
      <c r="J316" s="93"/>
    </row>
    <row r="317" spans="1:10" ht="15.75" customHeight="1">
      <c r="A317" s="2"/>
      <c r="B317" s="2"/>
      <c r="C317" s="2"/>
      <c r="D317" s="2"/>
      <c r="E317" s="2"/>
      <c r="F317" s="2"/>
      <c r="G317" s="2"/>
      <c r="H317" s="2"/>
      <c r="I317" s="5"/>
      <c r="J317" s="93"/>
    </row>
    <row r="318" spans="1:10" ht="15.75" customHeight="1">
      <c r="A318" s="2"/>
      <c r="B318" s="2"/>
      <c r="C318" s="2"/>
      <c r="D318" s="2"/>
      <c r="E318" s="2"/>
      <c r="F318" s="2"/>
      <c r="G318" s="2"/>
      <c r="H318" s="2"/>
      <c r="I318" s="5"/>
      <c r="J318" s="93"/>
    </row>
    <row r="319" spans="1:10" ht="15.75" customHeight="1">
      <c r="A319" s="2"/>
      <c r="B319" s="2"/>
      <c r="C319" s="2"/>
      <c r="D319" s="2"/>
      <c r="E319" s="2"/>
      <c r="F319" s="2"/>
      <c r="G319" s="2"/>
      <c r="H319" s="2"/>
      <c r="I319" s="5"/>
      <c r="J319" s="93"/>
    </row>
    <row r="320" spans="1:10" ht="15.75" customHeight="1">
      <c r="A320" s="2"/>
      <c r="B320" s="2"/>
      <c r="C320" s="2"/>
      <c r="D320" s="2"/>
      <c r="E320" s="2"/>
      <c r="F320" s="2"/>
      <c r="G320" s="2"/>
      <c r="H320" s="2"/>
      <c r="I320" s="5"/>
      <c r="J320" s="93"/>
    </row>
    <row r="321" spans="1:10" ht="15.75" customHeight="1">
      <c r="A321" s="2"/>
      <c r="B321" s="2"/>
      <c r="C321" s="2"/>
      <c r="D321" s="2"/>
      <c r="E321" s="2"/>
      <c r="F321" s="2"/>
      <c r="G321" s="2"/>
      <c r="H321" s="2"/>
      <c r="I321" s="5"/>
      <c r="J321" s="93"/>
    </row>
    <row r="322" spans="1:10" ht="15.75" customHeight="1">
      <c r="A322" s="2"/>
      <c r="B322" s="2"/>
      <c r="C322" s="2"/>
      <c r="D322" s="2"/>
      <c r="E322" s="2"/>
      <c r="F322" s="2"/>
      <c r="G322" s="2"/>
      <c r="H322" s="2"/>
      <c r="I322" s="5"/>
      <c r="J322" s="93"/>
    </row>
    <row r="323" spans="1:10" ht="15.75" customHeight="1">
      <c r="A323" s="2"/>
      <c r="B323" s="2"/>
      <c r="C323" s="2"/>
      <c r="D323" s="2"/>
      <c r="E323" s="2"/>
      <c r="F323" s="2"/>
      <c r="G323" s="2"/>
      <c r="H323" s="2"/>
      <c r="I323" s="5"/>
      <c r="J323" s="93"/>
    </row>
    <row r="324" spans="1:10" ht="15.75" customHeight="1">
      <c r="A324" s="2"/>
      <c r="B324" s="2"/>
      <c r="C324" s="2"/>
      <c r="D324" s="2"/>
      <c r="E324" s="2"/>
      <c r="F324" s="2"/>
      <c r="G324" s="2"/>
      <c r="H324" s="2"/>
      <c r="I324" s="5"/>
      <c r="J324" s="93"/>
    </row>
    <row r="325" spans="1:10" ht="15.75" customHeight="1">
      <c r="A325" s="2"/>
      <c r="B325" s="2"/>
      <c r="C325" s="2"/>
      <c r="D325" s="2"/>
      <c r="E325" s="2"/>
      <c r="F325" s="2"/>
      <c r="G325" s="2"/>
      <c r="H325" s="2"/>
      <c r="I325" s="5"/>
      <c r="J325" s="93"/>
    </row>
    <row r="326" spans="1:10" ht="15.75" customHeight="1">
      <c r="A326" s="2"/>
      <c r="B326" s="2"/>
      <c r="C326" s="2"/>
      <c r="D326" s="2"/>
      <c r="E326" s="2"/>
      <c r="F326" s="2"/>
      <c r="G326" s="2"/>
      <c r="H326" s="2"/>
      <c r="I326" s="5"/>
      <c r="J326" s="93"/>
    </row>
    <row r="327" spans="1:10" ht="15.75" customHeight="1">
      <c r="A327" s="2"/>
      <c r="B327" s="2"/>
      <c r="C327" s="2"/>
      <c r="D327" s="2"/>
      <c r="E327" s="2"/>
      <c r="F327" s="2"/>
      <c r="G327" s="2"/>
      <c r="H327" s="2"/>
      <c r="I327" s="5"/>
      <c r="J327" s="93"/>
    </row>
    <row r="328" spans="1:10" ht="15.75" customHeight="1">
      <c r="A328" s="2"/>
      <c r="B328" s="2"/>
      <c r="C328" s="2"/>
      <c r="D328" s="2"/>
      <c r="E328" s="2"/>
      <c r="F328" s="2"/>
      <c r="G328" s="2"/>
      <c r="H328" s="2"/>
      <c r="I328" s="5"/>
      <c r="J328" s="93"/>
    </row>
    <row r="329" spans="1:10" ht="15.75" customHeight="1">
      <c r="A329" s="2"/>
      <c r="B329" s="2"/>
      <c r="C329" s="2"/>
      <c r="D329" s="2"/>
      <c r="E329" s="2"/>
      <c r="F329" s="2"/>
      <c r="G329" s="2"/>
      <c r="H329" s="2"/>
      <c r="I329" s="5"/>
      <c r="J329" s="93"/>
    </row>
    <row r="330" spans="1:10" ht="15.75" customHeight="1">
      <c r="A330" s="2"/>
      <c r="B330" s="2"/>
      <c r="C330" s="2"/>
      <c r="D330" s="2"/>
      <c r="E330" s="2"/>
      <c r="F330" s="2"/>
      <c r="G330" s="2"/>
      <c r="H330" s="2"/>
      <c r="I330" s="5"/>
      <c r="J330" s="93"/>
    </row>
    <row r="331" spans="1:10" ht="15.75" customHeight="1">
      <c r="A331" s="2"/>
      <c r="B331" s="2"/>
      <c r="C331" s="2"/>
      <c r="D331" s="2"/>
      <c r="E331" s="2"/>
      <c r="F331" s="2"/>
      <c r="G331" s="2"/>
      <c r="H331" s="2"/>
      <c r="I331" s="5"/>
      <c r="J331" s="93"/>
    </row>
    <row r="332" spans="1:10" ht="15.75" customHeight="1">
      <c r="A332" s="2"/>
      <c r="B332" s="2"/>
      <c r="C332" s="2"/>
      <c r="D332" s="2"/>
      <c r="E332" s="2"/>
      <c r="F332" s="2"/>
      <c r="G332" s="2"/>
      <c r="H332" s="2"/>
      <c r="I332" s="5"/>
      <c r="J332" s="93"/>
    </row>
    <row r="333" spans="1:10" ht="15.75" customHeight="1">
      <c r="A333" s="2"/>
      <c r="B333" s="2"/>
      <c r="C333" s="2"/>
      <c r="D333" s="2"/>
      <c r="E333" s="2"/>
      <c r="F333" s="2"/>
      <c r="G333" s="2"/>
      <c r="H333" s="2"/>
      <c r="I333" s="5"/>
      <c r="J333" s="93"/>
    </row>
    <row r="334" spans="1:10" ht="15.75" customHeight="1">
      <c r="A334" s="2"/>
      <c r="B334" s="2"/>
      <c r="C334" s="2"/>
      <c r="D334" s="2"/>
      <c r="E334" s="2"/>
      <c r="F334" s="2"/>
      <c r="G334" s="2"/>
      <c r="H334" s="2"/>
      <c r="I334" s="5"/>
      <c r="J334" s="93"/>
    </row>
    <row r="335" spans="1:10" ht="15.75" customHeight="1">
      <c r="A335" s="2"/>
      <c r="B335" s="2"/>
      <c r="C335" s="2"/>
      <c r="D335" s="2"/>
      <c r="E335" s="2"/>
      <c r="F335" s="2"/>
      <c r="G335" s="2"/>
      <c r="H335" s="2"/>
      <c r="I335" s="5"/>
      <c r="J335" s="93"/>
    </row>
    <row r="336" spans="1:10" ht="15.75" customHeight="1">
      <c r="A336" s="2"/>
      <c r="B336" s="2"/>
      <c r="C336" s="2"/>
      <c r="D336" s="2"/>
      <c r="E336" s="2"/>
      <c r="F336" s="2"/>
      <c r="G336" s="2"/>
      <c r="H336" s="2"/>
      <c r="I336" s="5"/>
      <c r="J336" s="93"/>
    </row>
    <row r="337" spans="1:10" ht="15.75" customHeight="1">
      <c r="A337" s="2"/>
      <c r="B337" s="2"/>
      <c r="C337" s="2"/>
      <c r="D337" s="2"/>
      <c r="E337" s="2"/>
      <c r="F337" s="2"/>
      <c r="G337" s="2"/>
      <c r="H337" s="2"/>
      <c r="I337" s="5"/>
      <c r="J337" s="93"/>
    </row>
    <row r="338" spans="1:10" ht="15.75" customHeight="1">
      <c r="A338" s="2"/>
      <c r="B338" s="2"/>
      <c r="C338" s="2"/>
      <c r="D338" s="2"/>
      <c r="E338" s="2"/>
      <c r="F338" s="2"/>
      <c r="G338" s="2"/>
      <c r="H338" s="2"/>
      <c r="I338" s="5"/>
      <c r="J338" s="93"/>
    </row>
    <row r="339" spans="1:10" ht="15.75" customHeight="1">
      <c r="A339" s="2"/>
      <c r="B339" s="2"/>
      <c r="C339" s="2"/>
      <c r="D339" s="2"/>
      <c r="E339" s="2"/>
      <c r="F339" s="2"/>
      <c r="G339" s="2"/>
      <c r="H339" s="2"/>
      <c r="I339" s="5"/>
      <c r="J339" s="93"/>
    </row>
    <row r="340" spans="1:10" ht="15.75" customHeight="1">
      <c r="A340" s="2"/>
      <c r="B340" s="2"/>
      <c r="C340" s="2"/>
      <c r="D340" s="2"/>
      <c r="E340" s="2"/>
      <c r="F340" s="2"/>
      <c r="G340" s="2"/>
      <c r="H340" s="2"/>
      <c r="I340" s="5"/>
      <c r="J340" s="93"/>
    </row>
    <row r="341" spans="1:10" ht="15.75" customHeight="1">
      <c r="A341" s="2"/>
      <c r="B341" s="2"/>
      <c r="C341" s="2"/>
      <c r="D341" s="2"/>
      <c r="E341" s="2"/>
      <c r="F341" s="2"/>
      <c r="G341" s="2"/>
      <c r="H341" s="2"/>
      <c r="I341" s="5"/>
      <c r="J341" s="93"/>
    </row>
    <row r="342" spans="1:10" ht="15.75" customHeight="1">
      <c r="A342" s="2"/>
      <c r="B342" s="2"/>
      <c r="C342" s="2"/>
      <c r="D342" s="2"/>
      <c r="E342" s="2"/>
      <c r="F342" s="2"/>
      <c r="G342" s="2"/>
      <c r="H342" s="2"/>
      <c r="I342" s="5"/>
      <c r="J342" s="93"/>
    </row>
    <row r="343" spans="1:10" ht="15.75" customHeight="1">
      <c r="A343" s="2"/>
      <c r="B343" s="2"/>
      <c r="C343" s="2"/>
      <c r="D343" s="2"/>
      <c r="E343" s="2"/>
      <c r="F343" s="2"/>
      <c r="G343" s="2"/>
      <c r="H343" s="2"/>
      <c r="I343" s="5"/>
      <c r="J343" s="93"/>
    </row>
    <row r="344" spans="1:10" ht="15.75" customHeight="1">
      <c r="A344" s="2"/>
      <c r="B344" s="2"/>
      <c r="C344" s="2"/>
      <c r="D344" s="2"/>
      <c r="E344" s="2"/>
      <c r="F344" s="2"/>
      <c r="G344" s="2"/>
      <c r="H344" s="2"/>
      <c r="I344" s="5"/>
      <c r="J344" s="93"/>
    </row>
    <row r="345" spans="1:10" ht="15.75" customHeight="1">
      <c r="A345" s="2"/>
      <c r="B345" s="2"/>
      <c r="C345" s="2"/>
      <c r="D345" s="2"/>
      <c r="E345" s="2"/>
      <c r="F345" s="2"/>
      <c r="G345" s="2"/>
      <c r="H345" s="2"/>
      <c r="I345" s="5"/>
      <c r="J345" s="93"/>
    </row>
    <row r="346" spans="1:10" ht="15.75" customHeight="1">
      <c r="A346" s="2"/>
      <c r="B346" s="2"/>
      <c r="C346" s="2"/>
      <c r="D346" s="2"/>
      <c r="E346" s="2"/>
      <c r="F346" s="2"/>
      <c r="G346" s="2"/>
      <c r="H346" s="2"/>
      <c r="I346" s="5"/>
      <c r="J346" s="93"/>
    </row>
    <row r="347" spans="1:10" ht="15.75" customHeight="1">
      <c r="A347" s="2"/>
      <c r="B347" s="2"/>
      <c r="C347" s="2"/>
      <c r="D347" s="2"/>
      <c r="E347" s="2"/>
      <c r="F347" s="2"/>
      <c r="G347" s="2"/>
      <c r="H347" s="2"/>
      <c r="I347" s="5"/>
      <c r="J347" s="93"/>
    </row>
    <row r="348" spans="1:10" ht="15.75" customHeight="1">
      <c r="A348" s="2"/>
      <c r="B348" s="2"/>
      <c r="C348" s="2"/>
      <c r="D348" s="2"/>
      <c r="E348" s="2"/>
      <c r="F348" s="2"/>
      <c r="G348" s="2"/>
      <c r="H348" s="2"/>
      <c r="I348" s="5"/>
      <c r="J348" s="93"/>
    </row>
    <row r="349" spans="1:10" ht="15.75" customHeight="1">
      <c r="A349" s="2"/>
      <c r="B349" s="2"/>
      <c r="C349" s="2"/>
      <c r="D349" s="2"/>
      <c r="E349" s="2"/>
      <c r="F349" s="2"/>
      <c r="G349" s="2"/>
      <c r="H349" s="2"/>
      <c r="I349" s="5"/>
      <c r="J349" s="93"/>
    </row>
    <row r="350" spans="1:10" ht="15.75" customHeight="1">
      <c r="A350" s="2"/>
      <c r="B350" s="2"/>
      <c r="C350" s="2"/>
      <c r="D350" s="2"/>
      <c r="E350" s="2"/>
      <c r="F350" s="2"/>
      <c r="G350" s="2"/>
      <c r="H350" s="2"/>
      <c r="I350" s="5"/>
      <c r="J350" s="93"/>
    </row>
    <row r="351" spans="1:10" ht="15.75" customHeight="1">
      <c r="A351" s="2"/>
      <c r="B351" s="2"/>
      <c r="C351" s="2"/>
      <c r="D351" s="2"/>
      <c r="E351" s="2"/>
      <c r="F351" s="2"/>
      <c r="G351" s="2"/>
      <c r="H351" s="2"/>
      <c r="I351" s="5"/>
      <c r="J351" s="93"/>
    </row>
    <row r="352" spans="1:10" ht="15.75" customHeight="1">
      <c r="A352" s="2"/>
      <c r="B352" s="2"/>
      <c r="C352" s="2"/>
      <c r="D352" s="2"/>
      <c r="E352" s="2"/>
      <c r="F352" s="2"/>
      <c r="G352" s="2"/>
      <c r="H352" s="2"/>
      <c r="I352" s="5"/>
      <c r="J352" s="93"/>
    </row>
    <row r="353" spans="1:10" ht="15.75" customHeight="1">
      <c r="A353" s="2"/>
      <c r="B353" s="2"/>
      <c r="C353" s="2"/>
      <c r="D353" s="2"/>
      <c r="E353" s="2"/>
      <c r="F353" s="2"/>
      <c r="G353" s="2"/>
      <c r="H353" s="2"/>
      <c r="I353" s="5"/>
      <c r="J353" s="93"/>
    </row>
    <row r="354" spans="1:10" ht="15.75" customHeight="1">
      <c r="A354" s="2"/>
      <c r="B354" s="2"/>
      <c r="C354" s="2"/>
      <c r="D354" s="2"/>
      <c r="E354" s="2"/>
      <c r="F354" s="2"/>
      <c r="G354" s="2"/>
      <c r="H354" s="2"/>
      <c r="I354" s="5"/>
      <c r="J354" s="93"/>
    </row>
    <row r="355" spans="1:10" ht="15.75" customHeight="1">
      <c r="A355" s="2"/>
      <c r="B355" s="2"/>
      <c r="C355" s="2"/>
      <c r="D355" s="2"/>
      <c r="E355" s="2"/>
      <c r="F355" s="2"/>
      <c r="G355" s="2"/>
      <c r="H355" s="2"/>
      <c r="I355" s="5"/>
      <c r="J355" s="93"/>
    </row>
    <row r="356" spans="1:10" ht="15.75" customHeight="1">
      <c r="A356" s="2"/>
      <c r="B356" s="2"/>
      <c r="C356" s="2"/>
      <c r="D356" s="2"/>
      <c r="E356" s="2"/>
      <c r="F356" s="2"/>
      <c r="G356" s="2"/>
      <c r="H356" s="2"/>
      <c r="I356" s="5"/>
      <c r="J356" s="93"/>
    </row>
    <row r="357" spans="1:10" ht="15.75" customHeight="1">
      <c r="A357" s="2"/>
      <c r="B357" s="2"/>
      <c r="C357" s="2"/>
      <c r="D357" s="2"/>
      <c r="E357" s="2"/>
      <c r="F357" s="2"/>
      <c r="G357" s="2"/>
      <c r="H357" s="2"/>
      <c r="I357" s="5"/>
      <c r="J357" s="93"/>
    </row>
    <row r="358" spans="1:10" ht="15.75" customHeight="1">
      <c r="A358" s="2"/>
      <c r="B358" s="2"/>
      <c r="C358" s="2"/>
      <c r="D358" s="2"/>
      <c r="E358" s="2"/>
      <c r="F358" s="2"/>
      <c r="G358" s="2"/>
      <c r="H358" s="2"/>
      <c r="I358" s="5"/>
      <c r="J358" s="93"/>
    </row>
    <row r="359" spans="1:10" ht="15.75" customHeight="1">
      <c r="A359" s="2"/>
      <c r="B359" s="2"/>
      <c r="C359" s="2"/>
      <c r="D359" s="2"/>
      <c r="E359" s="2"/>
      <c r="F359" s="2"/>
      <c r="G359" s="2"/>
      <c r="H359" s="2"/>
      <c r="I359" s="5"/>
      <c r="J359" s="93"/>
    </row>
    <row r="360" spans="1:10" ht="15.75" customHeight="1">
      <c r="A360" s="2"/>
      <c r="B360" s="2"/>
      <c r="C360" s="2"/>
      <c r="D360" s="2"/>
      <c r="E360" s="2"/>
      <c r="F360" s="2"/>
      <c r="G360" s="2"/>
      <c r="H360" s="2"/>
      <c r="I360" s="5"/>
      <c r="J360" s="93"/>
    </row>
    <row r="361" spans="1:10" ht="15.75" customHeight="1">
      <c r="A361" s="2"/>
      <c r="B361" s="2"/>
      <c r="C361" s="2"/>
      <c r="D361" s="2"/>
      <c r="E361" s="2"/>
      <c r="F361" s="2"/>
      <c r="G361" s="2"/>
      <c r="H361" s="2"/>
      <c r="I361" s="5"/>
      <c r="J361" s="93"/>
    </row>
    <row r="362" spans="1:10" ht="15.75" customHeight="1">
      <c r="A362" s="2"/>
      <c r="B362" s="2"/>
      <c r="C362" s="2"/>
      <c r="D362" s="2"/>
      <c r="E362" s="2"/>
      <c r="F362" s="2"/>
      <c r="G362" s="2"/>
      <c r="H362" s="2"/>
      <c r="I362" s="5"/>
      <c r="J362" s="93"/>
    </row>
    <row r="363" spans="1:10" ht="15.75" customHeight="1">
      <c r="A363" s="2"/>
      <c r="B363" s="2"/>
      <c r="C363" s="2"/>
      <c r="D363" s="2"/>
      <c r="E363" s="2"/>
      <c r="F363" s="2"/>
      <c r="G363" s="2"/>
      <c r="H363" s="2"/>
      <c r="I363" s="5"/>
      <c r="J363" s="93"/>
    </row>
    <row r="364" spans="1:10" ht="15.75" customHeight="1">
      <c r="A364" s="2"/>
      <c r="B364" s="2"/>
      <c r="C364" s="2"/>
      <c r="D364" s="2"/>
      <c r="E364" s="2"/>
      <c r="F364" s="2"/>
      <c r="G364" s="2"/>
      <c r="H364" s="2"/>
      <c r="I364" s="5"/>
      <c r="J364" s="93"/>
    </row>
    <row r="365" spans="1:10" ht="15.75" customHeight="1">
      <c r="A365" s="2"/>
      <c r="B365" s="2"/>
      <c r="C365" s="2"/>
      <c r="D365" s="2"/>
      <c r="E365" s="2"/>
      <c r="F365" s="2"/>
      <c r="G365" s="2"/>
      <c r="H365" s="2"/>
      <c r="I365" s="5"/>
      <c r="J365" s="93"/>
    </row>
    <row r="366" spans="1:10" ht="15.75" customHeight="1">
      <c r="A366" s="2"/>
      <c r="B366" s="2"/>
      <c r="C366" s="2"/>
      <c r="D366" s="2"/>
      <c r="E366" s="2"/>
      <c r="F366" s="2"/>
      <c r="G366" s="2"/>
      <c r="H366" s="2"/>
      <c r="I366" s="5"/>
      <c r="J366" s="93"/>
    </row>
    <row r="367" spans="1:10" ht="15.75" customHeight="1">
      <c r="A367" s="2"/>
      <c r="B367" s="2"/>
      <c r="C367" s="2"/>
      <c r="D367" s="2"/>
      <c r="E367" s="2"/>
      <c r="F367" s="2"/>
      <c r="G367" s="2"/>
      <c r="H367" s="2"/>
      <c r="I367" s="5"/>
      <c r="J367" s="93"/>
    </row>
    <row r="368" spans="1:10" ht="15.75" customHeight="1">
      <c r="A368" s="2"/>
      <c r="B368" s="2"/>
      <c r="C368" s="2"/>
      <c r="D368" s="2"/>
      <c r="E368" s="2"/>
      <c r="F368" s="2"/>
      <c r="G368" s="2"/>
      <c r="H368" s="2"/>
      <c r="I368" s="5"/>
      <c r="J368" s="93"/>
    </row>
    <row r="369" spans="1:10" ht="15.75" customHeight="1">
      <c r="A369" s="2"/>
      <c r="B369" s="2"/>
      <c r="C369" s="2"/>
      <c r="D369" s="2"/>
      <c r="E369" s="2"/>
      <c r="F369" s="2"/>
      <c r="G369" s="2"/>
      <c r="H369" s="2"/>
      <c r="I369" s="5"/>
      <c r="J369" s="93"/>
    </row>
    <row r="370" spans="1:10" ht="15.75" customHeight="1">
      <c r="A370" s="2"/>
      <c r="B370" s="2"/>
      <c r="C370" s="2"/>
      <c r="D370" s="2"/>
      <c r="E370" s="2"/>
      <c r="F370" s="2"/>
      <c r="G370" s="2"/>
      <c r="H370" s="2"/>
      <c r="I370" s="5"/>
      <c r="J370" s="93"/>
    </row>
    <row r="371" spans="1:10" ht="15.75" customHeight="1">
      <c r="A371" s="2"/>
      <c r="B371" s="2"/>
      <c r="C371" s="2"/>
      <c r="D371" s="2"/>
      <c r="E371" s="2"/>
      <c r="F371" s="2"/>
      <c r="G371" s="2"/>
      <c r="H371" s="2"/>
      <c r="I371" s="5"/>
      <c r="J371" s="93"/>
    </row>
    <row r="372" spans="1:10" ht="15.75" customHeight="1">
      <c r="A372" s="2"/>
      <c r="B372" s="2"/>
      <c r="C372" s="2"/>
      <c r="D372" s="2"/>
      <c r="E372" s="2"/>
      <c r="F372" s="2"/>
      <c r="G372" s="2"/>
      <c r="H372" s="2"/>
      <c r="I372" s="5"/>
      <c r="J372" s="93"/>
    </row>
    <row r="373" spans="1:10" ht="15.75" customHeight="1">
      <c r="A373" s="2"/>
      <c r="B373" s="2"/>
      <c r="C373" s="2"/>
      <c r="D373" s="2"/>
      <c r="E373" s="2"/>
      <c r="F373" s="2"/>
      <c r="G373" s="2"/>
      <c r="H373" s="2"/>
      <c r="I373" s="5"/>
      <c r="J373" s="93"/>
    </row>
    <row r="374" spans="1:10" ht="15.75" customHeight="1">
      <c r="A374" s="2"/>
      <c r="B374" s="2"/>
      <c r="C374" s="2"/>
      <c r="D374" s="2"/>
      <c r="E374" s="2"/>
      <c r="F374" s="2"/>
      <c r="G374" s="2"/>
      <c r="H374" s="2"/>
      <c r="I374" s="5"/>
      <c r="J374" s="93"/>
    </row>
    <row r="375" spans="1:10" ht="15.75" customHeight="1">
      <c r="A375" s="2"/>
      <c r="B375" s="2"/>
      <c r="C375" s="2"/>
      <c r="D375" s="2"/>
      <c r="E375" s="2"/>
      <c r="F375" s="2"/>
      <c r="G375" s="2"/>
      <c r="H375" s="2"/>
      <c r="I375" s="5"/>
      <c r="J375" s="93"/>
    </row>
    <row r="376" spans="1:10" ht="15.75" customHeight="1">
      <c r="A376" s="2"/>
      <c r="B376" s="2"/>
      <c r="C376" s="2"/>
      <c r="D376" s="2"/>
      <c r="E376" s="2"/>
      <c r="F376" s="2"/>
      <c r="G376" s="2"/>
      <c r="H376" s="2"/>
      <c r="I376" s="5"/>
      <c r="J376" s="93"/>
    </row>
    <row r="377" spans="1:10" ht="15.75" customHeight="1">
      <c r="A377" s="2"/>
      <c r="B377" s="2"/>
      <c r="C377" s="2"/>
      <c r="D377" s="2"/>
      <c r="E377" s="2"/>
      <c r="F377" s="2"/>
      <c r="G377" s="2"/>
      <c r="H377" s="2"/>
      <c r="I377" s="5"/>
      <c r="J377" s="93"/>
    </row>
    <row r="378" spans="1:10" ht="15.75" customHeight="1">
      <c r="A378" s="2"/>
      <c r="B378" s="2"/>
      <c r="C378" s="2"/>
      <c r="D378" s="2"/>
      <c r="E378" s="2"/>
      <c r="F378" s="2"/>
      <c r="G378" s="2"/>
      <c r="H378" s="2"/>
      <c r="I378" s="5"/>
      <c r="J378" s="93"/>
    </row>
    <row r="379" spans="1:10" ht="15.75" customHeight="1">
      <c r="A379" s="2"/>
      <c r="B379" s="2"/>
      <c r="C379" s="2"/>
      <c r="D379" s="2"/>
      <c r="E379" s="2"/>
      <c r="F379" s="2"/>
      <c r="G379" s="2"/>
      <c r="H379" s="2"/>
      <c r="I379" s="5"/>
      <c r="J379" s="93"/>
    </row>
    <row r="380" spans="1:10" ht="15.75" customHeight="1">
      <c r="A380" s="2"/>
      <c r="B380" s="2"/>
      <c r="C380" s="2"/>
      <c r="D380" s="2"/>
      <c r="E380" s="2"/>
      <c r="F380" s="2"/>
      <c r="G380" s="2"/>
      <c r="H380" s="2"/>
      <c r="I380" s="5"/>
      <c r="J380" s="93"/>
    </row>
    <row r="381" spans="1:10" ht="15.75" customHeight="1">
      <c r="A381" s="2"/>
      <c r="B381" s="2"/>
      <c r="C381" s="2"/>
      <c r="D381" s="2"/>
      <c r="E381" s="2"/>
      <c r="F381" s="2"/>
      <c r="G381" s="2"/>
      <c r="H381" s="2"/>
      <c r="I381" s="5"/>
      <c r="J381" s="93"/>
    </row>
    <row r="382" spans="1:10" ht="15.75" customHeight="1">
      <c r="A382" s="2"/>
      <c r="B382" s="2"/>
      <c r="C382" s="2"/>
      <c r="D382" s="2"/>
      <c r="E382" s="2"/>
      <c r="F382" s="2"/>
      <c r="G382" s="2"/>
      <c r="H382" s="2"/>
      <c r="I382" s="5"/>
      <c r="J382" s="93"/>
    </row>
    <row r="383" spans="1:10" ht="15.75" customHeight="1">
      <c r="A383" s="2"/>
      <c r="B383" s="2"/>
      <c r="C383" s="2"/>
      <c r="D383" s="2"/>
      <c r="E383" s="2"/>
      <c r="F383" s="2"/>
      <c r="G383" s="2"/>
      <c r="H383" s="2"/>
      <c r="I383" s="5"/>
      <c r="J383" s="93"/>
    </row>
    <row r="384" spans="1:10" ht="15.75" customHeight="1">
      <c r="A384" s="2"/>
      <c r="B384" s="2"/>
      <c r="C384" s="2"/>
      <c r="D384" s="2"/>
      <c r="E384" s="2"/>
      <c r="F384" s="2"/>
      <c r="G384" s="2"/>
      <c r="H384" s="2"/>
      <c r="I384" s="5"/>
      <c r="J384" s="93"/>
    </row>
    <row r="385" spans="1:10" ht="15.75" customHeight="1">
      <c r="A385" s="2"/>
      <c r="B385" s="2"/>
      <c r="C385" s="2"/>
      <c r="D385" s="2"/>
      <c r="E385" s="2"/>
      <c r="F385" s="2"/>
      <c r="G385" s="2"/>
      <c r="H385" s="2"/>
      <c r="I385" s="5"/>
      <c r="J385" s="93"/>
    </row>
    <row r="386" spans="1:10" ht="15.75" customHeight="1">
      <c r="A386" s="2"/>
      <c r="B386" s="2"/>
      <c r="C386" s="2"/>
      <c r="D386" s="2"/>
      <c r="E386" s="2"/>
      <c r="F386" s="2"/>
      <c r="G386" s="2"/>
      <c r="H386" s="2"/>
      <c r="I386" s="5"/>
      <c r="J386" s="93"/>
    </row>
    <row r="387" spans="1:10" ht="15.75" customHeight="1">
      <c r="A387" s="2"/>
      <c r="B387" s="2"/>
      <c r="C387" s="2"/>
      <c r="D387" s="2"/>
      <c r="E387" s="2"/>
      <c r="F387" s="2"/>
      <c r="G387" s="2"/>
      <c r="H387" s="2"/>
      <c r="I387" s="5"/>
      <c r="J387" s="93"/>
    </row>
    <row r="388" spans="1:10" ht="15.75" customHeight="1">
      <c r="A388" s="2"/>
      <c r="B388" s="2"/>
      <c r="C388" s="2"/>
      <c r="D388" s="2"/>
      <c r="E388" s="2"/>
      <c r="F388" s="2"/>
      <c r="G388" s="2"/>
      <c r="H388" s="2"/>
      <c r="I388" s="5"/>
      <c r="J388" s="93"/>
    </row>
    <row r="389" spans="1:10" ht="15.75" customHeight="1">
      <c r="A389" s="2"/>
      <c r="B389" s="2"/>
      <c r="C389" s="2"/>
      <c r="D389" s="2"/>
      <c r="E389" s="2"/>
      <c r="F389" s="2"/>
      <c r="G389" s="2"/>
      <c r="H389" s="2"/>
      <c r="I389" s="5"/>
      <c r="J389" s="93"/>
    </row>
    <row r="390" spans="1:10" ht="15.75" customHeight="1">
      <c r="A390" s="2"/>
      <c r="B390" s="2"/>
      <c r="C390" s="2"/>
      <c r="D390" s="2"/>
      <c r="E390" s="2"/>
      <c r="F390" s="2"/>
      <c r="G390" s="2"/>
      <c r="H390" s="2"/>
      <c r="I390" s="5"/>
      <c r="J390" s="93"/>
    </row>
    <row r="391" spans="1:10" ht="15.75" customHeight="1">
      <c r="A391" s="2"/>
      <c r="B391" s="2"/>
      <c r="C391" s="2"/>
      <c r="D391" s="2"/>
      <c r="E391" s="2"/>
      <c r="F391" s="2"/>
      <c r="G391" s="2"/>
      <c r="H391" s="2"/>
      <c r="I391" s="5"/>
      <c r="J391" s="93"/>
    </row>
    <row r="392" spans="1:10" ht="15.75" customHeight="1">
      <c r="A392" s="2"/>
      <c r="B392" s="2"/>
      <c r="C392" s="2"/>
      <c r="D392" s="2"/>
      <c r="E392" s="2"/>
      <c r="F392" s="2"/>
      <c r="G392" s="2"/>
      <c r="H392" s="2"/>
      <c r="I392" s="5"/>
      <c r="J392" s="93"/>
    </row>
    <row r="393" spans="1:10" ht="15.75" customHeight="1">
      <c r="A393" s="2"/>
      <c r="B393" s="2"/>
      <c r="C393" s="2"/>
      <c r="D393" s="2"/>
      <c r="E393" s="2"/>
      <c r="F393" s="2"/>
      <c r="G393" s="2"/>
      <c r="H393" s="2"/>
      <c r="I393" s="5"/>
      <c r="J393" s="93"/>
    </row>
    <row r="394" spans="1:10" ht="15.75" customHeight="1">
      <c r="A394" s="2"/>
      <c r="B394" s="2"/>
      <c r="C394" s="2"/>
      <c r="D394" s="2"/>
      <c r="E394" s="2"/>
      <c r="F394" s="2"/>
      <c r="G394" s="2"/>
      <c r="H394" s="2"/>
      <c r="I394" s="5"/>
      <c r="J394" s="93"/>
    </row>
    <row r="395" spans="1:10" ht="15.75" customHeight="1">
      <c r="A395" s="2"/>
      <c r="B395" s="2"/>
      <c r="C395" s="2"/>
      <c r="D395" s="2"/>
      <c r="E395" s="2"/>
      <c r="F395" s="2"/>
      <c r="G395" s="2"/>
      <c r="H395" s="2"/>
      <c r="I395" s="5"/>
      <c r="J395" s="93"/>
    </row>
    <row r="396" spans="1:10" ht="15.75" customHeight="1">
      <c r="A396" s="2"/>
      <c r="B396" s="2"/>
      <c r="C396" s="2"/>
      <c r="D396" s="2"/>
      <c r="E396" s="2"/>
      <c r="F396" s="2"/>
      <c r="G396" s="2"/>
      <c r="H396" s="2"/>
      <c r="I396" s="5"/>
      <c r="J396" s="93"/>
    </row>
    <row r="397" spans="1:10" ht="15.75" customHeight="1">
      <c r="A397" s="2"/>
      <c r="B397" s="2"/>
      <c r="C397" s="2"/>
      <c r="D397" s="2"/>
      <c r="E397" s="2"/>
      <c r="F397" s="2"/>
      <c r="G397" s="2"/>
      <c r="H397" s="2"/>
      <c r="I397" s="5"/>
      <c r="J397" s="93"/>
    </row>
    <row r="398" spans="1:10" ht="15.75" customHeight="1">
      <c r="A398" s="2"/>
      <c r="B398" s="2"/>
      <c r="C398" s="2"/>
      <c r="D398" s="2"/>
      <c r="E398" s="2"/>
      <c r="F398" s="2"/>
      <c r="G398" s="2"/>
      <c r="H398" s="2"/>
      <c r="I398" s="5"/>
      <c r="J398" s="93"/>
    </row>
    <row r="399" spans="1:10" ht="15.75" customHeight="1">
      <c r="A399" s="2"/>
      <c r="B399" s="2"/>
      <c r="C399" s="2"/>
      <c r="D399" s="2"/>
      <c r="E399" s="2"/>
      <c r="F399" s="2"/>
      <c r="G399" s="2"/>
      <c r="H399" s="2"/>
      <c r="I399" s="5"/>
      <c r="J399" s="93"/>
    </row>
    <row r="400" spans="1:10" ht="15.75" customHeight="1">
      <c r="A400" s="2"/>
      <c r="B400" s="2"/>
      <c r="C400" s="2"/>
      <c r="D400" s="2"/>
      <c r="E400" s="2"/>
      <c r="F400" s="2"/>
      <c r="G400" s="2"/>
      <c r="H400" s="2"/>
      <c r="I400" s="5"/>
      <c r="J400" s="93"/>
    </row>
    <row r="401" spans="1:10" ht="15.75" customHeight="1">
      <c r="A401" s="2"/>
      <c r="B401" s="2"/>
      <c r="C401" s="2"/>
      <c r="D401" s="2"/>
      <c r="E401" s="2"/>
      <c r="F401" s="2"/>
      <c r="G401" s="2"/>
      <c r="H401" s="2"/>
      <c r="I401" s="5"/>
      <c r="J401" s="93"/>
    </row>
    <row r="402" spans="1:10" ht="15.75" customHeight="1">
      <c r="A402" s="2"/>
      <c r="B402" s="2"/>
      <c r="C402" s="2"/>
      <c r="D402" s="2"/>
      <c r="E402" s="2"/>
      <c r="F402" s="2"/>
      <c r="G402" s="2"/>
      <c r="H402" s="2"/>
      <c r="I402" s="5"/>
      <c r="J402" s="93"/>
    </row>
    <row r="403" spans="1:10" ht="15.75" customHeight="1">
      <c r="A403" s="2"/>
      <c r="B403" s="2"/>
      <c r="C403" s="2"/>
      <c r="D403" s="2"/>
      <c r="E403" s="2"/>
      <c r="F403" s="2"/>
      <c r="G403" s="2"/>
      <c r="H403" s="2"/>
      <c r="I403" s="5"/>
      <c r="J403" s="93"/>
    </row>
    <row r="404" spans="1:10" ht="15.75" customHeight="1">
      <c r="A404" s="2"/>
      <c r="B404" s="2"/>
      <c r="C404" s="2"/>
      <c r="D404" s="2"/>
      <c r="E404" s="2"/>
      <c r="F404" s="2"/>
      <c r="G404" s="2"/>
      <c r="H404" s="2"/>
      <c r="I404" s="5"/>
      <c r="J404" s="93"/>
    </row>
    <row r="405" spans="1:10" ht="15.75" customHeight="1">
      <c r="A405" s="2"/>
      <c r="B405" s="2"/>
      <c r="C405" s="2"/>
      <c r="D405" s="2"/>
      <c r="E405" s="2"/>
      <c r="F405" s="2"/>
      <c r="G405" s="2"/>
      <c r="H405" s="2"/>
      <c r="I405" s="5"/>
      <c r="J405" s="93"/>
    </row>
    <row r="406" spans="1:10" ht="15.75" customHeight="1">
      <c r="A406" s="2"/>
      <c r="B406" s="2"/>
      <c r="C406" s="2"/>
      <c r="D406" s="2"/>
      <c r="E406" s="2"/>
      <c r="F406" s="2"/>
      <c r="G406" s="2"/>
      <c r="H406" s="2"/>
      <c r="I406" s="5"/>
      <c r="J406" s="93"/>
    </row>
    <row r="407" spans="1:10" ht="15.75" customHeight="1">
      <c r="A407" s="2"/>
      <c r="B407" s="2"/>
      <c r="C407" s="2"/>
      <c r="D407" s="2"/>
      <c r="E407" s="2"/>
      <c r="F407" s="2"/>
      <c r="G407" s="2"/>
      <c r="H407" s="2"/>
      <c r="I407" s="5"/>
      <c r="J407" s="93"/>
    </row>
    <row r="408" spans="1:10" ht="15.75" customHeight="1">
      <c r="A408" s="2"/>
      <c r="B408" s="2"/>
      <c r="C408" s="2"/>
      <c r="D408" s="2"/>
      <c r="E408" s="2"/>
      <c r="F408" s="2"/>
      <c r="G408" s="2"/>
      <c r="H408" s="2"/>
      <c r="I408" s="5"/>
      <c r="J408" s="93"/>
    </row>
    <row r="409" spans="1:10" ht="15.75" customHeight="1">
      <c r="A409" s="2"/>
      <c r="B409" s="2"/>
      <c r="C409" s="2"/>
      <c r="D409" s="2"/>
      <c r="E409" s="2"/>
      <c r="F409" s="2"/>
      <c r="G409" s="2"/>
      <c r="H409" s="2"/>
      <c r="I409" s="5"/>
      <c r="J409" s="93"/>
    </row>
    <row r="410" spans="1:10" ht="15.75" customHeight="1">
      <c r="A410" s="2"/>
      <c r="B410" s="2"/>
      <c r="C410" s="2"/>
      <c r="D410" s="2"/>
      <c r="E410" s="2"/>
      <c r="F410" s="2"/>
      <c r="G410" s="2"/>
      <c r="H410" s="2"/>
      <c r="I410" s="5"/>
      <c r="J410" s="93"/>
    </row>
    <row r="411" spans="1:10" ht="15.75" customHeight="1">
      <c r="A411" s="2"/>
      <c r="B411" s="2"/>
      <c r="C411" s="2"/>
      <c r="D411" s="2"/>
      <c r="E411" s="2"/>
      <c r="F411" s="2"/>
      <c r="G411" s="2"/>
      <c r="H411" s="2"/>
      <c r="I411" s="5"/>
      <c r="J411" s="93"/>
    </row>
    <row r="412" spans="1:10" ht="15.75" customHeight="1">
      <c r="A412" s="2"/>
      <c r="B412" s="2"/>
      <c r="C412" s="2"/>
      <c r="D412" s="2"/>
      <c r="E412" s="2"/>
      <c r="F412" s="2"/>
      <c r="G412" s="2"/>
      <c r="H412" s="2"/>
      <c r="I412" s="5"/>
      <c r="J412" s="93"/>
    </row>
    <row r="413" spans="1:10" ht="15.75" customHeight="1">
      <c r="A413" s="2"/>
      <c r="B413" s="2"/>
      <c r="C413" s="2"/>
      <c r="D413" s="2"/>
      <c r="E413" s="2"/>
      <c r="F413" s="2"/>
      <c r="G413" s="2"/>
      <c r="H413" s="2"/>
      <c r="I413" s="5"/>
      <c r="J413" s="93"/>
    </row>
    <row r="414" spans="1:10" ht="15.75" customHeight="1">
      <c r="A414" s="2"/>
      <c r="B414" s="2"/>
      <c r="C414" s="2"/>
      <c r="D414" s="2"/>
      <c r="E414" s="2"/>
      <c r="F414" s="2"/>
      <c r="G414" s="2"/>
      <c r="H414" s="2"/>
      <c r="I414" s="5"/>
      <c r="J414" s="93"/>
    </row>
    <row r="415" spans="1:10" ht="15.75" customHeight="1">
      <c r="A415" s="2"/>
      <c r="B415" s="2"/>
      <c r="C415" s="2"/>
      <c r="D415" s="2"/>
      <c r="E415" s="2"/>
      <c r="F415" s="2"/>
      <c r="G415" s="2"/>
      <c r="H415" s="2"/>
      <c r="I415" s="5"/>
      <c r="J415" s="93"/>
    </row>
    <row r="416" spans="1:10" ht="15.75" customHeight="1">
      <c r="A416" s="2"/>
      <c r="B416" s="2"/>
      <c r="C416" s="2"/>
      <c r="D416" s="2"/>
      <c r="E416" s="2"/>
      <c r="F416" s="2"/>
      <c r="G416" s="2"/>
      <c r="H416" s="2"/>
      <c r="I416" s="5"/>
      <c r="J416" s="93"/>
    </row>
    <row r="417" spans="1:10" ht="15.75" customHeight="1">
      <c r="A417" s="2"/>
      <c r="B417" s="2"/>
      <c r="C417" s="2"/>
      <c r="D417" s="2"/>
      <c r="E417" s="2"/>
      <c r="F417" s="2"/>
      <c r="G417" s="2"/>
      <c r="H417" s="2"/>
      <c r="I417" s="5"/>
      <c r="J417" s="93"/>
    </row>
    <row r="418" spans="1:10" ht="15.75" customHeight="1">
      <c r="A418" s="2"/>
      <c r="B418" s="2"/>
      <c r="C418" s="2"/>
      <c r="D418" s="2"/>
      <c r="E418" s="2"/>
      <c r="F418" s="2"/>
      <c r="G418" s="2"/>
      <c r="H418" s="2"/>
      <c r="I418" s="5"/>
      <c r="J418" s="93"/>
    </row>
    <row r="419" spans="1:10" ht="15.75" customHeight="1">
      <c r="A419" s="2"/>
      <c r="B419" s="2"/>
      <c r="C419" s="2"/>
      <c r="D419" s="2"/>
      <c r="E419" s="2"/>
      <c r="F419" s="2"/>
      <c r="G419" s="2"/>
      <c r="H419" s="2"/>
      <c r="I419" s="5"/>
      <c r="J419" s="93"/>
    </row>
    <row r="420" spans="1:10" ht="15.75" customHeight="1">
      <c r="A420" s="2"/>
      <c r="B420" s="2"/>
      <c r="C420" s="2"/>
      <c r="D420" s="2"/>
      <c r="E420" s="2"/>
      <c r="F420" s="2"/>
      <c r="G420" s="2"/>
      <c r="H420" s="2"/>
      <c r="I420" s="5"/>
      <c r="J420" s="93"/>
    </row>
    <row r="421" spans="1:10" ht="15.75" customHeight="1">
      <c r="A421" s="2"/>
      <c r="B421" s="2"/>
      <c r="C421" s="2"/>
      <c r="D421" s="2"/>
      <c r="E421" s="2"/>
      <c r="F421" s="2"/>
      <c r="G421" s="2"/>
      <c r="H421" s="2"/>
      <c r="I421" s="5"/>
      <c r="J421" s="93"/>
    </row>
    <row r="422" spans="1:10" ht="15.75" customHeight="1">
      <c r="A422" s="2"/>
      <c r="B422" s="2"/>
      <c r="C422" s="2"/>
      <c r="D422" s="2"/>
      <c r="E422" s="2"/>
      <c r="F422" s="2"/>
      <c r="G422" s="2"/>
      <c r="H422" s="2"/>
      <c r="I422" s="5"/>
      <c r="J422" s="93"/>
    </row>
    <row r="423" spans="1:10" ht="15.75" customHeight="1">
      <c r="A423" s="2"/>
      <c r="B423" s="2"/>
      <c r="C423" s="2"/>
      <c r="D423" s="2"/>
      <c r="E423" s="2"/>
      <c r="F423" s="2"/>
      <c r="G423" s="2"/>
      <c r="H423" s="2"/>
      <c r="I423" s="5"/>
      <c r="J423" s="93"/>
    </row>
    <row r="424" spans="1:10" ht="15.75" customHeight="1">
      <c r="A424" s="2"/>
      <c r="B424" s="2"/>
      <c r="C424" s="2"/>
      <c r="D424" s="2"/>
      <c r="E424" s="2"/>
      <c r="F424" s="2"/>
      <c r="G424" s="2"/>
      <c r="H424" s="2"/>
      <c r="I424" s="5"/>
      <c r="J424" s="93"/>
    </row>
    <row r="425" spans="1:10" ht="15.75" customHeight="1">
      <c r="A425" s="2"/>
      <c r="B425" s="2"/>
      <c r="C425" s="2"/>
      <c r="D425" s="2"/>
      <c r="E425" s="2"/>
      <c r="F425" s="2"/>
      <c r="G425" s="2"/>
      <c r="H425" s="2"/>
      <c r="I425" s="5"/>
      <c r="J425" s="93"/>
    </row>
    <row r="426" spans="1:10" ht="15.75" customHeight="1">
      <c r="A426" s="2"/>
      <c r="B426" s="2"/>
      <c r="C426" s="2"/>
      <c r="D426" s="2"/>
      <c r="E426" s="2"/>
      <c r="F426" s="2"/>
      <c r="G426" s="2"/>
      <c r="H426" s="2"/>
      <c r="I426" s="5"/>
      <c r="J426" s="93"/>
    </row>
    <row r="427" spans="1:10" ht="15.75" customHeight="1">
      <c r="A427" s="2"/>
      <c r="B427" s="2"/>
      <c r="C427" s="2"/>
      <c r="D427" s="2"/>
      <c r="E427" s="2"/>
      <c r="F427" s="2"/>
      <c r="G427" s="2"/>
      <c r="H427" s="2"/>
      <c r="I427" s="5"/>
      <c r="J427" s="93"/>
    </row>
    <row r="428" spans="1:10" ht="15.75" customHeight="1">
      <c r="A428" s="2"/>
      <c r="B428" s="2"/>
      <c r="C428" s="2"/>
      <c r="D428" s="2"/>
      <c r="E428" s="2"/>
      <c r="F428" s="2"/>
      <c r="G428" s="2"/>
      <c r="H428" s="2"/>
      <c r="I428" s="5"/>
      <c r="J428" s="93"/>
    </row>
    <row r="429" spans="1:10" ht="15.75" customHeight="1">
      <c r="A429" s="2"/>
      <c r="B429" s="2"/>
      <c r="C429" s="2"/>
      <c r="D429" s="2"/>
      <c r="E429" s="2"/>
      <c r="F429" s="2"/>
      <c r="G429" s="2"/>
      <c r="H429" s="2"/>
      <c r="I429" s="5"/>
      <c r="J429" s="93"/>
    </row>
    <row r="430" spans="1:10" ht="15.75" customHeight="1">
      <c r="A430" s="2"/>
      <c r="B430" s="2"/>
      <c r="C430" s="2"/>
      <c r="D430" s="2"/>
      <c r="E430" s="2"/>
      <c r="F430" s="2"/>
      <c r="G430" s="2"/>
      <c r="H430" s="2"/>
      <c r="I430" s="5"/>
      <c r="J430" s="93"/>
    </row>
    <row r="431" spans="1:10" ht="15.75" customHeight="1">
      <c r="A431" s="2"/>
      <c r="B431" s="2"/>
      <c r="C431" s="2"/>
      <c r="D431" s="2"/>
      <c r="E431" s="2"/>
      <c r="F431" s="2"/>
      <c r="G431" s="2"/>
      <c r="H431" s="2"/>
      <c r="I431" s="5"/>
      <c r="J431" s="93"/>
    </row>
    <row r="432" spans="1:10" ht="15.75" customHeight="1">
      <c r="A432" s="2"/>
      <c r="B432" s="2"/>
      <c r="C432" s="2"/>
      <c r="D432" s="2"/>
      <c r="E432" s="2"/>
      <c r="F432" s="2"/>
      <c r="G432" s="2"/>
      <c r="H432" s="2"/>
      <c r="I432" s="5"/>
      <c r="J432" s="93"/>
    </row>
    <row r="433" spans="1:10" ht="15.75" customHeight="1">
      <c r="A433" s="2"/>
      <c r="B433" s="2"/>
      <c r="C433" s="2"/>
      <c r="D433" s="2"/>
      <c r="E433" s="2"/>
      <c r="F433" s="2"/>
      <c r="G433" s="2"/>
      <c r="H433" s="2"/>
      <c r="I433" s="5"/>
      <c r="J433" s="93"/>
    </row>
    <row r="434" spans="1:10" ht="15.75" customHeight="1">
      <c r="A434" s="2"/>
      <c r="B434" s="2"/>
      <c r="C434" s="2"/>
      <c r="D434" s="2"/>
      <c r="E434" s="2"/>
      <c r="F434" s="2"/>
      <c r="G434" s="2"/>
      <c r="H434" s="2"/>
      <c r="I434" s="5"/>
      <c r="J434" s="93"/>
    </row>
    <row r="435" spans="1:10" ht="15.75" customHeight="1">
      <c r="A435" s="2"/>
      <c r="B435" s="2"/>
      <c r="C435" s="2"/>
      <c r="D435" s="2"/>
      <c r="E435" s="2"/>
      <c r="F435" s="2"/>
      <c r="G435" s="2"/>
      <c r="H435" s="2"/>
      <c r="I435" s="5"/>
      <c r="J435" s="93"/>
    </row>
    <row r="436" spans="1:10" ht="15.75" customHeight="1">
      <c r="A436" s="2"/>
      <c r="B436" s="2"/>
      <c r="C436" s="2"/>
      <c r="D436" s="2"/>
      <c r="E436" s="2"/>
      <c r="F436" s="2"/>
      <c r="G436" s="2"/>
      <c r="H436" s="2"/>
      <c r="I436" s="5"/>
      <c r="J436" s="93"/>
    </row>
    <row r="437" spans="1:10" ht="15.75" customHeight="1">
      <c r="A437" s="2"/>
      <c r="B437" s="2"/>
      <c r="C437" s="2"/>
      <c r="D437" s="2"/>
      <c r="E437" s="2"/>
      <c r="F437" s="2"/>
      <c r="G437" s="2"/>
      <c r="H437" s="2"/>
      <c r="I437" s="5"/>
      <c r="J437" s="93"/>
    </row>
    <row r="438" spans="1:10" ht="15.75" customHeight="1">
      <c r="A438" s="2"/>
      <c r="B438" s="2"/>
      <c r="C438" s="2"/>
      <c r="D438" s="2"/>
      <c r="E438" s="2"/>
      <c r="F438" s="2"/>
      <c r="G438" s="2"/>
      <c r="H438" s="2"/>
      <c r="I438" s="5"/>
      <c r="J438" s="93"/>
    </row>
    <row r="439" spans="1:10" ht="15.75" customHeight="1">
      <c r="A439" s="2"/>
      <c r="B439" s="2"/>
      <c r="C439" s="2"/>
      <c r="D439" s="2"/>
      <c r="E439" s="2"/>
      <c r="F439" s="2"/>
      <c r="G439" s="2"/>
      <c r="H439" s="2"/>
      <c r="I439" s="5"/>
      <c r="J439" s="93"/>
    </row>
    <row r="440" spans="1:10" ht="15.75" customHeight="1">
      <c r="A440" s="2"/>
      <c r="B440" s="2"/>
      <c r="C440" s="2"/>
      <c r="D440" s="2"/>
      <c r="E440" s="2"/>
      <c r="F440" s="2"/>
      <c r="G440" s="2"/>
      <c r="H440" s="2"/>
      <c r="I440" s="5"/>
      <c r="J440" s="93"/>
    </row>
    <row r="441" spans="1:10" ht="15.75" customHeight="1">
      <c r="A441" s="2"/>
      <c r="B441" s="2"/>
      <c r="C441" s="2"/>
      <c r="D441" s="2"/>
      <c r="E441" s="2"/>
      <c r="F441" s="2"/>
      <c r="G441" s="2"/>
      <c r="H441" s="2"/>
      <c r="I441" s="5"/>
      <c r="J441" s="93"/>
    </row>
    <row r="442" spans="1:10" ht="15.75" customHeight="1">
      <c r="A442" s="2"/>
      <c r="B442" s="2"/>
      <c r="C442" s="2"/>
      <c r="D442" s="2"/>
      <c r="E442" s="2"/>
      <c r="F442" s="2"/>
      <c r="G442" s="2"/>
      <c r="H442" s="2"/>
      <c r="I442" s="5"/>
      <c r="J442" s="93"/>
    </row>
    <row r="443" spans="1:10" ht="15.75" customHeight="1">
      <c r="A443" s="2"/>
      <c r="B443" s="2"/>
      <c r="C443" s="2"/>
      <c r="D443" s="2"/>
      <c r="E443" s="2"/>
      <c r="F443" s="2"/>
      <c r="G443" s="2"/>
      <c r="H443" s="2"/>
      <c r="I443" s="5"/>
      <c r="J443" s="93"/>
    </row>
    <row r="444" spans="1:10" ht="15.75" customHeight="1">
      <c r="A444" s="2"/>
      <c r="B444" s="2"/>
      <c r="C444" s="2"/>
      <c r="D444" s="2"/>
      <c r="E444" s="2"/>
      <c r="F444" s="2"/>
      <c r="G444" s="2"/>
      <c r="H444" s="2"/>
      <c r="I444" s="5"/>
      <c r="J444" s="93"/>
    </row>
    <row r="445" spans="1:10" ht="15.75" customHeight="1">
      <c r="A445" s="2"/>
      <c r="B445" s="2"/>
      <c r="C445" s="2"/>
      <c r="D445" s="2"/>
      <c r="E445" s="2"/>
      <c r="F445" s="2"/>
      <c r="G445" s="2"/>
      <c r="H445" s="2"/>
      <c r="I445" s="5"/>
      <c r="J445" s="93"/>
    </row>
    <row r="446" spans="1:10" ht="15.75" customHeight="1">
      <c r="A446" s="2"/>
      <c r="B446" s="2"/>
      <c r="C446" s="2"/>
      <c r="D446" s="2"/>
      <c r="E446" s="2"/>
      <c r="F446" s="2"/>
      <c r="G446" s="2"/>
      <c r="H446" s="2"/>
      <c r="I446" s="5"/>
      <c r="J446" s="93"/>
    </row>
    <row r="447" spans="1:10" ht="15.75" customHeight="1">
      <c r="A447" s="2"/>
      <c r="B447" s="2"/>
      <c r="C447" s="2"/>
      <c r="D447" s="2"/>
      <c r="E447" s="2"/>
      <c r="F447" s="2"/>
      <c r="G447" s="2"/>
      <c r="H447" s="2"/>
      <c r="I447" s="5"/>
      <c r="J447" s="93"/>
    </row>
    <row r="448" spans="1:10" ht="15.75" customHeight="1">
      <c r="A448" s="2"/>
      <c r="B448" s="2"/>
      <c r="C448" s="2"/>
      <c r="D448" s="2"/>
      <c r="E448" s="2"/>
      <c r="F448" s="2"/>
      <c r="G448" s="2"/>
      <c r="H448" s="2"/>
      <c r="I448" s="5"/>
      <c r="J448" s="93"/>
    </row>
    <row r="449" spans="1:10" ht="15.75" customHeight="1">
      <c r="A449" s="2"/>
      <c r="B449" s="2"/>
      <c r="C449" s="2"/>
      <c r="D449" s="2"/>
      <c r="E449" s="2"/>
      <c r="F449" s="2"/>
      <c r="G449" s="2"/>
      <c r="H449" s="2"/>
      <c r="I449" s="5"/>
      <c r="J449" s="93"/>
    </row>
    <row r="450" spans="1:10" ht="15.75" customHeight="1">
      <c r="A450" s="2"/>
      <c r="B450" s="2"/>
      <c r="C450" s="2"/>
      <c r="D450" s="2"/>
      <c r="E450" s="2"/>
      <c r="F450" s="2"/>
      <c r="G450" s="2"/>
      <c r="H450" s="2"/>
      <c r="I450" s="5"/>
      <c r="J450" s="93"/>
    </row>
    <row r="451" spans="1:10" ht="15.75" customHeight="1">
      <c r="A451" s="2"/>
      <c r="B451" s="2"/>
      <c r="C451" s="2"/>
      <c r="D451" s="2"/>
      <c r="E451" s="2"/>
      <c r="F451" s="2"/>
      <c r="G451" s="2"/>
      <c r="H451" s="2"/>
      <c r="I451" s="5"/>
      <c r="J451" s="93"/>
    </row>
    <row r="452" spans="1:10" ht="15.75" customHeight="1">
      <c r="A452" s="2"/>
      <c r="B452" s="2"/>
      <c r="C452" s="2"/>
      <c r="D452" s="2"/>
      <c r="E452" s="2"/>
      <c r="F452" s="2"/>
      <c r="G452" s="2"/>
      <c r="H452" s="2"/>
      <c r="I452" s="5"/>
      <c r="J452" s="93"/>
    </row>
    <row r="453" spans="1:10" ht="15.75" customHeight="1">
      <c r="A453" s="2"/>
      <c r="B453" s="2"/>
      <c r="C453" s="2"/>
      <c r="D453" s="2"/>
      <c r="E453" s="2"/>
      <c r="F453" s="2"/>
      <c r="G453" s="2"/>
      <c r="H453" s="2"/>
      <c r="I453" s="5"/>
      <c r="J453" s="93"/>
    </row>
    <row r="454" spans="1:10" ht="15.75" customHeight="1">
      <c r="A454" s="2"/>
      <c r="B454" s="2"/>
      <c r="C454" s="2"/>
      <c r="D454" s="2"/>
      <c r="E454" s="2"/>
      <c r="F454" s="2"/>
      <c r="G454" s="2"/>
      <c r="H454" s="2"/>
      <c r="I454" s="5"/>
      <c r="J454" s="93"/>
    </row>
    <row r="455" spans="1:10" ht="15.75" customHeight="1">
      <c r="A455" s="2"/>
      <c r="B455" s="2"/>
      <c r="C455" s="2"/>
      <c r="D455" s="2"/>
      <c r="E455" s="2"/>
      <c r="F455" s="2"/>
      <c r="G455" s="2"/>
      <c r="H455" s="2"/>
      <c r="I455" s="5"/>
      <c r="J455" s="93"/>
    </row>
    <row r="456" spans="1:10" ht="15.75" customHeight="1">
      <c r="A456" s="2"/>
      <c r="B456" s="2"/>
      <c r="C456" s="2"/>
      <c r="D456" s="2"/>
      <c r="E456" s="2"/>
      <c r="F456" s="2"/>
      <c r="G456" s="2"/>
      <c r="H456" s="2"/>
      <c r="I456" s="5"/>
      <c r="J456" s="93"/>
    </row>
    <row r="457" spans="1:10" ht="15.75" customHeight="1">
      <c r="A457" s="2"/>
      <c r="B457" s="2"/>
      <c r="C457" s="2"/>
      <c r="D457" s="2"/>
      <c r="E457" s="2"/>
      <c r="F457" s="2"/>
      <c r="G457" s="2"/>
      <c r="H457" s="2"/>
      <c r="I457" s="5"/>
      <c r="J457" s="93"/>
    </row>
    <row r="458" spans="1:10" ht="15.75" customHeight="1">
      <c r="A458" s="2"/>
      <c r="B458" s="2"/>
      <c r="C458" s="2"/>
      <c r="D458" s="2"/>
      <c r="E458" s="2"/>
      <c r="F458" s="2"/>
      <c r="G458" s="2"/>
      <c r="H458" s="2"/>
      <c r="I458" s="5"/>
      <c r="J458" s="93"/>
    </row>
    <row r="459" spans="1:10" ht="15.75" customHeight="1">
      <c r="A459" s="2"/>
      <c r="B459" s="2"/>
      <c r="C459" s="2"/>
      <c r="D459" s="2"/>
      <c r="E459" s="2"/>
      <c r="F459" s="2"/>
      <c r="G459" s="2"/>
      <c r="H459" s="2"/>
      <c r="I459" s="5"/>
      <c r="J459" s="93"/>
    </row>
    <row r="460" spans="1:10" ht="15.75" customHeight="1">
      <c r="A460" s="2"/>
      <c r="B460" s="2"/>
      <c r="C460" s="2"/>
      <c r="D460" s="2"/>
      <c r="E460" s="2"/>
      <c r="F460" s="2"/>
      <c r="G460" s="2"/>
      <c r="H460" s="2"/>
      <c r="I460" s="5"/>
      <c r="J460" s="93"/>
    </row>
    <row r="461" spans="1:10" ht="15.75" customHeight="1">
      <c r="A461" s="2"/>
      <c r="B461" s="2"/>
      <c r="C461" s="2"/>
      <c r="D461" s="2"/>
      <c r="E461" s="2"/>
      <c r="F461" s="2"/>
      <c r="G461" s="2"/>
      <c r="H461" s="2"/>
      <c r="I461" s="5"/>
      <c r="J461" s="93"/>
    </row>
    <row r="462" spans="1:10" ht="15.75" customHeight="1">
      <c r="A462" s="2"/>
      <c r="B462" s="2"/>
      <c r="C462" s="2"/>
      <c r="D462" s="2"/>
      <c r="E462" s="2"/>
      <c r="F462" s="2"/>
      <c r="G462" s="2"/>
      <c r="H462" s="2"/>
      <c r="I462" s="5"/>
      <c r="J462" s="93"/>
    </row>
    <row r="463" spans="1:10" ht="15.75" customHeight="1">
      <c r="A463" s="2"/>
      <c r="B463" s="2"/>
      <c r="C463" s="2"/>
      <c r="D463" s="2"/>
      <c r="E463" s="2"/>
      <c r="F463" s="2"/>
      <c r="G463" s="2"/>
      <c r="H463" s="2"/>
      <c r="I463" s="5"/>
      <c r="J463" s="93"/>
    </row>
    <row r="464" spans="1:10" ht="15.75" customHeight="1">
      <c r="A464" s="2"/>
      <c r="B464" s="2"/>
      <c r="C464" s="2"/>
      <c r="D464" s="2"/>
      <c r="E464" s="2"/>
      <c r="F464" s="2"/>
      <c r="G464" s="2"/>
      <c r="H464" s="2"/>
      <c r="I464" s="5"/>
      <c r="J464" s="93"/>
    </row>
    <row r="465" spans="1:10" ht="15.75" customHeight="1">
      <c r="A465" s="2"/>
      <c r="B465" s="2"/>
      <c r="C465" s="2"/>
      <c r="D465" s="2"/>
      <c r="E465" s="2"/>
      <c r="F465" s="2"/>
      <c r="G465" s="2"/>
      <c r="H465" s="2"/>
      <c r="I465" s="5"/>
      <c r="J465" s="93"/>
    </row>
    <row r="466" spans="1:10" ht="15.75" customHeight="1">
      <c r="A466" s="2"/>
      <c r="B466" s="2"/>
      <c r="C466" s="2"/>
      <c r="D466" s="2"/>
      <c r="E466" s="2"/>
      <c r="F466" s="2"/>
      <c r="G466" s="2"/>
      <c r="H466" s="2"/>
      <c r="I466" s="5"/>
      <c r="J466" s="93"/>
    </row>
    <row r="467" spans="1:10" ht="15.75" customHeight="1">
      <c r="A467" s="2"/>
      <c r="B467" s="2"/>
      <c r="C467" s="2"/>
      <c r="D467" s="2"/>
      <c r="E467" s="2"/>
      <c r="F467" s="2"/>
      <c r="G467" s="2"/>
      <c r="H467" s="2"/>
      <c r="I467" s="5"/>
      <c r="J467" s="93"/>
    </row>
    <row r="468" spans="1:10" ht="15.75" customHeight="1">
      <c r="A468" s="2"/>
      <c r="B468" s="2"/>
      <c r="C468" s="2"/>
      <c r="D468" s="2"/>
      <c r="E468" s="2"/>
      <c r="F468" s="2"/>
      <c r="G468" s="2"/>
      <c r="H468" s="2"/>
      <c r="I468" s="5"/>
      <c r="J468" s="93"/>
    </row>
    <row r="469" spans="1:10" ht="15.75" customHeight="1">
      <c r="A469" s="2"/>
      <c r="B469" s="2"/>
      <c r="C469" s="2"/>
      <c r="D469" s="2"/>
      <c r="E469" s="2"/>
      <c r="F469" s="2"/>
      <c r="G469" s="2"/>
      <c r="H469" s="2"/>
      <c r="I469" s="5"/>
      <c r="J469" s="93"/>
    </row>
    <row r="470" spans="1:10" ht="15.75" customHeight="1">
      <c r="A470" s="2"/>
      <c r="B470" s="2"/>
      <c r="C470" s="2"/>
      <c r="D470" s="2"/>
      <c r="E470" s="2"/>
      <c r="F470" s="2"/>
      <c r="G470" s="2"/>
      <c r="H470" s="2"/>
      <c r="I470" s="5"/>
      <c r="J470" s="93"/>
    </row>
    <row r="471" spans="1:10" ht="15.75" customHeight="1">
      <c r="A471" s="2"/>
      <c r="B471" s="2"/>
      <c r="C471" s="2"/>
      <c r="D471" s="2"/>
      <c r="E471" s="2"/>
      <c r="F471" s="2"/>
      <c r="G471" s="2"/>
      <c r="H471" s="2"/>
      <c r="I471" s="5"/>
      <c r="J471" s="93"/>
    </row>
    <row r="472" spans="1:10" ht="15.75" customHeight="1">
      <c r="A472" s="2"/>
      <c r="B472" s="2"/>
      <c r="C472" s="2"/>
      <c r="D472" s="2"/>
      <c r="E472" s="2"/>
      <c r="F472" s="2"/>
      <c r="G472" s="2"/>
      <c r="H472" s="2"/>
      <c r="I472" s="5"/>
      <c r="J472" s="93"/>
    </row>
    <row r="473" spans="1:10" ht="15.75" customHeight="1">
      <c r="A473" s="2"/>
      <c r="B473" s="2"/>
      <c r="C473" s="2"/>
      <c r="D473" s="2"/>
      <c r="E473" s="2"/>
      <c r="F473" s="2"/>
      <c r="G473" s="2"/>
      <c r="H473" s="2"/>
      <c r="I473" s="5"/>
      <c r="J473" s="93"/>
    </row>
    <row r="474" spans="1:10" ht="15.75" customHeight="1">
      <c r="A474" s="2"/>
      <c r="B474" s="2"/>
      <c r="C474" s="2"/>
      <c r="D474" s="2"/>
      <c r="E474" s="2"/>
      <c r="F474" s="2"/>
      <c r="G474" s="2"/>
      <c r="H474" s="2"/>
      <c r="I474" s="5"/>
      <c r="J474" s="93"/>
    </row>
    <row r="475" spans="1:10" ht="15.75" customHeight="1">
      <c r="A475" s="2"/>
      <c r="B475" s="2"/>
      <c r="C475" s="2"/>
      <c r="D475" s="2"/>
      <c r="E475" s="2"/>
      <c r="F475" s="2"/>
      <c r="G475" s="2"/>
      <c r="H475" s="2"/>
      <c r="I475" s="5"/>
      <c r="J475" s="93"/>
    </row>
    <row r="476" spans="1:10" ht="15.75" customHeight="1">
      <c r="A476" s="2"/>
      <c r="B476" s="2"/>
      <c r="C476" s="2"/>
      <c r="D476" s="2"/>
      <c r="E476" s="2"/>
      <c r="F476" s="2"/>
      <c r="G476" s="2"/>
      <c r="H476" s="2"/>
      <c r="I476" s="5"/>
      <c r="J476" s="93"/>
    </row>
    <row r="477" spans="1:10" ht="15.75" customHeight="1">
      <c r="A477" s="2"/>
      <c r="B477" s="2"/>
      <c r="C477" s="2"/>
      <c r="D477" s="2"/>
      <c r="E477" s="2"/>
      <c r="F477" s="2"/>
      <c r="G477" s="2"/>
      <c r="H477" s="2"/>
      <c r="I477" s="5"/>
      <c r="J477" s="93"/>
    </row>
    <row r="478" spans="1:10" ht="15.75" customHeight="1">
      <c r="A478" s="2"/>
      <c r="B478" s="2"/>
      <c r="C478" s="2"/>
      <c r="D478" s="2"/>
      <c r="E478" s="2"/>
      <c r="F478" s="2"/>
      <c r="G478" s="2"/>
      <c r="H478" s="2"/>
      <c r="I478" s="5"/>
      <c r="J478" s="93"/>
    </row>
    <row r="479" spans="1:10" ht="15.75" customHeight="1">
      <c r="A479" s="2"/>
      <c r="B479" s="2"/>
      <c r="C479" s="2"/>
      <c r="D479" s="2"/>
      <c r="E479" s="2"/>
      <c r="F479" s="2"/>
      <c r="G479" s="2"/>
      <c r="H479" s="2"/>
      <c r="I479" s="5"/>
      <c r="J479" s="93"/>
    </row>
    <row r="480" spans="1:10" ht="15.75" customHeight="1">
      <c r="A480" s="2"/>
      <c r="B480" s="2"/>
      <c r="C480" s="2"/>
      <c r="D480" s="2"/>
      <c r="E480" s="2"/>
      <c r="F480" s="2"/>
      <c r="G480" s="2"/>
      <c r="H480" s="2"/>
      <c r="I480" s="5"/>
      <c r="J480" s="93"/>
    </row>
    <row r="481" spans="1:10" ht="15.75" customHeight="1">
      <c r="A481" s="2"/>
      <c r="B481" s="2"/>
      <c r="C481" s="2"/>
      <c r="D481" s="2"/>
      <c r="E481" s="2"/>
      <c r="F481" s="2"/>
      <c r="G481" s="2"/>
      <c r="H481" s="2"/>
      <c r="I481" s="5"/>
      <c r="J481" s="93"/>
    </row>
    <row r="482" spans="1:10" ht="15.75" customHeight="1">
      <c r="A482" s="2"/>
      <c r="B482" s="2"/>
      <c r="C482" s="2"/>
      <c r="D482" s="2"/>
      <c r="E482" s="2"/>
      <c r="F482" s="2"/>
      <c r="G482" s="2"/>
      <c r="H482" s="2"/>
      <c r="I482" s="5"/>
      <c r="J482" s="93"/>
    </row>
    <row r="483" spans="1:10" ht="15.75" customHeight="1">
      <c r="A483" s="2"/>
      <c r="B483" s="2"/>
      <c r="C483" s="2"/>
      <c r="D483" s="2"/>
      <c r="E483" s="2"/>
      <c r="F483" s="2"/>
      <c r="G483" s="2"/>
      <c r="H483" s="2"/>
      <c r="I483" s="5"/>
      <c r="J483" s="93"/>
    </row>
    <row r="484" spans="1:10" ht="15.75" customHeight="1">
      <c r="A484" s="2"/>
      <c r="B484" s="2"/>
      <c r="C484" s="2"/>
      <c r="D484" s="2"/>
      <c r="E484" s="2"/>
      <c r="F484" s="2"/>
      <c r="G484" s="2"/>
      <c r="H484" s="2"/>
      <c r="I484" s="5"/>
      <c r="J484" s="93"/>
    </row>
    <row r="485" spans="1:10" ht="15.75" customHeight="1">
      <c r="A485" s="2"/>
      <c r="B485" s="2"/>
      <c r="C485" s="2"/>
      <c r="D485" s="2"/>
      <c r="E485" s="2"/>
      <c r="F485" s="2"/>
      <c r="G485" s="2"/>
      <c r="H485" s="2"/>
      <c r="I485" s="5"/>
      <c r="J485" s="93"/>
    </row>
    <row r="486" spans="1:10" ht="15.75" customHeight="1">
      <c r="A486" s="2"/>
      <c r="B486" s="2"/>
      <c r="C486" s="2"/>
      <c r="D486" s="2"/>
      <c r="E486" s="2"/>
      <c r="F486" s="2"/>
      <c r="G486" s="2"/>
      <c r="H486" s="2"/>
      <c r="I486" s="5"/>
      <c r="J486" s="93"/>
    </row>
    <row r="487" spans="1:10" ht="15.75" customHeight="1">
      <c r="A487" s="2"/>
      <c r="B487" s="2"/>
      <c r="C487" s="2"/>
      <c r="D487" s="2"/>
      <c r="E487" s="2"/>
      <c r="F487" s="2"/>
      <c r="G487" s="2"/>
      <c r="H487" s="2"/>
      <c r="I487" s="5"/>
      <c r="J487" s="93"/>
    </row>
    <row r="488" spans="1:10" ht="15.75" customHeight="1">
      <c r="A488" s="2"/>
      <c r="B488" s="2"/>
      <c r="C488" s="2"/>
      <c r="D488" s="2"/>
      <c r="E488" s="2"/>
      <c r="F488" s="2"/>
      <c r="G488" s="2"/>
      <c r="H488" s="2"/>
      <c r="I488" s="5"/>
      <c r="J488" s="93"/>
    </row>
    <row r="489" spans="1:10" ht="15.75" customHeight="1">
      <c r="A489" s="2"/>
      <c r="B489" s="2"/>
      <c r="C489" s="2"/>
      <c r="D489" s="2"/>
      <c r="E489" s="2"/>
      <c r="F489" s="2"/>
      <c r="G489" s="2"/>
      <c r="H489" s="2"/>
      <c r="I489" s="5"/>
      <c r="J489" s="93"/>
    </row>
    <row r="490" spans="1:10" ht="15.75" customHeight="1">
      <c r="A490" s="2"/>
      <c r="B490" s="2"/>
      <c r="C490" s="2"/>
      <c r="D490" s="2"/>
      <c r="E490" s="2"/>
      <c r="F490" s="2"/>
      <c r="G490" s="2"/>
      <c r="H490" s="2"/>
      <c r="I490" s="5"/>
      <c r="J490" s="93"/>
    </row>
    <row r="491" spans="1:10" ht="15.75" customHeight="1">
      <c r="A491" s="2"/>
      <c r="B491" s="2"/>
      <c r="C491" s="2"/>
      <c r="D491" s="2"/>
      <c r="E491" s="2"/>
      <c r="F491" s="2"/>
      <c r="G491" s="2"/>
      <c r="H491" s="2"/>
      <c r="I491" s="5"/>
      <c r="J491" s="93"/>
    </row>
    <row r="492" spans="1:10" ht="15.75" customHeight="1">
      <c r="A492" s="2"/>
      <c r="B492" s="2"/>
      <c r="C492" s="2"/>
      <c r="D492" s="2"/>
      <c r="E492" s="2"/>
      <c r="F492" s="2"/>
      <c r="G492" s="2"/>
      <c r="H492" s="2"/>
      <c r="I492" s="5"/>
      <c r="J492" s="93"/>
    </row>
    <row r="493" spans="1:10" ht="15.75" customHeight="1">
      <c r="A493" s="2"/>
      <c r="B493" s="2"/>
      <c r="C493" s="2"/>
      <c r="D493" s="2"/>
      <c r="E493" s="2"/>
      <c r="F493" s="2"/>
      <c r="G493" s="2"/>
      <c r="H493" s="2"/>
      <c r="I493" s="5"/>
      <c r="J493" s="93"/>
    </row>
    <row r="494" spans="1:10" ht="15.75" customHeight="1">
      <c r="A494" s="2"/>
      <c r="B494" s="2"/>
      <c r="C494" s="2"/>
      <c r="D494" s="2"/>
      <c r="E494" s="2"/>
      <c r="F494" s="2"/>
      <c r="G494" s="2"/>
      <c r="H494" s="2"/>
      <c r="I494" s="5"/>
      <c r="J494" s="93"/>
    </row>
    <row r="495" spans="1:10" ht="15.75" customHeight="1">
      <c r="A495" s="2"/>
      <c r="B495" s="2"/>
      <c r="C495" s="2"/>
      <c r="D495" s="2"/>
      <c r="E495" s="2"/>
      <c r="F495" s="2"/>
      <c r="G495" s="2"/>
      <c r="H495" s="2"/>
      <c r="I495" s="5"/>
      <c r="J495" s="93"/>
    </row>
    <row r="496" spans="1:10" ht="15.75" customHeight="1">
      <c r="A496" s="2"/>
      <c r="B496" s="2"/>
      <c r="C496" s="2"/>
      <c r="D496" s="2"/>
      <c r="E496" s="2"/>
      <c r="F496" s="2"/>
      <c r="G496" s="2"/>
      <c r="H496" s="2"/>
      <c r="I496" s="5"/>
      <c r="J496" s="93"/>
    </row>
    <row r="497" spans="1:10" ht="15.75" customHeight="1">
      <c r="A497" s="2"/>
      <c r="B497" s="2"/>
      <c r="C497" s="2"/>
      <c r="D497" s="2"/>
      <c r="E497" s="2"/>
      <c r="F497" s="2"/>
      <c r="G497" s="2"/>
      <c r="H497" s="2"/>
      <c r="I497" s="5"/>
      <c r="J497" s="93"/>
    </row>
    <row r="498" spans="1:10" ht="15.75" customHeight="1">
      <c r="A498" s="2"/>
      <c r="B498" s="2"/>
      <c r="C498" s="2"/>
      <c r="D498" s="2"/>
      <c r="E498" s="2"/>
      <c r="F498" s="2"/>
      <c r="G498" s="2"/>
      <c r="H498" s="2"/>
      <c r="I498" s="5"/>
      <c r="J498" s="93"/>
    </row>
    <row r="499" spans="1:10" ht="15.75" customHeight="1">
      <c r="A499" s="2"/>
      <c r="B499" s="2"/>
      <c r="C499" s="2"/>
      <c r="D499" s="2"/>
      <c r="E499" s="2"/>
      <c r="F499" s="2"/>
      <c r="G499" s="2"/>
      <c r="H499" s="2"/>
      <c r="I499" s="5"/>
      <c r="J499" s="93"/>
    </row>
    <row r="500" spans="1:10" ht="15.75" customHeight="1">
      <c r="A500" s="2"/>
      <c r="B500" s="2"/>
      <c r="C500" s="2"/>
      <c r="D500" s="2"/>
      <c r="E500" s="2"/>
      <c r="F500" s="2"/>
      <c r="G500" s="2"/>
      <c r="H500" s="2"/>
      <c r="I500" s="5"/>
      <c r="J500" s="93"/>
    </row>
    <row r="501" spans="1:10" ht="15.75" customHeight="1">
      <c r="A501" s="2"/>
      <c r="B501" s="2"/>
      <c r="C501" s="2"/>
      <c r="D501" s="2"/>
      <c r="E501" s="2"/>
      <c r="F501" s="2"/>
      <c r="G501" s="2"/>
      <c r="H501" s="2"/>
      <c r="I501" s="5"/>
      <c r="J501" s="93"/>
    </row>
    <row r="502" spans="1:10" ht="15.75" customHeight="1">
      <c r="A502" s="2"/>
      <c r="B502" s="2"/>
      <c r="C502" s="2"/>
      <c r="D502" s="2"/>
      <c r="E502" s="2"/>
      <c r="F502" s="2"/>
      <c r="G502" s="2"/>
      <c r="H502" s="2"/>
      <c r="I502" s="5"/>
      <c r="J502" s="93"/>
    </row>
    <row r="503" spans="1:10" ht="15.75" customHeight="1">
      <c r="A503" s="2"/>
      <c r="B503" s="2"/>
      <c r="C503" s="2"/>
      <c r="D503" s="2"/>
      <c r="E503" s="2"/>
      <c r="F503" s="2"/>
      <c r="G503" s="2"/>
      <c r="H503" s="2"/>
      <c r="I503" s="5"/>
      <c r="J503" s="93"/>
    </row>
    <row r="504" spans="1:10" ht="15.75" customHeight="1">
      <c r="A504" s="2"/>
      <c r="B504" s="2"/>
      <c r="C504" s="2"/>
      <c r="D504" s="2"/>
      <c r="E504" s="2"/>
      <c r="F504" s="2"/>
      <c r="G504" s="2"/>
      <c r="H504" s="2"/>
      <c r="I504" s="5"/>
      <c r="J504" s="93"/>
    </row>
    <row r="505" spans="1:10" ht="15.75" customHeight="1">
      <c r="A505" s="2"/>
      <c r="B505" s="2"/>
      <c r="C505" s="2"/>
      <c r="D505" s="2"/>
      <c r="E505" s="2"/>
      <c r="F505" s="2"/>
      <c r="G505" s="2"/>
      <c r="H505" s="2"/>
      <c r="I505" s="5"/>
      <c r="J505" s="93"/>
    </row>
    <row r="506" spans="1:10" ht="15.75" customHeight="1">
      <c r="A506" s="2"/>
      <c r="B506" s="2"/>
      <c r="C506" s="2"/>
      <c r="D506" s="2"/>
      <c r="E506" s="2"/>
      <c r="F506" s="2"/>
      <c r="G506" s="2"/>
      <c r="H506" s="2"/>
      <c r="I506" s="5"/>
      <c r="J506" s="93"/>
    </row>
    <row r="507" spans="1:10" ht="15.75" customHeight="1">
      <c r="A507" s="2"/>
      <c r="B507" s="2"/>
      <c r="C507" s="2"/>
      <c r="D507" s="2"/>
      <c r="E507" s="2"/>
      <c r="F507" s="2"/>
      <c r="G507" s="2"/>
      <c r="H507" s="2"/>
      <c r="I507" s="5"/>
      <c r="J507" s="93"/>
    </row>
    <row r="508" spans="1:10" ht="15.75" customHeight="1">
      <c r="A508" s="2"/>
      <c r="B508" s="2"/>
      <c r="C508" s="2"/>
      <c r="D508" s="2"/>
      <c r="E508" s="2"/>
      <c r="F508" s="2"/>
      <c r="G508" s="2"/>
      <c r="H508" s="2"/>
      <c r="I508" s="5"/>
      <c r="J508" s="93"/>
    </row>
    <row r="509" spans="1:10" ht="15.75" customHeight="1">
      <c r="A509" s="2"/>
      <c r="B509" s="2"/>
      <c r="C509" s="2"/>
      <c r="D509" s="2"/>
      <c r="E509" s="2"/>
      <c r="F509" s="2"/>
      <c r="G509" s="2"/>
      <c r="H509" s="2"/>
      <c r="I509" s="5"/>
      <c r="J509" s="93"/>
    </row>
    <row r="510" spans="1:10" ht="15.75" customHeight="1">
      <c r="A510" s="2"/>
      <c r="B510" s="2"/>
      <c r="C510" s="2"/>
      <c r="D510" s="2"/>
      <c r="E510" s="2"/>
      <c r="F510" s="2"/>
      <c r="G510" s="2"/>
      <c r="H510" s="2"/>
      <c r="I510" s="5"/>
      <c r="J510" s="93"/>
    </row>
    <row r="511" spans="1:10" ht="15.75" customHeight="1">
      <c r="A511" s="2"/>
      <c r="B511" s="2"/>
      <c r="C511" s="2"/>
      <c r="D511" s="2"/>
      <c r="E511" s="2"/>
      <c r="F511" s="2"/>
      <c r="G511" s="2"/>
      <c r="H511" s="2"/>
      <c r="I511" s="5"/>
      <c r="J511" s="93"/>
    </row>
    <row r="512" spans="1:10" ht="15.75" customHeight="1">
      <c r="A512" s="2"/>
      <c r="B512" s="2"/>
      <c r="C512" s="2"/>
      <c r="D512" s="2"/>
      <c r="E512" s="2"/>
      <c r="F512" s="2"/>
      <c r="G512" s="2"/>
      <c r="H512" s="2"/>
      <c r="I512" s="5"/>
      <c r="J512" s="93"/>
    </row>
    <row r="513" spans="1:10" ht="15.75" customHeight="1">
      <c r="A513" s="2"/>
      <c r="B513" s="2"/>
      <c r="C513" s="2"/>
      <c r="D513" s="2"/>
      <c r="E513" s="2"/>
      <c r="F513" s="2"/>
      <c r="G513" s="2"/>
      <c r="H513" s="2"/>
      <c r="I513" s="5"/>
      <c r="J513" s="93"/>
    </row>
    <row r="514" spans="1:10" ht="15.75" customHeight="1">
      <c r="A514" s="2"/>
      <c r="B514" s="2"/>
      <c r="C514" s="2"/>
      <c r="D514" s="2"/>
      <c r="E514" s="2"/>
      <c r="F514" s="2"/>
      <c r="G514" s="2"/>
      <c r="H514" s="2"/>
      <c r="I514" s="5"/>
      <c r="J514" s="93"/>
    </row>
    <row r="515" spans="1:10" ht="15.75" customHeight="1">
      <c r="A515" s="2"/>
      <c r="B515" s="2"/>
      <c r="C515" s="2"/>
      <c r="D515" s="2"/>
      <c r="E515" s="2"/>
      <c r="F515" s="2"/>
      <c r="G515" s="2"/>
      <c r="H515" s="2"/>
      <c r="I515" s="5"/>
      <c r="J515" s="93"/>
    </row>
    <row r="516" spans="1:10" ht="15.75" customHeight="1">
      <c r="A516" s="2"/>
      <c r="B516" s="2"/>
      <c r="C516" s="2"/>
      <c r="D516" s="2"/>
      <c r="E516" s="2"/>
      <c r="F516" s="2"/>
      <c r="G516" s="2"/>
      <c r="H516" s="2"/>
      <c r="I516" s="5"/>
      <c r="J516" s="93"/>
    </row>
    <row r="517" spans="1:10" ht="15.75" customHeight="1">
      <c r="A517" s="2"/>
      <c r="B517" s="2"/>
      <c r="C517" s="2"/>
      <c r="D517" s="2"/>
      <c r="E517" s="2"/>
      <c r="F517" s="2"/>
      <c r="G517" s="2"/>
      <c r="H517" s="2"/>
      <c r="I517" s="5"/>
      <c r="J517" s="93"/>
    </row>
    <row r="518" spans="1:10" ht="15.75" customHeight="1">
      <c r="A518" s="2"/>
      <c r="B518" s="2"/>
      <c r="C518" s="2"/>
      <c r="D518" s="2"/>
      <c r="E518" s="2"/>
      <c r="F518" s="2"/>
      <c r="G518" s="2"/>
      <c r="H518" s="2"/>
      <c r="I518" s="5"/>
      <c r="J518" s="93"/>
    </row>
    <row r="519" spans="1:10" ht="15.75" customHeight="1">
      <c r="A519" s="2"/>
      <c r="B519" s="2"/>
      <c r="C519" s="2"/>
      <c r="D519" s="2"/>
      <c r="E519" s="2"/>
      <c r="F519" s="2"/>
      <c r="G519" s="2"/>
      <c r="H519" s="2"/>
      <c r="I519" s="5"/>
      <c r="J519" s="93"/>
    </row>
    <row r="520" spans="1:10" ht="15.75" customHeight="1">
      <c r="A520" s="2"/>
      <c r="B520" s="2"/>
      <c r="C520" s="2"/>
      <c r="D520" s="2"/>
      <c r="E520" s="2"/>
      <c r="F520" s="2"/>
      <c r="G520" s="2"/>
      <c r="H520" s="2"/>
      <c r="I520" s="5"/>
      <c r="J520" s="93"/>
    </row>
    <row r="521" spans="1:10" ht="15.75" customHeight="1">
      <c r="A521" s="2"/>
      <c r="B521" s="2"/>
      <c r="C521" s="2"/>
      <c r="D521" s="2"/>
      <c r="E521" s="2"/>
      <c r="F521" s="2"/>
      <c r="G521" s="2"/>
      <c r="H521" s="2"/>
      <c r="I521" s="5"/>
      <c r="J521" s="93"/>
    </row>
    <row r="522" spans="1:10" ht="15.75" customHeight="1">
      <c r="A522" s="2"/>
      <c r="B522" s="2"/>
      <c r="C522" s="2"/>
      <c r="D522" s="2"/>
      <c r="E522" s="2"/>
      <c r="F522" s="2"/>
      <c r="G522" s="2"/>
      <c r="H522" s="2"/>
      <c r="I522" s="5"/>
      <c r="J522" s="93"/>
    </row>
    <row r="523" spans="1:10" ht="15.75" customHeight="1">
      <c r="A523" s="2"/>
      <c r="B523" s="2"/>
      <c r="C523" s="2"/>
      <c r="D523" s="2"/>
      <c r="E523" s="2"/>
      <c r="F523" s="2"/>
      <c r="G523" s="2"/>
      <c r="H523" s="2"/>
      <c r="I523" s="5"/>
      <c r="J523" s="93"/>
    </row>
    <row r="524" spans="1:10" ht="15.75" customHeight="1">
      <c r="A524" s="2"/>
      <c r="B524" s="2"/>
      <c r="C524" s="2"/>
      <c r="D524" s="2"/>
      <c r="E524" s="2"/>
      <c r="F524" s="2"/>
      <c r="G524" s="2"/>
      <c r="H524" s="2"/>
      <c r="I524" s="5"/>
      <c r="J524" s="93"/>
    </row>
    <row r="525" spans="1:10" ht="15.75" customHeight="1">
      <c r="A525" s="2"/>
      <c r="B525" s="2"/>
      <c r="C525" s="2"/>
      <c r="D525" s="2"/>
      <c r="E525" s="2"/>
      <c r="F525" s="2"/>
      <c r="G525" s="2"/>
      <c r="H525" s="2"/>
      <c r="I525" s="5"/>
      <c r="J525" s="93"/>
    </row>
    <row r="526" spans="1:10" ht="15.75" customHeight="1">
      <c r="A526" s="2"/>
      <c r="B526" s="2"/>
      <c r="C526" s="2"/>
      <c r="D526" s="2"/>
      <c r="E526" s="2"/>
      <c r="F526" s="2"/>
      <c r="G526" s="2"/>
      <c r="H526" s="2"/>
      <c r="I526" s="5"/>
      <c r="J526" s="93"/>
    </row>
    <row r="527" spans="1:10" ht="15.75" customHeight="1">
      <c r="A527" s="2"/>
      <c r="B527" s="2"/>
      <c r="C527" s="2"/>
      <c r="D527" s="2"/>
      <c r="E527" s="2"/>
      <c r="F527" s="2"/>
      <c r="G527" s="2"/>
      <c r="H527" s="2"/>
      <c r="I527" s="5"/>
      <c r="J527" s="93"/>
    </row>
    <row r="528" spans="1:10" ht="15.75" customHeight="1">
      <c r="A528" s="2"/>
      <c r="B528" s="2"/>
      <c r="C528" s="2"/>
      <c r="D528" s="2"/>
      <c r="E528" s="2"/>
      <c r="F528" s="2"/>
      <c r="G528" s="2"/>
      <c r="H528" s="2"/>
      <c r="I528" s="5"/>
      <c r="J528" s="93"/>
    </row>
    <row r="529" spans="1:10" ht="15.75" customHeight="1">
      <c r="A529" s="2"/>
      <c r="B529" s="2"/>
      <c r="C529" s="2"/>
      <c r="D529" s="2"/>
      <c r="E529" s="2"/>
      <c r="F529" s="2"/>
      <c r="G529" s="2"/>
      <c r="H529" s="2"/>
      <c r="I529" s="5"/>
      <c r="J529" s="93"/>
    </row>
    <row r="530" spans="1:10" ht="15.75" customHeight="1">
      <c r="A530" s="2"/>
      <c r="B530" s="2"/>
      <c r="C530" s="2"/>
      <c r="D530" s="2"/>
      <c r="E530" s="2"/>
      <c r="F530" s="2"/>
      <c r="G530" s="2"/>
      <c r="H530" s="2"/>
      <c r="I530" s="5"/>
      <c r="J530" s="93"/>
    </row>
    <row r="531" spans="1:10" ht="15.75" customHeight="1">
      <c r="A531" s="2"/>
      <c r="B531" s="2"/>
      <c r="C531" s="2"/>
      <c r="D531" s="2"/>
      <c r="E531" s="2"/>
      <c r="F531" s="2"/>
      <c r="G531" s="2"/>
      <c r="H531" s="2"/>
      <c r="I531" s="5"/>
      <c r="J531" s="93"/>
    </row>
    <row r="532" spans="1:10" ht="15.75" customHeight="1">
      <c r="A532" s="2"/>
      <c r="B532" s="2"/>
      <c r="C532" s="2"/>
      <c r="D532" s="2"/>
      <c r="E532" s="2"/>
      <c r="F532" s="2"/>
      <c r="G532" s="2"/>
      <c r="H532" s="2"/>
      <c r="I532" s="5"/>
      <c r="J532" s="93"/>
    </row>
    <row r="533" spans="1:10" ht="15.75" customHeight="1">
      <c r="A533" s="2"/>
      <c r="B533" s="2"/>
      <c r="C533" s="2"/>
      <c r="D533" s="2"/>
      <c r="E533" s="2"/>
      <c r="F533" s="2"/>
      <c r="G533" s="2"/>
      <c r="H533" s="2"/>
      <c r="I533" s="5"/>
      <c r="J533" s="93"/>
    </row>
    <row r="534" spans="1:10" ht="15.75" customHeight="1">
      <c r="A534" s="2"/>
      <c r="B534" s="2"/>
      <c r="C534" s="2"/>
      <c r="D534" s="2"/>
      <c r="E534" s="2"/>
      <c r="F534" s="2"/>
      <c r="G534" s="2"/>
      <c r="H534" s="2"/>
      <c r="I534" s="5"/>
      <c r="J534" s="93"/>
    </row>
    <row r="535" spans="1:10" ht="15.75" customHeight="1">
      <c r="A535" s="2"/>
      <c r="B535" s="2"/>
      <c r="C535" s="2"/>
      <c r="D535" s="2"/>
      <c r="E535" s="2"/>
      <c r="F535" s="2"/>
      <c r="G535" s="2"/>
      <c r="H535" s="2"/>
      <c r="I535" s="5"/>
      <c r="J535" s="93"/>
    </row>
    <row r="536" spans="1:10" ht="15.75" customHeight="1">
      <c r="A536" s="2"/>
      <c r="B536" s="2"/>
      <c r="C536" s="2"/>
      <c r="D536" s="2"/>
      <c r="E536" s="2"/>
      <c r="F536" s="2"/>
      <c r="G536" s="2"/>
      <c r="H536" s="2"/>
      <c r="I536" s="5"/>
      <c r="J536" s="93"/>
    </row>
    <row r="537" spans="1:10" ht="15.75" customHeight="1">
      <c r="A537" s="2"/>
      <c r="B537" s="2"/>
      <c r="C537" s="2"/>
      <c r="D537" s="2"/>
      <c r="E537" s="2"/>
      <c r="F537" s="2"/>
      <c r="G537" s="2"/>
      <c r="H537" s="2"/>
      <c r="I537" s="5"/>
      <c r="J537" s="93"/>
    </row>
    <row r="538" spans="1:10" ht="15.75" customHeight="1">
      <c r="A538" s="2"/>
      <c r="B538" s="2"/>
      <c r="C538" s="2"/>
      <c r="D538" s="2"/>
      <c r="E538" s="2"/>
      <c r="F538" s="2"/>
      <c r="G538" s="2"/>
      <c r="H538" s="2"/>
      <c r="I538" s="5"/>
      <c r="J538" s="93"/>
    </row>
    <row r="539" spans="1:10" ht="15.75" customHeight="1">
      <c r="A539" s="2"/>
      <c r="B539" s="2"/>
      <c r="C539" s="2"/>
      <c r="D539" s="2"/>
      <c r="E539" s="2"/>
      <c r="F539" s="2"/>
      <c r="G539" s="2"/>
      <c r="H539" s="2"/>
      <c r="I539" s="5"/>
      <c r="J539" s="93"/>
    </row>
    <row r="540" spans="1:10" ht="15.75" customHeight="1">
      <c r="A540" s="2"/>
      <c r="B540" s="2"/>
      <c r="C540" s="2"/>
      <c r="D540" s="2"/>
      <c r="E540" s="2"/>
      <c r="F540" s="2"/>
      <c r="G540" s="2"/>
      <c r="H540" s="2"/>
      <c r="I540" s="5"/>
      <c r="J540" s="93"/>
    </row>
    <row r="541" spans="1:10" ht="15.75" customHeight="1">
      <c r="A541" s="2"/>
      <c r="B541" s="2"/>
      <c r="C541" s="2"/>
      <c r="D541" s="2"/>
      <c r="E541" s="2"/>
      <c r="F541" s="2"/>
      <c r="G541" s="2"/>
      <c r="H541" s="2"/>
      <c r="I541" s="5"/>
      <c r="J541" s="93"/>
    </row>
    <row r="542" spans="1:10" ht="15.75" customHeight="1">
      <c r="A542" s="2"/>
      <c r="B542" s="2"/>
      <c r="C542" s="2"/>
      <c r="D542" s="2"/>
      <c r="E542" s="2"/>
      <c r="F542" s="2"/>
      <c r="G542" s="2"/>
      <c r="H542" s="2"/>
      <c r="I542" s="5"/>
      <c r="J542" s="93"/>
    </row>
    <row r="543" spans="1:10" ht="15.75" customHeight="1">
      <c r="A543" s="2"/>
      <c r="B543" s="2"/>
      <c r="C543" s="2"/>
      <c r="D543" s="2"/>
      <c r="E543" s="2"/>
      <c r="F543" s="2"/>
      <c r="G543" s="2"/>
      <c r="H543" s="2"/>
      <c r="I543" s="5"/>
      <c r="J543" s="93"/>
    </row>
    <row r="544" spans="1:10" ht="15.75" customHeight="1">
      <c r="A544" s="2"/>
      <c r="B544" s="2"/>
      <c r="C544" s="2"/>
      <c r="D544" s="2"/>
      <c r="E544" s="2"/>
      <c r="F544" s="2"/>
      <c r="G544" s="2"/>
      <c r="H544" s="2"/>
      <c r="I544" s="5"/>
      <c r="J544" s="93"/>
    </row>
    <row r="545" spans="1:10" ht="15.75" customHeight="1">
      <c r="A545" s="2"/>
      <c r="B545" s="2"/>
      <c r="C545" s="2"/>
      <c r="D545" s="2"/>
      <c r="E545" s="2"/>
      <c r="F545" s="2"/>
      <c r="G545" s="2"/>
      <c r="H545" s="2"/>
      <c r="I545" s="5"/>
      <c r="J545" s="93"/>
    </row>
    <row r="546" spans="1:10" ht="15.75" customHeight="1">
      <c r="A546" s="2"/>
      <c r="B546" s="2"/>
      <c r="C546" s="2"/>
      <c r="D546" s="2"/>
      <c r="E546" s="2"/>
      <c r="F546" s="2"/>
      <c r="G546" s="2"/>
      <c r="H546" s="2"/>
      <c r="I546" s="5"/>
      <c r="J546" s="93"/>
    </row>
    <row r="547" spans="1:10" ht="15.75" customHeight="1">
      <c r="A547" s="2"/>
      <c r="B547" s="2"/>
      <c r="C547" s="2"/>
      <c r="D547" s="2"/>
      <c r="E547" s="2"/>
      <c r="F547" s="2"/>
      <c r="G547" s="2"/>
      <c r="H547" s="2"/>
      <c r="I547" s="5"/>
      <c r="J547" s="93"/>
    </row>
    <row r="548" spans="1:10" ht="15.75" customHeight="1">
      <c r="A548" s="2"/>
      <c r="B548" s="2"/>
      <c r="C548" s="2"/>
      <c r="D548" s="2"/>
      <c r="E548" s="2"/>
      <c r="F548" s="2"/>
      <c r="G548" s="2"/>
      <c r="H548" s="2"/>
      <c r="I548" s="5"/>
      <c r="J548" s="93"/>
    </row>
    <row r="549" spans="1:10" ht="15.75" customHeight="1">
      <c r="A549" s="2"/>
      <c r="B549" s="2"/>
      <c r="C549" s="2"/>
      <c r="D549" s="2"/>
      <c r="E549" s="2"/>
      <c r="F549" s="2"/>
      <c r="G549" s="2"/>
      <c r="H549" s="2"/>
      <c r="I549" s="5"/>
      <c r="J549" s="93"/>
    </row>
    <row r="550" spans="1:10" ht="15.75" customHeight="1">
      <c r="A550" s="2"/>
      <c r="B550" s="2"/>
      <c r="C550" s="2"/>
      <c r="D550" s="2"/>
      <c r="E550" s="2"/>
      <c r="F550" s="2"/>
      <c r="G550" s="2"/>
      <c r="H550" s="2"/>
      <c r="I550" s="5"/>
      <c r="J550" s="93"/>
    </row>
    <row r="551" spans="1:10" ht="15.75" customHeight="1">
      <c r="A551" s="2"/>
      <c r="B551" s="2"/>
      <c r="C551" s="2"/>
      <c r="D551" s="2"/>
      <c r="E551" s="2"/>
      <c r="F551" s="2"/>
      <c r="G551" s="2"/>
      <c r="H551" s="2"/>
      <c r="I551" s="5"/>
      <c r="J551" s="93"/>
    </row>
    <row r="552" spans="1:10" ht="15.75" customHeight="1">
      <c r="A552" s="2"/>
      <c r="B552" s="2"/>
      <c r="C552" s="2"/>
      <c r="D552" s="2"/>
      <c r="E552" s="2"/>
      <c r="F552" s="2"/>
      <c r="G552" s="2"/>
      <c r="H552" s="2"/>
      <c r="I552" s="5"/>
      <c r="J552" s="93"/>
    </row>
    <row r="553" spans="1:10" ht="15.75" customHeight="1">
      <c r="A553" s="2"/>
      <c r="B553" s="2"/>
      <c r="C553" s="2"/>
      <c r="D553" s="2"/>
      <c r="E553" s="2"/>
      <c r="F553" s="2"/>
      <c r="G553" s="2"/>
      <c r="H553" s="2"/>
      <c r="I553" s="5"/>
      <c r="J553" s="93"/>
    </row>
    <row r="554" spans="1:10" ht="15.75" customHeight="1">
      <c r="A554" s="2"/>
      <c r="B554" s="2"/>
      <c r="C554" s="2"/>
      <c r="D554" s="2"/>
      <c r="E554" s="2"/>
      <c r="F554" s="2"/>
      <c r="G554" s="2"/>
      <c r="H554" s="2"/>
      <c r="I554" s="5"/>
      <c r="J554" s="93"/>
    </row>
    <row r="555" spans="1:10" ht="15.75" customHeight="1">
      <c r="A555" s="2"/>
      <c r="B555" s="2"/>
      <c r="C555" s="2"/>
      <c r="D555" s="2"/>
      <c r="E555" s="2"/>
      <c r="F555" s="2"/>
      <c r="G555" s="2"/>
      <c r="H555" s="2"/>
      <c r="I555" s="5"/>
      <c r="J555" s="93"/>
    </row>
    <row r="556" spans="1:10" ht="15.75" customHeight="1">
      <c r="A556" s="2"/>
      <c r="B556" s="2"/>
      <c r="C556" s="2"/>
      <c r="D556" s="2"/>
      <c r="E556" s="2"/>
      <c r="F556" s="2"/>
      <c r="G556" s="2"/>
      <c r="H556" s="2"/>
      <c r="I556" s="5"/>
      <c r="J556" s="93"/>
    </row>
    <row r="557" spans="1:10" ht="15.75" customHeight="1">
      <c r="A557" s="2"/>
      <c r="B557" s="2"/>
      <c r="C557" s="2"/>
      <c r="D557" s="2"/>
      <c r="E557" s="2"/>
      <c r="F557" s="2"/>
      <c r="G557" s="2"/>
      <c r="H557" s="2"/>
      <c r="I557" s="5"/>
      <c r="J557" s="93"/>
    </row>
    <row r="558" spans="1:10" ht="15.75" customHeight="1">
      <c r="A558" s="2"/>
      <c r="B558" s="2"/>
      <c r="C558" s="2"/>
      <c r="D558" s="2"/>
      <c r="E558" s="2"/>
      <c r="F558" s="2"/>
      <c r="G558" s="2"/>
      <c r="H558" s="2"/>
      <c r="I558" s="5"/>
      <c r="J558" s="93"/>
    </row>
    <row r="559" spans="1:10" ht="15.75" customHeight="1">
      <c r="A559" s="2"/>
      <c r="B559" s="2"/>
      <c r="C559" s="2"/>
      <c r="D559" s="2"/>
      <c r="E559" s="2"/>
      <c r="F559" s="2"/>
      <c r="G559" s="2"/>
      <c r="H559" s="2"/>
      <c r="I559" s="5"/>
      <c r="J559" s="93"/>
    </row>
    <row r="560" spans="1:10" ht="15.75" customHeight="1">
      <c r="A560" s="2"/>
      <c r="B560" s="2"/>
      <c r="C560" s="2"/>
      <c r="D560" s="2"/>
      <c r="E560" s="2"/>
      <c r="F560" s="2"/>
      <c r="G560" s="2"/>
      <c r="H560" s="2"/>
      <c r="I560" s="5"/>
      <c r="J560" s="93"/>
    </row>
    <row r="561" spans="1:10" ht="15.75" customHeight="1">
      <c r="A561" s="2"/>
      <c r="B561" s="2"/>
      <c r="C561" s="2"/>
      <c r="D561" s="2"/>
      <c r="E561" s="2"/>
      <c r="F561" s="2"/>
      <c r="G561" s="2"/>
      <c r="H561" s="2"/>
      <c r="I561" s="5"/>
      <c r="J561" s="93"/>
    </row>
    <row r="562" spans="1:10" ht="15.75" customHeight="1">
      <c r="A562" s="2"/>
      <c r="B562" s="2"/>
      <c r="C562" s="2"/>
      <c r="D562" s="2"/>
      <c r="E562" s="2"/>
      <c r="F562" s="2"/>
      <c r="G562" s="2"/>
      <c r="H562" s="2"/>
      <c r="I562" s="5"/>
      <c r="J562" s="93"/>
    </row>
    <row r="563" spans="1:10" ht="15.75" customHeight="1">
      <c r="A563" s="2"/>
      <c r="B563" s="2"/>
      <c r="C563" s="2"/>
      <c r="D563" s="2"/>
      <c r="E563" s="2"/>
      <c r="F563" s="2"/>
      <c r="G563" s="2"/>
      <c r="H563" s="2"/>
      <c r="I563" s="5"/>
      <c r="J563" s="93"/>
    </row>
    <row r="564" spans="1:10" ht="15.75" customHeight="1">
      <c r="A564" s="2"/>
      <c r="B564" s="2"/>
      <c r="C564" s="2"/>
      <c r="D564" s="2"/>
      <c r="E564" s="2"/>
      <c r="F564" s="2"/>
      <c r="G564" s="2"/>
      <c r="H564" s="2"/>
      <c r="I564" s="5"/>
      <c r="J564" s="93"/>
    </row>
    <row r="565" spans="1:10" ht="15.75" customHeight="1">
      <c r="A565" s="2"/>
      <c r="B565" s="2"/>
      <c r="C565" s="2"/>
      <c r="D565" s="2"/>
      <c r="E565" s="2"/>
      <c r="F565" s="2"/>
      <c r="G565" s="2"/>
      <c r="H565" s="2"/>
      <c r="I565" s="5"/>
      <c r="J565" s="93"/>
    </row>
    <row r="566" spans="1:10" ht="15.75" customHeight="1">
      <c r="A566" s="2"/>
      <c r="B566" s="2"/>
      <c r="C566" s="2"/>
      <c r="D566" s="2"/>
      <c r="E566" s="2"/>
      <c r="F566" s="2"/>
      <c r="G566" s="2"/>
      <c r="H566" s="2"/>
      <c r="I566" s="5"/>
      <c r="J566" s="93"/>
    </row>
    <row r="567" spans="1:10" ht="15.75" customHeight="1">
      <c r="A567" s="2"/>
      <c r="B567" s="2"/>
      <c r="C567" s="2"/>
      <c r="D567" s="2"/>
      <c r="E567" s="2"/>
      <c r="F567" s="2"/>
      <c r="G567" s="2"/>
      <c r="H567" s="2"/>
      <c r="I567" s="5"/>
      <c r="J567" s="93"/>
    </row>
    <row r="568" spans="1:10" ht="15.75" customHeight="1">
      <c r="A568" s="2"/>
      <c r="B568" s="2"/>
      <c r="C568" s="2"/>
      <c r="D568" s="2"/>
      <c r="E568" s="2"/>
      <c r="F568" s="2"/>
      <c r="G568" s="2"/>
      <c r="H568" s="2"/>
      <c r="I568" s="5"/>
      <c r="J568" s="93"/>
    </row>
    <row r="569" spans="1:10" ht="15.75" customHeight="1">
      <c r="A569" s="2"/>
      <c r="B569" s="2"/>
      <c r="C569" s="2"/>
      <c r="D569" s="2"/>
      <c r="E569" s="2"/>
      <c r="F569" s="2"/>
      <c r="G569" s="2"/>
      <c r="H569" s="2"/>
      <c r="I569" s="5"/>
      <c r="J569" s="93"/>
    </row>
    <row r="570" spans="1:10" ht="15.75" customHeight="1">
      <c r="A570" s="2"/>
      <c r="B570" s="2"/>
      <c r="C570" s="2"/>
      <c r="D570" s="2"/>
      <c r="E570" s="2"/>
      <c r="F570" s="2"/>
      <c r="G570" s="2"/>
      <c r="H570" s="2"/>
      <c r="I570" s="5"/>
      <c r="J570" s="93"/>
    </row>
    <row r="571" spans="1:10" ht="15.75" customHeight="1">
      <c r="A571" s="2"/>
      <c r="B571" s="2"/>
      <c r="C571" s="2"/>
      <c r="D571" s="2"/>
      <c r="E571" s="2"/>
      <c r="F571" s="2"/>
      <c r="G571" s="2"/>
      <c r="H571" s="2"/>
      <c r="I571" s="5"/>
      <c r="J571" s="93"/>
    </row>
    <row r="572" spans="1:10" ht="15.75" customHeight="1">
      <c r="A572" s="2"/>
      <c r="B572" s="2"/>
      <c r="C572" s="2"/>
      <c r="D572" s="2"/>
      <c r="E572" s="2"/>
      <c r="F572" s="2"/>
      <c r="G572" s="2"/>
      <c r="H572" s="2"/>
      <c r="I572" s="5"/>
      <c r="J572" s="93"/>
    </row>
    <row r="573" spans="1:10" ht="15.75" customHeight="1">
      <c r="A573" s="2"/>
      <c r="B573" s="2"/>
      <c r="C573" s="2"/>
      <c r="D573" s="2"/>
      <c r="E573" s="2"/>
      <c r="F573" s="2"/>
      <c r="G573" s="2"/>
      <c r="H573" s="2"/>
      <c r="I573" s="5"/>
      <c r="J573" s="93"/>
    </row>
    <row r="574" spans="1:10" ht="15.75" customHeight="1">
      <c r="A574" s="2"/>
      <c r="B574" s="2"/>
      <c r="C574" s="2"/>
      <c r="D574" s="2"/>
      <c r="E574" s="2"/>
      <c r="F574" s="2"/>
      <c r="G574" s="2"/>
      <c r="H574" s="2"/>
      <c r="I574" s="5"/>
      <c r="J574" s="93"/>
    </row>
    <row r="575" spans="1:10" ht="15.75" customHeight="1">
      <c r="A575" s="2"/>
      <c r="B575" s="2"/>
      <c r="C575" s="2"/>
      <c r="D575" s="2"/>
      <c r="E575" s="2"/>
      <c r="F575" s="2"/>
      <c r="G575" s="2"/>
      <c r="H575" s="2"/>
      <c r="I575" s="5"/>
      <c r="J575" s="93"/>
    </row>
    <row r="576" spans="1:10" ht="15.75" customHeight="1">
      <c r="A576" s="2"/>
      <c r="B576" s="2"/>
      <c r="C576" s="2"/>
      <c r="D576" s="2"/>
      <c r="E576" s="2"/>
      <c r="F576" s="2"/>
      <c r="G576" s="2"/>
      <c r="H576" s="2"/>
      <c r="I576" s="5"/>
      <c r="J576" s="93"/>
    </row>
    <row r="577" spans="1:10" ht="15.75" customHeight="1">
      <c r="A577" s="2"/>
      <c r="B577" s="2"/>
      <c r="C577" s="2"/>
      <c r="D577" s="2"/>
      <c r="E577" s="2"/>
      <c r="F577" s="2"/>
      <c r="G577" s="2"/>
      <c r="H577" s="2"/>
      <c r="I577" s="5"/>
      <c r="J577" s="93"/>
    </row>
    <row r="578" spans="1:10" ht="15.75" customHeight="1">
      <c r="A578" s="2"/>
      <c r="B578" s="2"/>
      <c r="C578" s="2"/>
      <c r="D578" s="2"/>
      <c r="E578" s="2"/>
      <c r="F578" s="2"/>
      <c r="G578" s="2"/>
      <c r="H578" s="2"/>
      <c r="I578" s="5"/>
      <c r="J578" s="93"/>
    </row>
    <row r="579" spans="1:10" ht="15.75" customHeight="1">
      <c r="A579" s="2"/>
      <c r="B579" s="2"/>
      <c r="C579" s="2"/>
      <c r="D579" s="2"/>
      <c r="E579" s="2"/>
      <c r="F579" s="2"/>
      <c r="G579" s="2"/>
      <c r="H579" s="2"/>
      <c r="I579" s="5"/>
      <c r="J579" s="93"/>
    </row>
    <row r="580" spans="1:10" ht="15.75" customHeight="1">
      <c r="A580" s="2"/>
      <c r="B580" s="2"/>
      <c r="C580" s="2"/>
      <c r="D580" s="2"/>
      <c r="E580" s="2"/>
      <c r="F580" s="2"/>
      <c r="G580" s="2"/>
      <c r="H580" s="2"/>
      <c r="I580" s="5"/>
      <c r="J580" s="93"/>
    </row>
    <row r="581" spans="1:10" ht="15.75" customHeight="1">
      <c r="A581" s="2"/>
      <c r="B581" s="2"/>
      <c r="C581" s="2"/>
      <c r="D581" s="2"/>
      <c r="E581" s="2"/>
      <c r="F581" s="2"/>
      <c r="G581" s="2"/>
      <c r="H581" s="2"/>
      <c r="I581" s="5"/>
      <c r="J581" s="93"/>
    </row>
    <row r="582" spans="1:10" ht="15.75" customHeight="1">
      <c r="A582" s="2"/>
      <c r="B582" s="2"/>
      <c r="C582" s="2"/>
      <c r="D582" s="2"/>
      <c r="E582" s="2"/>
      <c r="F582" s="2"/>
      <c r="G582" s="2"/>
      <c r="H582" s="2"/>
      <c r="I582" s="5"/>
      <c r="J582" s="93"/>
    </row>
    <row r="583" spans="1:10" ht="15.75" customHeight="1">
      <c r="A583" s="2"/>
      <c r="B583" s="2"/>
      <c r="C583" s="2"/>
      <c r="D583" s="2"/>
      <c r="E583" s="2"/>
      <c r="F583" s="2"/>
      <c r="G583" s="2"/>
      <c r="H583" s="2"/>
      <c r="I583" s="5"/>
      <c r="J583" s="93"/>
    </row>
    <row r="584" spans="1:10" ht="15.75" customHeight="1">
      <c r="A584" s="2"/>
      <c r="B584" s="2"/>
      <c r="C584" s="2"/>
      <c r="D584" s="2"/>
      <c r="E584" s="2"/>
      <c r="F584" s="2"/>
      <c r="G584" s="2"/>
      <c r="H584" s="2"/>
      <c r="I584" s="5"/>
      <c r="J584" s="93"/>
    </row>
    <row r="585" spans="1:10" ht="15.75" customHeight="1">
      <c r="A585" s="2"/>
      <c r="B585" s="2"/>
      <c r="C585" s="2"/>
      <c r="D585" s="2"/>
      <c r="E585" s="2"/>
      <c r="F585" s="2"/>
      <c r="G585" s="2"/>
      <c r="H585" s="2"/>
      <c r="I585" s="5"/>
      <c r="J585" s="93"/>
    </row>
    <row r="586" spans="1:10" ht="15.75" customHeight="1">
      <c r="A586" s="2"/>
      <c r="B586" s="2"/>
      <c r="C586" s="2"/>
      <c r="D586" s="2"/>
      <c r="E586" s="2"/>
      <c r="F586" s="2"/>
      <c r="G586" s="2"/>
      <c r="H586" s="2"/>
      <c r="I586" s="5"/>
      <c r="J586" s="93"/>
    </row>
    <row r="587" spans="1:10" ht="15.75" customHeight="1">
      <c r="A587" s="2"/>
      <c r="B587" s="2"/>
      <c r="C587" s="2"/>
      <c r="D587" s="2"/>
      <c r="E587" s="2"/>
      <c r="F587" s="2"/>
      <c r="G587" s="2"/>
      <c r="H587" s="2"/>
      <c r="I587" s="5"/>
      <c r="J587" s="93"/>
    </row>
    <row r="588" spans="1:10" ht="15.75" customHeight="1">
      <c r="A588" s="2"/>
      <c r="B588" s="2"/>
      <c r="C588" s="2"/>
      <c r="D588" s="2"/>
      <c r="E588" s="2"/>
      <c r="F588" s="2"/>
      <c r="G588" s="2"/>
      <c r="H588" s="2"/>
      <c r="I588" s="5"/>
      <c r="J588" s="93"/>
    </row>
    <row r="589" spans="1:10" ht="15.75" customHeight="1">
      <c r="A589" s="2"/>
      <c r="B589" s="2"/>
      <c r="C589" s="2"/>
      <c r="D589" s="2"/>
      <c r="E589" s="2"/>
      <c r="F589" s="2"/>
      <c r="G589" s="2"/>
      <c r="H589" s="2"/>
      <c r="I589" s="5"/>
      <c r="J589" s="93"/>
    </row>
    <row r="590" spans="1:10" ht="15.75" customHeight="1">
      <c r="A590" s="2"/>
      <c r="B590" s="2"/>
      <c r="C590" s="2"/>
      <c r="D590" s="2"/>
      <c r="E590" s="2"/>
      <c r="F590" s="2"/>
      <c r="G590" s="2"/>
      <c r="H590" s="2"/>
      <c r="I590" s="5"/>
      <c r="J590" s="93"/>
    </row>
    <row r="591" spans="1:10" ht="15.75" customHeight="1">
      <c r="A591" s="2"/>
      <c r="B591" s="2"/>
      <c r="C591" s="2"/>
      <c r="D591" s="2"/>
      <c r="E591" s="2"/>
      <c r="F591" s="2"/>
      <c r="G591" s="2"/>
      <c r="H591" s="2"/>
      <c r="I591" s="5"/>
      <c r="J591" s="93"/>
    </row>
    <row r="592" spans="1:10" ht="15.75" customHeight="1">
      <c r="A592" s="2"/>
      <c r="B592" s="2"/>
      <c r="C592" s="2"/>
      <c r="D592" s="2"/>
      <c r="E592" s="2"/>
      <c r="F592" s="2"/>
      <c r="G592" s="2"/>
      <c r="H592" s="2"/>
      <c r="I592" s="5"/>
      <c r="J592" s="93"/>
    </row>
    <row r="593" spans="1:10" ht="15.75" customHeight="1">
      <c r="A593" s="2"/>
      <c r="B593" s="2"/>
      <c r="C593" s="2"/>
      <c r="D593" s="2"/>
      <c r="E593" s="2"/>
      <c r="F593" s="2"/>
      <c r="G593" s="2"/>
      <c r="H593" s="2"/>
      <c r="I593" s="5"/>
      <c r="J593" s="93"/>
    </row>
    <row r="594" spans="1:10" ht="15.75" customHeight="1">
      <c r="A594" s="2"/>
      <c r="B594" s="2"/>
      <c r="C594" s="2"/>
      <c r="D594" s="2"/>
      <c r="E594" s="2"/>
      <c r="F594" s="2"/>
      <c r="G594" s="2"/>
      <c r="H594" s="2"/>
      <c r="I594" s="5"/>
      <c r="J594" s="93"/>
    </row>
    <row r="595" spans="1:10" ht="15.75" customHeight="1">
      <c r="A595" s="2"/>
      <c r="B595" s="2"/>
      <c r="C595" s="2"/>
      <c r="D595" s="2"/>
      <c r="E595" s="2"/>
      <c r="F595" s="2"/>
      <c r="G595" s="2"/>
      <c r="H595" s="2"/>
      <c r="I595" s="5"/>
      <c r="J595" s="93"/>
    </row>
    <row r="596" spans="1:10" ht="15.75" customHeight="1">
      <c r="A596" s="2"/>
      <c r="B596" s="2"/>
      <c r="C596" s="2"/>
      <c r="D596" s="2"/>
      <c r="E596" s="2"/>
      <c r="F596" s="2"/>
      <c r="G596" s="2"/>
      <c r="H596" s="2"/>
      <c r="I596" s="5"/>
      <c r="J596" s="93"/>
    </row>
    <row r="597" spans="1:10" ht="15.75" customHeight="1">
      <c r="A597" s="2"/>
      <c r="B597" s="2"/>
      <c r="C597" s="2"/>
      <c r="D597" s="2"/>
      <c r="E597" s="2"/>
      <c r="F597" s="2"/>
      <c r="G597" s="2"/>
      <c r="H597" s="2"/>
      <c r="I597" s="5"/>
      <c r="J597" s="93"/>
    </row>
    <row r="598" spans="1:10" ht="15.75" customHeight="1">
      <c r="A598" s="2"/>
      <c r="B598" s="2"/>
      <c r="C598" s="2"/>
      <c r="D598" s="2"/>
      <c r="E598" s="2"/>
      <c r="F598" s="2"/>
      <c r="G598" s="2"/>
      <c r="H598" s="2"/>
      <c r="I598" s="5"/>
      <c r="J598" s="93"/>
    </row>
    <row r="599" spans="1:10" ht="15.75" customHeight="1">
      <c r="A599" s="2"/>
      <c r="B599" s="2"/>
      <c r="C599" s="2"/>
      <c r="D599" s="2"/>
      <c r="E599" s="2"/>
      <c r="F599" s="2"/>
      <c r="G599" s="2"/>
      <c r="H599" s="2"/>
      <c r="I599" s="5"/>
      <c r="J599" s="93"/>
    </row>
    <row r="600" spans="1:10" ht="15.75" customHeight="1">
      <c r="A600" s="2"/>
      <c r="B600" s="2"/>
      <c r="C600" s="2"/>
      <c r="D600" s="2"/>
      <c r="E600" s="2"/>
      <c r="F600" s="2"/>
      <c r="G600" s="2"/>
      <c r="H600" s="2"/>
      <c r="I600" s="5"/>
      <c r="J600" s="93"/>
    </row>
    <row r="601" spans="1:10" ht="15.75" customHeight="1">
      <c r="A601" s="2"/>
      <c r="B601" s="2"/>
      <c r="C601" s="2"/>
      <c r="D601" s="2"/>
      <c r="E601" s="2"/>
      <c r="F601" s="2"/>
      <c r="G601" s="2"/>
      <c r="H601" s="2"/>
      <c r="I601" s="5"/>
      <c r="J601" s="93"/>
    </row>
    <row r="602" spans="1:10" ht="15.75" customHeight="1">
      <c r="A602" s="2"/>
      <c r="B602" s="2"/>
      <c r="C602" s="2"/>
      <c r="D602" s="2"/>
      <c r="E602" s="2"/>
      <c r="F602" s="2"/>
      <c r="G602" s="2"/>
      <c r="H602" s="2"/>
      <c r="I602" s="5"/>
      <c r="J602" s="93"/>
    </row>
    <row r="603" spans="1:10" ht="15.75" customHeight="1">
      <c r="A603" s="2"/>
      <c r="B603" s="2"/>
      <c r="C603" s="2"/>
      <c r="D603" s="2"/>
      <c r="E603" s="2"/>
      <c r="F603" s="2"/>
      <c r="G603" s="2"/>
      <c r="H603" s="2"/>
      <c r="I603" s="5"/>
      <c r="J603" s="93"/>
    </row>
    <row r="604" spans="1:10" ht="15.75" customHeight="1">
      <c r="A604" s="2"/>
      <c r="B604" s="2"/>
      <c r="C604" s="2"/>
      <c r="D604" s="2"/>
      <c r="E604" s="2"/>
      <c r="F604" s="2"/>
      <c r="G604" s="2"/>
      <c r="H604" s="2"/>
      <c r="I604" s="5"/>
      <c r="J604" s="93"/>
    </row>
    <row r="605" spans="1:10" ht="15.75" customHeight="1">
      <c r="A605" s="2"/>
      <c r="B605" s="2"/>
      <c r="C605" s="2"/>
      <c r="D605" s="2"/>
      <c r="E605" s="2"/>
      <c r="F605" s="2"/>
      <c r="G605" s="2"/>
      <c r="H605" s="2"/>
      <c r="I605" s="5"/>
      <c r="J605" s="93"/>
    </row>
    <row r="606" spans="1:10" ht="15.75" customHeight="1">
      <c r="A606" s="2"/>
      <c r="B606" s="2"/>
      <c r="C606" s="2"/>
      <c r="D606" s="2"/>
      <c r="E606" s="2"/>
      <c r="F606" s="2"/>
      <c r="G606" s="2"/>
      <c r="H606" s="2"/>
      <c r="I606" s="5"/>
      <c r="J606" s="93"/>
    </row>
    <row r="607" spans="1:10" ht="15.75" customHeight="1">
      <c r="A607" s="2"/>
      <c r="B607" s="2"/>
      <c r="C607" s="2"/>
      <c r="D607" s="2"/>
      <c r="E607" s="2"/>
      <c r="F607" s="2"/>
      <c r="G607" s="2"/>
      <c r="H607" s="2"/>
      <c r="I607" s="5"/>
      <c r="J607" s="93"/>
    </row>
    <row r="608" spans="1:10" ht="15.75" customHeight="1">
      <c r="A608" s="2"/>
      <c r="B608" s="2"/>
      <c r="C608" s="2"/>
      <c r="D608" s="2"/>
      <c r="E608" s="2"/>
      <c r="F608" s="2"/>
      <c r="G608" s="2"/>
      <c r="H608" s="2"/>
      <c r="I608" s="5"/>
      <c r="J608" s="93"/>
    </row>
    <row r="609" spans="1:10" ht="15.75" customHeight="1">
      <c r="A609" s="2"/>
      <c r="B609" s="2"/>
      <c r="C609" s="2"/>
      <c r="D609" s="2"/>
      <c r="E609" s="2"/>
      <c r="F609" s="2"/>
      <c r="G609" s="2"/>
      <c r="H609" s="2"/>
      <c r="I609" s="5"/>
      <c r="J609" s="93"/>
    </row>
    <row r="610" spans="1:10" ht="15.75" customHeight="1">
      <c r="A610" s="2"/>
      <c r="B610" s="2"/>
      <c r="C610" s="2"/>
      <c r="D610" s="2"/>
      <c r="E610" s="2"/>
      <c r="F610" s="2"/>
      <c r="G610" s="2"/>
      <c r="H610" s="2"/>
      <c r="I610" s="5"/>
      <c r="J610" s="93"/>
    </row>
    <row r="611" spans="1:10" ht="15.75" customHeight="1">
      <c r="A611" s="2"/>
      <c r="B611" s="2"/>
      <c r="C611" s="2"/>
      <c r="D611" s="2"/>
      <c r="E611" s="2"/>
      <c r="F611" s="2"/>
      <c r="G611" s="2"/>
      <c r="H611" s="2"/>
      <c r="I611" s="5"/>
      <c r="J611" s="93"/>
    </row>
    <row r="612" spans="1:10" ht="15.75" customHeight="1">
      <c r="A612" s="2"/>
      <c r="B612" s="2"/>
      <c r="C612" s="2"/>
      <c r="D612" s="2"/>
      <c r="E612" s="2"/>
      <c r="F612" s="2"/>
      <c r="G612" s="2"/>
      <c r="H612" s="2"/>
      <c r="I612" s="5"/>
      <c r="J612" s="93"/>
    </row>
    <row r="613" spans="1:10" ht="15.75" customHeight="1">
      <c r="A613" s="2"/>
      <c r="B613" s="2"/>
      <c r="C613" s="2"/>
      <c r="D613" s="2"/>
      <c r="E613" s="2"/>
      <c r="F613" s="2"/>
      <c r="G613" s="2"/>
      <c r="H613" s="2"/>
      <c r="I613" s="5"/>
      <c r="J613" s="93"/>
    </row>
    <row r="614" spans="1:10" ht="15.75" customHeight="1">
      <c r="A614" s="2"/>
      <c r="B614" s="2"/>
      <c r="C614" s="2"/>
      <c r="D614" s="2"/>
      <c r="E614" s="2"/>
      <c r="F614" s="2"/>
      <c r="G614" s="2"/>
      <c r="H614" s="2"/>
      <c r="I614" s="5"/>
      <c r="J614" s="93"/>
    </row>
    <row r="615" spans="1:10" ht="15.75" customHeight="1">
      <c r="A615" s="2"/>
      <c r="B615" s="2"/>
      <c r="C615" s="2"/>
      <c r="D615" s="2"/>
      <c r="E615" s="2"/>
      <c r="F615" s="2"/>
      <c r="G615" s="2"/>
      <c r="H615" s="2"/>
      <c r="I615" s="5"/>
      <c r="J615" s="93"/>
    </row>
    <row r="616" spans="1:10" ht="15.75" customHeight="1">
      <c r="A616" s="2"/>
      <c r="B616" s="2"/>
      <c r="C616" s="2"/>
      <c r="D616" s="2"/>
      <c r="E616" s="2"/>
      <c r="F616" s="2"/>
      <c r="G616" s="2"/>
      <c r="H616" s="2"/>
      <c r="I616" s="5"/>
      <c r="J616" s="93"/>
    </row>
    <row r="617" spans="1:10" ht="15.75" customHeight="1">
      <c r="A617" s="2"/>
      <c r="B617" s="2"/>
      <c r="C617" s="2"/>
      <c r="D617" s="2"/>
      <c r="E617" s="2"/>
      <c r="F617" s="2"/>
      <c r="G617" s="2"/>
      <c r="H617" s="2"/>
      <c r="I617" s="5"/>
      <c r="J617" s="93"/>
    </row>
    <row r="618" spans="1:10" ht="15.75" customHeight="1">
      <c r="A618" s="2"/>
      <c r="B618" s="2"/>
      <c r="C618" s="2"/>
      <c r="D618" s="2"/>
      <c r="E618" s="2"/>
      <c r="F618" s="2"/>
      <c r="G618" s="2"/>
      <c r="H618" s="2"/>
      <c r="I618" s="5"/>
      <c r="J618" s="93"/>
    </row>
    <row r="619" spans="1:10" ht="15.75" customHeight="1">
      <c r="A619" s="2"/>
      <c r="B619" s="2"/>
      <c r="C619" s="2"/>
      <c r="D619" s="2"/>
      <c r="E619" s="2"/>
      <c r="F619" s="2"/>
      <c r="G619" s="2"/>
      <c r="H619" s="2"/>
      <c r="I619" s="5"/>
      <c r="J619" s="93"/>
    </row>
    <row r="620" spans="1:10" ht="15.75" customHeight="1">
      <c r="A620" s="2"/>
      <c r="B620" s="2"/>
      <c r="C620" s="2"/>
      <c r="D620" s="2"/>
      <c r="E620" s="2"/>
      <c r="F620" s="2"/>
      <c r="G620" s="2"/>
      <c r="H620" s="2"/>
      <c r="I620" s="5"/>
      <c r="J620" s="93"/>
    </row>
    <row r="621" spans="1:10" ht="15.75" customHeight="1">
      <c r="A621" s="2"/>
      <c r="B621" s="2"/>
      <c r="C621" s="2"/>
      <c r="D621" s="2"/>
      <c r="E621" s="2"/>
      <c r="F621" s="2"/>
      <c r="G621" s="2"/>
      <c r="H621" s="2"/>
      <c r="I621" s="5"/>
      <c r="J621" s="93"/>
    </row>
    <row r="622" spans="1:10" ht="15.75" customHeight="1">
      <c r="A622" s="2"/>
      <c r="B622" s="2"/>
      <c r="C622" s="2"/>
      <c r="D622" s="2"/>
      <c r="E622" s="2"/>
      <c r="F622" s="2"/>
      <c r="G622" s="2"/>
      <c r="H622" s="2"/>
      <c r="I622" s="5"/>
      <c r="J622" s="93"/>
    </row>
    <row r="623" spans="1:10" ht="15.75" customHeight="1">
      <c r="A623" s="2"/>
      <c r="B623" s="2"/>
      <c r="C623" s="2"/>
      <c r="D623" s="2"/>
      <c r="E623" s="2"/>
      <c r="F623" s="2"/>
      <c r="G623" s="2"/>
      <c r="H623" s="2"/>
      <c r="I623" s="5"/>
      <c r="J623" s="93"/>
    </row>
    <row r="624" spans="1:10" ht="15.75" customHeight="1">
      <c r="A624" s="2"/>
      <c r="B624" s="2"/>
      <c r="C624" s="2"/>
      <c r="D624" s="2"/>
      <c r="E624" s="2"/>
      <c r="F624" s="2"/>
      <c r="G624" s="2"/>
      <c r="H624" s="2"/>
      <c r="I624" s="5"/>
      <c r="J624" s="93"/>
    </row>
    <row r="625" spans="1:10" ht="15.75" customHeight="1">
      <c r="A625" s="2"/>
      <c r="B625" s="2"/>
      <c r="C625" s="2"/>
      <c r="D625" s="2"/>
      <c r="E625" s="2"/>
      <c r="F625" s="2"/>
      <c r="G625" s="2"/>
      <c r="H625" s="2"/>
      <c r="I625" s="5"/>
      <c r="J625" s="93"/>
    </row>
    <row r="626" spans="1:10" ht="15.75" customHeight="1">
      <c r="A626" s="2"/>
      <c r="B626" s="2"/>
      <c r="C626" s="2"/>
      <c r="D626" s="2"/>
      <c r="E626" s="2"/>
      <c r="F626" s="2"/>
      <c r="G626" s="2"/>
      <c r="H626" s="2"/>
      <c r="I626" s="5"/>
      <c r="J626" s="93"/>
    </row>
    <row r="627" spans="1:10" ht="15.75" customHeight="1">
      <c r="A627" s="2"/>
      <c r="B627" s="2"/>
      <c r="C627" s="2"/>
      <c r="D627" s="2"/>
      <c r="E627" s="2"/>
      <c r="F627" s="2"/>
      <c r="G627" s="2"/>
      <c r="H627" s="2"/>
      <c r="I627" s="5"/>
      <c r="J627" s="93"/>
    </row>
    <row r="628" spans="1:10" ht="15.75" customHeight="1">
      <c r="A628" s="2"/>
      <c r="B628" s="2"/>
      <c r="C628" s="2"/>
      <c r="D628" s="2"/>
      <c r="E628" s="2"/>
      <c r="F628" s="2"/>
      <c r="G628" s="2"/>
      <c r="H628" s="2"/>
      <c r="I628" s="5"/>
      <c r="J628" s="93"/>
    </row>
    <row r="629" spans="1:10" ht="15.75" customHeight="1">
      <c r="A629" s="2"/>
      <c r="B629" s="2"/>
      <c r="C629" s="2"/>
      <c r="D629" s="2"/>
      <c r="E629" s="2"/>
      <c r="F629" s="2"/>
      <c r="G629" s="2"/>
      <c r="H629" s="2"/>
      <c r="I629" s="5"/>
      <c r="J629" s="93"/>
    </row>
    <row r="630" spans="1:10" ht="15.75" customHeight="1">
      <c r="A630" s="2"/>
      <c r="B630" s="2"/>
      <c r="C630" s="2"/>
      <c r="D630" s="2"/>
      <c r="E630" s="2"/>
      <c r="F630" s="2"/>
      <c r="G630" s="2"/>
      <c r="H630" s="2"/>
      <c r="I630" s="5"/>
      <c r="J630" s="93"/>
    </row>
    <row r="631" spans="1:10" ht="15.75" customHeight="1">
      <c r="A631" s="2"/>
      <c r="B631" s="2"/>
      <c r="C631" s="2"/>
      <c r="D631" s="2"/>
      <c r="E631" s="2"/>
      <c r="F631" s="2"/>
      <c r="G631" s="2"/>
      <c r="H631" s="2"/>
      <c r="I631" s="5"/>
      <c r="J631" s="93"/>
    </row>
    <row r="632" spans="1:10" ht="15.75" customHeight="1">
      <c r="A632" s="2"/>
      <c r="B632" s="2"/>
      <c r="C632" s="2"/>
      <c r="D632" s="2"/>
      <c r="E632" s="2"/>
      <c r="F632" s="2"/>
      <c r="G632" s="2"/>
      <c r="H632" s="2"/>
      <c r="I632" s="5"/>
      <c r="J632" s="93"/>
    </row>
    <row r="633" spans="1:10" ht="15.75" customHeight="1">
      <c r="A633" s="2"/>
      <c r="B633" s="2"/>
      <c r="C633" s="2"/>
      <c r="D633" s="2"/>
      <c r="E633" s="2"/>
      <c r="F633" s="2"/>
      <c r="G633" s="2"/>
      <c r="H633" s="2"/>
      <c r="I633" s="5"/>
      <c r="J633" s="93"/>
    </row>
    <row r="634" spans="1:10" ht="15.75" customHeight="1">
      <c r="A634" s="2"/>
      <c r="B634" s="2"/>
      <c r="C634" s="2"/>
      <c r="D634" s="2"/>
      <c r="E634" s="2"/>
      <c r="F634" s="2"/>
      <c r="G634" s="2"/>
      <c r="H634" s="2"/>
      <c r="I634" s="5"/>
      <c r="J634" s="93"/>
    </row>
    <row r="635" spans="1:10" ht="15.75" customHeight="1">
      <c r="A635" s="2"/>
      <c r="B635" s="2"/>
      <c r="C635" s="2"/>
      <c r="D635" s="2"/>
      <c r="E635" s="2"/>
      <c r="F635" s="2"/>
      <c r="G635" s="2"/>
      <c r="H635" s="2"/>
      <c r="I635" s="5"/>
      <c r="J635" s="93"/>
    </row>
    <row r="636" spans="1:10" ht="15.75" customHeight="1">
      <c r="A636" s="2"/>
      <c r="B636" s="2"/>
      <c r="C636" s="2"/>
      <c r="D636" s="2"/>
      <c r="E636" s="2"/>
      <c r="F636" s="2"/>
      <c r="G636" s="2"/>
      <c r="H636" s="2"/>
      <c r="I636" s="5"/>
      <c r="J636" s="93"/>
    </row>
    <row r="637" spans="1:10" ht="15.75" customHeight="1">
      <c r="A637" s="2"/>
      <c r="B637" s="2"/>
      <c r="C637" s="2"/>
      <c r="D637" s="2"/>
      <c r="E637" s="2"/>
      <c r="F637" s="2"/>
      <c r="G637" s="2"/>
      <c r="H637" s="2"/>
      <c r="I637" s="5"/>
      <c r="J637" s="93"/>
    </row>
    <row r="638" spans="1:10" ht="15.75" customHeight="1">
      <c r="A638" s="2"/>
      <c r="B638" s="2"/>
      <c r="C638" s="2"/>
      <c r="D638" s="2"/>
      <c r="E638" s="2"/>
      <c r="F638" s="2"/>
      <c r="G638" s="2"/>
      <c r="H638" s="2"/>
      <c r="I638" s="5"/>
      <c r="J638" s="93"/>
    </row>
    <row r="639" spans="1:10" ht="15.75" customHeight="1">
      <c r="A639" s="2"/>
      <c r="B639" s="2"/>
      <c r="C639" s="2"/>
      <c r="D639" s="2"/>
      <c r="E639" s="2"/>
      <c r="F639" s="2"/>
      <c r="G639" s="2"/>
      <c r="H639" s="2"/>
      <c r="I639" s="5"/>
      <c r="J639" s="93"/>
    </row>
    <row r="640" spans="1:10" ht="15.75" customHeight="1">
      <c r="A640" s="2"/>
      <c r="B640" s="2"/>
      <c r="C640" s="2"/>
      <c r="D640" s="2"/>
      <c r="E640" s="2"/>
      <c r="F640" s="2"/>
      <c r="G640" s="2"/>
      <c r="H640" s="2"/>
      <c r="I640" s="5"/>
      <c r="J640" s="93"/>
    </row>
    <row r="641" spans="1:10" ht="15.75" customHeight="1">
      <c r="A641" s="2"/>
      <c r="B641" s="2"/>
      <c r="C641" s="2"/>
      <c r="D641" s="2"/>
      <c r="E641" s="2"/>
      <c r="F641" s="2"/>
      <c r="G641" s="2"/>
      <c r="H641" s="2"/>
      <c r="I641" s="5"/>
      <c r="J641" s="93"/>
    </row>
    <row r="642" spans="1:10" ht="15.75" customHeight="1">
      <c r="A642" s="2"/>
      <c r="B642" s="2"/>
      <c r="C642" s="2"/>
      <c r="D642" s="2"/>
      <c r="E642" s="2"/>
      <c r="F642" s="2"/>
      <c r="G642" s="2"/>
      <c r="H642" s="2"/>
      <c r="I642" s="5"/>
      <c r="J642" s="93"/>
    </row>
    <row r="643" spans="1:10" ht="15.75" customHeight="1">
      <c r="A643" s="2"/>
      <c r="B643" s="2"/>
      <c r="C643" s="2"/>
      <c r="D643" s="2"/>
      <c r="E643" s="2"/>
      <c r="F643" s="2"/>
      <c r="G643" s="2"/>
      <c r="H643" s="2"/>
      <c r="I643" s="5"/>
      <c r="J643" s="93"/>
    </row>
    <row r="644" spans="1:10" ht="15.75" customHeight="1">
      <c r="A644" s="2"/>
      <c r="B644" s="2"/>
      <c r="C644" s="2"/>
      <c r="D644" s="2"/>
      <c r="E644" s="2"/>
      <c r="F644" s="2"/>
      <c r="G644" s="2"/>
      <c r="H644" s="2"/>
      <c r="I644" s="5"/>
      <c r="J644" s="93"/>
    </row>
    <row r="645" spans="1:10" ht="15.75" customHeight="1">
      <c r="A645" s="2"/>
      <c r="B645" s="2"/>
      <c r="C645" s="2"/>
      <c r="D645" s="2"/>
      <c r="E645" s="2"/>
      <c r="F645" s="2"/>
      <c r="G645" s="2"/>
      <c r="H645" s="2"/>
      <c r="I645" s="5"/>
      <c r="J645" s="93"/>
    </row>
    <row r="646" spans="1:10" ht="15.75" customHeight="1">
      <c r="A646" s="2"/>
      <c r="B646" s="2"/>
      <c r="C646" s="2"/>
      <c r="D646" s="2"/>
      <c r="E646" s="2"/>
      <c r="F646" s="2"/>
      <c r="G646" s="2"/>
      <c r="H646" s="2"/>
      <c r="I646" s="5"/>
      <c r="J646" s="93"/>
    </row>
    <row r="647" spans="1:10" ht="15.75" customHeight="1">
      <c r="A647" s="2"/>
      <c r="B647" s="2"/>
      <c r="C647" s="2"/>
      <c r="D647" s="2"/>
      <c r="E647" s="2"/>
      <c r="F647" s="2"/>
      <c r="G647" s="2"/>
      <c r="H647" s="2"/>
      <c r="I647" s="5"/>
      <c r="J647" s="93"/>
    </row>
    <row r="648" spans="1:10" ht="15.75" customHeight="1">
      <c r="A648" s="2"/>
      <c r="B648" s="2"/>
      <c r="C648" s="2"/>
      <c r="D648" s="2"/>
      <c r="E648" s="2"/>
      <c r="F648" s="2"/>
      <c r="G648" s="2"/>
      <c r="H648" s="2"/>
      <c r="I648" s="5"/>
      <c r="J648" s="93"/>
    </row>
    <row r="649" spans="1:10" ht="15.75" customHeight="1">
      <c r="A649" s="2"/>
      <c r="B649" s="2"/>
      <c r="C649" s="2"/>
      <c r="D649" s="2"/>
      <c r="E649" s="2"/>
      <c r="F649" s="2"/>
      <c r="G649" s="2"/>
      <c r="H649" s="2"/>
      <c r="I649" s="5"/>
      <c r="J649" s="93"/>
    </row>
    <row r="650" spans="1:10" ht="15.75" customHeight="1">
      <c r="A650" s="2"/>
      <c r="B650" s="2"/>
      <c r="C650" s="2"/>
      <c r="D650" s="2"/>
      <c r="E650" s="2"/>
      <c r="F650" s="2"/>
      <c r="G650" s="2"/>
      <c r="H650" s="2"/>
      <c r="I650" s="5"/>
      <c r="J650" s="93"/>
    </row>
    <row r="651" spans="1:10" ht="15.75" customHeight="1">
      <c r="A651" s="2"/>
      <c r="B651" s="2"/>
      <c r="C651" s="2"/>
      <c r="D651" s="2"/>
      <c r="E651" s="2"/>
      <c r="F651" s="2"/>
      <c r="G651" s="2"/>
      <c r="H651" s="2"/>
      <c r="I651" s="5"/>
      <c r="J651" s="93"/>
    </row>
    <row r="652" spans="1:10" ht="15.75" customHeight="1">
      <c r="A652" s="2"/>
      <c r="B652" s="2"/>
      <c r="C652" s="2"/>
      <c r="D652" s="2"/>
      <c r="E652" s="2"/>
      <c r="F652" s="2"/>
      <c r="G652" s="2"/>
      <c r="H652" s="2"/>
      <c r="I652" s="5"/>
      <c r="J652" s="93"/>
    </row>
    <row r="653" spans="1:10" ht="15.75" customHeight="1">
      <c r="A653" s="2"/>
      <c r="B653" s="2"/>
      <c r="C653" s="2"/>
      <c r="D653" s="2"/>
      <c r="E653" s="2"/>
      <c r="F653" s="2"/>
      <c r="G653" s="2"/>
      <c r="H653" s="2"/>
      <c r="I653" s="5"/>
      <c r="J653" s="93"/>
    </row>
    <row r="654" spans="1:10" ht="15.75" customHeight="1">
      <c r="A654" s="2"/>
      <c r="B654" s="2"/>
      <c r="C654" s="2"/>
      <c r="D654" s="2"/>
      <c r="E654" s="2"/>
      <c r="F654" s="2"/>
      <c r="G654" s="2"/>
      <c r="H654" s="2"/>
      <c r="I654" s="5"/>
      <c r="J654" s="93"/>
    </row>
    <row r="655" spans="1:10" ht="15.75" customHeight="1">
      <c r="A655" s="2"/>
      <c r="B655" s="2"/>
      <c r="C655" s="2"/>
      <c r="D655" s="2"/>
      <c r="E655" s="2"/>
      <c r="F655" s="2"/>
      <c r="G655" s="2"/>
      <c r="H655" s="2"/>
      <c r="I655" s="5"/>
      <c r="J655" s="93"/>
    </row>
    <row r="656" spans="1:10" ht="15.75" customHeight="1">
      <c r="A656" s="2"/>
      <c r="B656" s="2"/>
      <c r="C656" s="2"/>
      <c r="D656" s="2"/>
      <c r="E656" s="2"/>
      <c r="F656" s="2"/>
      <c r="G656" s="2"/>
      <c r="H656" s="2"/>
      <c r="I656" s="5"/>
      <c r="J656" s="93"/>
    </row>
    <row r="657" spans="1:10" ht="15.75" customHeight="1">
      <c r="A657" s="2"/>
      <c r="B657" s="2"/>
      <c r="C657" s="2"/>
      <c r="D657" s="2"/>
      <c r="E657" s="2"/>
      <c r="F657" s="2"/>
      <c r="G657" s="2"/>
      <c r="H657" s="2"/>
      <c r="I657" s="5"/>
      <c r="J657" s="93"/>
    </row>
    <row r="658" spans="1:10" ht="15.75" customHeight="1">
      <c r="A658" s="2"/>
      <c r="B658" s="2"/>
      <c r="C658" s="2"/>
      <c r="D658" s="2"/>
      <c r="E658" s="2"/>
      <c r="F658" s="2"/>
      <c r="G658" s="2"/>
      <c r="H658" s="2"/>
      <c r="I658" s="5"/>
      <c r="J658" s="93"/>
    </row>
    <row r="659" spans="1:10" ht="15.75" customHeight="1">
      <c r="A659" s="2"/>
      <c r="B659" s="2"/>
      <c r="C659" s="2"/>
      <c r="D659" s="2"/>
      <c r="E659" s="2"/>
      <c r="F659" s="2"/>
      <c r="G659" s="2"/>
      <c r="H659" s="2"/>
      <c r="I659" s="5"/>
      <c r="J659" s="93"/>
    </row>
    <row r="660" spans="1:10" ht="15.75" customHeight="1">
      <c r="A660" s="2"/>
      <c r="B660" s="2"/>
      <c r="C660" s="2"/>
      <c r="D660" s="2"/>
      <c r="E660" s="2"/>
      <c r="F660" s="2"/>
      <c r="G660" s="2"/>
      <c r="H660" s="2"/>
      <c r="I660" s="5"/>
      <c r="J660" s="93"/>
    </row>
    <row r="661" spans="1:10" ht="15.75" customHeight="1">
      <c r="A661" s="2"/>
      <c r="B661" s="2"/>
      <c r="C661" s="2"/>
      <c r="D661" s="2"/>
      <c r="E661" s="2"/>
      <c r="F661" s="2"/>
      <c r="G661" s="2"/>
      <c r="H661" s="2"/>
      <c r="I661" s="5"/>
      <c r="J661" s="93"/>
    </row>
    <row r="662" spans="1:10" ht="15.75" customHeight="1">
      <c r="A662" s="2"/>
      <c r="B662" s="2"/>
      <c r="C662" s="2"/>
      <c r="D662" s="2"/>
      <c r="E662" s="2"/>
      <c r="F662" s="2"/>
      <c r="G662" s="2"/>
      <c r="H662" s="2"/>
      <c r="I662" s="5"/>
      <c r="J662" s="93"/>
    </row>
    <row r="663" spans="1:10" ht="15.75" customHeight="1">
      <c r="A663" s="2"/>
      <c r="B663" s="2"/>
      <c r="C663" s="2"/>
      <c r="D663" s="2"/>
      <c r="E663" s="2"/>
      <c r="F663" s="2"/>
      <c r="G663" s="2"/>
      <c r="H663" s="2"/>
      <c r="I663" s="5"/>
      <c r="J663" s="93"/>
    </row>
    <row r="664" spans="1:10" ht="15.75" customHeight="1">
      <c r="A664" s="2"/>
      <c r="B664" s="2"/>
      <c r="C664" s="2"/>
      <c r="D664" s="2"/>
      <c r="E664" s="2"/>
      <c r="F664" s="2"/>
      <c r="G664" s="2"/>
      <c r="H664" s="2"/>
      <c r="I664" s="5"/>
      <c r="J664" s="93"/>
    </row>
    <row r="665" spans="1:10" ht="15.75" customHeight="1">
      <c r="A665" s="2"/>
      <c r="B665" s="2"/>
      <c r="C665" s="2"/>
      <c r="D665" s="2"/>
      <c r="E665" s="2"/>
      <c r="F665" s="2"/>
      <c r="G665" s="2"/>
      <c r="H665" s="2"/>
      <c r="I665" s="5"/>
      <c r="J665" s="93"/>
    </row>
    <row r="666" spans="1:10" ht="15.75" customHeight="1">
      <c r="A666" s="2"/>
      <c r="B666" s="2"/>
      <c r="C666" s="2"/>
      <c r="D666" s="2"/>
      <c r="E666" s="2"/>
      <c r="F666" s="2"/>
      <c r="G666" s="2"/>
      <c r="H666" s="2"/>
      <c r="I666" s="5"/>
      <c r="J666" s="93"/>
    </row>
    <row r="667" spans="1:10" ht="15.75" customHeight="1">
      <c r="A667" s="2"/>
      <c r="B667" s="2"/>
      <c r="C667" s="2"/>
      <c r="D667" s="2"/>
      <c r="E667" s="2"/>
      <c r="F667" s="2"/>
      <c r="G667" s="2"/>
      <c r="H667" s="2"/>
      <c r="I667" s="5"/>
      <c r="J667" s="93"/>
    </row>
    <row r="668" spans="1:10" ht="15.75" customHeight="1">
      <c r="A668" s="2"/>
      <c r="B668" s="2"/>
      <c r="C668" s="2"/>
      <c r="D668" s="2"/>
      <c r="E668" s="2"/>
      <c r="F668" s="2"/>
      <c r="G668" s="2"/>
      <c r="H668" s="2"/>
      <c r="I668" s="5"/>
      <c r="J668" s="93"/>
    </row>
    <row r="669" spans="1:10" ht="15.75" customHeight="1">
      <c r="A669" s="2"/>
      <c r="B669" s="2"/>
      <c r="C669" s="2"/>
      <c r="D669" s="2"/>
      <c r="E669" s="2"/>
      <c r="F669" s="2"/>
      <c r="G669" s="2"/>
      <c r="H669" s="2"/>
      <c r="I669" s="5"/>
      <c r="J669" s="93"/>
    </row>
    <row r="670" spans="1:10" ht="15.75" customHeight="1">
      <c r="A670" s="2"/>
      <c r="B670" s="2"/>
      <c r="C670" s="2"/>
      <c r="D670" s="2"/>
      <c r="E670" s="2"/>
      <c r="F670" s="2"/>
      <c r="G670" s="2"/>
      <c r="H670" s="2"/>
      <c r="I670" s="5"/>
      <c r="J670" s="93"/>
    </row>
    <row r="671" spans="1:10" ht="15.75" customHeight="1">
      <c r="A671" s="2"/>
      <c r="B671" s="2"/>
      <c r="C671" s="2"/>
      <c r="D671" s="2"/>
      <c r="E671" s="2"/>
      <c r="F671" s="2"/>
      <c r="G671" s="2"/>
      <c r="H671" s="2"/>
      <c r="I671" s="5"/>
      <c r="J671" s="93"/>
    </row>
    <row r="672" spans="1:10" ht="15.75" customHeight="1">
      <c r="A672" s="2"/>
      <c r="B672" s="2"/>
      <c r="C672" s="2"/>
      <c r="D672" s="2"/>
      <c r="E672" s="2"/>
      <c r="F672" s="2"/>
      <c r="G672" s="2"/>
      <c r="H672" s="2"/>
      <c r="I672" s="5"/>
      <c r="J672" s="93"/>
    </row>
    <row r="673" spans="1:10" ht="15.75" customHeight="1">
      <c r="A673" s="2"/>
      <c r="B673" s="2"/>
      <c r="C673" s="2"/>
      <c r="D673" s="2"/>
      <c r="E673" s="2"/>
      <c r="F673" s="2"/>
      <c r="G673" s="2"/>
      <c r="H673" s="2"/>
      <c r="I673" s="5"/>
      <c r="J673" s="93"/>
    </row>
    <row r="674" spans="1:10" ht="15.75" customHeight="1">
      <c r="A674" s="2"/>
      <c r="B674" s="2"/>
      <c r="C674" s="2"/>
      <c r="D674" s="2"/>
      <c r="E674" s="2"/>
      <c r="F674" s="2"/>
      <c r="G674" s="2"/>
      <c r="H674" s="2"/>
      <c r="I674" s="5"/>
      <c r="J674" s="93"/>
    </row>
    <row r="675" spans="1:10" ht="15.75" customHeight="1">
      <c r="A675" s="2"/>
      <c r="B675" s="2"/>
      <c r="C675" s="2"/>
      <c r="D675" s="2"/>
      <c r="E675" s="2"/>
      <c r="F675" s="2"/>
      <c r="G675" s="2"/>
      <c r="H675" s="2"/>
      <c r="I675" s="5"/>
      <c r="J675" s="93"/>
    </row>
    <row r="676" spans="1:10" ht="15.75" customHeight="1">
      <c r="A676" s="2"/>
      <c r="B676" s="2"/>
      <c r="C676" s="2"/>
      <c r="D676" s="2"/>
      <c r="E676" s="2"/>
      <c r="F676" s="2"/>
      <c r="G676" s="2"/>
      <c r="H676" s="2"/>
      <c r="I676" s="5"/>
      <c r="J676" s="93"/>
    </row>
    <row r="677" spans="1:10" ht="15.75" customHeight="1">
      <c r="A677" s="2"/>
      <c r="B677" s="2"/>
      <c r="C677" s="2"/>
      <c r="D677" s="2"/>
      <c r="E677" s="2"/>
      <c r="F677" s="2"/>
      <c r="G677" s="2"/>
      <c r="H677" s="2"/>
      <c r="I677" s="5"/>
      <c r="J677" s="93"/>
    </row>
    <row r="678" spans="1:10" ht="15.75" customHeight="1">
      <c r="A678" s="2"/>
      <c r="B678" s="2"/>
      <c r="C678" s="2"/>
      <c r="D678" s="2"/>
      <c r="E678" s="2"/>
      <c r="F678" s="2"/>
      <c r="G678" s="2"/>
      <c r="H678" s="2"/>
      <c r="I678" s="5"/>
      <c r="J678" s="93"/>
    </row>
    <row r="679" spans="1:10" ht="15.75" customHeight="1">
      <c r="A679" s="2"/>
      <c r="B679" s="2"/>
      <c r="C679" s="2"/>
      <c r="D679" s="2"/>
      <c r="E679" s="2"/>
      <c r="F679" s="2"/>
      <c r="G679" s="2"/>
      <c r="H679" s="2"/>
      <c r="I679" s="5"/>
      <c r="J679" s="93"/>
    </row>
    <row r="680" spans="1:10" ht="15.75" customHeight="1">
      <c r="A680" s="2"/>
      <c r="B680" s="2"/>
      <c r="C680" s="2"/>
      <c r="D680" s="2"/>
      <c r="E680" s="2"/>
      <c r="F680" s="2"/>
      <c r="G680" s="2"/>
      <c r="H680" s="2"/>
      <c r="I680" s="5"/>
      <c r="J680" s="93"/>
    </row>
    <row r="681" spans="1:10" ht="15.75" customHeight="1">
      <c r="A681" s="2"/>
      <c r="B681" s="2"/>
      <c r="C681" s="2"/>
      <c r="D681" s="2"/>
      <c r="E681" s="2"/>
      <c r="F681" s="2"/>
      <c r="G681" s="2"/>
      <c r="H681" s="2"/>
      <c r="I681" s="5"/>
      <c r="J681" s="93"/>
    </row>
    <row r="682" spans="1:10" ht="15.75" customHeight="1">
      <c r="A682" s="2"/>
      <c r="B682" s="2"/>
      <c r="C682" s="2"/>
      <c r="D682" s="2"/>
      <c r="E682" s="2"/>
      <c r="F682" s="2"/>
      <c r="G682" s="2"/>
      <c r="H682" s="2"/>
      <c r="I682" s="5"/>
      <c r="J682" s="93"/>
    </row>
    <row r="683" spans="1:10" ht="15.75" customHeight="1">
      <c r="A683" s="2"/>
      <c r="B683" s="2"/>
      <c r="C683" s="2"/>
      <c r="D683" s="2"/>
      <c r="E683" s="2"/>
      <c r="F683" s="2"/>
      <c r="G683" s="2"/>
      <c r="H683" s="2"/>
      <c r="I683" s="5"/>
      <c r="J683" s="93"/>
    </row>
    <row r="684" spans="1:10" ht="15.75" customHeight="1">
      <c r="A684" s="2"/>
      <c r="B684" s="2"/>
      <c r="C684" s="2"/>
      <c r="D684" s="2"/>
      <c r="E684" s="2"/>
      <c r="F684" s="2"/>
      <c r="G684" s="2"/>
      <c r="H684" s="2"/>
      <c r="I684" s="5"/>
      <c r="J684" s="93"/>
    </row>
    <row r="685" spans="1:10" ht="15.75" customHeight="1">
      <c r="A685" s="2"/>
      <c r="B685" s="2"/>
      <c r="C685" s="2"/>
      <c r="D685" s="2"/>
      <c r="E685" s="2"/>
      <c r="F685" s="2"/>
      <c r="G685" s="2"/>
      <c r="H685" s="2"/>
      <c r="I685" s="5"/>
      <c r="J685" s="93"/>
    </row>
    <row r="686" spans="1:10" ht="15.75" customHeight="1">
      <c r="A686" s="2"/>
      <c r="B686" s="2"/>
      <c r="C686" s="2"/>
      <c r="D686" s="2"/>
      <c r="E686" s="2"/>
      <c r="F686" s="2"/>
      <c r="G686" s="2"/>
      <c r="H686" s="2"/>
      <c r="I686" s="5"/>
      <c r="J686" s="93"/>
    </row>
    <row r="687" spans="1:10" ht="15.75" customHeight="1">
      <c r="A687" s="2"/>
      <c r="B687" s="2"/>
      <c r="C687" s="2"/>
      <c r="D687" s="2"/>
      <c r="E687" s="2"/>
      <c r="F687" s="2"/>
      <c r="G687" s="2"/>
      <c r="H687" s="2"/>
      <c r="I687" s="5"/>
      <c r="J687" s="93"/>
    </row>
    <row r="688" spans="1:10" ht="15.75" customHeight="1">
      <c r="A688" s="2"/>
      <c r="B688" s="2"/>
      <c r="C688" s="2"/>
      <c r="D688" s="2"/>
      <c r="E688" s="2"/>
      <c r="F688" s="2"/>
      <c r="G688" s="2"/>
      <c r="H688" s="2"/>
      <c r="I688" s="5"/>
      <c r="J688" s="93"/>
    </row>
    <row r="689" spans="1:10" ht="15.75" customHeight="1">
      <c r="A689" s="2"/>
      <c r="B689" s="2"/>
      <c r="C689" s="2"/>
      <c r="D689" s="2"/>
      <c r="E689" s="2"/>
      <c r="F689" s="2"/>
      <c r="G689" s="2"/>
      <c r="H689" s="2"/>
      <c r="I689" s="5"/>
      <c r="J689" s="93"/>
    </row>
    <row r="690" spans="1:10" ht="15.75" customHeight="1">
      <c r="A690" s="2"/>
      <c r="B690" s="2"/>
      <c r="C690" s="2"/>
      <c r="D690" s="2"/>
      <c r="E690" s="2"/>
      <c r="F690" s="2"/>
      <c r="G690" s="2"/>
      <c r="H690" s="2"/>
      <c r="I690" s="5"/>
      <c r="J690" s="93"/>
    </row>
    <row r="691" spans="1:10" ht="15.75" customHeight="1">
      <c r="A691" s="2"/>
      <c r="B691" s="2"/>
      <c r="C691" s="2"/>
      <c r="D691" s="2"/>
      <c r="E691" s="2"/>
      <c r="F691" s="2"/>
      <c r="G691" s="2"/>
      <c r="H691" s="2"/>
      <c r="I691" s="5"/>
      <c r="J691" s="93"/>
    </row>
    <row r="692" spans="1:10" ht="15.75" customHeight="1">
      <c r="A692" s="2"/>
      <c r="B692" s="2"/>
      <c r="C692" s="2"/>
      <c r="D692" s="2"/>
      <c r="E692" s="2"/>
      <c r="F692" s="2"/>
      <c r="G692" s="2"/>
      <c r="H692" s="2"/>
      <c r="I692" s="5"/>
      <c r="J692" s="93"/>
    </row>
    <row r="693" spans="1:10" ht="15.75" customHeight="1">
      <c r="A693" s="2"/>
      <c r="B693" s="2"/>
      <c r="C693" s="2"/>
      <c r="D693" s="2"/>
      <c r="E693" s="2"/>
      <c r="F693" s="2"/>
      <c r="G693" s="2"/>
      <c r="H693" s="2"/>
      <c r="I693" s="5"/>
      <c r="J693" s="93"/>
    </row>
    <row r="694" spans="1:10" ht="15.75" customHeight="1">
      <c r="A694" s="2"/>
      <c r="B694" s="2"/>
      <c r="C694" s="2"/>
      <c r="D694" s="2"/>
      <c r="E694" s="2"/>
      <c r="F694" s="2"/>
      <c r="G694" s="2"/>
      <c r="H694" s="2"/>
      <c r="I694" s="5"/>
      <c r="J694" s="93"/>
    </row>
    <row r="695" spans="1:10" ht="15.75" customHeight="1">
      <c r="A695" s="2"/>
      <c r="B695" s="2"/>
      <c r="C695" s="2"/>
      <c r="D695" s="2"/>
      <c r="E695" s="2"/>
      <c r="F695" s="2"/>
      <c r="G695" s="2"/>
      <c r="H695" s="2"/>
      <c r="I695" s="5"/>
      <c r="J695" s="93"/>
    </row>
    <row r="696" spans="1:10" ht="15.75" customHeight="1">
      <c r="A696" s="2"/>
      <c r="B696" s="2"/>
      <c r="C696" s="2"/>
      <c r="D696" s="2"/>
      <c r="E696" s="2"/>
      <c r="F696" s="2"/>
      <c r="G696" s="2"/>
      <c r="H696" s="2"/>
      <c r="I696" s="5"/>
      <c r="J696" s="93"/>
    </row>
    <row r="697" spans="1:10" ht="15.75" customHeight="1">
      <c r="A697" s="2"/>
      <c r="B697" s="2"/>
      <c r="C697" s="2"/>
      <c r="D697" s="2"/>
      <c r="E697" s="2"/>
      <c r="F697" s="2"/>
      <c r="G697" s="2"/>
      <c r="H697" s="2"/>
      <c r="I697" s="5"/>
      <c r="J697" s="93"/>
    </row>
    <row r="698" spans="1:10" ht="15.75" customHeight="1">
      <c r="A698" s="2"/>
      <c r="B698" s="2"/>
      <c r="C698" s="2"/>
      <c r="D698" s="2"/>
      <c r="E698" s="2"/>
      <c r="F698" s="2"/>
      <c r="G698" s="2"/>
      <c r="H698" s="2"/>
      <c r="I698" s="5"/>
      <c r="J698" s="93"/>
    </row>
    <row r="699" spans="1:10" ht="15.75" customHeight="1">
      <c r="A699" s="2"/>
      <c r="B699" s="2"/>
      <c r="C699" s="2"/>
      <c r="D699" s="2"/>
      <c r="E699" s="2"/>
      <c r="F699" s="2"/>
      <c r="G699" s="2"/>
      <c r="H699" s="2"/>
      <c r="I699" s="5"/>
      <c r="J699" s="93"/>
    </row>
    <row r="700" spans="1:10" ht="15.75" customHeight="1">
      <c r="A700" s="2"/>
      <c r="B700" s="2"/>
      <c r="C700" s="2"/>
      <c r="D700" s="2"/>
      <c r="E700" s="2"/>
      <c r="F700" s="2"/>
      <c r="G700" s="2"/>
      <c r="H700" s="2"/>
      <c r="I700" s="5"/>
      <c r="J700" s="93"/>
    </row>
    <row r="701" spans="1:10" ht="15.75" customHeight="1">
      <c r="A701" s="2"/>
      <c r="B701" s="2"/>
      <c r="C701" s="2"/>
      <c r="D701" s="2"/>
      <c r="E701" s="2"/>
      <c r="F701" s="2"/>
      <c r="G701" s="2"/>
      <c r="H701" s="2"/>
      <c r="I701" s="5"/>
      <c r="J701" s="93"/>
    </row>
    <row r="702" spans="1:10" ht="15.75" customHeight="1">
      <c r="A702" s="2"/>
      <c r="B702" s="2"/>
      <c r="C702" s="2"/>
      <c r="D702" s="2"/>
      <c r="E702" s="2"/>
      <c r="F702" s="2"/>
      <c r="G702" s="2"/>
      <c r="H702" s="2"/>
      <c r="I702" s="5"/>
      <c r="J702" s="93"/>
    </row>
    <row r="703" spans="1:10" ht="15.75" customHeight="1">
      <c r="A703" s="2"/>
      <c r="B703" s="2"/>
      <c r="C703" s="2"/>
      <c r="D703" s="2"/>
      <c r="E703" s="2"/>
      <c r="F703" s="2"/>
      <c r="G703" s="2"/>
      <c r="H703" s="2"/>
      <c r="I703" s="5"/>
      <c r="J703" s="93"/>
    </row>
    <row r="704" spans="1:10" ht="15.75" customHeight="1">
      <c r="A704" s="2"/>
      <c r="B704" s="2"/>
      <c r="C704" s="2"/>
      <c r="D704" s="2"/>
      <c r="E704" s="2"/>
      <c r="F704" s="2"/>
      <c r="G704" s="2"/>
      <c r="H704" s="2"/>
      <c r="I704" s="5"/>
      <c r="J704" s="93"/>
    </row>
    <row r="705" spans="1:10" ht="15.75" customHeight="1">
      <c r="A705" s="2"/>
      <c r="B705" s="2"/>
      <c r="C705" s="2"/>
      <c r="D705" s="2"/>
      <c r="E705" s="2"/>
      <c r="F705" s="2"/>
      <c r="G705" s="2"/>
      <c r="H705" s="2"/>
      <c r="I705" s="5"/>
      <c r="J705" s="93"/>
    </row>
    <row r="706" spans="1:10" ht="15.75" customHeight="1">
      <c r="A706" s="2"/>
      <c r="B706" s="2"/>
      <c r="C706" s="2"/>
      <c r="D706" s="2"/>
      <c r="E706" s="2"/>
      <c r="F706" s="2"/>
      <c r="G706" s="2"/>
      <c r="H706" s="2"/>
      <c r="I706" s="5"/>
      <c r="J706" s="93"/>
    </row>
    <row r="707" spans="1:10" ht="15.75" customHeight="1">
      <c r="A707" s="2"/>
      <c r="B707" s="2"/>
      <c r="C707" s="2"/>
      <c r="D707" s="2"/>
      <c r="E707" s="2"/>
      <c r="F707" s="2"/>
      <c r="G707" s="2"/>
      <c r="H707" s="2"/>
      <c r="I707" s="5"/>
      <c r="J707" s="93"/>
    </row>
    <row r="708" spans="1:10" ht="15.75" customHeight="1">
      <c r="A708" s="2"/>
      <c r="B708" s="2"/>
      <c r="C708" s="2"/>
      <c r="D708" s="2"/>
      <c r="E708" s="2"/>
      <c r="F708" s="2"/>
      <c r="G708" s="2"/>
      <c r="H708" s="2"/>
      <c r="I708" s="5"/>
      <c r="J708" s="93"/>
    </row>
    <row r="709" spans="1:10" ht="15.75" customHeight="1">
      <c r="A709" s="2"/>
      <c r="B709" s="2"/>
      <c r="C709" s="2"/>
      <c r="D709" s="2"/>
      <c r="E709" s="2"/>
      <c r="F709" s="2"/>
      <c r="G709" s="2"/>
      <c r="H709" s="2"/>
      <c r="I709" s="5"/>
      <c r="J709" s="93"/>
    </row>
    <row r="710" spans="1:10" ht="15.75" customHeight="1">
      <c r="A710" s="2"/>
      <c r="B710" s="2"/>
      <c r="C710" s="2"/>
      <c r="D710" s="2"/>
      <c r="E710" s="2"/>
      <c r="F710" s="2"/>
      <c r="G710" s="2"/>
      <c r="H710" s="2"/>
      <c r="I710" s="5"/>
      <c r="J710" s="93"/>
    </row>
    <row r="711" spans="1:10" ht="15.75" customHeight="1">
      <c r="A711" s="2"/>
      <c r="B711" s="2"/>
      <c r="C711" s="2"/>
      <c r="D711" s="2"/>
      <c r="E711" s="2"/>
      <c r="F711" s="2"/>
      <c r="G711" s="2"/>
      <c r="H711" s="2"/>
      <c r="I711" s="5"/>
      <c r="J711" s="93"/>
    </row>
    <row r="712" spans="1:10" ht="15.75" customHeight="1">
      <c r="A712" s="2"/>
      <c r="B712" s="2"/>
      <c r="C712" s="2"/>
      <c r="D712" s="2"/>
      <c r="E712" s="2"/>
      <c r="F712" s="2"/>
      <c r="G712" s="2"/>
      <c r="H712" s="2"/>
      <c r="I712" s="5"/>
      <c r="J712" s="93"/>
    </row>
    <row r="713" spans="1:10" ht="15.75" customHeight="1">
      <c r="A713" s="2"/>
      <c r="B713" s="2"/>
      <c r="C713" s="2"/>
      <c r="D713" s="2"/>
      <c r="E713" s="2"/>
      <c r="F713" s="2"/>
      <c r="G713" s="2"/>
      <c r="H713" s="2"/>
      <c r="I713" s="5"/>
      <c r="J713" s="93"/>
    </row>
    <row r="714" spans="1:10" ht="15.75" customHeight="1">
      <c r="A714" s="2"/>
      <c r="B714" s="2"/>
      <c r="C714" s="2"/>
      <c r="D714" s="2"/>
      <c r="E714" s="2"/>
      <c r="F714" s="2"/>
      <c r="G714" s="2"/>
      <c r="H714" s="2"/>
      <c r="I714" s="5"/>
      <c r="J714" s="93"/>
    </row>
    <row r="715" spans="1:10" ht="15.75" customHeight="1">
      <c r="A715" s="2"/>
      <c r="B715" s="2"/>
      <c r="C715" s="2"/>
      <c r="D715" s="2"/>
      <c r="E715" s="2"/>
      <c r="F715" s="2"/>
      <c r="G715" s="2"/>
      <c r="H715" s="2"/>
      <c r="I715" s="5"/>
      <c r="J715" s="93"/>
    </row>
    <row r="716" spans="1:10" ht="15.75" customHeight="1">
      <c r="A716" s="2"/>
      <c r="B716" s="2"/>
      <c r="C716" s="2"/>
      <c r="D716" s="2"/>
      <c r="E716" s="2"/>
      <c r="F716" s="2"/>
      <c r="G716" s="2"/>
      <c r="H716" s="2"/>
      <c r="I716" s="5"/>
      <c r="J716" s="93"/>
    </row>
    <row r="717" spans="1:10" ht="15.75" customHeight="1">
      <c r="A717" s="2"/>
      <c r="B717" s="2"/>
      <c r="C717" s="2"/>
      <c r="D717" s="2"/>
      <c r="E717" s="2"/>
      <c r="F717" s="2"/>
      <c r="G717" s="2"/>
      <c r="H717" s="2"/>
      <c r="I717" s="5"/>
      <c r="J717" s="93"/>
    </row>
    <row r="718" spans="1:10" ht="15.75" customHeight="1">
      <c r="A718" s="2"/>
      <c r="B718" s="2"/>
      <c r="C718" s="2"/>
      <c r="D718" s="2"/>
      <c r="E718" s="2"/>
      <c r="F718" s="2"/>
      <c r="G718" s="2"/>
      <c r="H718" s="2"/>
      <c r="I718" s="5"/>
      <c r="J718" s="93"/>
    </row>
    <row r="719" spans="1:10" ht="15.75" customHeight="1">
      <c r="A719" s="2"/>
      <c r="B719" s="2"/>
      <c r="C719" s="2"/>
      <c r="D719" s="2"/>
      <c r="E719" s="2"/>
      <c r="F719" s="2"/>
      <c r="G719" s="2"/>
      <c r="H719" s="2"/>
      <c r="I719" s="5"/>
      <c r="J719" s="93"/>
    </row>
    <row r="720" spans="1:10" ht="15.75" customHeight="1">
      <c r="A720" s="2"/>
      <c r="B720" s="2"/>
      <c r="C720" s="2"/>
      <c r="D720" s="2"/>
      <c r="E720" s="2"/>
      <c r="F720" s="2"/>
      <c r="G720" s="2"/>
      <c r="H720" s="2"/>
      <c r="I720" s="5"/>
      <c r="J720" s="93"/>
    </row>
    <row r="721" spans="1:10" ht="15.75" customHeight="1">
      <c r="A721" s="2"/>
      <c r="B721" s="2"/>
      <c r="C721" s="2"/>
      <c r="D721" s="2"/>
      <c r="E721" s="2"/>
      <c r="F721" s="2"/>
      <c r="G721" s="2"/>
      <c r="H721" s="2"/>
      <c r="I721" s="5"/>
      <c r="J721" s="93"/>
    </row>
    <row r="722" spans="1:10" ht="15.75" customHeight="1">
      <c r="A722" s="2"/>
      <c r="B722" s="2"/>
      <c r="C722" s="2"/>
      <c r="D722" s="2"/>
      <c r="E722" s="2"/>
      <c r="F722" s="2"/>
      <c r="G722" s="2"/>
      <c r="H722" s="2"/>
      <c r="I722" s="5"/>
      <c r="J722" s="93"/>
    </row>
    <row r="723" spans="1:10" ht="15.75" customHeight="1">
      <c r="A723" s="2"/>
      <c r="B723" s="2"/>
      <c r="C723" s="2"/>
      <c r="D723" s="2"/>
      <c r="E723" s="2"/>
      <c r="F723" s="2"/>
      <c r="G723" s="2"/>
      <c r="H723" s="2"/>
      <c r="I723" s="5"/>
      <c r="J723" s="93"/>
    </row>
    <row r="724" spans="1:10" ht="15.75" customHeight="1">
      <c r="A724" s="2"/>
      <c r="B724" s="2"/>
      <c r="C724" s="2"/>
      <c r="D724" s="2"/>
      <c r="E724" s="2"/>
      <c r="F724" s="2"/>
      <c r="G724" s="2"/>
      <c r="H724" s="2"/>
      <c r="I724" s="5"/>
      <c r="J724" s="93"/>
    </row>
    <row r="725" spans="1:10" ht="15.75" customHeight="1">
      <c r="A725" s="2"/>
      <c r="B725" s="2"/>
      <c r="C725" s="2"/>
      <c r="D725" s="2"/>
      <c r="E725" s="2"/>
      <c r="F725" s="2"/>
      <c r="G725" s="2"/>
      <c r="H725" s="2"/>
      <c r="I725" s="5"/>
      <c r="J725" s="93"/>
    </row>
    <row r="726" spans="1:10" ht="15.75" customHeight="1">
      <c r="A726" s="2"/>
      <c r="B726" s="2"/>
      <c r="C726" s="2"/>
      <c r="D726" s="2"/>
      <c r="E726" s="2"/>
      <c r="F726" s="2"/>
      <c r="G726" s="2"/>
      <c r="H726" s="2"/>
      <c r="I726" s="5"/>
      <c r="J726" s="93"/>
    </row>
    <row r="727" spans="1:10" ht="15.75" customHeight="1">
      <c r="A727" s="2"/>
      <c r="B727" s="2"/>
      <c r="C727" s="2"/>
      <c r="D727" s="2"/>
      <c r="E727" s="2"/>
      <c r="F727" s="2"/>
      <c r="G727" s="2"/>
      <c r="H727" s="2"/>
      <c r="I727" s="5"/>
      <c r="J727" s="93"/>
    </row>
    <row r="728" spans="1:10" ht="15.75" customHeight="1">
      <c r="A728" s="2"/>
      <c r="B728" s="2"/>
      <c r="C728" s="2"/>
      <c r="D728" s="2"/>
      <c r="E728" s="2"/>
      <c r="F728" s="2"/>
      <c r="G728" s="2"/>
      <c r="H728" s="2"/>
      <c r="I728" s="5"/>
      <c r="J728" s="93"/>
    </row>
    <row r="729" spans="1:10" ht="15.75" customHeight="1">
      <c r="A729" s="2"/>
      <c r="B729" s="2"/>
      <c r="C729" s="2"/>
      <c r="D729" s="2"/>
      <c r="E729" s="2"/>
      <c r="F729" s="2"/>
      <c r="G729" s="2"/>
      <c r="H729" s="2"/>
      <c r="I729" s="5"/>
      <c r="J729" s="93"/>
    </row>
    <row r="730" spans="1:10" ht="15.75" customHeight="1">
      <c r="A730" s="2"/>
      <c r="B730" s="2"/>
      <c r="C730" s="2"/>
      <c r="D730" s="2"/>
      <c r="E730" s="2"/>
      <c r="F730" s="2"/>
      <c r="G730" s="2"/>
      <c r="H730" s="2"/>
      <c r="I730" s="5"/>
      <c r="J730" s="93"/>
    </row>
    <row r="731" spans="1:10" ht="15.75" customHeight="1">
      <c r="A731" s="2"/>
      <c r="B731" s="2"/>
      <c r="C731" s="2"/>
      <c r="D731" s="2"/>
      <c r="E731" s="2"/>
      <c r="F731" s="2"/>
      <c r="G731" s="2"/>
      <c r="H731" s="2"/>
      <c r="I731" s="5"/>
      <c r="J731" s="93"/>
    </row>
    <row r="732" spans="1:10" ht="15.75" customHeight="1">
      <c r="A732" s="2"/>
      <c r="B732" s="2"/>
      <c r="C732" s="2"/>
      <c r="D732" s="2"/>
      <c r="E732" s="2"/>
      <c r="F732" s="2"/>
      <c r="G732" s="2"/>
      <c r="H732" s="2"/>
      <c r="I732" s="5"/>
      <c r="J732" s="93"/>
    </row>
    <row r="733" spans="1:10" ht="15.75" customHeight="1">
      <c r="A733" s="2"/>
      <c r="B733" s="2"/>
      <c r="C733" s="2"/>
      <c r="D733" s="2"/>
      <c r="E733" s="2"/>
      <c r="F733" s="2"/>
      <c r="G733" s="2"/>
      <c r="H733" s="2"/>
      <c r="I733" s="5"/>
      <c r="J733" s="93"/>
    </row>
    <row r="734" spans="1:10" ht="15.75" customHeight="1">
      <c r="A734" s="2"/>
      <c r="B734" s="2"/>
      <c r="C734" s="2"/>
      <c r="D734" s="2"/>
      <c r="E734" s="2"/>
      <c r="F734" s="2"/>
      <c r="G734" s="2"/>
      <c r="H734" s="2"/>
      <c r="I734" s="5"/>
      <c r="J734" s="93"/>
    </row>
    <row r="735" spans="1:10" ht="15.75" customHeight="1">
      <c r="A735" s="2"/>
      <c r="B735" s="2"/>
      <c r="C735" s="2"/>
      <c r="D735" s="2"/>
      <c r="E735" s="2"/>
      <c r="F735" s="2"/>
      <c r="G735" s="2"/>
      <c r="H735" s="2"/>
      <c r="I735" s="5"/>
      <c r="J735" s="93"/>
    </row>
    <row r="736" spans="1:10" ht="15.75" customHeight="1">
      <c r="A736" s="2"/>
      <c r="B736" s="2"/>
      <c r="C736" s="2"/>
      <c r="D736" s="2"/>
      <c r="E736" s="2"/>
      <c r="F736" s="2"/>
      <c r="G736" s="2"/>
      <c r="H736" s="2"/>
      <c r="I736" s="5"/>
      <c r="J736" s="93"/>
    </row>
    <row r="737" spans="1:10" ht="15.75" customHeight="1">
      <c r="A737" s="2"/>
      <c r="B737" s="2"/>
      <c r="C737" s="2"/>
      <c r="D737" s="2"/>
      <c r="E737" s="2"/>
      <c r="F737" s="2"/>
      <c r="G737" s="2"/>
      <c r="H737" s="2"/>
      <c r="I737" s="5"/>
      <c r="J737" s="93"/>
    </row>
    <row r="738" spans="1:10" ht="15.75" customHeight="1">
      <c r="A738" s="2"/>
      <c r="B738" s="2"/>
      <c r="C738" s="2"/>
      <c r="D738" s="2"/>
      <c r="E738" s="2"/>
      <c r="F738" s="2"/>
      <c r="G738" s="2"/>
      <c r="H738" s="2"/>
      <c r="I738" s="5"/>
      <c r="J738" s="93"/>
    </row>
    <row r="739" spans="1:10" ht="15.75" customHeight="1">
      <c r="A739" s="2"/>
      <c r="B739" s="2"/>
      <c r="C739" s="2"/>
      <c r="D739" s="2"/>
      <c r="E739" s="2"/>
      <c r="F739" s="2"/>
      <c r="G739" s="2"/>
      <c r="H739" s="2"/>
      <c r="I739" s="5"/>
      <c r="J739" s="93"/>
    </row>
    <row r="740" spans="1:10" ht="15.75" customHeight="1">
      <c r="A740" s="2"/>
      <c r="B740" s="2"/>
      <c r="C740" s="2"/>
      <c r="D740" s="2"/>
      <c r="E740" s="2"/>
      <c r="F740" s="2"/>
      <c r="G740" s="2"/>
      <c r="H740" s="2"/>
      <c r="I740" s="5"/>
      <c r="J740" s="93"/>
    </row>
    <row r="741" spans="1:10" ht="15.75" customHeight="1">
      <c r="A741" s="2"/>
      <c r="B741" s="2"/>
      <c r="C741" s="2"/>
      <c r="D741" s="2"/>
      <c r="E741" s="2"/>
      <c r="F741" s="2"/>
      <c r="G741" s="2"/>
      <c r="H741" s="2"/>
      <c r="I741" s="5"/>
      <c r="J741" s="93"/>
    </row>
    <row r="742" spans="1:10" ht="15.75" customHeight="1">
      <c r="A742" s="2"/>
      <c r="B742" s="2"/>
      <c r="C742" s="2"/>
      <c r="D742" s="2"/>
      <c r="E742" s="2"/>
      <c r="F742" s="2"/>
      <c r="G742" s="2"/>
      <c r="H742" s="2"/>
      <c r="I742" s="5"/>
      <c r="J742" s="93"/>
    </row>
    <row r="743" spans="1:10" ht="15.75" customHeight="1">
      <c r="A743" s="2"/>
      <c r="B743" s="2"/>
      <c r="C743" s="2"/>
      <c r="D743" s="2"/>
      <c r="E743" s="2"/>
      <c r="F743" s="2"/>
      <c r="G743" s="2"/>
      <c r="H743" s="2"/>
      <c r="I743" s="5"/>
      <c r="J743" s="93"/>
    </row>
    <row r="744" spans="1:10" ht="15.75" customHeight="1">
      <c r="A744" s="2"/>
      <c r="B744" s="2"/>
      <c r="C744" s="2"/>
      <c r="D744" s="2"/>
      <c r="E744" s="2"/>
      <c r="F744" s="2"/>
      <c r="G744" s="2"/>
      <c r="H744" s="2"/>
      <c r="I744" s="5"/>
      <c r="J744" s="93"/>
    </row>
    <row r="745" spans="1:10" ht="15.75" customHeight="1">
      <c r="A745" s="2"/>
      <c r="B745" s="2"/>
      <c r="C745" s="2"/>
      <c r="D745" s="2"/>
      <c r="E745" s="2"/>
      <c r="F745" s="2"/>
      <c r="G745" s="2"/>
      <c r="H745" s="2"/>
      <c r="I745" s="5"/>
      <c r="J745" s="93"/>
    </row>
    <row r="746" spans="1:10" ht="15.75" customHeight="1">
      <c r="A746" s="2"/>
      <c r="B746" s="2"/>
      <c r="C746" s="2"/>
      <c r="D746" s="2"/>
      <c r="E746" s="2"/>
      <c r="F746" s="2"/>
      <c r="G746" s="2"/>
      <c r="H746" s="2"/>
      <c r="I746" s="5"/>
      <c r="J746" s="93"/>
    </row>
    <row r="747" spans="1:10" ht="15.75" customHeight="1">
      <c r="A747" s="2"/>
      <c r="B747" s="2"/>
      <c r="C747" s="2"/>
      <c r="D747" s="2"/>
      <c r="E747" s="2"/>
      <c r="F747" s="2"/>
      <c r="G747" s="2"/>
      <c r="H747" s="2"/>
      <c r="I747" s="5"/>
      <c r="J747" s="93"/>
    </row>
    <row r="748" spans="1:10" ht="15.75" customHeight="1">
      <c r="A748" s="2"/>
      <c r="B748" s="2"/>
      <c r="C748" s="2"/>
      <c r="D748" s="2"/>
      <c r="E748" s="2"/>
      <c r="F748" s="2"/>
      <c r="G748" s="2"/>
      <c r="H748" s="2"/>
      <c r="I748" s="5"/>
      <c r="J748" s="93"/>
    </row>
    <row r="749" spans="1:10" ht="15.75" customHeight="1">
      <c r="A749" s="2"/>
      <c r="B749" s="2"/>
      <c r="C749" s="2"/>
      <c r="D749" s="2"/>
      <c r="E749" s="2"/>
      <c r="F749" s="2"/>
      <c r="G749" s="2"/>
      <c r="H749" s="2"/>
      <c r="I749" s="5"/>
      <c r="J749" s="93"/>
    </row>
    <row r="750" spans="1:10" ht="15.75" customHeight="1">
      <c r="A750" s="2"/>
      <c r="B750" s="2"/>
      <c r="C750" s="2"/>
      <c r="D750" s="2"/>
      <c r="E750" s="2"/>
      <c r="F750" s="2"/>
      <c r="G750" s="2"/>
      <c r="H750" s="2"/>
      <c r="I750" s="5"/>
      <c r="J750" s="93"/>
    </row>
    <row r="751" spans="1:10" ht="15.75" customHeight="1">
      <c r="A751" s="2"/>
      <c r="B751" s="2"/>
      <c r="C751" s="2"/>
      <c r="D751" s="2"/>
      <c r="E751" s="2"/>
      <c r="F751" s="2"/>
      <c r="G751" s="2"/>
      <c r="H751" s="2"/>
      <c r="I751" s="5"/>
      <c r="J751" s="93"/>
    </row>
    <row r="752" spans="1:10" ht="15.75" customHeight="1">
      <c r="A752" s="2"/>
      <c r="B752" s="2"/>
      <c r="C752" s="2"/>
      <c r="D752" s="2"/>
      <c r="E752" s="2"/>
      <c r="F752" s="2"/>
      <c r="G752" s="2"/>
      <c r="H752" s="2"/>
      <c r="I752" s="5"/>
      <c r="J752" s="93"/>
    </row>
    <row r="753" spans="1:10" ht="15.75" customHeight="1">
      <c r="A753" s="2"/>
      <c r="B753" s="2"/>
      <c r="C753" s="2"/>
      <c r="D753" s="2"/>
      <c r="E753" s="2"/>
      <c r="F753" s="2"/>
      <c r="G753" s="2"/>
      <c r="H753" s="2"/>
      <c r="I753" s="5"/>
      <c r="J753" s="93"/>
    </row>
    <row r="754" spans="1:10" ht="15.75" customHeight="1">
      <c r="A754" s="2"/>
      <c r="B754" s="2"/>
      <c r="C754" s="2"/>
      <c r="D754" s="2"/>
      <c r="E754" s="2"/>
      <c r="F754" s="2"/>
      <c r="G754" s="2"/>
      <c r="H754" s="2"/>
      <c r="I754" s="5"/>
      <c r="J754" s="93"/>
    </row>
    <row r="755" spans="1:10" ht="15.75" customHeight="1">
      <c r="A755" s="2"/>
      <c r="B755" s="2"/>
      <c r="C755" s="2"/>
      <c r="D755" s="2"/>
      <c r="E755" s="2"/>
      <c r="F755" s="2"/>
      <c r="G755" s="2"/>
      <c r="H755" s="2"/>
      <c r="I755" s="5"/>
      <c r="J755" s="93"/>
    </row>
    <row r="756" spans="1:10" ht="15.75" customHeight="1">
      <c r="A756" s="2"/>
      <c r="B756" s="2"/>
      <c r="C756" s="2"/>
      <c r="D756" s="2"/>
      <c r="E756" s="2"/>
      <c r="F756" s="2"/>
      <c r="G756" s="2"/>
      <c r="H756" s="2"/>
      <c r="I756" s="5"/>
      <c r="J756" s="93"/>
    </row>
    <row r="757" spans="1:10" ht="15.75" customHeight="1">
      <c r="A757" s="2"/>
      <c r="B757" s="2"/>
      <c r="C757" s="2"/>
      <c r="D757" s="2"/>
      <c r="E757" s="2"/>
      <c r="F757" s="2"/>
      <c r="G757" s="2"/>
      <c r="H757" s="2"/>
      <c r="I757" s="5"/>
      <c r="J757" s="93"/>
    </row>
    <row r="758" spans="1:10" ht="15.75" customHeight="1">
      <c r="A758" s="2"/>
      <c r="B758" s="2"/>
      <c r="C758" s="2"/>
      <c r="D758" s="2"/>
      <c r="E758" s="2"/>
      <c r="F758" s="2"/>
      <c r="G758" s="2"/>
      <c r="H758" s="2"/>
      <c r="I758" s="5"/>
      <c r="J758" s="93"/>
    </row>
    <row r="759" spans="1:10" ht="15.75" customHeight="1">
      <c r="A759" s="2"/>
      <c r="B759" s="2"/>
      <c r="C759" s="2"/>
      <c r="D759" s="2"/>
      <c r="E759" s="2"/>
      <c r="F759" s="2"/>
      <c r="G759" s="2"/>
      <c r="H759" s="2"/>
      <c r="I759" s="5"/>
      <c r="J759" s="93"/>
    </row>
    <row r="760" spans="1:10" ht="15.75" customHeight="1">
      <c r="A760" s="2"/>
      <c r="B760" s="2"/>
      <c r="C760" s="2"/>
      <c r="D760" s="2"/>
      <c r="E760" s="2"/>
      <c r="F760" s="2"/>
      <c r="G760" s="2"/>
      <c r="H760" s="2"/>
      <c r="I760" s="5"/>
      <c r="J760" s="93"/>
    </row>
    <row r="761" spans="1:10" ht="15.75" customHeight="1">
      <c r="A761" s="2"/>
      <c r="B761" s="2"/>
      <c r="C761" s="2"/>
      <c r="D761" s="2"/>
      <c r="E761" s="2"/>
      <c r="F761" s="2"/>
      <c r="G761" s="2"/>
      <c r="H761" s="2"/>
      <c r="I761" s="5"/>
      <c r="J761" s="93"/>
    </row>
    <row r="762" spans="1:10" ht="15.75" customHeight="1">
      <c r="A762" s="2"/>
      <c r="B762" s="2"/>
      <c r="C762" s="2"/>
      <c r="D762" s="2"/>
      <c r="E762" s="2"/>
      <c r="F762" s="2"/>
      <c r="G762" s="2"/>
      <c r="H762" s="2"/>
      <c r="I762" s="5"/>
      <c r="J762" s="93"/>
    </row>
    <row r="763" spans="1:10" ht="15.75" customHeight="1">
      <c r="A763" s="2"/>
      <c r="B763" s="2"/>
      <c r="C763" s="2"/>
      <c r="D763" s="2"/>
      <c r="E763" s="2"/>
      <c r="F763" s="2"/>
      <c r="G763" s="2"/>
      <c r="H763" s="2"/>
      <c r="I763" s="5"/>
      <c r="J763" s="93"/>
    </row>
    <row r="764" spans="1:10" ht="15.75" customHeight="1">
      <c r="A764" s="2"/>
      <c r="B764" s="2"/>
      <c r="C764" s="2"/>
      <c r="D764" s="2"/>
      <c r="E764" s="2"/>
      <c r="F764" s="2"/>
      <c r="G764" s="2"/>
      <c r="H764" s="2"/>
      <c r="I764" s="5"/>
      <c r="J764" s="93"/>
    </row>
    <row r="765" spans="1:10" ht="15.75" customHeight="1">
      <c r="A765" s="2"/>
      <c r="B765" s="2"/>
      <c r="C765" s="2"/>
      <c r="D765" s="2"/>
      <c r="E765" s="2"/>
      <c r="F765" s="2"/>
      <c r="G765" s="2"/>
      <c r="H765" s="2"/>
      <c r="I765" s="5"/>
      <c r="J765" s="93"/>
    </row>
    <row r="766" spans="1:10" ht="15.75" customHeight="1">
      <c r="A766" s="2"/>
      <c r="B766" s="2"/>
      <c r="C766" s="2"/>
      <c r="D766" s="2"/>
      <c r="E766" s="2"/>
      <c r="F766" s="2"/>
      <c r="G766" s="2"/>
      <c r="H766" s="2"/>
      <c r="I766" s="5"/>
      <c r="J766" s="93"/>
    </row>
    <row r="767" spans="1:10" ht="15.75" customHeight="1">
      <c r="A767" s="2"/>
      <c r="B767" s="2"/>
      <c r="C767" s="2"/>
      <c r="D767" s="2"/>
      <c r="E767" s="2"/>
      <c r="F767" s="2"/>
      <c r="G767" s="2"/>
      <c r="H767" s="2"/>
      <c r="I767" s="5"/>
      <c r="J767" s="93"/>
    </row>
    <row r="768" spans="1:10" ht="15.75" customHeight="1">
      <c r="A768" s="2"/>
      <c r="B768" s="2"/>
      <c r="C768" s="2"/>
      <c r="D768" s="2"/>
      <c r="E768" s="2"/>
      <c r="F768" s="2"/>
      <c r="G768" s="2"/>
      <c r="H768" s="2"/>
      <c r="I768" s="5"/>
      <c r="J768" s="93"/>
    </row>
    <row r="769" spans="1:10" ht="15.75" customHeight="1">
      <c r="A769" s="2"/>
      <c r="B769" s="2"/>
      <c r="C769" s="2"/>
      <c r="D769" s="2"/>
      <c r="E769" s="2"/>
      <c r="F769" s="2"/>
      <c r="G769" s="2"/>
      <c r="H769" s="2"/>
      <c r="I769" s="5"/>
      <c r="J769" s="93"/>
    </row>
    <row r="770" spans="1:10" ht="15.75" customHeight="1">
      <c r="A770" s="2"/>
      <c r="B770" s="2"/>
      <c r="C770" s="2"/>
      <c r="D770" s="2"/>
      <c r="E770" s="2"/>
      <c r="F770" s="2"/>
      <c r="G770" s="2"/>
      <c r="H770" s="2"/>
      <c r="I770" s="5"/>
      <c r="J770" s="93"/>
    </row>
    <row r="771" spans="1:10" ht="15.75" customHeight="1">
      <c r="A771" s="2"/>
      <c r="B771" s="2"/>
      <c r="C771" s="2"/>
      <c r="D771" s="2"/>
      <c r="E771" s="2"/>
      <c r="F771" s="2"/>
      <c r="G771" s="2"/>
      <c r="H771" s="2"/>
      <c r="I771" s="5"/>
      <c r="J771" s="93"/>
    </row>
    <row r="772" spans="1:10" ht="15.75" customHeight="1">
      <c r="A772" s="2"/>
      <c r="B772" s="2"/>
      <c r="C772" s="2"/>
      <c r="D772" s="2"/>
      <c r="E772" s="2"/>
      <c r="F772" s="2"/>
      <c r="G772" s="2"/>
      <c r="H772" s="2"/>
      <c r="I772" s="5"/>
      <c r="J772" s="93"/>
    </row>
    <row r="773" spans="1:10" ht="15.75" customHeight="1">
      <c r="A773" s="2"/>
      <c r="B773" s="2"/>
      <c r="C773" s="2"/>
      <c r="D773" s="2"/>
      <c r="E773" s="2"/>
      <c r="F773" s="2"/>
      <c r="G773" s="2"/>
      <c r="H773" s="2"/>
      <c r="I773" s="5"/>
      <c r="J773" s="93"/>
    </row>
    <row r="774" spans="1:10" ht="15.75" customHeight="1">
      <c r="A774" s="2"/>
      <c r="B774" s="2"/>
      <c r="C774" s="2"/>
      <c r="D774" s="2"/>
      <c r="E774" s="2"/>
      <c r="F774" s="2"/>
      <c r="G774" s="2"/>
      <c r="H774" s="2"/>
      <c r="I774" s="5"/>
      <c r="J774" s="93"/>
    </row>
    <row r="775" spans="1:10" ht="15.75" customHeight="1">
      <c r="A775" s="2"/>
      <c r="B775" s="2"/>
      <c r="C775" s="2"/>
      <c r="D775" s="2"/>
      <c r="E775" s="2"/>
      <c r="F775" s="2"/>
      <c r="G775" s="2"/>
      <c r="H775" s="2"/>
      <c r="I775" s="5"/>
      <c r="J775" s="93"/>
    </row>
    <row r="776" spans="1:10" ht="15.75" customHeight="1">
      <c r="A776" s="2"/>
      <c r="B776" s="2"/>
      <c r="C776" s="2"/>
      <c r="D776" s="2"/>
      <c r="E776" s="2"/>
      <c r="F776" s="2"/>
      <c r="G776" s="2"/>
      <c r="H776" s="2"/>
      <c r="I776" s="5"/>
      <c r="J776" s="93"/>
    </row>
    <row r="777" spans="1:10" ht="15.75" customHeight="1">
      <c r="A777" s="2"/>
      <c r="B777" s="2"/>
      <c r="C777" s="2"/>
      <c r="D777" s="2"/>
      <c r="E777" s="2"/>
      <c r="F777" s="2"/>
      <c r="G777" s="2"/>
      <c r="H777" s="2"/>
      <c r="I777" s="5"/>
      <c r="J777" s="93"/>
    </row>
    <row r="778" spans="1:10" ht="15.75" customHeight="1">
      <c r="A778" s="2"/>
      <c r="B778" s="2"/>
      <c r="C778" s="2"/>
      <c r="D778" s="2"/>
      <c r="E778" s="2"/>
      <c r="F778" s="2"/>
      <c r="G778" s="2"/>
      <c r="H778" s="2"/>
      <c r="I778" s="5"/>
      <c r="J778" s="93"/>
    </row>
    <row r="779" spans="1:10" ht="15.75" customHeight="1">
      <c r="A779" s="2"/>
      <c r="B779" s="2"/>
      <c r="C779" s="2"/>
      <c r="D779" s="2"/>
      <c r="E779" s="2"/>
      <c r="F779" s="2"/>
      <c r="G779" s="2"/>
      <c r="H779" s="2"/>
      <c r="I779" s="5"/>
      <c r="J779" s="93"/>
    </row>
    <row r="780" spans="1:10" ht="15.75" customHeight="1">
      <c r="A780" s="2"/>
      <c r="B780" s="2"/>
      <c r="C780" s="2"/>
      <c r="D780" s="2"/>
      <c r="E780" s="2"/>
      <c r="F780" s="2"/>
      <c r="G780" s="2"/>
      <c r="H780" s="2"/>
      <c r="I780" s="5"/>
      <c r="J780" s="93"/>
    </row>
    <row r="781" spans="1:10" ht="15.75" customHeight="1">
      <c r="A781" s="2"/>
      <c r="B781" s="2"/>
      <c r="C781" s="2"/>
      <c r="D781" s="2"/>
      <c r="E781" s="2"/>
      <c r="F781" s="2"/>
      <c r="G781" s="2"/>
      <c r="H781" s="2"/>
      <c r="I781" s="5"/>
      <c r="J781" s="93"/>
    </row>
    <row r="782" spans="1:10" ht="15.75" customHeight="1">
      <c r="A782" s="2"/>
      <c r="B782" s="2"/>
      <c r="C782" s="2"/>
      <c r="D782" s="2"/>
      <c r="E782" s="2"/>
      <c r="F782" s="2"/>
      <c r="G782" s="2"/>
      <c r="H782" s="2"/>
      <c r="I782" s="5"/>
      <c r="J782" s="93"/>
    </row>
    <row r="783" spans="1:10" ht="15.75" customHeight="1">
      <c r="A783" s="2"/>
      <c r="B783" s="2"/>
      <c r="C783" s="2"/>
      <c r="D783" s="2"/>
      <c r="E783" s="2"/>
      <c r="F783" s="2"/>
      <c r="G783" s="2"/>
      <c r="H783" s="2"/>
      <c r="I783" s="5"/>
      <c r="J783" s="93"/>
    </row>
    <row r="784" spans="1:10" ht="15.75" customHeight="1">
      <c r="A784" s="2"/>
      <c r="B784" s="2"/>
      <c r="C784" s="2"/>
      <c r="D784" s="2"/>
      <c r="E784" s="2"/>
      <c r="F784" s="2"/>
      <c r="G784" s="2"/>
      <c r="H784" s="2"/>
      <c r="I784" s="5"/>
      <c r="J784" s="93"/>
    </row>
    <row r="785" spans="1:10" ht="15.75" customHeight="1">
      <c r="A785" s="2"/>
      <c r="B785" s="2"/>
      <c r="C785" s="2"/>
      <c r="D785" s="2"/>
      <c r="E785" s="2"/>
      <c r="F785" s="2"/>
      <c r="G785" s="2"/>
      <c r="H785" s="2"/>
      <c r="I785" s="5"/>
      <c r="J785" s="93"/>
    </row>
    <row r="786" spans="1:10" ht="15.75" customHeight="1">
      <c r="A786" s="2"/>
      <c r="B786" s="2"/>
      <c r="C786" s="2"/>
      <c r="D786" s="2"/>
      <c r="E786" s="2"/>
      <c r="F786" s="2"/>
      <c r="G786" s="2"/>
      <c r="H786" s="2"/>
      <c r="I786" s="5"/>
      <c r="J786" s="93"/>
    </row>
    <row r="787" spans="1:10" ht="15.75" customHeight="1">
      <c r="A787" s="2"/>
      <c r="B787" s="2"/>
      <c r="C787" s="2"/>
      <c r="D787" s="2"/>
      <c r="E787" s="2"/>
      <c r="F787" s="2"/>
      <c r="G787" s="2"/>
      <c r="H787" s="2"/>
      <c r="I787" s="5"/>
      <c r="J787" s="93"/>
    </row>
    <row r="788" spans="1:10" ht="15.75" customHeight="1">
      <c r="A788" s="2"/>
      <c r="B788" s="2"/>
      <c r="C788" s="2"/>
      <c r="D788" s="2"/>
      <c r="E788" s="2"/>
      <c r="F788" s="2"/>
      <c r="G788" s="2"/>
      <c r="H788" s="2"/>
      <c r="I788" s="5"/>
      <c r="J788" s="93"/>
    </row>
    <row r="789" spans="1:10" ht="15.75" customHeight="1">
      <c r="A789" s="2"/>
      <c r="B789" s="2"/>
      <c r="C789" s="2"/>
      <c r="D789" s="2"/>
      <c r="E789" s="2"/>
      <c r="F789" s="2"/>
      <c r="G789" s="2"/>
      <c r="H789" s="2"/>
      <c r="I789" s="5"/>
      <c r="J789" s="93"/>
    </row>
    <row r="790" spans="1:10" ht="15.75" customHeight="1">
      <c r="A790" s="2"/>
      <c r="B790" s="2"/>
      <c r="C790" s="2"/>
      <c r="D790" s="2"/>
      <c r="E790" s="2"/>
      <c r="F790" s="2"/>
      <c r="G790" s="2"/>
      <c r="H790" s="2"/>
      <c r="I790" s="5"/>
      <c r="J790" s="93"/>
    </row>
    <row r="791" spans="1:10" ht="15.75" customHeight="1">
      <c r="A791" s="2"/>
      <c r="B791" s="2"/>
      <c r="C791" s="2"/>
      <c r="D791" s="2"/>
      <c r="E791" s="2"/>
      <c r="F791" s="2"/>
      <c r="G791" s="2"/>
      <c r="H791" s="2"/>
      <c r="I791" s="5"/>
      <c r="J791" s="93"/>
    </row>
    <row r="792" spans="1:10" ht="15.75" customHeight="1">
      <c r="A792" s="2"/>
      <c r="B792" s="2"/>
      <c r="C792" s="2"/>
      <c r="D792" s="2"/>
      <c r="E792" s="2"/>
      <c r="F792" s="2"/>
      <c r="G792" s="2"/>
      <c r="H792" s="2"/>
      <c r="I792" s="5"/>
      <c r="J792" s="93"/>
    </row>
    <row r="793" spans="1:10" ht="15.75" customHeight="1">
      <c r="A793" s="2"/>
      <c r="B793" s="2"/>
      <c r="C793" s="2"/>
      <c r="D793" s="2"/>
      <c r="E793" s="2"/>
      <c r="F793" s="2"/>
      <c r="G793" s="2"/>
      <c r="H793" s="2"/>
      <c r="I793" s="5"/>
      <c r="J793" s="93"/>
    </row>
    <row r="794" spans="1:10" ht="15.75" customHeight="1">
      <c r="A794" s="2"/>
      <c r="B794" s="2"/>
      <c r="C794" s="2"/>
      <c r="D794" s="2"/>
      <c r="E794" s="2"/>
      <c r="F794" s="2"/>
      <c r="G794" s="2"/>
      <c r="H794" s="2"/>
      <c r="I794" s="5"/>
      <c r="J794" s="93"/>
    </row>
    <row r="795" spans="1:10" ht="15.75" customHeight="1">
      <c r="A795" s="2"/>
      <c r="B795" s="2"/>
      <c r="C795" s="2"/>
      <c r="D795" s="2"/>
      <c r="E795" s="2"/>
      <c r="F795" s="2"/>
      <c r="G795" s="2"/>
      <c r="H795" s="2"/>
      <c r="I795" s="5"/>
      <c r="J795" s="93"/>
    </row>
    <row r="796" spans="1:10" ht="15.75" customHeight="1">
      <c r="A796" s="2"/>
      <c r="B796" s="2"/>
      <c r="C796" s="2"/>
      <c r="D796" s="2"/>
      <c r="E796" s="2"/>
      <c r="F796" s="2"/>
      <c r="G796" s="2"/>
      <c r="H796" s="2"/>
      <c r="I796" s="5"/>
      <c r="J796" s="93"/>
    </row>
    <row r="797" spans="1:10" ht="15.75" customHeight="1">
      <c r="A797" s="2"/>
      <c r="B797" s="2"/>
      <c r="C797" s="2"/>
      <c r="D797" s="2"/>
      <c r="E797" s="2"/>
      <c r="F797" s="2"/>
      <c r="G797" s="2"/>
      <c r="H797" s="2"/>
      <c r="I797" s="5"/>
      <c r="J797" s="93"/>
    </row>
    <row r="798" spans="1:10" ht="15.75" customHeight="1">
      <c r="A798" s="2"/>
      <c r="B798" s="2"/>
      <c r="C798" s="2"/>
      <c r="D798" s="2"/>
      <c r="E798" s="2"/>
      <c r="F798" s="2"/>
      <c r="G798" s="2"/>
      <c r="H798" s="2"/>
      <c r="I798" s="5"/>
      <c r="J798" s="93"/>
    </row>
    <row r="799" spans="1:10" ht="15.75" customHeight="1">
      <c r="A799" s="2"/>
      <c r="B799" s="2"/>
      <c r="C799" s="2"/>
      <c r="D799" s="2"/>
      <c r="E799" s="2"/>
      <c r="F799" s="2"/>
      <c r="G799" s="2"/>
      <c r="H799" s="2"/>
      <c r="I799" s="5"/>
      <c r="J799" s="93"/>
    </row>
    <row r="800" spans="1:10" ht="15.75" customHeight="1">
      <c r="A800" s="2"/>
      <c r="B800" s="2"/>
      <c r="C800" s="2"/>
      <c r="D800" s="2"/>
      <c r="E800" s="2"/>
      <c r="F800" s="2"/>
      <c r="G800" s="2"/>
      <c r="H800" s="2"/>
      <c r="I800" s="5"/>
      <c r="J800" s="93"/>
    </row>
    <row r="801" spans="1:10" ht="15.75" customHeight="1">
      <c r="A801" s="2"/>
      <c r="B801" s="2"/>
      <c r="C801" s="2"/>
      <c r="D801" s="2"/>
      <c r="E801" s="2"/>
      <c r="F801" s="2"/>
      <c r="G801" s="2"/>
      <c r="H801" s="2"/>
      <c r="I801" s="5"/>
      <c r="J801" s="93"/>
    </row>
    <row r="802" spans="1:10" ht="15.75" customHeight="1">
      <c r="A802" s="2"/>
      <c r="B802" s="2"/>
      <c r="C802" s="2"/>
      <c r="D802" s="2"/>
      <c r="E802" s="2"/>
      <c r="F802" s="2"/>
      <c r="G802" s="2"/>
      <c r="H802" s="2"/>
      <c r="I802" s="5"/>
      <c r="J802" s="93"/>
    </row>
    <row r="803" spans="1:10" ht="15.75" customHeight="1">
      <c r="A803" s="2"/>
      <c r="B803" s="2"/>
      <c r="C803" s="2"/>
      <c r="D803" s="2"/>
      <c r="E803" s="2"/>
      <c r="F803" s="2"/>
      <c r="G803" s="2"/>
      <c r="H803" s="2"/>
      <c r="I803" s="5"/>
      <c r="J803" s="93"/>
    </row>
    <row r="804" spans="1:10" ht="15.75" customHeight="1">
      <c r="A804" s="2"/>
      <c r="B804" s="2"/>
      <c r="C804" s="2"/>
      <c r="D804" s="2"/>
      <c r="E804" s="2"/>
      <c r="F804" s="2"/>
      <c r="G804" s="2"/>
      <c r="H804" s="2"/>
      <c r="I804" s="5"/>
      <c r="J804" s="93"/>
    </row>
    <row r="805" spans="1:10" ht="15.75" customHeight="1">
      <c r="A805" s="2"/>
      <c r="B805" s="2"/>
      <c r="C805" s="2"/>
      <c r="D805" s="2"/>
      <c r="E805" s="2"/>
      <c r="F805" s="2"/>
      <c r="G805" s="2"/>
      <c r="H805" s="2"/>
      <c r="I805" s="5"/>
      <c r="J805" s="93"/>
    </row>
    <row r="806" spans="1:10" ht="15.75" customHeight="1">
      <c r="A806" s="2"/>
      <c r="B806" s="2"/>
      <c r="C806" s="2"/>
      <c r="D806" s="2"/>
      <c r="E806" s="2"/>
      <c r="F806" s="2"/>
      <c r="G806" s="2"/>
      <c r="H806" s="2"/>
      <c r="I806" s="5"/>
      <c r="J806" s="93"/>
    </row>
    <row r="807" spans="1:10" ht="15.75" customHeight="1">
      <c r="A807" s="2"/>
      <c r="B807" s="2"/>
      <c r="C807" s="2"/>
      <c r="D807" s="2"/>
      <c r="E807" s="2"/>
      <c r="F807" s="2"/>
      <c r="G807" s="2"/>
      <c r="H807" s="2"/>
      <c r="I807" s="5"/>
      <c r="J807" s="93"/>
    </row>
    <row r="808" spans="1:10" ht="15.75" customHeight="1">
      <c r="A808" s="2"/>
      <c r="B808" s="2"/>
      <c r="C808" s="2"/>
      <c r="D808" s="2"/>
      <c r="E808" s="2"/>
      <c r="F808" s="2"/>
      <c r="G808" s="2"/>
      <c r="H808" s="2"/>
      <c r="I808" s="5"/>
      <c r="J808" s="93"/>
    </row>
    <row r="809" spans="1:10" ht="15.75" customHeight="1">
      <c r="A809" s="2"/>
      <c r="B809" s="2"/>
      <c r="C809" s="2"/>
      <c r="D809" s="2"/>
      <c r="E809" s="2"/>
      <c r="F809" s="2"/>
      <c r="G809" s="2"/>
      <c r="H809" s="2"/>
      <c r="I809" s="5"/>
      <c r="J809" s="93"/>
    </row>
    <row r="810" spans="1:10" ht="15.75" customHeight="1">
      <c r="A810" s="2"/>
      <c r="B810" s="2"/>
      <c r="C810" s="2"/>
      <c r="D810" s="2"/>
      <c r="E810" s="2"/>
      <c r="F810" s="2"/>
      <c r="G810" s="2"/>
      <c r="H810" s="2"/>
      <c r="I810" s="5"/>
      <c r="J810" s="93"/>
    </row>
    <row r="811" spans="1:10" ht="15.75" customHeight="1">
      <c r="A811" s="2"/>
      <c r="B811" s="2"/>
      <c r="C811" s="2"/>
      <c r="D811" s="2"/>
      <c r="E811" s="2"/>
      <c r="F811" s="2"/>
      <c r="G811" s="2"/>
      <c r="H811" s="2"/>
      <c r="I811" s="5"/>
      <c r="J811" s="93"/>
    </row>
    <row r="812" spans="1:10" ht="15.75" customHeight="1">
      <c r="A812" s="2"/>
      <c r="B812" s="2"/>
      <c r="C812" s="2"/>
      <c r="D812" s="2"/>
      <c r="E812" s="2"/>
      <c r="F812" s="2"/>
      <c r="G812" s="2"/>
      <c r="H812" s="2"/>
      <c r="I812" s="5"/>
      <c r="J812" s="93"/>
    </row>
    <row r="813" spans="1:10" ht="15.75" customHeight="1">
      <c r="A813" s="2"/>
      <c r="B813" s="2"/>
      <c r="C813" s="2"/>
      <c r="D813" s="2"/>
      <c r="E813" s="2"/>
      <c r="F813" s="2"/>
      <c r="G813" s="2"/>
      <c r="H813" s="2"/>
      <c r="I813" s="5"/>
      <c r="J813" s="93"/>
    </row>
    <row r="814" spans="1:10" ht="15.75" customHeight="1">
      <c r="A814" s="2"/>
      <c r="B814" s="2"/>
      <c r="C814" s="2"/>
      <c r="D814" s="2"/>
      <c r="E814" s="2"/>
      <c r="F814" s="2"/>
      <c r="G814" s="2"/>
      <c r="H814" s="2"/>
      <c r="I814" s="5"/>
      <c r="J814" s="93"/>
    </row>
    <row r="815" spans="1:10" ht="15.75" customHeight="1">
      <c r="A815" s="2"/>
      <c r="B815" s="2"/>
      <c r="C815" s="2"/>
      <c r="D815" s="2"/>
      <c r="E815" s="2"/>
      <c r="F815" s="2"/>
      <c r="G815" s="2"/>
      <c r="H815" s="2"/>
      <c r="I815" s="5"/>
      <c r="J815" s="93"/>
    </row>
    <row r="816" spans="1:10" ht="15.75" customHeight="1">
      <c r="A816" s="2"/>
      <c r="B816" s="2"/>
      <c r="C816" s="2"/>
      <c r="D816" s="2"/>
      <c r="E816" s="2"/>
      <c r="F816" s="2"/>
      <c r="G816" s="2"/>
      <c r="H816" s="2"/>
      <c r="I816" s="5"/>
      <c r="J816" s="93"/>
    </row>
    <row r="817" spans="1:10" ht="15.75" customHeight="1">
      <c r="A817" s="2"/>
      <c r="B817" s="2"/>
      <c r="C817" s="2"/>
      <c r="D817" s="2"/>
      <c r="E817" s="2"/>
      <c r="F817" s="2"/>
      <c r="G817" s="2"/>
      <c r="H817" s="2"/>
      <c r="I817" s="5"/>
      <c r="J817" s="93"/>
    </row>
    <row r="818" spans="1:10" ht="15.75" customHeight="1">
      <c r="A818" s="2"/>
      <c r="B818" s="2"/>
      <c r="C818" s="2"/>
      <c r="D818" s="2"/>
      <c r="E818" s="2"/>
      <c r="F818" s="2"/>
      <c r="G818" s="2"/>
      <c r="H818" s="2"/>
      <c r="I818" s="5"/>
      <c r="J818" s="93"/>
    </row>
    <row r="819" spans="1:10" ht="15.75" customHeight="1">
      <c r="A819" s="2"/>
      <c r="B819" s="2"/>
      <c r="C819" s="2"/>
      <c r="D819" s="2"/>
      <c r="E819" s="2"/>
      <c r="F819" s="2"/>
      <c r="G819" s="2"/>
      <c r="H819" s="2"/>
      <c r="I819" s="5"/>
      <c r="J819" s="93"/>
    </row>
    <row r="820" spans="1:10" ht="15.75" customHeight="1">
      <c r="A820" s="2"/>
      <c r="B820" s="2"/>
      <c r="C820" s="2"/>
      <c r="D820" s="2"/>
      <c r="E820" s="2"/>
      <c r="F820" s="2"/>
      <c r="G820" s="2"/>
      <c r="H820" s="2"/>
      <c r="I820" s="5"/>
      <c r="J820" s="93"/>
    </row>
    <row r="821" spans="1:10" ht="15.75" customHeight="1">
      <c r="A821" s="2"/>
      <c r="B821" s="2"/>
      <c r="C821" s="2"/>
      <c r="D821" s="2"/>
      <c r="E821" s="2"/>
      <c r="F821" s="2"/>
      <c r="G821" s="2"/>
      <c r="H821" s="2"/>
      <c r="I821" s="5"/>
      <c r="J821" s="93"/>
    </row>
    <row r="822" spans="1:10" ht="15.75" customHeight="1">
      <c r="A822" s="2"/>
      <c r="B822" s="2"/>
      <c r="C822" s="2"/>
      <c r="D822" s="2"/>
      <c r="E822" s="2"/>
      <c r="F822" s="2"/>
      <c r="G822" s="2"/>
      <c r="H822" s="2"/>
      <c r="I822" s="5"/>
      <c r="J822" s="93"/>
    </row>
    <row r="823" spans="1:10" ht="15.75" customHeight="1">
      <c r="A823" s="2"/>
      <c r="B823" s="2"/>
      <c r="C823" s="2"/>
      <c r="D823" s="2"/>
      <c r="E823" s="2"/>
      <c r="F823" s="2"/>
      <c r="G823" s="2"/>
      <c r="H823" s="2"/>
      <c r="I823" s="5"/>
      <c r="J823" s="93"/>
    </row>
    <row r="824" spans="1:10" ht="15.75" customHeight="1">
      <c r="A824" s="2"/>
      <c r="B824" s="2"/>
      <c r="C824" s="2"/>
      <c r="D824" s="2"/>
      <c r="E824" s="2"/>
      <c r="F824" s="2"/>
      <c r="G824" s="2"/>
      <c r="H824" s="2"/>
      <c r="I824" s="5"/>
      <c r="J824" s="93"/>
    </row>
    <row r="825" spans="1:10" ht="15.75" customHeight="1">
      <c r="A825" s="2"/>
      <c r="B825" s="2"/>
      <c r="C825" s="2"/>
      <c r="D825" s="2"/>
      <c r="E825" s="2"/>
      <c r="F825" s="2"/>
      <c r="G825" s="2"/>
      <c r="H825" s="2"/>
      <c r="I825" s="5"/>
      <c r="J825" s="93"/>
    </row>
    <row r="826" spans="1:10" ht="15.75" customHeight="1">
      <c r="A826" s="2"/>
      <c r="B826" s="2"/>
      <c r="C826" s="2"/>
      <c r="D826" s="2"/>
      <c r="E826" s="2"/>
      <c r="F826" s="2"/>
      <c r="G826" s="2"/>
      <c r="H826" s="2"/>
      <c r="I826" s="5"/>
      <c r="J826" s="93"/>
    </row>
    <row r="827" spans="1:10" ht="15.75" customHeight="1">
      <c r="A827" s="2"/>
      <c r="B827" s="2"/>
      <c r="C827" s="2"/>
      <c r="D827" s="2"/>
      <c r="E827" s="2"/>
      <c r="F827" s="2"/>
      <c r="G827" s="2"/>
      <c r="H827" s="2"/>
      <c r="I827" s="5"/>
      <c r="J827" s="93"/>
    </row>
    <row r="828" spans="1:10" ht="15.75" customHeight="1">
      <c r="A828" s="2"/>
      <c r="B828" s="2"/>
      <c r="C828" s="2"/>
      <c r="D828" s="2"/>
      <c r="E828" s="2"/>
      <c r="F828" s="2"/>
      <c r="G828" s="2"/>
      <c r="H828" s="2"/>
      <c r="I828" s="5"/>
      <c r="J828" s="93"/>
    </row>
    <row r="829" spans="1:10" ht="15.75" customHeight="1">
      <c r="A829" s="2"/>
      <c r="B829" s="2"/>
      <c r="C829" s="2"/>
      <c r="D829" s="2"/>
      <c r="E829" s="2"/>
      <c r="F829" s="2"/>
      <c r="G829" s="2"/>
      <c r="H829" s="2"/>
      <c r="I829" s="5"/>
      <c r="J829" s="93"/>
    </row>
    <row r="830" spans="1:10" ht="15.75" customHeight="1">
      <c r="A830" s="2"/>
      <c r="B830" s="2"/>
      <c r="C830" s="2"/>
      <c r="D830" s="2"/>
      <c r="E830" s="2"/>
      <c r="F830" s="2"/>
      <c r="G830" s="2"/>
      <c r="H830" s="2"/>
      <c r="I830" s="5"/>
      <c r="J830" s="93"/>
    </row>
    <row r="831" spans="1:10" ht="15.75" customHeight="1">
      <c r="A831" s="2"/>
      <c r="B831" s="2"/>
      <c r="C831" s="2"/>
      <c r="D831" s="2"/>
      <c r="E831" s="2"/>
      <c r="F831" s="2"/>
      <c r="G831" s="2"/>
      <c r="H831" s="2"/>
      <c r="I831" s="5"/>
      <c r="J831" s="93"/>
    </row>
    <row r="832" spans="1:10" ht="15.75" customHeight="1">
      <c r="A832" s="2"/>
      <c r="B832" s="2"/>
      <c r="C832" s="2"/>
      <c r="D832" s="2"/>
      <c r="E832" s="2"/>
      <c r="F832" s="2"/>
      <c r="G832" s="2"/>
      <c r="H832" s="2"/>
      <c r="I832" s="5"/>
      <c r="J832" s="93"/>
    </row>
    <row r="833" spans="1:10" ht="15.75" customHeight="1">
      <c r="A833" s="2"/>
      <c r="B833" s="2"/>
      <c r="C833" s="2"/>
      <c r="D833" s="2"/>
      <c r="E833" s="2"/>
      <c r="F833" s="2"/>
      <c r="G833" s="2"/>
      <c r="H833" s="2"/>
      <c r="I833" s="5"/>
      <c r="J833" s="93"/>
    </row>
    <row r="834" spans="1:10" ht="15.75" customHeight="1">
      <c r="A834" s="2"/>
      <c r="B834" s="2"/>
      <c r="C834" s="2"/>
      <c r="D834" s="2"/>
      <c r="E834" s="2"/>
      <c r="F834" s="2"/>
      <c r="G834" s="2"/>
      <c r="H834" s="2"/>
      <c r="I834" s="5"/>
      <c r="J834" s="93"/>
    </row>
    <row r="835" spans="1:10" ht="15.75" customHeight="1">
      <c r="A835" s="2"/>
      <c r="B835" s="2"/>
      <c r="C835" s="2"/>
      <c r="D835" s="2"/>
      <c r="E835" s="2"/>
      <c r="F835" s="2"/>
      <c r="G835" s="2"/>
      <c r="H835" s="2"/>
      <c r="I835" s="5"/>
      <c r="J835" s="93"/>
    </row>
    <row r="836" spans="1:10" ht="15.75" customHeight="1">
      <c r="A836" s="2"/>
      <c r="B836" s="2"/>
      <c r="C836" s="2"/>
      <c r="D836" s="2"/>
      <c r="E836" s="2"/>
      <c r="F836" s="2"/>
      <c r="G836" s="2"/>
      <c r="H836" s="2"/>
      <c r="I836" s="5"/>
      <c r="J836" s="93"/>
    </row>
    <row r="837" spans="1:10" ht="15.75" customHeight="1">
      <c r="A837" s="2"/>
      <c r="B837" s="2"/>
      <c r="C837" s="2"/>
      <c r="D837" s="2"/>
      <c r="E837" s="2"/>
      <c r="F837" s="2"/>
      <c r="G837" s="2"/>
      <c r="H837" s="2"/>
      <c r="I837" s="5"/>
      <c r="J837" s="93"/>
    </row>
    <row r="838" spans="1:10" ht="15.75" customHeight="1">
      <c r="A838" s="2"/>
      <c r="B838" s="2"/>
      <c r="C838" s="2"/>
      <c r="D838" s="2"/>
      <c r="E838" s="2"/>
      <c r="F838" s="2"/>
      <c r="G838" s="2"/>
      <c r="H838" s="2"/>
      <c r="I838" s="5"/>
      <c r="J838" s="93"/>
    </row>
    <row r="839" spans="1:10" ht="15.75" customHeight="1">
      <c r="A839" s="2"/>
      <c r="B839" s="2"/>
      <c r="C839" s="2"/>
      <c r="D839" s="2"/>
      <c r="E839" s="2"/>
      <c r="F839" s="2"/>
      <c r="G839" s="2"/>
      <c r="H839" s="2"/>
      <c r="I839" s="5"/>
      <c r="J839" s="93"/>
    </row>
    <row r="840" spans="1:10" ht="15.75" customHeight="1">
      <c r="A840" s="2"/>
      <c r="B840" s="2"/>
      <c r="C840" s="2"/>
      <c r="D840" s="2"/>
      <c r="E840" s="2"/>
      <c r="F840" s="2"/>
      <c r="G840" s="2"/>
      <c r="H840" s="2"/>
      <c r="I840" s="5"/>
      <c r="J840" s="93"/>
    </row>
    <row r="841" spans="1:10" ht="15.75" customHeight="1">
      <c r="A841" s="2"/>
      <c r="B841" s="2"/>
      <c r="C841" s="2"/>
      <c r="D841" s="2"/>
      <c r="E841" s="2"/>
      <c r="F841" s="2"/>
      <c r="G841" s="2"/>
      <c r="H841" s="2"/>
      <c r="I841" s="5"/>
      <c r="J841" s="93"/>
    </row>
    <row r="842" spans="1:10" ht="15.75" customHeight="1">
      <c r="A842" s="2"/>
      <c r="B842" s="2"/>
      <c r="C842" s="2"/>
      <c r="D842" s="2"/>
      <c r="E842" s="2"/>
      <c r="F842" s="2"/>
      <c r="G842" s="2"/>
      <c r="H842" s="2"/>
      <c r="I842" s="5"/>
      <c r="J842" s="93"/>
    </row>
    <row r="843" spans="1:10" ht="15.75" customHeight="1">
      <c r="A843" s="2"/>
      <c r="B843" s="2"/>
      <c r="C843" s="2"/>
      <c r="D843" s="2"/>
      <c r="E843" s="2"/>
      <c r="F843" s="2"/>
      <c r="G843" s="2"/>
      <c r="H843" s="2"/>
      <c r="I843" s="5"/>
      <c r="J843" s="93"/>
    </row>
    <row r="844" spans="1:10" ht="15.75" customHeight="1">
      <c r="A844" s="2"/>
      <c r="B844" s="2"/>
      <c r="C844" s="2"/>
      <c r="D844" s="2"/>
      <c r="E844" s="2"/>
      <c r="F844" s="2"/>
      <c r="G844" s="2"/>
      <c r="H844" s="2"/>
      <c r="I844" s="5"/>
      <c r="J844" s="93"/>
    </row>
    <row r="845" spans="1:10" ht="15.75" customHeight="1">
      <c r="A845" s="2"/>
      <c r="B845" s="2"/>
      <c r="C845" s="2"/>
      <c r="D845" s="2"/>
      <c r="E845" s="2"/>
      <c r="F845" s="2"/>
      <c r="G845" s="2"/>
      <c r="H845" s="2"/>
      <c r="I845" s="5"/>
      <c r="J845" s="93"/>
    </row>
    <row r="846" spans="1:10" ht="15.75" customHeight="1">
      <c r="A846" s="2"/>
      <c r="B846" s="2"/>
      <c r="C846" s="2"/>
      <c r="D846" s="2"/>
      <c r="E846" s="2"/>
      <c r="F846" s="2"/>
      <c r="G846" s="2"/>
      <c r="H846" s="2"/>
      <c r="I846" s="5"/>
      <c r="J846" s="93"/>
    </row>
    <row r="847" spans="1:10" ht="15.75" customHeight="1">
      <c r="A847" s="2"/>
      <c r="B847" s="2"/>
      <c r="C847" s="2"/>
      <c r="D847" s="2"/>
      <c r="E847" s="2"/>
      <c r="F847" s="2"/>
      <c r="G847" s="2"/>
      <c r="H847" s="2"/>
      <c r="I847" s="5"/>
      <c r="J847" s="93"/>
    </row>
    <row r="848" spans="1:10" ht="15.75" customHeight="1">
      <c r="A848" s="2"/>
      <c r="B848" s="2"/>
      <c r="C848" s="2"/>
      <c r="D848" s="2"/>
      <c r="E848" s="2"/>
      <c r="F848" s="2"/>
      <c r="G848" s="2"/>
      <c r="H848" s="2"/>
      <c r="I848" s="5"/>
      <c r="J848" s="93"/>
    </row>
    <row r="849" spans="1:10" ht="15.75" customHeight="1">
      <c r="A849" s="2"/>
      <c r="B849" s="2"/>
      <c r="C849" s="2"/>
      <c r="D849" s="2"/>
      <c r="E849" s="2"/>
      <c r="F849" s="2"/>
      <c r="G849" s="2"/>
      <c r="H849" s="2"/>
      <c r="I849" s="5"/>
      <c r="J849" s="93"/>
    </row>
    <row r="850" spans="1:10" ht="15.75" customHeight="1">
      <c r="A850" s="2"/>
      <c r="B850" s="2"/>
      <c r="C850" s="2"/>
      <c r="D850" s="2"/>
      <c r="E850" s="2"/>
      <c r="F850" s="2"/>
      <c r="G850" s="2"/>
      <c r="H850" s="2"/>
      <c r="I850" s="5"/>
      <c r="J850" s="93"/>
    </row>
    <row r="851" spans="1:10" ht="15.75" customHeight="1">
      <c r="A851" s="2"/>
      <c r="B851" s="2"/>
      <c r="C851" s="2"/>
      <c r="D851" s="2"/>
      <c r="E851" s="2"/>
      <c r="F851" s="2"/>
      <c r="G851" s="2"/>
      <c r="H851" s="2"/>
      <c r="I851" s="5"/>
      <c r="J851" s="93"/>
    </row>
    <row r="852" spans="1:10" ht="15.75" customHeight="1">
      <c r="A852" s="2"/>
      <c r="B852" s="2"/>
      <c r="C852" s="2"/>
      <c r="D852" s="2"/>
      <c r="E852" s="2"/>
      <c r="F852" s="2"/>
      <c r="G852" s="2"/>
      <c r="H852" s="2"/>
      <c r="I852" s="5"/>
      <c r="J852" s="93"/>
    </row>
    <row r="853" spans="1:10" ht="15.75" customHeight="1">
      <c r="A853" s="2"/>
      <c r="B853" s="2"/>
      <c r="C853" s="2"/>
      <c r="D853" s="2"/>
      <c r="E853" s="2"/>
      <c r="F853" s="2"/>
      <c r="G853" s="2"/>
      <c r="H853" s="2"/>
      <c r="I853" s="5"/>
      <c r="J853" s="93"/>
    </row>
    <row r="854" spans="1:10" ht="15.75" customHeight="1">
      <c r="A854" s="2"/>
      <c r="B854" s="2"/>
      <c r="C854" s="2"/>
      <c r="D854" s="2"/>
      <c r="E854" s="2"/>
      <c r="F854" s="2"/>
      <c r="G854" s="2"/>
      <c r="H854" s="2"/>
      <c r="I854" s="5"/>
      <c r="J854" s="93"/>
    </row>
    <row r="855" spans="1:10" ht="15.75" customHeight="1">
      <c r="A855" s="2"/>
      <c r="B855" s="2"/>
      <c r="C855" s="2"/>
      <c r="D855" s="2"/>
      <c r="E855" s="2"/>
      <c r="F855" s="2"/>
      <c r="G855" s="2"/>
      <c r="H855" s="2"/>
      <c r="I855" s="5"/>
      <c r="J855" s="93"/>
    </row>
    <row r="856" spans="1:10" ht="15.75" customHeight="1">
      <c r="A856" s="2"/>
      <c r="B856" s="2"/>
      <c r="C856" s="2"/>
      <c r="D856" s="2"/>
      <c r="E856" s="2"/>
      <c r="F856" s="2"/>
      <c r="G856" s="2"/>
      <c r="H856" s="2"/>
      <c r="I856" s="5"/>
      <c r="J856" s="93"/>
    </row>
    <row r="857" spans="1:10" ht="15.75" customHeight="1">
      <c r="A857" s="2"/>
      <c r="B857" s="2"/>
      <c r="C857" s="2"/>
      <c r="D857" s="2"/>
      <c r="E857" s="2"/>
      <c r="F857" s="2"/>
      <c r="G857" s="2"/>
      <c r="H857" s="2"/>
      <c r="I857" s="5"/>
      <c r="J857" s="93"/>
    </row>
    <row r="858" spans="1:10" ht="15.75" customHeight="1">
      <c r="A858" s="2"/>
      <c r="B858" s="2"/>
      <c r="C858" s="2"/>
      <c r="D858" s="2"/>
      <c r="E858" s="2"/>
      <c r="F858" s="2"/>
      <c r="G858" s="2"/>
      <c r="H858" s="2"/>
      <c r="I858" s="5"/>
      <c r="J858" s="93"/>
    </row>
    <row r="859" spans="1:10" ht="15.75" customHeight="1">
      <c r="A859" s="2"/>
      <c r="B859" s="2"/>
      <c r="C859" s="2"/>
      <c r="D859" s="2"/>
      <c r="E859" s="2"/>
      <c r="F859" s="2"/>
      <c r="G859" s="2"/>
      <c r="H859" s="2"/>
      <c r="I859" s="5"/>
      <c r="J859" s="93"/>
    </row>
    <row r="860" spans="1:10" ht="15.75" customHeight="1">
      <c r="A860" s="2"/>
      <c r="B860" s="2"/>
      <c r="C860" s="2"/>
      <c r="D860" s="2"/>
      <c r="E860" s="2"/>
      <c r="F860" s="2"/>
      <c r="G860" s="2"/>
      <c r="H860" s="2"/>
      <c r="I860" s="5"/>
      <c r="J860" s="93"/>
    </row>
    <row r="861" spans="1:10" ht="15.75" customHeight="1">
      <c r="A861" s="2"/>
      <c r="B861" s="2"/>
      <c r="C861" s="2"/>
      <c r="D861" s="2"/>
      <c r="E861" s="2"/>
      <c r="F861" s="2"/>
      <c r="G861" s="2"/>
      <c r="H861" s="2"/>
      <c r="I861" s="5"/>
      <c r="J861" s="93"/>
    </row>
    <row r="862" spans="1:10" ht="15.75" customHeight="1">
      <c r="A862" s="2"/>
      <c r="B862" s="2"/>
      <c r="C862" s="2"/>
      <c r="D862" s="2"/>
      <c r="E862" s="2"/>
      <c r="F862" s="2"/>
      <c r="G862" s="2"/>
      <c r="H862" s="2"/>
      <c r="I862" s="5"/>
      <c r="J862" s="93"/>
    </row>
    <row r="863" spans="1:10" ht="15.75" customHeight="1">
      <c r="A863" s="2"/>
      <c r="B863" s="2"/>
      <c r="C863" s="2"/>
      <c r="D863" s="2"/>
      <c r="E863" s="2"/>
      <c r="F863" s="2"/>
      <c r="G863" s="2"/>
      <c r="H863" s="2"/>
      <c r="I863" s="5"/>
      <c r="J863" s="93"/>
    </row>
    <row r="864" spans="1:10" ht="15.75" customHeight="1">
      <c r="A864" s="2"/>
      <c r="B864" s="2"/>
      <c r="C864" s="2"/>
      <c r="D864" s="2"/>
      <c r="E864" s="2"/>
      <c r="F864" s="2"/>
      <c r="G864" s="2"/>
      <c r="H864" s="2"/>
      <c r="I864" s="5"/>
      <c r="J864" s="93"/>
    </row>
    <row r="865" spans="1:10" ht="15.75" customHeight="1">
      <c r="A865" s="2"/>
      <c r="B865" s="2"/>
      <c r="C865" s="2"/>
      <c r="D865" s="2"/>
      <c r="E865" s="2"/>
      <c r="F865" s="2"/>
      <c r="G865" s="2"/>
      <c r="H865" s="2"/>
      <c r="I865" s="5"/>
      <c r="J865" s="93"/>
    </row>
    <row r="866" spans="1:10" ht="15.75" customHeight="1">
      <c r="A866" s="2"/>
      <c r="B866" s="2"/>
      <c r="C866" s="2"/>
      <c r="D866" s="2"/>
      <c r="E866" s="2"/>
      <c r="F866" s="2"/>
      <c r="G866" s="2"/>
      <c r="H866" s="2"/>
      <c r="I866" s="5"/>
      <c r="J866" s="93"/>
    </row>
    <row r="867" spans="1:10" ht="15.75" customHeight="1">
      <c r="A867" s="2"/>
      <c r="B867" s="2"/>
      <c r="C867" s="2"/>
      <c r="D867" s="2"/>
      <c r="E867" s="2"/>
      <c r="F867" s="2"/>
      <c r="G867" s="2"/>
      <c r="H867" s="2"/>
      <c r="I867" s="5"/>
      <c r="J867" s="93"/>
    </row>
    <row r="868" spans="1:10" ht="15.75" customHeight="1">
      <c r="A868" s="2"/>
      <c r="B868" s="2"/>
      <c r="C868" s="2"/>
      <c r="D868" s="2"/>
      <c r="E868" s="2"/>
      <c r="F868" s="2"/>
      <c r="G868" s="2"/>
      <c r="H868" s="2"/>
      <c r="I868" s="5"/>
      <c r="J868" s="93"/>
    </row>
    <row r="869" spans="1:10" ht="15.75" customHeight="1">
      <c r="A869" s="2"/>
      <c r="B869" s="2"/>
      <c r="C869" s="2"/>
      <c r="D869" s="2"/>
      <c r="E869" s="2"/>
      <c r="F869" s="2"/>
      <c r="G869" s="2"/>
      <c r="H869" s="2"/>
      <c r="I869" s="5"/>
      <c r="J869" s="93"/>
    </row>
    <row r="870" spans="1:10" ht="15.75" customHeight="1">
      <c r="A870" s="2"/>
      <c r="B870" s="2"/>
      <c r="C870" s="2"/>
      <c r="D870" s="2"/>
      <c r="E870" s="2"/>
      <c r="F870" s="2"/>
      <c r="G870" s="2"/>
      <c r="H870" s="2"/>
      <c r="I870" s="5"/>
      <c r="J870" s="93"/>
    </row>
    <row r="871" spans="1:10" ht="15.75" customHeight="1">
      <c r="A871" s="2"/>
      <c r="B871" s="2"/>
      <c r="C871" s="2"/>
      <c r="D871" s="2"/>
      <c r="E871" s="2"/>
      <c r="F871" s="2"/>
      <c r="G871" s="2"/>
      <c r="H871" s="2"/>
      <c r="I871" s="5"/>
      <c r="J871" s="93"/>
    </row>
    <row r="872" spans="1:10" ht="15.75" customHeight="1">
      <c r="A872" s="2"/>
      <c r="B872" s="2"/>
      <c r="C872" s="2"/>
      <c r="D872" s="2"/>
      <c r="E872" s="2"/>
      <c r="F872" s="2"/>
      <c r="G872" s="2"/>
      <c r="H872" s="2"/>
      <c r="I872" s="5"/>
      <c r="J872" s="93"/>
    </row>
    <row r="873" spans="1:10" ht="15.75" customHeight="1">
      <c r="A873" s="2"/>
      <c r="B873" s="2"/>
      <c r="C873" s="2"/>
      <c r="D873" s="2"/>
      <c r="E873" s="2"/>
      <c r="F873" s="2"/>
      <c r="G873" s="2"/>
      <c r="H873" s="2"/>
      <c r="I873" s="5"/>
      <c r="J873" s="93"/>
    </row>
    <row r="874" spans="1:10" ht="15.75" customHeight="1">
      <c r="A874" s="2"/>
      <c r="B874" s="2"/>
      <c r="C874" s="2"/>
      <c r="D874" s="2"/>
      <c r="E874" s="2"/>
      <c r="F874" s="2"/>
      <c r="G874" s="2"/>
      <c r="H874" s="2"/>
      <c r="I874" s="5"/>
      <c r="J874" s="93"/>
    </row>
    <row r="875" spans="1:10" ht="15.75" customHeight="1">
      <c r="A875" s="2"/>
      <c r="B875" s="2"/>
      <c r="C875" s="2"/>
      <c r="D875" s="2"/>
      <c r="E875" s="2"/>
      <c r="F875" s="2"/>
      <c r="G875" s="2"/>
      <c r="H875" s="2"/>
      <c r="I875" s="5"/>
      <c r="J875" s="93"/>
    </row>
    <row r="876" spans="1:10" ht="15.75" customHeight="1">
      <c r="A876" s="2"/>
      <c r="B876" s="2"/>
      <c r="C876" s="2"/>
      <c r="D876" s="2"/>
      <c r="E876" s="2"/>
      <c r="F876" s="2"/>
      <c r="G876" s="2"/>
      <c r="H876" s="2"/>
      <c r="I876" s="5"/>
      <c r="J876" s="93"/>
    </row>
    <row r="877" spans="1:10" ht="15.75" customHeight="1">
      <c r="A877" s="2"/>
      <c r="B877" s="2"/>
      <c r="C877" s="2"/>
      <c r="D877" s="2"/>
      <c r="E877" s="2"/>
      <c r="F877" s="2"/>
      <c r="G877" s="2"/>
      <c r="H877" s="2"/>
      <c r="I877" s="5"/>
      <c r="J877" s="93"/>
    </row>
    <row r="878" spans="1:10" ht="15.75" customHeight="1">
      <c r="A878" s="2"/>
      <c r="B878" s="2"/>
      <c r="C878" s="2"/>
      <c r="D878" s="2"/>
      <c r="E878" s="2"/>
      <c r="F878" s="2"/>
      <c r="G878" s="2"/>
      <c r="H878" s="2"/>
      <c r="I878" s="5"/>
      <c r="J878" s="93"/>
    </row>
    <row r="879" spans="1:10" ht="15.75" customHeight="1">
      <c r="A879" s="2"/>
      <c r="B879" s="2"/>
      <c r="C879" s="2"/>
      <c r="D879" s="2"/>
      <c r="E879" s="2"/>
      <c r="F879" s="2"/>
      <c r="G879" s="2"/>
      <c r="H879" s="2"/>
      <c r="I879" s="5"/>
      <c r="J879" s="93"/>
    </row>
    <row r="880" spans="1:10" ht="15.75" customHeight="1">
      <c r="A880" s="2"/>
      <c r="B880" s="2"/>
      <c r="C880" s="2"/>
      <c r="D880" s="2"/>
      <c r="E880" s="2"/>
      <c r="F880" s="2"/>
      <c r="G880" s="2"/>
      <c r="H880" s="2"/>
      <c r="I880" s="5"/>
      <c r="J880" s="93"/>
    </row>
    <row r="881" spans="1:10" ht="15.75" customHeight="1">
      <c r="A881" s="2"/>
      <c r="B881" s="2"/>
      <c r="C881" s="2"/>
      <c r="D881" s="2"/>
      <c r="E881" s="2"/>
      <c r="F881" s="2"/>
      <c r="G881" s="2"/>
      <c r="H881" s="2"/>
      <c r="I881" s="5"/>
      <c r="J881" s="93"/>
    </row>
    <row r="882" spans="1:10" ht="15.75" customHeight="1">
      <c r="A882" s="2"/>
      <c r="B882" s="2"/>
      <c r="C882" s="2"/>
      <c r="D882" s="2"/>
      <c r="E882" s="2"/>
      <c r="F882" s="2"/>
      <c r="G882" s="2"/>
      <c r="H882" s="2"/>
      <c r="I882" s="5"/>
      <c r="J882" s="93"/>
    </row>
    <row r="883" spans="1:10" ht="15.75" customHeight="1">
      <c r="A883" s="2"/>
      <c r="B883" s="2"/>
      <c r="C883" s="2"/>
      <c r="D883" s="2"/>
      <c r="E883" s="2"/>
      <c r="F883" s="2"/>
      <c r="G883" s="2"/>
      <c r="H883" s="2"/>
      <c r="I883" s="5"/>
      <c r="J883" s="93"/>
    </row>
    <row r="884" spans="1:10" ht="15.75" customHeight="1">
      <c r="A884" s="2"/>
      <c r="B884" s="2"/>
      <c r="C884" s="2"/>
      <c r="D884" s="2"/>
      <c r="E884" s="2"/>
      <c r="F884" s="2"/>
      <c r="G884" s="2"/>
      <c r="H884" s="2"/>
      <c r="I884" s="5"/>
      <c r="J884" s="93"/>
    </row>
    <row r="885" spans="1:10" ht="15.75" customHeight="1">
      <c r="A885" s="2"/>
      <c r="B885" s="2"/>
      <c r="C885" s="2"/>
      <c r="D885" s="2"/>
      <c r="E885" s="2"/>
      <c r="F885" s="2"/>
      <c r="G885" s="2"/>
      <c r="H885" s="2"/>
      <c r="I885" s="5"/>
      <c r="J885" s="93"/>
    </row>
    <row r="886" spans="1:10" ht="15.75" customHeight="1">
      <c r="A886" s="2"/>
      <c r="B886" s="2"/>
      <c r="C886" s="2"/>
      <c r="D886" s="2"/>
      <c r="E886" s="2"/>
      <c r="F886" s="2"/>
      <c r="G886" s="2"/>
      <c r="H886" s="2"/>
      <c r="I886" s="5"/>
      <c r="J886" s="93"/>
    </row>
    <row r="887" spans="1:10" ht="15.75" customHeight="1">
      <c r="A887" s="2"/>
      <c r="B887" s="2"/>
      <c r="C887" s="2"/>
      <c r="D887" s="2"/>
      <c r="E887" s="2"/>
      <c r="F887" s="2"/>
      <c r="G887" s="2"/>
      <c r="H887" s="2"/>
      <c r="I887" s="5"/>
      <c r="J887" s="93"/>
    </row>
    <row r="888" spans="1:10" ht="15.75" customHeight="1">
      <c r="A888" s="2"/>
      <c r="B888" s="2"/>
      <c r="C888" s="2"/>
      <c r="D888" s="2"/>
      <c r="E888" s="2"/>
      <c r="F888" s="2"/>
      <c r="G888" s="2"/>
      <c r="H888" s="2"/>
      <c r="I888" s="5"/>
      <c r="J888" s="93"/>
    </row>
    <row r="889" spans="1:10" ht="15.75" customHeight="1">
      <c r="A889" s="2"/>
      <c r="B889" s="2"/>
      <c r="C889" s="2"/>
      <c r="D889" s="2"/>
      <c r="E889" s="2"/>
      <c r="F889" s="2"/>
      <c r="G889" s="2"/>
      <c r="H889" s="2"/>
      <c r="I889" s="5"/>
      <c r="J889" s="93"/>
    </row>
    <row r="890" spans="1:10" ht="15.75" customHeight="1">
      <c r="A890" s="2"/>
      <c r="B890" s="2"/>
      <c r="C890" s="2"/>
      <c r="D890" s="2"/>
      <c r="E890" s="2"/>
      <c r="F890" s="2"/>
      <c r="G890" s="2"/>
      <c r="H890" s="2"/>
      <c r="I890" s="5"/>
      <c r="J890" s="93"/>
    </row>
    <row r="891" spans="1:10" ht="15.75" customHeight="1">
      <c r="A891" s="2"/>
      <c r="B891" s="2"/>
      <c r="C891" s="2"/>
      <c r="D891" s="2"/>
      <c r="E891" s="2"/>
      <c r="F891" s="2"/>
      <c r="G891" s="2"/>
      <c r="H891" s="2"/>
      <c r="I891" s="5"/>
      <c r="J891" s="93"/>
    </row>
    <row r="892" spans="1:10" ht="15.75" customHeight="1">
      <c r="A892" s="2"/>
      <c r="B892" s="2"/>
      <c r="C892" s="2"/>
      <c r="D892" s="2"/>
      <c r="E892" s="2"/>
      <c r="F892" s="2"/>
      <c r="G892" s="2"/>
      <c r="H892" s="2"/>
      <c r="I892" s="5"/>
      <c r="J892" s="93"/>
    </row>
    <row r="893" spans="1:10" ht="15.75" customHeight="1">
      <c r="A893" s="2"/>
      <c r="B893" s="2"/>
      <c r="C893" s="2"/>
      <c r="D893" s="2"/>
      <c r="E893" s="2"/>
      <c r="F893" s="2"/>
      <c r="G893" s="2"/>
      <c r="H893" s="2"/>
      <c r="I893" s="5"/>
      <c r="J893" s="93"/>
    </row>
    <row r="894" spans="1:10" ht="15.75" customHeight="1">
      <c r="A894" s="2"/>
      <c r="B894" s="2"/>
      <c r="C894" s="2"/>
      <c r="D894" s="2"/>
      <c r="E894" s="2"/>
      <c r="F894" s="2"/>
      <c r="G894" s="2"/>
      <c r="H894" s="2"/>
      <c r="I894" s="5"/>
      <c r="J894" s="93"/>
    </row>
    <row r="895" spans="1:10" ht="15.75" customHeight="1">
      <c r="A895" s="2"/>
      <c r="B895" s="2"/>
      <c r="C895" s="2"/>
      <c r="D895" s="2"/>
      <c r="E895" s="2"/>
      <c r="F895" s="2"/>
      <c r="G895" s="2"/>
      <c r="H895" s="2"/>
      <c r="I895" s="5"/>
      <c r="J895" s="93"/>
    </row>
    <row r="896" spans="1:10" ht="15.75" customHeight="1">
      <c r="A896" s="2"/>
      <c r="B896" s="2"/>
      <c r="C896" s="2"/>
      <c r="D896" s="2"/>
      <c r="E896" s="2"/>
      <c r="F896" s="2"/>
      <c r="G896" s="2"/>
      <c r="H896" s="2"/>
      <c r="I896" s="5"/>
      <c r="J896" s="93"/>
    </row>
    <row r="897" spans="1:10" ht="15.75" customHeight="1">
      <c r="A897" s="2"/>
      <c r="B897" s="2"/>
      <c r="C897" s="2"/>
      <c r="D897" s="2"/>
      <c r="E897" s="2"/>
      <c r="F897" s="2"/>
      <c r="G897" s="2"/>
      <c r="H897" s="2"/>
      <c r="I897" s="5"/>
      <c r="J897" s="93"/>
    </row>
    <row r="898" spans="1:10" ht="15.75" customHeight="1">
      <c r="A898" s="2"/>
      <c r="B898" s="2"/>
      <c r="C898" s="2"/>
      <c r="D898" s="2"/>
      <c r="E898" s="2"/>
      <c r="F898" s="2"/>
      <c r="G898" s="2"/>
      <c r="H898" s="2"/>
      <c r="I898" s="5"/>
      <c r="J898" s="93"/>
    </row>
    <row r="899" spans="1:10" ht="15.75" customHeight="1">
      <c r="A899" s="2"/>
      <c r="B899" s="2"/>
      <c r="C899" s="2"/>
      <c r="D899" s="2"/>
      <c r="E899" s="2"/>
      <c r="F899" s="2"/>
      <c r="G899" s="2"/>
      <c r="H899" s="2"/>
      <c r="I899" s="5"/>
      <c r="J899" s="93"/>
    </row>
    <row r="900" spans="1:10" ht="15.75" customHeight="1">
      <c r="A900" s="2"/>
      <c r="B900" s="2"/>
      <c r="C900" s="2"/>
      <c r="D900" s="2"/>
      <c r="E900" s="2"/>
      <c r="F900" s="2"/>
      <c r="G900" s="2"/>
      <c r="H900" s="2"/>
      <c r="I900" s="5"/>
      <c r="J900" s="93"/>
    </row>
    <row r="901" spans="1:10" ht="15.75" customHeight="1">
      <c r="A901" s="2"/>
      <c r="B901" s="2"/>
      <c r="C901" s="2"/>
      <c r="D901" s="2"/>
      <c r="E901" s="2"/>
      <c r="F901" s="2"/>
      <c r="G901" s="2"/>
      <c r="H901" s="2"/>
      <c r="I901" s="5"/>
      <c r="J901" s="93"/>
    </row>
    <row r="902" spans="1:10" ht="15.75" customHeight="1">
      <c r="A902" s="2"/>
      <c r="B902" s="2"/>
      <c r="C902" s="2"/>
      <c r="D902" s="2"/>
      <c r="E902" s="2"/>
      <c r="F902" s="2"/>
      <c r="G902" s="2"/>
      <c r="H902" s="2"/>
      <c r="I902" s="5"/>
      <c r="J902" s="93"/>
    </row>
    <row r="903" spans="1:10" ht="15.75" customHeight="1">
      <c r="A903" s="2"/>
      <c r="B903" s="2"/>
      <c r="C903" s="2"/>
      <c r="D903" s="2"/>
      <c r="E903" s="2"/>
      <c r="F903" s="2"/>
      <c r="G903" s="2"/>
      <c r="H903" s="2"/>
      <c r="I903" s="5"/>
      <c r="J903" s="93"/>
    </row>
    <row r="904" spans="1:10" ht="15.75" customHeight="1">
      <c r="A904" s="2"/>
      <c r="B904" s="2"/>
      <c r="C904" s="2"/>
      <c r="D904" s="2"/>
      <c r="E904" s="2"/>
      <c r="F904" s="2"/>
      <c r="G904" s="2"/>
      <c r="H904" s="2"/>
      <c r="I904" s="5"/>
      <c r="J904" s="93"/>
    </row>
    <row r="905" spans="1:10" ht="15.75" customHeight="1">
      <c r="A905" s="2"/>
      <c r="B905" s="2"/>
      <c r="C905" s="2"/>
      <c r="D905" s="2"/>
      <c r="E905" s="2"/>
      <c r="F905" s="2"/>
      <c r="G905" s="2"/>
      <c r="H905" s="2"/>
      <c r="I905" s="5"/>
      <c r="J905" s="93"/>
    </row>
    <row r="906" spans="1:10" ht="15.75" customHeight="1">
      <c r="A906" s="2"/>
      <c r="B906" s="2"/>
      <c r="C906" s="2"/>
      <c r="D906" s="2"/>
      <c r="E906" s="2"/>
      <c r="F906" s="2"/>
      <c r="G906" s="2"/>
      <c r="H906" s="2"/>
      <c r="I906" s="5"/>
      <c r="J906" s="93"/>
    </row>
    <row r="907" spans="1:10" ht="15.75" customHeight="1">
      <c r="A907" s="2"/>
      <c r="B907" s="2"/>
      <c r="C907" s="2"/>
      <c r="D907" s="2"/>
      <c r="E907" s="2"/>
      <c r="F907" s="2"/>
      <c r="G907" s="2"/>
      <c r="H907" s="2"/>
      <c r="I907" s="5"/>
      <c r="J907" s="93"/>
    </row>
    <row r="908" spans="1:10" ht="15.75" customHeight="1">
      <c r="A908" s="2"/>
      <c r="B908" s="2"/>
      <c r="C908" s="2"/>
      <c r="D908" s="2"/>
      <c r="E908" s="2"/>
      <c r="F908" s="2"/>
      <c r="G908" s="2"/>
      <c r="H908" s="2"/>
      <c r="I908" s="5"/>
      <c r="J908" s="93"/>
    </row>
    <row r="909" spans="1:10" ht="15.75" customHeight="1">
      <c r="A909" s="2"/>
      <c r="B909" s="2"/>
      <c r="C909" s="2"/>
      <c r="D909" s="2"/>
      <c r="E909" s="2"/>
      <c r="F909" s="2"/>
      <c r="G909" s="2"/>
      <c r="H909" s="2"/>
      <c r="I909" s="5"/>
      <c r="J909" s="93"/>
    </row>
    <row r="910" spans="1:10" ht="15.75" customHeight="1">
      <c r="A910" s="2"/>
      <c r="B910" s="2"/>
      <c r="C910" s="2"/>
      <c r="D910" s="2"/>
      <c r="E910" s="2"/>
      <c r="F910" s="2"/>
      <c r="G910" s="2"/>
      <c r="H910" s="2"/>
      <c r="I910" s="5"/>
      <c r="J910" s="93"/>
    </row>
    <row r="911" spans="1:10" ht="15.75" customHeight="1">
      <c r="A911" s="2"/>
      <c r="B911" s="2"/>
      <c r="C911" s="2"/>
      <c r="D911" s="2"/>
      <c r="E911" s="2"/>
      <c r="F911" s="2"/>
      <c r="G911" s="2"/>
      <c r="H911" s="2"/>
      <c r="I911" s="5"/>
      <c r="J911" s="93"/>
    </row>
    <row r="912" spans="1:10" ht="15.75" customHeight="1">
      <c r="A912" s="2"/>
      <c r="B912" s="2"/>
      <c r="C912" s="2"/>
      <c r="D912" s="2"/>
      <c r="E912" s="2"/>
      <c r="F912" s="2"/>
      <c r="G912" s="2"/>
      <c r="H912" s="2"/>
      <c r="I912" s="5"/>
      <c r="J912" s="93"/>
    </row>
    <row r="913" spans="1:10" ht="15.75" customHeight="1">
      <c r="A913" s="2"/>
      <c r="B913" s="2"/>
      <c r="C913" s="2"/>
      <c r="D913" s="2"/>
      <c r="E913" s="2"/>
      <c r="F913" s="2"/>
      <c r="G913" s="2"/>
      <c r="H913" s="2"/>
      <c r="I913" s="5"/>
      <c r="J913" s="93"/>
    </row>
    <row r="914" spans="1:10" ht="15.75" customHeight="1">
      <c r="A914" s="2"/>
      <c r="B914" s="2"/>
      <c r="C914" s="2"/>
      <c r="D914" s="2"/>
      <c r="E914" s="2"/>
      <c r="F914" s="2"/>
      <c r="G914" s="2"/>
      <c r="H914" s="2"/>
      <c r="I914" s="5"/>
      <c r="J914" s="93"/>
    </row>
    <row r="915" spans="1:10" ht="15.75" customHeight="1">
      <c r="A915" s="2"/>
      <c r="B915" s="2"/>
      <c r="C915" s="2"/>
      <c r="D915" s="2"/>
      <c r="E915" s="2"/>
      <c r="F915" s="2"/>
      <c r="G915" s="2"/>
      <c r="H915" s="2"/>
      <c r="I915" s="5"/>
      <c r="J915" s="93"/>
    </row>
    <row r="916" spans="1:10" ht="15.75" customHeight="1">
      <c r="A916" s="2"/>
      <c r="B916" s="2"/>
      <c r="C916" s="2"/>
      <c r="D916" s="2"/>
      <c r="E916" s="2"/>
      <c r="F916" s="2"/>
      <c r="G916" s="2"/>
      <c r="H916" s="2"/>
      <c r="I916" s="5"/>
      <c r="J916" s="93"/>
    </row>
    <row r="917" spans="1:10" ht="15.75" customHeight="1">
      <c r="A917" s="2"/>
      <c r="B917" s="2"/>
      <c r="C917" s="2"/>
      <c r="D917" s="2"/>
      <c r="E917" s="2"/>
      <c r="F917" s="2"/>
      <c r="G917" s="2"/>
      <c r="H917" s="2"/>
      <c r="I917" s="5"/>
      <c r="J917" s="93"/>
    </row>
    <row r="918" spans="1:10" ht="15.75" customHeight="1">
      <c r="A918" s="2"/>
      <c r="B918" s="2"/>
      <c r="C918" s="2"/>
      <c r="D918" s="2"/>
      <c r="E918" s="2"/>
      <c r="F918" s="2"/>
      <c r="G918" s="2"/>
      <c r="H918" s="2"/>
      <c r="I918" s="5"/>
      <c r="J918" s="93"/>
    </row>
    <row r="919" spans="1:10" ht="15.75" customHeight="1">
      <c r="A919" s="2"/>
      <c r="B919" s="2"/>
      <c r="C919" s="2"/>
      <c r="D919" s="2"/>
      <c r="E919" s="2"/>
      <c r="F919" s="2"/>
      <c r="G919" s="2"/>
      <c r="H919" s="2"/>
      <c r="I919" s="5"/>
      <c r="J919" s="93"/>
    </row>
    <row r="920" spans="1:10" ht="15.75" customHeight="1">
      <c r="A920" s="2"/>
      <c r="B920" s="2"/>
      <c r="C920" s="2"/>
      <c r="D920" s="2"/>
      <c r="E920" s="2"/>
      <c r="F920" s="2"/>
      <c r="G920" s="2"/>
      <c r="H920" s="2"/>
      <c r="I920" s="5"/>
      <c r="J920" s="93"/>
    </row>
    <row r="921" spans="1:10" ht="15.75" customHeight="1">
      <c r="A921" s="2"/>
      <c r="B921" s="2"/>
      <c r="C921" s="2"/>
      <c r="D921" s="2"/>
      <c r="E921" s="2"/>
      <c r="F921" s="2"/>
      <c r="G921" s="2"/>
      <c r="H921" s="2"/>
      <c r="I921" s="5"/>
      <c r="J921" s="93"/>
    </row>
    <row r="922" spans="1:10" ht="15.75" customHeight="1">
      <c r="A922" s="2"/>
      <c r="B922" s="2"/>
      <c r="C922" s="2"/>
      <c r="D922" s="2"/>
      <c r="E922" s="2"/>
      <c r="F922" s="2"/>
      <c r="G922" s="2"/>
      <c r="H922" s="2"/>
      <c r="I922" s="5"/>
      <c r="J922" s="93"/>
    </row>
    <row r="923" spans="1:10" ht="15.75" customHeight="1">
      <c r="A923" s="2"/>
      <c r="B923" s="2"/>
      <c r="C923" s="2"/>
      <c r="D923" s="2"/>
      <c r="E923" s="2"/>
      <c r="F923" s="2"/>
      <c r="G923" s="2"/>
      <c r="H923" s="2"/>
      <c r="I923" s="5"/>
      <c r="J923" s="93"/>
    </row>
    <row r="924" spans="1:10" ht="15.75" customHeight="1">
      <c r="A924" s="2"/>
      <c r="B924" s="2"/>
      <c r="C924" s="2"/>
      <c r="D924" s="2"/>
      <c r="E924" s="2"/>
      <c r="F924" s="2"/>
      <c r="G924" s="2"/>
      <c r="H924" s="2"/>
      <c r="I924" s="5"/>
      <c r="J924" s="93"/>
    </row>
    <row r="925" spans="1:10" ht="15.75" customHeight="1">
      <c r="A925" s="2"/>
      <c r="B925" s="2"/>
      <c r="C925" s="2"/>
      <c r="D925" s="2"/>
      <c r="E925" s="2"/>
      <c r="F925" s="2"/>
      <c r="G925" s="2"/>
      <c r="H925" s="2"/>
      <c r="I925" s="5"/>
      <c r="J925" s="93"/>
    </row>
    <row r="926" spans="1:10" ht="15.75" customHeight="1">
      <c r="A926" s="2"/>
      <c r="B926" s="2"/>
      <c r="C926" s="2"/>
      <c r="D926" s="2"/>
      <c r="E926" s="2"/>
      <c r="F926" s="2"/>
      <c r="G926" s="2"/>
      <c r="H926" s="2"/>
      <c r="I926" s="5"/>
      <c r="J926" s="93"/>
    </row>
    <row r="927" spans="1:10" ht="15.75" customHeight="1">
      <c r="A927" s="2"/>
      <c r="B927" s="2"/>
      <c r="C927" s="2"/>
      <c r="D927" s="2"/>
      <c r="E927" s="2"/>
      <c r="F927" s="2"/>
      <c r="G927" s="2"/>
      <c r="H927" s="2"/>
      <c r="I927" s="5"/>
      <c r="J927" s="93"/>
    </row>
    <row r="928" spans="1:10" ht="15.75" customHeight="1">
      <c r="A928" s="2"/>
      <c r="B928" s="2"/>
      <c r="C928" s="2"/>
      <c r="D928" s="2"/>
      <c r="E928" s="2"/>
      <c r="F928" s="2"/>
      <c r="G928" s="2"/>
      <c r="H928" s="2"/>
      <c r="I928" s="5"/>
      <c r="J928" s="93"/>
    </row>
    <row r="929" spans="1:10" ht="15.75" customHeight="1">
      <c r="A929" s="2"/>
      <c r="B929" s="2"/>
      <c r="C929" s="2"/>
      <c r="D929" s="2"/>
      <c r="E929" s="2"/>
      <c r="F929" s="2"/>
      <c r="G929" s="2"/>
      <c r="H929" s="2"/>
      <c r="I929" s="5"/>
      <c r="J929" s="93"/>
    </row>
    <row r="930" spans="1:10" ht="15.75" customHeight="1">
      <c r="A930" s="2"/>
      <c r="B930" s="2"/>
      <c r="C930" s="2"/>
      <c r="D930" s="2"/>
      <c r="E930" s="2"/>
      <c r="F930" s="2"/>
      <c r="G930" s="2"/>
      <c r="H930" s="2"/>
      <c r="I930" s="5"/>
      <c r="J930" s="93"/>
    </row>
    <row r="931" spans="1:10" ht="15.75" customHeight="1">
      <c r="A931" s="2"/>
      <c r="B931" s="2"/>
      <c r="C931" s="2"/>
      <c r="D931" s="2"/>
      <c r="E931" s="2"/>
      <c r="F931" s="2"/>
      <c r="G931" s="2"/>
      <c r="H931" s="2"/>
      <c r="I931" s="5"/>
      <c r="J931" s="93"/>
    </row>
    <row r="932" spans="1:10" ht="15.75" customHeight="1">
      <c r="A932" s="2"/>
      <c r="B932" s="2"/>
      <c r="C932" s="2"/>
      <c r="D932" s="2"/>
      <c r="E932" s="2"/>
      <c r="F932" s="2"/>
      <c r="G932" s="2"/>
      <c r="H932" s="2"/>
      <c r="I932" s="5"/>
      <c r="J932" s="93"/>
    </row>
    <row r="933" spans="1:10" ht="15.75" customHeight="1">
      <c r="A933" s="2"/>
      <c r="B933" s="2"/>
      <c r="C933" s="2"/>
      <c r="D933" s="2"/>
      <c r="E933" s="2"/>
      <c r="F933" s="2"/>
      <c r="G933" s="2"/>
      <c r="H933" s="2"/>
      <c r="I933" s="5"/>
      <c r="J933" s="93"/>
    </row>
    <row r="934" spans="1:10" ht="15.75" customHeight="1">
      <c r="A934" s="2"/>
      <c r="B934" s="2"/>
      <c r="C934" s="2"/>
      <c r="D934" s="2"/>
      <c r="E934" s="2"/>
      <c r="F934" s="2"/>
      <c r="G934" s="2"/>
      <c r="H934" s="2"/>
      <c r="I934" s="5"/>
      <c r="J934" s="93"/>
    </row>
    <row r="935" spans="1:10" ht="15.75" customHeight="1">
      <c r="A935" s="2"/>
      <c r="B935" s="2"/>
      <c r="C935" s="2"/>
      <c r="D935" s="2"/>
      <c r="E935" s="2"/>
      <c r="F935" s="2"/>
      <c r="G935" s="2"/>
      <c r="H935" s="2"/>
      <c r="I935" s="5"/>
      <c r="J935" s="93"/>
    </row>
    <row r="936" spans="1:10" ht="15.75" customHeight="1">
      <c r="A936" s="2"/>
      <c r="B936" s="2"/>
      <c r="C936" s="2"/>
      <c r="D936" s="2"/>
      <c r="E936" s="2"/>
      <c r="F936" s="2"/>
      <c r="G936" s="2"/>
      <c r="H936" s="2"/>
      <c r="I936" s="5"/>
      <c r="J936" s="93"/>
    </row>
    <row r="937" spans="1:10" ht="15.75" customHeight="1">
      <c r="A937" s="2"/>
      <c r="B937" s="2"/>
      <c r="C937" s="2"/>
      <c r="D937" s="2"/>
      <c r="E937" s="2"/>
      <c r="F937" s="2"/>
      <c r="G937" s="2"/>
      <c r="H937" s="2"/>
      <c r="I937" s="5"/>
      <c r="J937" s="93"/>
    </row>
    <row r="938" spans="1:10" ht="15.75" customHeight="1">
      <c r="A938" s="2"/>
      <c r="B938" s="2"/>
      <c r="C938" s="2"/>
      <c r="D938" s="2"/>
      <c r="E938" s="2"/>
      <c r="F938" s="2"/>
      <c r="G938" s="2"/>
      <c r="H938" s="2"/>
      <c r="I938" s="5"/>
      <c r="J938" s="93"/>
    </row>
    <row r="939" spans="1:10" ht="15.75" customHeight="1">
      <c r="A939" s="2"/>
      <c r="B939" s="2"/>
      <c r="C939" s="2"/>
      <c r="D939" s="2"/>
      <c r="E939" s="2"/>
      <c r="F939" s="2"/>
      <c r="G939" s="2"/>
      <c r="H939" s="2"/>
      <c r="I939" s="5"/>
      <c r="J939" s="93"/>
    </row>
    <row r="940" spans="1:10" ht="15.75" customHeight="1">
      <c r="A940" s="2"/>
      <c r="B940" s="2"/>
      <c r="C940" s="2"/>
      <c r="D940" s="2"/>
      <c r="E940" s="2"/>
      <c r="F940" s="2"/>
      <c r="G940" s="2"/>
      <c r="H940" s="2"/>
      <c r="I940" s="5"/>
      <c r="J940" s="93"/>
    </row>
    <row r="941" spans="1:10" ht="15.75" customHeight="1">
      <c r="A941" s="2"/>
      <c r="B941" s="2"/>
      <c r="C941" s="2"/>
      <c r="D941" s="2"/>
      <c r="E941" s="2"/>
      <c r="F941" s="2"/>
      <c r="G941" s="2"/>
      <c r="H941" s="2"/>
      <c r="I941" s="5"/>
      <c r="J941" s="93"/>
    </row>
    <row r="942" spans="1:10" ht="15.75" customHeight="1">
      <c r="A942" s="2"/>
      <c r="B942" s="2"/>
      <c r="C942" s="2"/>
      <c r="D942" s="2"/>
      <c r="E942" s="2"/>
      <c r="F942" s="2"/>
      <c r="G942" s="2"/>
      <c r="H942" s="2"/>
      <c r="I942" s="5"/>
      <c r="J942" s="93"/>
    </row>
    <row r="943" spans="1:10" ht="15.75" customHeight="1">
      <c r="A943" s="2"/>
      <c r="B943" s="2"/>
      <c r="C943" s="2"/>
      <c r="D943" s="2"/>
      <c r="E943" s="2"/>
      <c r="F943" s="2"/>
      <c r="G943" s="2"/>
      <c r="H943" s="2"/>
      <c r="I943" s="5"/>
      <c r="J943" s="93"/>
    </row>
    <row r="944" spans="1:10" ht="15.75" customHeight="1">
      <c r="A944" s="2"/>
      <c r="B944" s="2"/>
      <c r="C944" s="2"/>
      <c r="D944" s="2"/>
      <c r="E944" s="2"/>
      <c r="F944" s="2"/>
      <c r="G944" s="2"/>
      <c r="H944" s="2"/>
      <c r="I944" s="5"/>
      <c r="J944" s="93"/>
    </row>
    <row r="945" spans="1:10" ht="15.75" customHeight="1">
      <c r="A945" s="2"/>
      <c r="B945" s="2"/>
      <c r="C945" s="2"/>
      <c r="D945" s="2"/>
      <c r="E945" s="2"/>
      <c r="F945" s="2"/>
      <c r="G945" s="2"/>
      <c r="H945" s="2"/>
      <c r="I945" s="5"/>
      <c r="J945" s="93"/>
    </row>
    <row r="946" spans="1:10" ht="15.75" customHeight="1">
      <c r="A946" s="2"/>
      <c r="B946" s="2"/>
      <c r="C946" s="2"/>
      <c r="D946" s="2"/>
      <c r="E946" s="2"/>
      <c r="F946" s="2"/>
      <c r="G946" s="2"/>
      <c r="H946" s="2"/>
      <c r="I946" s="5"/>
      <c r="J946" s="93"/>
    </row>
    <row r="947" spans="1:10" ht="15.75" customHeight="1">
      <c r="A947" s="2"/>
      <c r="B947" s="2"/>
      <c r="C947" s="2"/>
      <c r="D947" s="2"/>
      <c r="E947" s="2"/>
      <c r="F947" s="2"/>
      <c r="G947" s="2"/>
      <c r="H947" s="2"/>
      <c r="I947" s="5"/>
      <c r="J947" s="93"/>
    </row>
    <row r="948" spans="1:10" ht="15.75" customHeight="1">
      <c r="A948" s="2"/>
      <c r="B948" s="2"/>
      <c r="C948" s="2"/>
      <c r="D948" s="2"/>
      <c r="E948" s="2"/>
      <c r="F948" s="2"/>
      <c r="G948" s="2"/>
      <c r="H948" s="2"/>
      <c r="I948" s="5"/>
      <c r="J948" s="93"/>
    </row>
    <row r="949" spans="1:10" ht="15.75" customHeight="1">
      <c r="A949" s="2"/>
      <c r="B949" s="2"/>
      <c r="C949" s="2"/>
      <c r="D949" s="2"/>
      <c r="E949" s="2"/>
      <c r="F949" s="2"/>
      <c r="G949" s="2"/>
      <c r="H949" s="2"/>
      <c r="I949" s="5"/>
      <c r="J949" s="93"/>
    </row>
    <row r="950" spans="1:10" ht="15.75" customHeight="1">
      <c r="A950" s="2"/>
      <c r="B950" s="2"/>
      <c r="C950" s="2"/>
      <c r="D950" s="2"/>
      <c r="E950" s="2"/>
      <c r="F950" s="2"/>
      <c r="G950" s="2"/>
      <c r="H950" s="2"/>
      <c r="I950" s="5"/>
      <c r="J950" s="93"/>
    </row>
    <row r="951" spans="1:10" ht="15.75" customHeight="1">
      <c r="A951" s="2"/>
      <c r="B951" s="2"/>
      <c r="C951" s="2"/>
      <c r="D951" s="2"/>
      <c r="E951" s="2"/>
      <c r="F951" s="2"/>
      <c r="G951" s="2"/>
      <c r="H951" s="2"/>
      <c r="I951" s="5"/>
      <c r="J951" s="93"/>
    </row>
    <row r="952" spans="1:10" ht="15.75" customHeight="1">
      <c r="A952" s="2"/>
      <c r="B952" s="2"/>
      <c r="C952" s="2"/>
      <c r="D952" s="2"/>
      <c r="E952" s="2"/>
      <c r="F952" s="2"/>
      <c r="G952" s="2"/>
      <c r="H952" s="2"/>
      <c r="I952" s="5"/>
      <c r="J952" s="93"/>
    </row>
    <row r="953" spans="1:10" ht="15.75" customHeight="1">
      <c r="A953" s="2"/>
      <c r="B953" s="2"/>
      <c r="C953" s="2"/>
      <c r="D953" s="2"/>
      <c r="E953" s="2"/>
      <c r="F953" s="2"/>
      <c r="G953" s="2"/>
      <c r="H953" s="2"/>
      <c r="I953" s="5"/>
      <c r="J953" s="93"/>
    </row>
    <row r="954" spans="1:10" ht="15.75" customHeight="1">
      <c r="A954" s="2"/>
      <c r="B954" s="2"/>
      <c r="C954" s="2"/>
      <c r="D954" s="2"/>
      <c r="E954" s="2"/>
      <c r="F954" s="2"/>
      <c r="G954" s="2"/>
      <c r="H954" s="2"/>
      <c r="I954" s="5"/>
      <c r="J954" s="93"/>
    </row>
    <row r="955" spans="1:10" ht="15.75" customHeight="1">
      <c r="A955" s="2"/>
      <c r="B955" s="2"/>
      <c r="C955" s="2"/>
      <c r="D955" s="2"/>
      <c r="E955" s="2"/>
      <c r="F955" s="2"/>
      <c r="G955" s="2"/>
      <c r="H955" s="2"/>
      <c r="I955" s="5"/>
      <c r="J955" s="93"/>
    </row>
    <row r="956" spans="1:10" ht="15.75" customHeight="1">
      <c r="A956" s="2"/>
      <c r="B956" s="2"/>
      <c r="C956" s="2"/>
      <c r="D956" s="2"/>
      <c r="E956" s="2"/>
      <c r="F956" s="2"/>
      <c r="G956" s="2"/>
      <c r="H956" s="2"/>
      <c r="I956" s="5"/>
      <c r="J956" s="93"/>
    </row>
    <row r="957" spans="1:10" ht="15.75" customHeight="1">
      <c r="A957" s="2"/>
      <c r="B957" s="2"/>
      <c r="C957" s="2"/>
      <c r="D957" s="2"/>
      <c r="E957" s="2"/>
      <c r="F957" s="2"/>
      <c r="G957" s="2"/>
      <c r="H957" s="2"/>
      <c r="I957" s="5"/>
      <c r="J957" s="93"/>
    </row>
    <row r="958" spans="1:10" ht="15.75" customHeight="1">
      <c r="A958" s="2"/>
      <c r="B958" s="2"/>
      <c r="C958" s="2"/>
      <c r="D958" s="2"/>
      <c r="E958" s="2"/>
      <c r="F958" s="2"/>
      <c r="G958" s="2"/>
      <c r="H958" s="2"/>
      <c r="I958" s="5"/>
      <c r="J958" s="93"/>
    </row>
    <row r="959" spans="1:10" ht="15.75" customHeight="1">
      <c r="A959" s="2"/>
      <c r="B959" s="2"/>
      <c r="C959" s="2"/>
      <c r="D959" s="2"/>
      <c r="E959" s="2"/>
      <c r="F959" s="2"/>
      <c r="G959" s="2"/>
      <c r="H959" s="2"/>
      <c r="I959" s="5"/>
      <c r="J959" s="93"/>
    </row>
    <row r="960" spans="1:10" ht="15.75" customHeight="1">
      <c r="A960" s="2"/>
      <c r="B960" s="2"/>
      <c r="C960" s="2"/>
      <c r="D960" s="2"/>
      <c r="E960" s="2"/>
      <c r="F960" s="2"/>
      <c r="G960" s="2"/>
      <c r="H960" s="2"/>
      <c r="I960" s="5"/>
      <c r="J960" s="93"/>
    </row>
    <row r="961" spans="1:10" ht="15.75" customHeight="1">
      <c r="A961" s="2"/>
      <c r="B961" s="2"/>
      <c r="C961" s="2"/>
      <c r="D961" s="2"/>
      <c r="E961" s="2"/>
      <c r="F961" s="2"/>
      <c r="G961" s="2"/>
      <c r="H961" s="2"/>
      <c r="I961" s="5"/>
      <c r="J961" s="93"/>
    </row>
    <row r="962" spans="1:10" ht="15.75" customHeight="1">
      <c r="A962" s="2"/>
      <c r="B962" s="2"/>
      <c r="C962" s="2"/>
      <c r="D962" s="2"/>
      <c r="E962" s="2"/>
      <c r="F962" s="2"/>
      <c r="G962" s="2"/>
      <c r="H962" s="2"/>
      <c r="I962" s="5"/>
      <c r="J962" s="93"/>
    </row>
    <row r="963" spans="1:10" ht="15.75" customHeight="1">
      <c r="A963" s="2"/>
      <c r="B963" s="2"/>
      <c r="C963" s="2"/>
      <c r="D963" s="2"/>
      <c r="E963" s="2"/>
      <c r="F963" s="2"/>
      <c r="G963" s="2"/>
      <c r="H963" s="2"/>
      <c r="I963" s="5"/>
      <c r="J963" s="93"/>
    </row>
    <row r="964" spans="1:10" ht="15.75" customHeight="1">
      <c r="A964" s="2"/>
      <c r="B964" s="2"/>
      <c r="C964" s="2"/>
      <c r="D964" s="2"/>
      <c r="E964" s="2"/>
      <c r="F964" s="2"/>
      <c r="G964" s="2"/>
      <c r="H964" s="2"/>
      <c r="I964" s="5"/>
      <c r="J964" s="93"/>
    </row>
    <row r="965" spans="1:10" ht="15.75" customHeight="1">
      <c r="A965" s="2"/>
      <c r="B965" s="2"/>
      <c r="C965" s="2"/>
      <c r="D965" s="2"/>
      <c r="E965" s="2"/>
      <c r="F965" s="2"/>
      <c r="G965" s="2"/>
      <c r="H965" s="2"/>
      <c r="I965" s="5"/>
      <c r="J965" s="93"/>
    </row>
    <row r="966" spans="1:10" ht="15.75" customHeight="1">
      <c r="A966" s="2"/>
      <c r="B966" s="2"/>
      <c r="C966" s="2"/>
      <c r="D966" s="2"/>
      <c r="E966" s="2"/>
      <c r="F966" s="2"/>
      <c r="G966" s="2"/>
      <c r="H966" s="2"/>
      <c r="I966" s="5"/>
      <c r="J966" s="93"/>
    </row>
    <row r="967" spans="1:10" ht="15.75" customHeight="1">
      <c r="A967" s="2"/>
      <c r="B967" s="2"/>
      <c r="C967" s="2"/>
      <c r="D967" s="2"/>
      <c r="E967" s="2"/>
      <c r="F967" s="2"/>
      <c r="G967" s="2"/>
      <c r="H967" s="2"/>
      <c r="I967" s="5"/>
      <c r="J967" s="93"/>
    </row>
    <row r="968" spans="1:10" ht="15.75" customHeight="1">
      <c r="A968" s="2"/>
      <c r="B968" s="2"/>
      <c r="C968" s="2"/>
      <c r="D968" s="2"/>
      <c r="E968" s="2"/>
      <c r="F968" s="2"/>
      <c r="G968" s="2"/>
      <c r="H968" s="2"/>
      <c r="I968" s="5"/>
      <c r="J968" s="93"/>
    </row>
    <row r="969" spans="1:10" ht="15.75" customHeight="1">
      <c r="A969" s="2"/>
      <c r="B969" s="2"/>
      <c r="C969" s="2"/>
      <c r="D969" s="2"/>
      <c r="E969" s="2"/>
      <c r="F969" s="2"/>
      <c r="G969" s="2"/>
      <c r="H969" s="2"/>
      <c r="I969" s="5"/>
      <c r="J969" s="93"/>
    </row>
    <row r="970" spans="1:10" ht="15.75" customHeight="1">
      <c r="A970" s="2"/>
      <c r="B970" s="2"/>
      <c r="C970" s="2"/>
      <c r="D970" s="2"/>
      <c r="E970" s="2"/>
      <c r="F970" s="2"/>
      <c r="G970" s="2"/>
      <c r="H970" s="2"/>
      <c r="I970" s="5"/>
      <c r="J970" s="93"/>
    </row>
    <row r="971" spans="1:10" ht="15.75" customHeight="1">
      <c r="A971" s="2"/>
      <c r="B971" s="2"/>
      <c r="C971" s="2"/>
      <c r="D971" s="2"/>
      <c r="E971" s="2"/>
      <c r="F971" s="2"/>
      <c r="G971" s="2"/>
      <c r="H971" s="2"/>
      <c r="I971" s="5"/>
      <c r="J971" s="93"/>
    </row>
    <row r="972" spans="1:10" ht="15.75" customHeight="1">
      <c r="A972" s="2"/>
      <c r="B972" s="2"/>
      <c r="C972" s="2"/>
      <c r="D972" s="2"/>
      <c r="E972" s="2"/>
      <c r="F972" s="2"/>
      <c r="G972" s="2"/>
      <c r="H972" s="2"/>
      <c r="I972" s="5"/>
      <c r="J972" s="93"/>
    </row>
    <row r="973" spans="1:10" ht="15.75" customHeight="1">
      <c r="A973" s="2"/>
      <c r="B973" s="2"/>
      <c r="C973" s="2"/>
      <c r="D973" s="2"/>
      <c r="E973" s="2"/>
      <c r="F973" s="2"/>
      <c r="G973" s="2"/>
      <c r="H973" s="2"/>
      <c r="I973" s="5"/>
      <c r="J973" s="93"/>
    </row>
    <row r="974" spans="1:10" ht="15.75" customHeight="1">
      <c r="A974" s="2"/>
      <c r="B974" s="2"/>
      <c r="C974" s="2"/>
      <c r="D974" s="2"/>
      <c r="E974" s="2"/>
      <c r="F974" s="2"/>
      <c r="G974" s="2"/>
      <c r="H974" s="2"/>
      <c r="I974" s="5"/>
      <c r="J974" s="93"/>
    </row>
    <row r="975" spans="1:10" ht="15.75" customHeight="1">
      <c r="A975" s="2"/>
      <c r="B975" s="2"/>
      <c r="C975" s="2"/>
      <c r="D975" s="2"/>
      <c r="E975" s="2"/>
      <c r="F975" s="2"/>
      <c r="G975" s="2"/>
      <c r="H975" s="2"/>
      <c r="I975" s="5"/>
      <c r="J975" s="93"/>
    </row>
    <row r="976" spans="1:10" ht="15.75" customHeight="1">
      <c r="A976" s="2"/>
      <c r="B976" s="2"/>
      <c r="C976" s="2"/>
      <c r="D976" s="2"/>
      <c r="E976" s="2"/>
      <c r="F976" s="2"/>
      <c r="G976" s="2"/>
      <c r="H976" s="2"/>
      <c r="I976" s="5"/>
      <c r="J976" s="93"/>
    </row>
    <row r="977" spans="1:10" ht="15.75" customHeight="1">
      <c r="A977" s="2"/>
      <c r="B977" s="2"/>
      <c r="C977" s="2"/>
      <c r="D977" s="2"/>
      <c r="E977" s="2"/>
      <c r="F977" s="2"/>
      <c r="G977" s="2"/>
      <c r="H977" s="2"/>
      <c r="I977" s="5"/>
      <c r="J977" s="93"/>
    </row>
    <row r="978" spans="1:10" ht="15.75" customHeight="1">
      <c r="A978" s="2"/>
      <c r="B978" s="2"/>
      <c r="C978" s="2"/>
      <c r="D978" s="2"/>
      <c r="E978" s="2"/>
      <c r="F978" s="2"/>
      <c r="G978" s="2"/>
      <c r="H978" s="2"/>
      <c r="I978" s="5"/>
      <c r="J978" s="93"/>
    </row>
    <row r="979" spans="1:10" ht="15.75" customHeight="1">
      <c r="A979" s="2"/>
      <c r="B979" s="2"/>
      <c r="C979" s="2"/>
      <c r="D979" s="2"/>
      <c r="E979" s="2"/>
      <c r="F979" s="2"/>
      <c r="G979" s="2"/>
      <c r="H979" s="2"/>
      <c r="I979" s="5"/>
      <c r="J979" s="93"/>
    </row>
    <row r="980" spans="1:10" ht="15.75" customHeight="1">
      <c r="A980" s="2"/>
      <c r="B980" s="2"/>
      <c r="C980" s="2"/>
      <c r="D980" s="2"/>
      <c r="E980" s="2"/>
      <c r="F980" s="2"/>
      <c r="G980" s="2"/>
      <c r="H980" s="2"/>
      <c r="I980" s="5"/>
      <c r="J980" s="93"/>
    </row>
    <row r="981" spans="1:10" ht="15.75" customHeight="1">
      <c r="A981" s="2"/>
      <c r="B981" s="2"/>
      <c r="C981" s="2"/>
      <c r="D981" s="2"/>
      <c r="E981" s="2"/>
      <c r="F981" s="2"/>
      <c r="G981" s="2"/>
      <c r="H981" s="2"/>
      <c r="I981" s="5"/>
      <c r="J981" s="93"/>
    </row>
    <row r="982" spans="1:10" ht="15.75" customHeight="1">
      <c r="A982" s="2"/>
      <c r="B982" s="2"/>
      <c r="C982" s="2"/>
      <c r="D982" s="2"/>
      <c r="E982" s="2"/>
      <c r="F982" s="2"/>
      <c r="G982" s="2"/>
      <c r="H982" s="2"/>
      <c r="I982" s="5"/>
      <c r="J982" s="93"/>
    </row>
    <row r="983" spans="1:10" ht="15.75" customHeight="1">
      <c r="A983" s="2"/>
      <c r="B983" s="2"/>
      <c r="C983" s="2"/>
      <c r="D983" s="2"/>
      <c r="E983" s="2"/>
      <c r="F983" s="2"/>
      <c r="G983" s="2"/>
      <c r="H983" s="2"/>
      <c r="I983" s="5"/>
      <c r="J983" s="93"/>
    </row>
    <row r="984" spans="1:10" ht="15.75" customHeight="1">
      <c r="A984" s="2"/>
      <c r="B984" s="2"/>
      <c r="C984" s="2"/>
      <c r="D984" s="2"/>
      <c r="E984" s="2"/>
      <c r="F984" s="2"/>
      <c r="G984" s="2"/>
      <c r="H984" s="2"/>
      <c r="I984" s="5"/>
      <c r="J984" s="93"/>
    </row>
    <row r="985" spans="1:10" ht="15.75" customHeight="1">
      <c r="A985" s="2"/>
      <c r="B985" s="2"/>
      <c r="C985" s="2"/>
      <c r="D985" s="2"/>
      <c r="E985" s="2"/>
      <c r="F985" s="2"/>
      <c r="G985" s="2"/>
      <c r="H985" s="2"/>
      <c r="I985" s="5"/>
      <c r="J985" s="93"/>
    </row>
    <row r="986" spans="1:10" ht="15.75" customHeight="1">
      <c r="A986" s="2"/>
      <c r="B986" s="2"/>
      <c r="C986" s="2"/>
      <c r="D986" s="2"/>
      <c r="E986" s="2"/>
      <c r="F986" s="2"/>
      <c r="G986" s="2"/>
      <c r="H986" s="2"/>
      <c r="I986" s="5"/>
      <c r="J986" s="93"/>
    </row>
    <row r="987" spans="1:10" ht="15.75" customHeight="1">
      <c r="A987" s="2"/>
      <c r="B987" s="2"/>
      <c r="C987" s="2"/>
      <c r="D987" s="2"/>
      <c r="E987" s="2"/>
      <c r="F987" s="2"/>
      <c r="G987" s="2"/>
      <c r="H987" s="2"/>
      <c r="I987" s="5"/>
      <c r="J987" s="93"/>
    </row>
    <row r="988" spans="1:10" ht="15.75" customHeight="1">
      <c r="A988" s="2"/>
      <c r="B988" s="2"/>
      <c r="C988" s="2"/>
      <c r="D988" s="2"/>
      <c r="E988" s="2"/>
      <c r="F988" s="2"/>
      <c r="G988" s="2"/>
      <c r="H988" s="2"/>
      <c r="I988" s="5"/>
      <c r="J988" s="93"/>
    </row>
    <row r="989" spans="1:10" ht="15.75" customHeight="1">
      <c r="A989" s="2"/>
      <c r="B989" s="2"/>
      <c r="C989" s="2"/>
      <c r="D989" s="2"/>
      <c r="E989" s="2"/>
      <c r="F989" s="2"/>
      <c r="G989" s="2"/>
      <c r="H989" s="2"/>
      <c r="I989" s="5"/>
      <c r="J989" s="93"/>
    </row>
    <row r="990" spans="1:10" ht="15.75" customHeight="1">
      <c r="A990" s="2"/>
      <c r="B990" s="2"/>
      <c r="C990" s="2"/>
      <c r="D990" s="2"/>
      <c r="E990" s="2"/>
      <c r="F990" s="2"/>
      <c r="G990" s="2"/>
      <c r="H990" s="2"/>
      <c r="I990" s="5"/>
      <c r="J990" s="93"/>
    </row>
    <row r="991" spans="1:10" ht="15.75" customHeight="1">
      <c r="A991" s="2"/>
      <c r="B991" s="2"/>
      <c r="C991" s="2"/>
      <c r="D991" s="2"/>
      <c r="E991" s="2"/>
      <c r="F991" s="2"/>
      <c r="G991" s="2"/>
      <c r="H991" s="2"/>
      <c r="I991" s="5"/>
      <c r="J991" s="93"/>
    </row>
    <row r="992" spans="1:10" ht="15.75" customHeight="1">
      <c r="A992" s="2"/>
      <c r="B992" s="2"/>
      <c r="C992" s="2"/>
      <c r="D992" s="2"/>
      <c r="E992" s="2"/>
      <c r="F992" s="2"/>
      <c r="G992" s="2"/>
      <c r="H992" s="2"/>
      <c r="I992" s="5"/>
      <c r="J992" s="93"/>
    </row>
    <row r="993" spans="1:10" ht="15.75" customHeight="1">
      <c r="A993" s="2"/>
      <c r="B993" s="2"/>
      <c r="C993" s="2"/>
      <c r="D993" s="2"/>
      <c r="E993" s="2"/>
      <c r="F993" s="2"/>
      <c r="G993" s="2"/>
      <c r="H993" s="2"/>
      <c r="I993" s="5"/>
      <c r="J993" s="93"/>
    </row>
    <row r="994" spans="1:10" ht="15.75" customHeight="1">
      <c r="A994" s="2"/>
      <c r="B994" s="2"/>
      <c r="C994" s="2"/>
      <c r="D994" s="2"/>
      <c r="E994" s="2"/>
      <c r="F994" s="2"/>
      <c r="G994" s="2"/>
      <c r="H994" s="2"/>
      <c r="I994" s="5"/>
      <c r="J994" s="93"/>
    </row>
    <row r="995" spans="1:10" ht="15.75" customHeight="1">
      <c r="A995" s="2"/>
      <c r="B995" s="2"/>
      <c r="C995" s="2"/>
      <c r="D995" s="2"/>
      <c r="E995" s="2"/>
      <c r="F995" s="2"/>
      <c r="G995" s="2"/>
      <c r="H995" s="2"/>
      <c r="I995" s="5"/>
      <c r="J995" s="93"/>
    </row>
    <row r="996" spans="1:10" ht="15.75" customHeight="1">
      <c r="A996" s="2"/>
      <c r="B996" s="2"/>
      <c r="C996" s="2"/>
      <c r="D996" s="2"/>
      <c r="E996" s="2"/>
      <c r="F996" s="2"/>
      <c r="G996" s="2"/>
      <c r="H996" s="2"/>
      <c r="I996" s="5"/>
      <c r="J996" s="93"/>
    </row>
    <row r="997" spans="1:10" ht="15.75" customHeight="1">
      <c r="A997" s="2"/>
      <c r="B997" s="2"/>
      <c r="C997" s="2"/>
      <c r="D997" s="2"/>
      <c r="E997" s="2"/>
      <c r="F997" s="2"/>
      <c r="G997" s="2"/>
      <c r="H997" s="2"/>
      <c r="I997" s="5"/>
      <c r="J997" s="93"/>
    </row>
    <row r="998" spans="1:10" ht="15.75" customHeight="1">
      <c r="A998" s="2"/>
      <c r="B998" s="2"/>
      <c r="C998" s="2"/>
      <c r="D998" s="2"/>
      <c r="E998" s="2"/>
      <c r="F998" s="2"/>
      <c r="G998" s="2"/>
      <c r="H998" s="2"/>
      <c r="I998" s="5"/>
      <c r="J998" s="93"/>
    </row>
    <row r="999" spans="1:10" ht="15.75" customHeight="1">
      <c r="A999" s="2"/>
      <c r="B999" s="2"/>
      <c r="C999" s="2"/>
      <c r="D999" s="2"/>
      <c r="E999" s="2"/>
      <c r="F999" s="2"/>
      <c r="G999" s="2"/>
      <c r="H999" s="2"/>
      <c r="I999" s="5"/>
      <c r="J999" s="93"/>
    </row>
    <row r="1000" spans="1:10" ht="15.75" customHeight="1">
      <c r="A1000" s="2"/>
      <c r="B1000" s="2"/>
      <c r="C1000" s="2"/>
      <c r="D1000" s="2"/>
      <c r="E1000" s="2"/>
      <c r="F1000" s="2"/>
      <c r="G1000" s="2"/>
      <c r="H1000" s="2"/>
      <c r="I1000" s="5"/>
      <c r="J1000" s="93"/>
    </row>
  </sheetData>
  <mergeCells count="6">
    <mergeCell ref="F2:F3"/>
    <mergeCell ref="A2:A3"/>
    <mergeCell ref="B2:B3"/>
    <mergeCell ref="C2:C3"/>
    <mergeCell ref="D2:D3"/>
    <mergeCell ref="E2:E3"/>
  </mergeCells>
  <printOptions horizontalCentered="1"/>
  <pageMargins left="0.25" right="0.25" top="0.75" bottom="0.75" header="0" footer="0"/>
  <pageSetup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Z1000"/>
  <sheetViews>
    <sheetView topLeftCell="A25" workbookViewId="0">
      <selection sqref="A1:M1"/>
    </sheetView>
  </sheetViews>
  <sheetFormatPr defaultColWidth="14.42578125" defaultRowHeight="15" customHeight="1"/>
  <cols>
    <col min="1" max="1" width="15.28515625" customWidth="1"/>
    <col min="2" max="2" width="24.28515625" customWidth="1"/>
    <col min="3" max="3" width="19.42578125" customWidth="1"/>
    <col min="4" max="4" width="29.28515625" customWidth="1"/>
    <col min="5" max="5" width="15.7109375" customWidth="1"/>
    <col min="6" max="6" width="14.140625" customWidth="1"/>
    <col min="7" max="7" width="19.28515625" customWidth="1"/>
    <col min="8" max="8" width="16.42578125" customWidth="1"/>
    <col min="9" max="9" width="14.7109375" customWidth="1"/>
    <col min="10" max="10" width="17.140625" customWidth="1"/>
    <col min="11" max="11" width="16.85546875" customWidth="1"/>
    <col min="12" max="12" width="15.140625" customWidth="1"/>
    <col min="13" max="13" width="17.7109375" customWidth="1"/>
    <col min="14" max="14" width="13.85546875" customWidth="1"/>
    <col min="15" max="15" width="15.42578125" customWidth="1"/>
    <col min="16" max="16" width="22.5703125" customWidth="1"/>
    <col min="17" max="17" width="8.7109375" customWidth="1"/>
    <col min="18" max="18" width="19.5703125" customWidth="1"/>
    <col min="19" max="19" width="16.85546875" customWidth="1"/>
    <col min="20" max="20" width="17.140625" customWidth="1"/>
    <col min="21" max="21" width="14.5703125" customWidth="1"/>
    <col min="22" max="24" width="8.7109375" customWidth="1"/>
    <col min="25" max="25" width="14.85546875" customWidth="1"/>
    <col min="26" max="26" width="8.7109375" customWidth="1"/>
  </cols>
  <sheetData>
    <row r="1" spans="1:20" ht="18.75">
      <c r="A1" s="799" t="s">
        <v>3723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</row>
    <row r="3" spans="1:20" ht="30" customHeight="1">
      <c r="A3" s="558" t="s">
        <v>3724</v>
      </c>
      <c r="B3" s="800" t="s">
        <v>25</v>
      </c>
      <c r="C3" s="743"/>
      <c r="D3" s="719"/>
      <c r="E3" s="801" t="s">
        <v>286</v>
      </c>
      <c r="F3" s="743"/>
      <c r="G3" s="719"/>
      <c r="H3" s="802" t="s">
        <v>57</v>
      </c>
      <c r="I3" s="743"/>
      <c r="J3" s="719"/>
      <c r="K3" s="803" t="s">
        <v>586</v>
      </c>
      <c r="L3" s="743"/>
      <c r="M3" s="719"/>
      <c r="N3" s="804" t="s">
        <v>1626</v>
      </c>
      <c r="O3" s="805"/>
      <c r="P3" s="806"/>
    </row>
    <row r="4" spans="1:20" ht="17.25">
      <c r="A4" s="68"/>
      <c r="B4" s="559" t="s">
        <v>33</v>
      </c>
      <c r="C4" s="559" t="s">
        <v>37</v>
      </c>
      <c r="D4" s="77" t="s">
        <v>576</v>
      </c>
      <c r="E4" s="559" t="s">
        <v>580</v>
      </c>
      <c r="F4" s="559" t="s">
        <v>3725</v>
      </c>
      <c r="G4" s="77" t="s">
        <v>576</v>
      </c>
      <c r="H4" s="559" t="s">
        <v>33</v>
      </c>
      <c r="I4" s="560" t="s">
        <v>37</v>
      </c>
      <c r="J4" s="77" t="s">
        <v>576</v>
      </c>
      <c r="K4" s="559" t="s">
        <v>33</v>
      </c>
      <c r="L4" s="560" t="s">
        <v>37</v>
      </c>
      <c r="M4" s="77" t="s">
        <v>576</v>
      </c>
      <c r="N4" s="559" t="s">
        <v>33</v>
      </c>
      <c r="O4" s="560" t="s">
        <v>37</v>
      </c>
      <c r="P4" s="77" t="s">
        <v>576</v>
      </c>
    </row>
    <row r="5" spans="1:20" ht="18" customHeight="1">
      <c r="A5" s="561" t="s">
        <v>3726</v>
      </c>
      <c r="B5" s="562">
        <v>356300</v>
      </c>
      <c r="C5" s="562">
        <v>31500</v>
      </c>
      <c r="D5" s="563">
        <f t="shared" ref="D5:D89" si="0">SUM(B5:C5)</f>
        <v>387800</v>
      </c>
      <c r="E5" s="562">
        <v>234</v>
      </c>
      <c r="F5" s="562">
        <v>0</v>
      </c>
      <c r="G5" s="563">
        <f t="shared" ref="G5:G88" si="1">SUM(E5:F5)</f>
        <v>234</v>
      </c>
      <c r="H5" s="562">
        <v>1100</v>
      </c>
      <c r="I5" s="562">
        <v>0</v>
      </c>
      <c r="J5" s="563">
        <f t="shared" ref="J5:J89" si="2">SUM(H5:I5)</f>
        <v>1100</v>
      </c>
      <c r="K5" s="562">
        <v>0</v>
      </c>
      <c r="L5" s="562">
        <v>0</v>
      </c>
      <c r="M5" s="563">
        <f t="shared" ref="M5:M89" si="3">SUM(K5:L5)</f>
        <v>0</v>
      </c>
      <c r="N5" s="149">
        <v>0</v>
      </c>
      <c r="O5" s="149">
        <v>0</v>
      </c>
      <c r="P5" s="564">
        <f t="shared" ref="P5:P88" si="4">SUM(N5:O5)</f>
        <v>0</v>
      </c>
      <c r="Q5" s="3"/>
    </row>
    <row r="6" spans="1:20" ht="17.25">
      <c r="A6" s="561" t="s">
        <v>3727</v>
      </c>
      <c r="B6" s="562">
        <v>162300</v>
      </c>
      <c r="C6" s="562">
        <v>3000</v>
      </c>
      <c r="D6" s="563">
        <f t="shared" si="0"/>
        <v>165300</v>
      </c>
      <c r="E6" s="562">
        <v>110</v>
      </c>
      <c r="F6" s="562">
        <v>20</v>
      </c>
      <c r="G6" s="563">
        <f t="shared" si="1"/>
        <v>130</v>
      </c>
      <c r="H6" s="562">
        <v>160</v>
      </c>
      <c r="I6" s="562">
        <v>0</v>
      </c>
      <c r="J6" s="563">
        <f t="shared" si="2"/>
        <v>160</v>
      </c>
      <c r="K6" s="562">
        <v>0</v>
      </c>
      <c r="L6" s="562">
        <v>0</v>
      </c>
      <c r="M6" s="563">
        <f t="shared" si="3"/>
        <v>0</v>
      </c>
      <c r="N6" s="149">
        <v>0</v>
      </c>
      <c r="O6" s="149">
        <v>0</v>
      </c>
      <c r="P6" s="564">
        <f t="shared" si="4"/>
        <v>0</v>
      </c>
      <c r="R6" s="3"/>
    </row>
    <row r="7" spans="1:20" ht="17.25">
      <c r="A7" s="561" t="s">
        <v>3728</v>
      </c>
      <c r="B7" s="562">
        <v>112800</v>
      </c>
      <c r="C7" s="562">
        <v>2500</v>
      </c>
      <c r="D7" s="563">
        <f t="shared" si="0"/>
        <v>115300</v>
      </c>
      <c r="E7" s="562">
        <v>74</v>
      </c>
      <c r="F7" s="562">
        <v>40</v>
      </c>
      <c r="G7" s="563">
        <f t="shared" si="1"/>
        <v>114</v>
      </c>
      <c r="H7" s="562">
        <v>1500</v>
      </c>
      <c r="I7" s="562">
        <v>0</v>
      </c>
      <c r="J7" s="563">
        <f t="shared" si="2"/>
        <v>1500</v>
      </c>
      <c r="K7" s="562">
        <v>0</v>
      </c>
      <c r="L7" s="562">
        <v>0</v>
      </c>
      <c r="M7" s="563">
        <f t="shared" si="3"/>
        <v>0</v>
      </c>
      <c r="N7" s="149">
        <v>0</v>
      </c>
      <c r="O7" s="149">
        <v>0</v>
      </c>
      <c r="P7" s="564">
        <f t="shared" si="4"/>
        <v>0</v>
      </c>
      <c r="R7" s="3"/>
    </row>
    <row r="8" spans="1:20" ht="17.25">
      <c r="A8" s="565" t="s">
        <v>3729</v>
      </c>
      <c r="B8" s="566">
        <v>157250</v>
      </c>
      <c r="C8" s="566">
        <v>17500</v>
      </c>
      <c r="D8" s="567">
        <f t="shared" si="0"/>
        <v>174750</v>
      </c>
      <c r="E8" s="566">
        <v>76</v>
      </c>
      <c r="F8" s="566">
        <v>0</v>
      </c>
      <c r="G8" s="567">
        <f t="shared" si="1"/>
        <v>76</v>
      </c>
      <c r="H8" s="566">
        <v>1700</v>
      </c>
      <c r="I8" s="566">
        <v>0</v>
      </c>
      <c r="J8" s="567">
        <f t="shared" si="2"/>
        <v>1700</v>
      </c>
      <c r="K8" s="566"/>
      <c r="L8" s="566"/>
      <c r="M8" s="567">
        <f t="shared" si="3"/>
        <v>0</v>
      </c>
      <c r="N8" s="149">
        <v>0</v>
      </c>
      <c r="O8" s="149">
        <v>0</v>
      </c>
      <c r="P8" s="564">
        <f t="shared" si="4"/>
        <v>0</v>
      </c>
      <c r="R8" s="3"/>
      <c r="S8" s="3">
        <f>SUM(B5:B7)</f>
        <v>631400</v>
      </c>
      <c r="T8" s="3">
        <f>SUM(D5:D8)</f>
        <v>843150</v>
      </c>
    </row>
    <row r="9" spans="1:20" ht="17.25">
      <c r="A9" s="565" t="s">
        <v>3730</v>
      </c>
      <c r="B9" s="566">
        <v>326800</v>
      </c>
      <c r="C9" s="566">
        <v>58200</v>
      </c>
      <c r="D9" s="567">
        <f t="shared" si="0"/>
        <v>385000</v>
      </c>
      <c r="E9" s="566">
        <v>415</v>
      </c>
      <c r="F9" s="566">
        <v>130</v>
      </c>
      <c r="G9" s="567">
        <f t="shared" si="1"/>
        <v>545</v>
      </c>
      <c r="H9" s="566">
        <v>0</v>
      </c>
      <c r="I9" s="566">
        <v>0</v>
      </c>
      <c r="J9" s="567">
        <f t="shared" si="2"/>
        <v>0</v>
      </c>
      <c r="K9" s="566">
        <v>1290</v>
      </c>
      <c r="L9" s="566">
        <v>3000</v>
      </c>
      <c r="M9" s="567">
        <f t="shared" si="3"/>
        <v>4290</v>
      </c>
      <c r="N9" s="149">
        <v>0</v>
      </c>
      <c r="O9" s="149">
        <v>0</v>
      </c>
      <c r="P9" s="564">
        <f t="shared" si="4"/>
        <v>0</v>
      </c>
      <c r="R9" s="3"/>
      <c r="S9" s="3">
        <f>SUM(B8:B13)</f>
        <v>823030</v>
      </c>
      <c r="T9" s="3">
        <f>SUM(D9:D15)</f>
        <v>1063330</v>
      </c>
    </row>
    <row r="10" spans="1:20" ht="17.25">
      <c r="A10" s="565" t="s">
        <v>3731</v>
      </c>
      <c r="B10" s="566">
        <v>84350</v>
      </c>
      <c r="C10" s="566">
        <v>21500</v>
      </c>
      <c r="D10" s="567">
        <f t="shared" si="0"/>
        <v>105850</v>
      </c>
      <c r="E10" s="566">
        <v>5</v>
      </c>
      <c r="F10" s="566">
        <v>50</v>
      </c>
      <c r="G10" s="567">
        <f t="shared" si="1"/>
        <v>55</v>
      </c>
      <c r="H10" s="566">
        <v>0</v>
      </c>
      <c r="I10" s="566">
        <v>0</v>
      </c>
      <c r="J10" s="567">
        <f t="shared" si="2"/>
        <v>0</v>
      </c>
      <c r="K10" s="566">
        <v>650</v>
      </c>
      <c r="L10" s="566">
        <v>0</v>
      </c>
      <c r="M10" s="567">
        <f t="shared" si="3"/>
        <v>650</v>
      </c>
      <c r="N10" s="149">
        <v>0</v>
      </c>
      <c r="O10" s="149">
        <v>0</v>
      </c>
      <c r="P10" s="564">
        <f t="shared" si="4"/>
        <v>0</v>
      </c>
      <c r="R10" s="3"/>
      <c r="S10" s="3">
        <f>SUM(B14:B19)</f>
        <v>711700</v>
      </c>
      <c r="T10" s="3">
        <f>SUM(D16:D21)</f>
        <v>901400</v>
      </c>
    </row>
    <row r="11" spans="1:20" ht="17.25">
      <c r="A11" s="565" t="s">
        <v>3732</v>
      </c>
      <c r="B11" s="566">
        <v>54200</v>
      </c>
      <c r="C11" s="566">
        <v>42000</v>
      </c>
      <c r="D11" s="567">
        <f t="shared" si="0"/>
        <v>96200</v>
      </c>
      <c r="E11" s="566">
        <v>0</v>
      </c>
      <c r="F11" s="566">
        <v>0</v>
      </c>
      <c r="G11" s="567">
        <f t="shared" si="1"/>
        <v>0</v>
      </c>
      <c r="H11" s="566">
        <v>0</v>
      </c>
      <c r="I11" s="566">
        <v>0</v>
      </c>
      <c r="J11" s="567">
        <f t="shared" si="2"/>
        <v>0</v>
      </c>
      <c r="K11" s="566">
        <v>0</v>
      </c>
      <c r="L11" s="566">
        <v>0</v>
      </c>
      <c r="M11" s="567">
        <f t="shared" si="3"/>
        <v>0</v>
      </c>
      <c r="N11" s="149">
        <v>0</v>
      </c>
      <c r="O11" s="149">
        <v>0</v>
      </c>
      <c r="P11" s="564">
        <f t="shared" si="4"/>
        <v>0</v>
      </c>
      <c r="R11" s="3"/>
      <c r="S11" s="3">
        <f>SUM(B20:B25)</f>
        <v>195250</v>
      </c>
      <c r="T11" s="3">
        <f>SUM(D22:D28)</f>
        <v>396050</v>
      </c>
    </row>
    <row r="12" spans="1:20" ht="17.25">
      <c r="A12" s="568" t="s">
        <v>3733</v>
      </c>
      <c r="B12" s="569">
        <v>118630</v>
      </c>
      <c r="C12" s="569">
        <v>20000</v>
      </c>
      <c r="D12" s="570">
        <f t="shared" si="0"/>
        <v>138630</v>
      </c>
      <c r="E12" s="569">
        <v>0</v>
      </c>
      <c r="F12" s="569">
        <v>0</v>
      </c>
      <c r="G12" s="570">
        <f t="shared" si="1"/>
        <v>0</v>
      </c>
      <c r="H12" s="569">
        <v>0</v>
      </c>
      <c r="I12" s="569">
        <v>0</v>
      </c>
      <c r="J12" s="570">
        <f t="shared" si="2"/>
        <v>0</v>
      </c>
      <c r="K12" s="569">
        <v>0</v>
      </c>
      <c r="L12" s="569">
        <v>0</v>
      </c>
      <c r="M12" s="570">
        <f t="shared" si="3"/>
        <v>0</v>
      </c>
      <c r="N12" s="149">
        <v>0</v>
      </c>
      <c r="O12" s="149">
        <v>0</v>
      </c>
      <c r="P12" s="564">
        <f t="shared" si="4"/>
        <v>0</v>
      </c>
      <c r="R12" s="3"/>
      <c r="S12" s="3">
        <f>SUM(B26:B33)</f>
        <v>279625</v>
      </c>
      <c r="T12" s="3">
        <f>SUM(D29:D35)</f>
        <v>266785</v>
      </c>
    </row>
    <row r="13" spans="1:20" ht="17.25">
      <c r="A13" s="568" t="s">
        <v>3734</v>
      </c>
      <c r="B13" s="569">
        <v>81800</v>
      </c>
      <c r="C13" s="569">
        <v>73000</v>
      </c>
      <c r="D13" s="570">
        <f t="shared" si="0"/>
        <v>154800</v>
      </c>
      <c r="E13" s="569">
        <v>209</v>
      </c>
      <c r="F13" s="569">
        <v>55</v>
      </c>
      <c r="G13" s="570">
        <f t="shared" si="1"/>
        <v>264</v>
      </c>
      <c r="H13" s="569">
        <v>0</v>
      </c>
      <c r="I13" s="569">
        <v>0</v>
      </c>
      <c r="J13" s="570">
        <f t="shared" si="2"/>
        <v>0</v>
      </c>
      <c r="K13" s="569">
        <v>0</v>
      </c>
      <c r="L13" s="569">
        <v>0</v>
      </c>
      <c r="M13" s="570">
        <f t="shared" si="3"/>
        <v>0</v>
      </c>
      <c r="N13" s="149">
        <v>0</v>
      </c>
      <c r="O13" s="149">
        <v>0</v>
      </c>
      <c r="P13" s="564">
        <f t="shared" si="4"/>
        <v>0</v>
      </c>
      <c r="S13" s="3">
        <f>SUM(B34:B38)</f>
        <v>122300</v>
      </c>
      <c r="T13" s="3">
        <f>SUM(D36:D41)</f>
        <v>346670</v>
      </c>
    </row>
    <row r="14" spans="1:20" ht="17.25">
      <c r="A14" s="571" t="s">
        <v>3735</v>
      </c>
      <c r="B14" s="572">
        <v>106950</v>
      </c>
      <c r="C14" s="572">
        <v>13000</v>
      </c>
      <c r="D14" s="573">
        <f t="shared" si="0"/>
        <v>119950</v>
      </c>
      <c r="E14" s="572">
        <v>4</v>
      </c>
      <c r="F14" s="572">
        <v>20</v>
      </c>
      <c r="G14" s="573">
        <f t="shared" si="1"/>
        <v>24</v>
      </c>
      <c r="H14" s="572">
        <v>0</v>
      </c>
      <c r="I14" s="572">
        <v>0</v>
      </c>
      <c r="J14" s="573">
        <f t="shared" si="2"/>
        <v>0</v>
      </c>
      <c r="K14" s="572">
        <v>0</v>
      </c>
      <c r="L14" s="572">
        <v>0</v>
      </c>
      <c r="M14" s="573">
        <f t="shared" si="3"/>
        <v>0</v>
      </c>
      <c r="N14" s="574">
        <v>0</v>
      </c>
      <c r="O14" s="574">
        <v>0</v>
      </c>
      <c r="P14" s="575">
        <f t="shared" si="4"/>
        <v>0</v>
      </c>
      <c r="R14" s="3"/>
      <c r="S14" s="3">
        <f>SUM(B39:B41)</f>
        <v>148020</v>
      </c>
      <c r="T14" s="3">
        <f>SUM(D42:D47)</f>
        <v>615490</v>
      </c>
    </row>
    <row r="15" spans="1:20" ht="17.25">
      <c r="A15" s="571" t="s">
        <v>3736</v>
      </c>
      <c r="B15" s="572">
        <v>62400</v>
      </c>
      <c r="C15" s="572">
        <v>500</v>
      </c>
      <c r="D15" s="573">
        <f t="shared" si="0"/>
        <v>62900</v>
      </c>
      <c r="E15" s="572">
        <v>0</v>
      </c>
      <c r="F15" s="572">
        <v>0</v>
      </c>
      <c r="G15" s="573">
        <f t="shared" si="1"/>
        <v>0</v>
      </c>
      <c r="H15" s="572">
        <v>0</v>
      </c>
      <c r="I15" s="572">
        <v>0</v>
      </c>
      <c r="J15" s="573">
        <f t="shared" si="2"/>
        <v>0</v>
      </c>
      <c r="K15" s="572">
        <v>0</v>
      </c>
      <c r="L15" s="572">
        <v>1000</v>
      </c>
      <c r="M15" s="573">
        <f t="shared" si="3"/>
        <v>1000</v>
      </c>
      <c r="N15" s="574">
        <v>0</v>
      </c>
      <c r="O15" s="574">
        <v>0</v>
      </c>
      <c r="P15" s="575">
        <f t="shared" si="4"/>
        <v>0</v>
      </c>
      <c r="R15" s="3"/>
      <c r="S15" s="3">
        <f>SUM(B42:B44)</f>
        <v>406250</v>
      </c>
      <c r="T15" s="3">
        <f>SUM(D48:D56)</f>
        <v>877084</v>
      </c>
    </row>
    <row r="16" spans="1:20" ht="19.5" customHeight="1">
      <c r="A16" s="576" t="s">
        <v>3737</v>
      </c>
      <c r="B16" s="577">
        <v>147900</v>
      </c>
      <c r="C16" s="577">
        <v>40500</v>
      </c>
      <c r="D16" s="578">
        <f t="shared" si="0"/>
        <v>188400</v>
      </c>
      <c r="E16" s="577">
        <v>93</v>
      </c>
      <c r="F16" s="577">
        <v>150</v>
      </c>
      <c r="G16" s="578">
        <f t="shared" si="1"/>
        <v>243</v>
      </c>
      <c r="H16" s="577">
        <v>0</v>
      </c>
      <c r="I16" s="577">
        <v>0</v>
      </c>
      <c r="J16" s="578">
        <f t="shared" si="2"/>
        <v>0</v>
      </c>
      <c r="K16" s="577">
        <v>0</v>
      </c>
      <c r="L16" s="577">
        <v>0</v>
      </c>
      <c r="M16" s="578">
        <f t="shared" si="3"/>
        <v>0</v>
      </c>
      <c r="N16" s="574">
        <v>0</v>
      </c>
      <c r="O16" s="574">
        <v>61</v>
      </c>
      <c r="P16" s="578">
        <f t="shared" si="4"/>
        <v>61</v>
      </c>
      <c r="R16" s="3"/>
      <c r="S16" s="3">
        <f>SUM(B45:B47)</f>
        <v>107400</v>
      </c>
      <c r="T16" s="3">
        <f>SUM(D57:D62)</f>
        <v>625425</v>
      </c>
    </row>
    <row r="17" spans="1:21" ht="19.5" customHeight="1">
      <c r="A17" s="576" t="s">
        <v>3738</v>
      </c>
      <c r="B17" s="577">
        <v>265350</v>
      </c>
      <c r="C17" s="577">
        <v>21650</v>
      </c>
      <c r="D17" s="578">
        <f t="shared" si="0"/>
        <v>287000</v>
      </c>
      <c r="E17" s="577">
        <v>320</v>
      </c>
      <c r="F17" s="577">
        <v>0</v>
      </c>
      <c r="G17" s="578">
        <f t="shared" si="1"/>
        <v>320</v>
      </c>
      <c r="H17" s="577">
        <v>0</v>
      </c>
      <c r="I17" s="577">
        <v>0</v>
      </c>
      <c r="J17" s="578">
        <f t="shared" si="2"/>
        <v>0</v>
      </c>
      <c r="K17" s="577">
        <v>0</v>
      </c>
      <c r="L17" s="577">
        <v>0</v>
      </c>
      <c r="M17" s="578">
        <f t="shared" si="3"/>
        <v>0</v>
      </c>
      <c r="N17" s="574">
        <v>0</v>
      </c>
      <c r="O17" s="574">
        <v>0</v>
      </c>
      <c r="P17" s="578">
        <f t="shared" si="4"/>
        <v>0</v>
      </c>
      <c r="R17" s="3"/>
      <c r="S17" s="3">
        <f>SUM(B48:B51)</f>
        <v>487200</v>
      </c>
    </row>
    <row r="18" spans="1:21" ht="19.5" customHeight="1">
      <c r="A18" s="579" t="s">
        <v>3739</v>
      </c>
      <c r="B18" s="572">
        <v>36850</v>
      </c>
      <c r="C18" s="572">
        <v>10500</v>
      </c>
      <c r="D18" s="575">
        <f t="shared" si="0"/>
        <v>47350</v>
      </c>
      <c r="E18" s="572">
        <v>0</v>
      </c>
      <c r="F18" s="572">
        <v>0</v>
      </c>
      <c r="G18" s="575">
        <f t="shared" si="1"/>
        <v>0</v>
      </c>
      <c r="H18" s="572">
        <v>0</v>
      </c>
      <c r="I18" s="572">
        <v>0</v>
      </c>
      <c r="J18" s="575">
        <f t="shared" si="2"/>
        <v>0</v>
      </c>
      <c r="K18" s="572">
        <v>0</v>
      </c>
      <c r="L18" s="572">
        <v>0</v>
      </c>
      <c r="M18" s="575">
        <f t="shared" si="3"/>
        <v>0</v>
      </c>
      <c r="N18" s="574">
        <v>0</v>
      </c>
      <c r="O18" s="574">
        <v>0</v>
      </c>
      <c r="P18" s="575">
        <f t="shared" si="4"/>
        <v>0</v>
      </c>
      <c r="S18" s="3">
        <f>SUM(B52:B56)</f>
        <v>267900</v>
      </c>
    </row>
    <row r="19" spans="1:21" ht="19.5" customHeight="1">
      <c r="A19" s="579" t="s">
        <v>3740</v>
      </c>
      <c r="B19" s="572">
        <v>92250</v>
      </c>
      <c r="C19" s="572">
        <v>4500</v>
      </c>
      <c r="D19" s="575">
        <f t="shared" si="0"/>
        <v>96750</v>
      </c>
      <c r="E19" s="572">
        <v>0</v>
      </c>
      <c r="F19" s="572">
        <v>115</v>
      </c>
      <c r="G19" s="575">
        <f t="shared" si="1"/>
        <v>115</v>
      </c>
      <c r="H19" s="572">
        <v>0</v>
      </c>
      <c r="I19" s="572">
        <v>0</v>
      </c>
      <c r="J19" s="575">
        <f t="shared" si="2"/>
        <v>0</v>
      </c>
      <c r="K19" s="572">
        <v>0</v>
      </c>
      <c r="L19" s="572">
        <v>0</v>
      </c>
      <c r="M19" s="575">
        <f t="shared" si="3"/>
        <v>0</v>
      </c>
      <c r="N19" s="574">
        <v>0</v>
      </c>
      <c r="O19" s="574">
        <v>0</v>
      </c>
      <c r="P19" s="575">
        <f t="shared" si="4"/>
        <v>0</v>
      </c>
      <c r="S19" s="3">
        <f>SUM(B57:B59)</f>
        <v>225050</v>
      </c>
    </row>
    <row r="20" spans="1:21" ht="19.5" customHeight="1">
      <c r="A20" s="580" t="s">
        <v>3741</v>
      </c>
      <c r="B20" s="581">
        <v>45700</v>
      </c>
      <c r="C20" s="581">
        <v>5500</v>
      </c>
      <c r="D20" s="564">
        <f t="shared" si="0"/>
        <v>51200</v>
      </c>
      <c r="E20" s="581">
        <v>115</v>
      </c>
      <c r="F20" s="581">
        <v>35</v>
      </c>
      <c r="G20" s="564">
        <f t="shared" si="1"/>
        <v>150</v>
      </c>
      <c r="H20" s="581">
        <v>0</v>
      </c>
      <c r="I20" s="581">
        <v>0</v>
      </c>
      <c r="J20" s="564">
        <f t="shared" si="2"/>
        <v>0</v>
      </c>
      <c r="K20" s="581">
        <v>0</v>
      </c>
      <c r="L20" s="581">
        <v>0</v>
      </c>
      <c r="M20" s="564">
        <f t="shared" si="3"/>
        <v>0</v>
      </c>
      <c r="N20" s="149">
        <v>0</v>
      </c>
      <c r="O20" s="149">
        <v>0</v>
      </c>
      <c r="P20" s="564">
        <f t="shared" si="4"/>
        <v>0</v>
      </c>
    </row>
    <row r="21" spans="1:21" ht="19.5" customHeight="1">
      <c r="A21" s="48" t="s">
        <v>3742</v>
      </c>
      <c r="B21" s="581">
        <v>0</v>
      </c>
      <c r="C21" s="581">
        <v>230700</v>
      </c>
      <c r="D21" s="564">
        <f t="shared" si="0"/>
        <v>230700</v>
      </c>
      <c r="E21" s="581">
        <v>0</v>
      </c>
      <c r="F21" s="581">
        <v>0</v>
      </c>
      <c r="G21" s="564">
        <f t="shared" si="1"/>
        <v>0</v>
      </c>
      <c r="H21" s="581">
        <v>0</v>
      </c>
      <c r="I21" s="581">
        <v>0</v>
      </c>
      <c r="J21" s="564">
        <f t="shared" si="2"/>
        <v>0</v>
      </c>
      <c r="K21" s="581">
        <v>0</v>
      </c>
      <c r="L21" s="581">
        <v>0</v>
      </c>
      <c r="M21" s="564">
        <f t="shared" si="3"/>
        <v>0</v>
      </c>
      <c r="N21" s="149">
        <v>0</v>
      </c>
      <c r="O21" s="149">
        <v>0</v>
      </c>
      <c r="P21" s="564">
        <f t="shared" si="4"/>
        <v>0</v>
      </c>
      <c r="T21" s="3">
        <f t="shared" ref="T21:U21" si="5">SUM(E5:E8)</f>
        <v>494</v>
      </c>
      <c r="U21" s="3">
        <f t="shared" si="5"/>
        <v>60</v>
      </c>
    </row>
    <row r="22" spans="1:21" ht="19.5" customHeight="1">
      <c r="A22" s="580" t="s">
        <v>3743</v>
      </c>
      <c r="B22" s="581">
        <v>56600</v>
      </c>
      <c r="C22" s="581">
        <v>3000</v>
      </c>
      <c r="D22" s="582">
        <f t="shared" si="0"/>
        <v>59600</v>
      </c>
      <c r="E22" s="581"/>
      <c r="F22" s="581"/>
      <c r="G22" s="564">
        <f t="shared" si="1"/>
        <v>0</v>
      </c>
      <c r="H22" s="581"/>
      <c r="I22" s="581"/>
      <c r="J22" s="564">
        <f t="shared" si="2"/>
        <v>0</v>
      </c>
      <c r="K22" s="581"/>
      <c r="L22" s="581"/>
      <c r="M22" s="564">
        <f t="shared" si="3"/>
        <v>0</v>
      </c>
      <c r="N22" s="149"/>
      <c r="O22" s="149"/>
      <c r="P22" s="564">
        <f t="shared" si="4"/>
        <v>0</v>
      </c>
      <c r="T22" s="3">
        <f t="shared" ref="T22:U22" si="6">SUM(E9:E15)</f>
        <v>633</v>
      </c>
      <c r="U22" s="3">
        <f t="shared" si="6"/>
        <v>255</v>
      </c>
    </row>
    <row r="23" spans="1:21" ht="19.5" customHeight="1">
      <c r="A23" s="580" t="s">
        <v>3744</v>
      </c>
      <c r="B23" s="581">
        <v>37750</v>
      </c>
      <c r="C23" s="581">
        <v>2000</v>
      </c>
      <c r="D23" s="582">
        <f t="shared" si="0"/>
        <v>39750</v>
      </c>
      <c r="E23" s="581"/>
      <c r="F23" s="581"/>
      <c r="G23" s="564">
        <f t="shared" si="1"/>
        <v>0</v>
      </c>
      <c r="H23" s="581"/>
      <c r="I23" s="581"/>
      <c r="J23" s="564">
        <f t="shared" si="2"/>
        <v>0</v>
      </c>
      <c r="K23" s="581"/>
      <c r="L23" s="581"/>
      <c r="M23" s="564">
        <f t="shared" si="3"/>
        <v>0</v>
      </c>
      <c r="N23" s="149"/>
      <c r="O23" s="149"/>
      <c r="P23" s="564">
        <f t="shared" si="4"/>
        <v>0</v>
      </c>
      <c r="T23" s="3">
        <f t="shared" ref="T23:U23" si="7">SUM(E16:E21)</f>
        <v>528</v>
      </c>
      <c r="U23" s="3">
        <f t="shared" si="7"/>
        <v>300</v>
      </c>
    </row>
    <row r="24" spans="1:21" ht="19.5" customHeight="1">
      <c r="A24" s="583">
        <v>42095</v>
      </c>
      <c r="B24" s="581">
        <v>21950</v>
      </c>
      <c r="C24" s="581">
        <v>6000</v>
      </c>
      <c r="D24" s="582">
        <f t="shared" si="0"/>
        <v>27950</v>
      </c>
      <c r="E24" s="581">
        <v>32</v>
      </c>
      <c r="F24" s="581"/>
      <c r="G24" s="564">
        <f t="shared" si="1"/>
        <v>32</v>
      </c>
      <c r="H24" s="581"/>
      <c r="I24" s="581"/>
      <c r="J24" s="564">
        <f t="shared" si="2"/>
        <v>0</v>
      </c>
      <c r="K24" s="581"/>
      <c r="L24" s="581"/>
      <c r="M24" s="564">
        <f t="shared" si="3"/>
        <v>0</v>
      </c>
      <c r="N24" s="149"/>
      <c r="O24" s="149"/>
      <c r="P24" s="564">
        <f t="shared" si="4"/>
        <v>0</v>
      </c>
      <c r="S24" s="3">
        <f>SUM(M9:M15)</f>
        <v>5940</v>
      </c>
      <c r="T24" s="3">
        <f t="shared" ref="T24:U24" si="8">SUM(E22:E28)</f>
        <v>102</v>
      </c>
      <c r="U24" s="3">
        <f t="shared" si="8"/>
        <v>0</v>
      </c>
    </row>
    <row r="25" spans="1:21" ht="19.5" customHeight="1">
      <c r="A25" s="580" t="s">
        <v>3745</v>
      </c>
      <c r="B25" s="581">
        <v>33250</v>
      </c>
      <c r="C25" s="581">
        <v>63000</v>
      </c>
      <c r="D25" s="582">
        <f t="shared" si="0"/>
        <v>96250</v>
      </c>
      <c r="E25" s="581">
        <v>0</v>
      </c>
      <c r="F25" s="581">
        <v>0</v>
      </c>
      <c r="G25" s="564">
        <f t="shared" si="1"/>
        <v>0</v>
      </c>
      <c r="H25" s="581">
        <v>0</v>
      </c>
      <c r="I25" s="581">
        <v>0</v>
      </c>
      <c r="J25" s="564">
        <f t="shared" si="2"/>
        <v>0</v>
      </c>
      <c r="K25" s="581">
        <v>0</v>
      </c>
      <c r="L25" s="581">
        <v>0</v>
      </c>
      <c r="M25" s="564">
        <f t="shared" si="3"/>
        <v>0</v>
      </c>
      <c r="N25" s="149">
        <v>0</v>
      </c>
      <c r="O25" s="149">
        <v>0</v>
      </c>
      <c r="P25" s="564">
        <f t="shared" si="4"/>
        <v>0</v>
      </c>
      <c r="T25" s="3">
        <f t="shared" ref="T25:U25" si="9">SUM(E29:E35)</f>
        <v>852</v>
      </c>
      <c r="U25" s="3">
        <f t="shared" si="9"/>
        <v>150</v>
      </c>
    </row>
    <row r="26" spans="1:21" ht="29.25" customHeight="1">
      <c r="A26" s="584" t="s">
        <v>3746</v>
      </c>
      <c r="B26" s="585">
        <v>30800</v>
      </c>
      <c r="C26" s="585">
        <v>93500</v>
      </c>
      <c r="D26" s="586">
        <f t="shared" si="0"/>
        <v>124300</v>
      </c>
      <c r="E26" s="585">
        <v>43</v>
      </c>
      <c r="F26" s="585"/>
      <c r="G26" s="587">
        <f t="shared" si="1"/>
        <v>43</v>
      </c>
      <c r="H26" s="585">
        <v>0</v>
      </c>
      <c r="I26" s="585">
        <v>0</v>
      </c>
      <c r="J26" s="587">
        <f t="shared" si="2"/>
        <v>0</v>
      </c>
      <c r="K26" s="585">
        <v>0</v>
      </c>
      <c r="L26" s="585">
        <v>0</v>
      </c>
      <c r="M26" s="587">
        <f t="shared" si="3"/>
        <v>0</v>
      </c>
      <c r="N26" s="588">
        <v>0</v>
      </c>
      <c r="O26" s="588">
        <v>0</v>
      </c>
      <c r="P26" s="587">
        <f t="shared" si="4"/>
        <v>0</v>
      </c>
      <c r="T26" s="3">
        <f t="shared" ref="T26:U26" si="10">SUM(E36:E41)</f>
        <v>1304</v>
      </c>
      <c r="U26" s="3">
        <f t="shared" si="10"/>
        <v>183</v>
      </c>
    </row>
    <row r="27" spans="1:21" ht="29.25" customHeight="1">
      <c r="A27" s="584" t="s">
        <v>3747</v>
      </c>
      <c r="B27" s="585">
        <v>46500</v>
      </c>
      <c r="C27" s="585">
        <v>1000</v>
      </c>
      <c r="D27" s="586">
        <f t="shared" si="0"/>
        <v>47500</v>
      </c>
      <c r="E27" s="585">
        <v>20</v>
      </c>
      <c r="F27" s="585">
        <v>0</v>
      </c>
      <c r="G27" s="587">
        <f t="shared" si="1"/>
        <v>20</v>
      </c>
      <c r="H27" s="585">
        <v>0</v>
      </c>
      <c r="I27" s="585">
        <v>0</v>
      </c>
      <c r="J27" s="587">
        <f t="shared" si="2"/>
        <v>0</v>
      </c>
      <c r="K27" s="585">
        <v>0</v>
      </c>
      <c r="L27" s="585">
        <v>0</v>
      </c>
      <c r="M27" s="587">
        <f t="shared" si="3"/>
        <v>0</v>
      </c>
      <c r="N27" s="588">
        <v>0</v>
      </c>
      <c r="O27" s="588">
        <v>0</v>
      </c>
      <c r="P27" s="587">
        <f t="shared" si="4"/>
        <v>0</v>
      </c>
      <c r="T27" s="3">
        <f t="shared" ref="T27:U27" si="11">SUM(E42:E47)</f>
        <v>425</v>
      </c>
      <c r="U27" s="3">
        <f t="shared" si="11"/>
        <v>20</v>
      </c>
    </row>
    <row r="28" spans="1:21" ht="29.25" customHeight="1">
      <c r="A28" s="589">
        <v>47209</v>
      </c>
      <c r="B28" s="585">
        <v>700</v>
      </c>
      <c r="C28" s="585">
        <v>0</v>
      </c>
      <c r="D28" s="586">
        <f t="shared" si="0"/>
        <v>700</v>
      </c>
      <c r="E28" s="585">
        <v>7</v>
      </c>
      <c r="F28" s="585">
        <v>0</v>
      </c>
      <c r="G28" s="587">
        <f t="shared" si="1"/>
        <v>7</v>
      </c>
      <c r="H28" s="585">
        <v>0</v>
      </c>
      <c r="I28" s="585">
        <v>0</v>
      </c>
      <c r="J28" s="587">
        <f t="shared" si="2"/>
        <v>0</v>
      </c>
      <c r="K28" s="585">
        <v>0</v>
      </c>
      <c r="L28" s="585">
        <v>0</v>
      </c>
      <c r="M28" s="587">
        <f t="shared" si="3"/>
        <v>0</v>
      </c>
      <c r="N28" s="588">
        <v>0</v>
      </c>
      <c r="O28" s="588">
        <v>0</v>
      </c>
      <c r="P28" s="587">
        <f t="shared" si="4"/>
        <v>0</v>
      </c>
      <c r="T28" s="3">
        <f t="shared" ref="T28:U28" si="12">SUM(E48:E56)</f>
        <v>2518</v>
      </c>
      <c r="U28" s="3">
        <f t="shared" si="12"/>
        <v>247</v>
      </c>
    </row>
    <row r="29" spans="1:21" ht="29.25" customHeight="1">
      <c r="A29" s="589" t="s">
        <v>3748</v>
      </c>
      <c r="B29" s="585">
        <v>64800</v>
      </c>
      <c r="C29" s="585">
        <v>3400</v>
      </c>
      <c r="D29" s="586">
        <f t="shared" si="0"/>
        <v>68200</v>
      </c>
      <c r="E29" s="585">
        <v>285</v>
      </c>
      <c r="F29" s="585">
        <v>0</v>
      </c>
      <c r="G29" s="587">
        <f t="shared" si="1"/>
        <v>285</v>
      </c>
      <c r="H29" s="585"/>
      <c r="I29" s="585"/>
      <c r="J29" s="587">
        <f t="shared" si="2"/>
        <v>0</v>
      </c>
      <c r="K29" s="585"/>
      <c r="L29" s="585"/>
      <c r="M29" s="587">
        <f t="shared" si="3"/>
        <v>0</v>
      </c>
      <c r="N29" s="588"/>
      <c r="O29" s="588"/>
      <c r="P29" s="587">
        <f t="shared" si="4"/>
        <v>0</v>
      </c>
      <c r="T29" s="3">
        <f t="shared" ref="T29:U29" si="13">SUM(E57:E62)</f>
        <v>1532</v>
      </c>
      <c r="U29" s="3">
        <f t="shared" si="13"/>
        <v>43</v>
      </c>
    </row>
    <row r="30" spans="1:21" ht="29.25" customHeight="1">
      <c r="A30" s="589" t="s">
        <v>3749</v>
      </c>
      <c r="B30" s="585">
        <v>49100</v>
      </c>
      <c r="C30" s="585">
        <v>8760</v>
      </c>
      <c r="D30" s="586">
        <f t="shared" si="0"/>
        <v>57860</v>
      </c>
      <c r="E30" s="585">
        <v>110</v>
      </c>
      <c r="F30" s="585">
        <v>0</v>
      </c>
      <c r="G30" s="587">
        <f t="shared" si="1"/>
        <v>110</v>
      </c>
      <c r="H30" s="585"/>
      <c r="I30" s="585"/>
      <c r="J30" s="587">
        <f t="shared" si="2"/>
        <v>0</v>
      </c>
      <c r="K30" s="585"/>
      <c r="L30" s="585"/>
      <c r="M30" s="587">
        <f t="shared" si="3"/>
        <v>0</v>
      </c>
      <c r="N30" s="588"/>
      <c r="O30" s="588"/>
      <c r="P30" s="587">
        <f t="shared" si="4"/>
        <v>0</v>
      </c>
    </row>
    <row r="31" spans="1:21" ht="29.25" customHeight="1">
      <c r="A31" s="589" t="s">
        <v>3750</v>
      </c>
      <c r="B31" s="585">
        <v>50025</v>
      </c>
      <c r="C31" s="585">
        <v>1000</v>
      </c>
      <c r="D31" s="586">
        <f t="shared" si="0"/>
        <v>51025</v>
      </c>
      <c r="E31" s="585">
        <v>138</v>
      </c>
      <c r="F31" s="585">
        <v>100</v>
      </c>
      <c r="G31" s="587">
        <f t="shared" si="1"/>
        <v>238</v>
      </c>
      <c r="H31" s="585"/>
      <c r="I31" s="585"/>
      <c r="J31" s="587">
        <f t="shared" si="2"/>
        <v>0</v>
      </c>
      <c r="K31" s="585"/>
      <c r="L31" s="585"/>
      <c r="M31" s="587">
        <f t="shared" si="3"/>
        <v>0</v>
      </c>
      <c r="N31" s="588"/>
      <c r="O31" s="588"/>
      <c r="P31" s="587">
        <f t="shared" si="4"/>
        <v>0</v>
      </c>
    </row>
    <row r="32" spans="1:21" ht="29.25" customHeight="1">
      <c r="A32" s="589" t="s">
        <v>3751</v>
      </c>
      <c r="B32" s="585">
        <v>27700</v>
      </c>
      <c r="C32" s="585">
        <v>48500</v>
      </c>
      <c r="D32" s="586">
        <f t="shared" si="0"/>
        <v>76200</v>
      </c>
      <c r="E32" s="585">
        <v>119</v>
      </c>
      <c r="F32" s="585">
        <v>50</v>
      </c>
      <c r="G32" s="587">
        <f t="shared" si="1"/>
        <v>169</v>
      </c>
      <c r="H32" s="585"/>
      <c r="I32" s="585"/>
      <c r="J32" s="587">
        <f t="shared" si="2"/>
        <v>0</v>
      </c>
      <c r="K32" s="585"/>
      <c r="L32" s="585"/>
      <c r="M32" s="587">
        <f t="shared" si="3"/>
        <v>0</v>
      </c>
      <c r="N32" s="588"/>
      <c r="O32" s="588"/>
      <c r="P32" s="587">
        <f t="shared" si="4"/>
        <v>0</v>
      </c>
      <c r="T32" s="3">
        <f>SUM(J5:J8)</f>
        <v>4460</v>
      </c>
    </row>
    <row r="33" spans="1:26" ht="29.25" customHeight="1">
      <c r="A33" s="590">
        <v>43952</v>
      </c>
      <c r="B33" s="585">
        <v>10000</v>
      </c>
      <c r="C33" s="585">
        <v>0</v>
      </c>
      <c r="D33" s="586">
        <f t="shared" si="0"/>
        <v>10000</v>
      </c>
      <c r="E33" s="585">
        <v>0</v>
      </c>
      <c r="F33" s="585">
        <v>0</v>
      </c>
      <c r="G33" s="587">
        <f t="shared" si="1"/>
        <v>0</v>
      </c>
      <c r="H33" s="585"/>
      <c r="I33" s="585"/>
      <c r="J33" s="587">
        <f t="shared" si="2"/>
        <v>0</v>
      </c>
      <c r="K33" s="585"/>
      <c r="L33" s="585"/>
      <c r="M33" s="587">
        <f t="shared" si="3"/>
        <v>0</v>
      </c>
      <c r="N33" s="588"/>
      <c r="O33" s="588"/>
      <c r="P33" s="587">
        <f t="shared" si="4"/>
        <v>0</v>
      </c>
      <c r="R33" s="3"/>
      <c r="S33" s="3"/>
      <c r="T33" s="3">
        <f>SUM(J36:J41)</f>
        <v>2290</v>
      </c>
    </row>
    <row r="34" spans="1:26" ht="29.25" customHeight="1">
      <c r="A34" s="591" t="s">
        <v>3752</v>
      </c>
      <c r="B34" s="592">
        <v>0</v>
      </c>
      <c r="C34" s="592">
        <v>3500</v>
      </c>
      <c r="D34" s="593">
        <f t="shared" si="0"/>
        <v>3500</v>
      </c>
      <c r="E34" s="594">
        <v>0</v>
      </c>
      <c r="F34" s="592">
        <v>0</v>
      </c>
      <c r="G34" s="595">
        <f t="shared" si="1"/>
        <v>0</v>
      </c>
      <c r="H34" s="592"/>
      <c r="I34" s="592"/>
      <c r="J34" s="595">
        <f t="shared" si="2"/>
        <v>0</v>
      </c>
      <c r="K34" s="592"/>
      <c r="L34" s="592"/>
      <c r="M34" s="595">
        <f t="shared" si="3"/>
        <v>0</v>
      </c>
      <c r="N34" s="596"/>
      <c r="O34" s="596"/>
      <c r="P34" s="595">
        <f t="shared" si="4"/>
        <v>0</v>
      </c>
      <c r="Q34" s="134"/>
      <c r="R34" s="134"/>
      <c r="S34" s="134"/>
      <c r="T34" s="597">
        <f>SUM(J50:J56)</f>
        <v>9050</v>
      </c>
      <c r="U34" s="134"/>
      <c r="V34" s="134"/>
      <c r="W34" s="134"/>
      <c r="X34" s="134"/>
      <c r="Y34" s="134"/>
      <c r="Z34" s="134"/>
    </row>
    <row r="35" spans="1:26" ht="31.5" customHeight="1">
      <c r="A35" s="591">
        <v>46874</v>
      </c>
      <c r="B35" s="592">
        <v>0</v>
      </c>
      <c r="C35" s="592">
        <v>0</v>
      </c>
      <c r="D35" s="593">
        <f t="shared" si="0"/>
        <v>0</v>
      </c>
      <c r="E35" s="592">
        <v>200</v>
      </c>
      <c r="F35" s="592">
        <v>0</v>
      </c>
      <c r="G35" s="595">
        <f t="shared" si="1"/>
        <v>200</v>
      </c>
      <c r="H35" s="592">
        <v>0</v>
      </c>
      <c r="I35" s="592">
        <v>0</v>
      </c>
      <c r="J35" s="595">
        <f t="shared" si="2"/>
        <v>0</v>
      </c>
      <c r="K35" s="592">
        <v>0</v>
      </c>
      <c r="L35" s="592">
        <v>0</v>
      </c>
      <c r="M35" s="595">
        <f t="shared" si="3"/>
        <v>0</v>
      </c>
      <c r="N35" s="596">
        <v>0</v>
      </c>
      <c r="O35" s="596">
        <v>14000</v>
      </c>
      <c r="P35" s="595">
        <f t="shared" si="4"/>
        <v>14000</v>
      </c>
      <c r="S35" s="3"/>
    </row>
    <row r="36" spans="1:26" ht="29.25" customHeight="1">
      <c r="A36" s="591" t="s">
        <v>3753</v>
      </c>
      <c r="B36" s="592">
        <v>57650</v>
      </c>
      <c r="C36" s="592">
        <v>9000</v>
      </c>
      <c r="D36" s="593">
        <f t="shared" si="0"/>
        <v>66650</v>
      </c>
      <c r="E36" s="592">
        <v>490</v>
      </c>
      <c r="F36" s="592">
        <v>123</v>
      </c>
      <c r="G36" s="595">
        <f t="shared" si="1"/>
        <v>613</v>
      </c>
      <c r="H36" s="592">
        <v>150</v>
      </c>
      <c r="I36" s="592">
        <v>0</v>
      </c>
      <c r="J36" s="595">
        <f t="shared" si="2"/>
        <v>150</v>
      </c>
      <c r="K36" s="592">
        <v>0</v>
      </c>
      <c r="L36" s="592">
        <v>0</v>
      </c>
      <c r="M36" s="595">
        <f t="shared" si="3"/>
        <v>0</v>
      </c>
      <c r="N36" s="596">
        <v>5700</v>
      </c>
      <c r="O36" s="596">
        <v>29500</v>
      </c>
      <c r="P36" s="595">
        <f t="shared" si="4"/>
        <v>35200</v>
      </c>
    </row>
    <row r="37" spans="1:26" ht="28.5" customHeight="1">
      <c r="A37" s="598" t="s">
        <v>3754</v>
      </c>
      <c r="B37" s="592">
        <v>61350</v>
      </c>
      <c r="C37" s="592">
        <v>6300</v>
      </c>
      <c r="D37" s="595">
        <f t="shared" si="0"/>
        <v>67650</v>
      </c>
      <c r="E37" s="592">
        <v>600</v>
      </c>
      <c r="F37" s="592">
        <v>0</v>
      </c>
      <c r="G37" s="595">
        <f t="shared" si="1"/>
        <v>600</v>
      </c>
      <c r="H37" s="592">
        <v>1950</v>
      </c>
      <c r="I37" s="592">
        <v>0</v>
      </c>
      <c r="J37" s="595">
        <f t="shared" si="2"/>
        <v>1950</v>
      </c>
      <c r="K37" s="592">
        <v>0</v>
      </c>
      <c r="L37" s="592">
        <v>0</v>
      </c>
      <c r="M37" s="595">
        <f t="shared" si="3"/>
        <v>0</v>
      </c>
      <c r="N37" s="596">
        <v>2350</v>
      </c>
      <c r="O37" s="596">
        <v>0</v>
      </c>
      <c r="P37" s="595">
        <f t="shared" si="4"/>
        <v>2350</v>
      </c>
      <c r="R37" s="3"/>
    </row>
    <row r="38" spans="1:26" ht="25.5" customHeight="1">
      <c r="A38" s="591">
        <v>42156</v>
      </c>
      <c r="B38" s="592">
        <v>3300</v>
      </c>
      <c r="C38" s="592">
        <v>1000</v>
      </c>
      <c r="D38" s="595">
        <f t="shared" si="0"/>
        <v>4300</v>
      </c>
      <c r="E38" s="592">
        <v>63</v>
      </c>
      <c r="F38" s="592">
        <v>0</v>
      </c>
      <c r="G38" s="595">
        <f t="shared" si="1"/>
        <v>63</v>
      </c>
      <c r="H38" s="592">
        <v>0</v>
      </c>
      <c r="I38" s="592">
        <v>0</v>
      </c>
      <c r="J38" s="595">
        <f t="shared" si="2"/>
        <v>0</v>
      </c>
      <c r="K38" s="592">
        <v>0</v>
      </c>
      <c r="L38" s="592">
        <v>0</v>
      </c>
      <c r="M38" s="595">
        <f t="shared" si="3"/>
        <v>0</v>
      </c>
      <c r="N38" s="596">
        <v>3500</v>
      </c>
      <c r="O38" s="596">
        <v>0</v>
      </c>
      <c r="P38" s="595">
        <f t="shared" si="4"/>
        <v>3500</v>
      </c>
      <c r="R38" s="3"/>
    </row>
    <row r="39" spans="1:26" ht="28.5" customHeight="1">
      <c r="A39" s="599" t="s">
        <v>3755</v>
      </c>
      <c r="B39" s="600">
        <v>37250</v>
      </c>
      <c r="C39" s="600">
        <v>1300</v>
      </c>
      <c r="D39" s="601">
        <f t="shared" si="0"/>
        <v>38550</v>
      </c>
      <c r="E39" s="600">
        <v>105</v>
      </c>
      <c r="F39" s="600">
        <v>20</v>
      </c>
      <c r="G39" s="601">
        <f t="shared" si="1"/>
        <v>125</v>
      </c>
      <c r="H39" s="600">
        <v>0</v>
      </c>
      <c r="I39" s="600">
        <v>0</v>
      </c>
      <c r="J39" s="601">
        <f t="shared" si="2"/>
        <v>0</v>
      </c>
      <c r="K39" s="600">
        <v>0</v>
      </c>
      <c r="L39" s="600">
        <v>0</v>
      </c>
      <c r="M39" s="601">
        <f t="shared" si="3"/>
        <v>0</v>
      </c>
      <c r="N39" s="602">
        <v>2300</v>
      </c>
      <c r="O39" s="602">
        <v>0</v>
      </c>
      <c r="P39" s="601">
        <f t="shared" si="4"/>
        <v>2300</v>
      </c>
      <c r="R39" s="3"/>
      <c r="S39" s="603"/>
    </row>
    <row r="40" spans="1:26" ht="28.5" customHeight="1">
      <c r="A40" s="599" t="s">
        <v>3756</v>
      </c>
      <c r="B40" s="600">
        <v>21670</v>
      </c>
      <c r="C40" s="600">
        <v>2500</v>
      </c>
      <c r="D40" s="601">
        <f t="shared" si="0"/>
        <v>24170</v>
      </c>
      <c r="E40" s="600">
        <v>46</v>
      </c>
      <c r="F40" s="600">
        <v>20</v>
      </c>
      <c r="G40" s="601">
        <f t="shared" si="1"/>
        <v>66</v>
      </c>
      <c r="H40" s="600">
        <v>0</v>
      </c>
      <c r="I40" s="600">
        <v>0</v>
      </c>
      <c r="J40" s="601">
        <f t="shared" si="2"/>
        <v>0</v>
      </c>
      <c r="K40" s="600">
        <v>0</v>
      </c>
      <c r="L40" s="600">
        <v>0</v>
      </c>
      <c r="M40" s="601">
        <f t="shared" si="3"/>
        <v>0</v>
      </c>
      <c r="N40" s="602">
        <v>0</v>
      </c>
      <c r="O40" s="602">
        <v>0</v>
      </c>
      <c r="P40" s="601">
        <f t="shared" si="4"/>
        <v>0</v>
      </c>
      <c r="R40" s="603"/>
      <c r="S40" s="603"/>
    </row>
    <row r="41" spans="1:26" ht="28.5" customHeight="1">
      <c r="A41" s="599" t="s">
        <v>3757</v>
      </c>
      <c r="B41" s="600">
        <v>89100</v>
      </c>
      <c r="C41" s="600">
        <v>56250</v>
      </c>
      <c r="D41" s="601">
        <f t="shared" si="0"/>
        <v>145350</v>
      </c>
      <c r="E41" s="600">
        <v>0</v>
      </c>
      <c r="F41" s="600">
        <v>20</v>
      </c>
      <c r="G41" s="601">
        <f t="shared" si="1"/>
        <v>20</v>
      </c>
      <c r="H41" s="600">
        <v>190</v>
      </c>
      <c r="I41" s="600">
        <v>0</v>
      </c>
      <c r="J41" s="601">
        <f t="shared" si="2"/>
        <v>190</v>
      </c>
      <c r="K41" s="600">
        <v>0</v>
      </c>
      <c r="L41" s="600">
        <v>0</v>
      </c>
      <c r="M41" s="601">
        <f t="shared" si="3"/>
        <v>0</v>
      </c>
      <c r="N41" s="602">
        <v>0</v>
      </c>
      <c r="O41" s="602">
        <v>465</v>
      </c>
      <c r="P41" s="601">
        <f t="shared" si="4"/>
        <v>465</v>
      </c>
      <c r="R41" s="3"/>
      <c r="S41" s="603"/>
    </row>
    <row r="42" spans="1:26" ht="28.5" customHeight="1">
      <c r="A42" s="604" t="s">
        <v>3758</v>
      </c>
      <c r="B42" s="605">
        <v>251000</v>
      </c>
      <c r="C42" s="605">
        <v>11200</v>
      </c>
      <c r="D42" s="606">
        <f t="shared" si="0"/>
        <v>262200</v>
      </c>
      <c r="E42" s="605">
        <v>235</v>
      </c>
      <c r="F42" s="605">
        <v>0</v>
      </c>
      <c r="G42" s="606">
        <f t="shared" si="1"/>
        <v>235</v>
      </c>
      <c r="H42" s="605">
        <v>1540</v>
      </c>
      <c r="I42" s="605">
        <v>0</v>
      </c>
      <c r="J42" s="606">
        <f t="shared" si="2"/>
        <v>1540</v>
      </c>
      <c r="K42" s="605">
        <v>0</v>
      </c>
      <c r="L42" s="605">
        <v>0</v>
      </c>
      <c r="M42" s="606">
        <f t="shared" si="3"/>
        <v>0</v>
      </c>
      <c r="N42" s="607">
        <v>0</v>
      </c>
      <c r="O42" s="607">
        <v>0</v>
      </c>
      <c r="P42" s="606">
        <f t="shared" si="4"/>
        <v>0</v>
      </c>
      <c r="R42" s="603"/>
    </row>
    <row r="43" spans="1:26" ht="28.5" customHeight="1">
      <c r="A43" s="604" t="s">
        <v>3759</v>
      </c>
      <c r="B43" s="605">
        <v>133950</v>
      </c>
      <c r="C43" s="605">
        <v>7300</v>
      </c>
      <c r="D43" s="606">
        <f t="shared" si="0"/>
        <v>141250</v>
      </c>
      <c r="E43" s="605">
        <v>125</v>
      </c>
      <c r="F43" s="605">
        <v>20</v>
      </c>
      <c r="G43" s="606">
        <f t="shared" si="1"/>
        <v>145</v>
      </c>
      <c r="H43" s="605">
        <v>0</v>
      </c>
      <c r="I43" s="605">
        <v>0</v>
      </c>
      <c r="J43" s="606">
        <f t="shared" si="2"/>
        <v>0</v>
      </c>
      <c r="K43" s="605">
        <v>0</v>
      </c>
      <c r="L43" s="605">
        <v>0</v>
      </c>
      <c r="M43" s="606">
        <f t="shared" si="3"/>
        <v>0</v>
      </c>
      <c r="N43" s="607">
        <v>0</v>
      </c>
      <c r="O43" s="607">
        <v>0</v>
      </c>
      <c r="P43" s="606">
        <f t="shared" si="4"/>
        <v>0</v>
      </c>
      <c r="R43" s="603"/>
    </row>
    <row r="44" spans="1:26" ht="28.5" customHeight="1">
      <c r="A44" s="608" t="s">
        <v>3760</v>
      </c>
      <c r="B44" s="609">
        <v>21300</v>
      </c>
      <c r="C44" s="609">
        <v>19830</v>
      </c>
      <c r="D44" s="610">
        <f t="shared" si="0"/>
        <v>41130</v>
      </c>
      <c r="E44" s="609">
        <v>0</v>
      </c>
      <c r="F44" s="609">
        <v>0</v>
      </c>
      <c r="G44" s="610">
        <f t="shared" si="1"/>
        <v>0</v>
      </c>
      <c r="H44" s="609">
        <v>0</v>
      </c>
      <c r="I44" s="609">
        <v>0</v>
      </c>
      <c r="J44" s="610">
        <f t="shared" si="2"/>
        <v>0</v>
      </c>
      <c r="K44" s="609">
        <v>0</v>
      </c>
      <c r="L44" s="609">
        <v>0</v>
      </c>
      <c r="M44" s="610">
        <f t="shared" si="3"/>
        <v>0</v>
      </c>
      <c r="N44" s="611">
        <v>0</v>
      </c>
      <c r="O44" s="611">
        <v>0</v>
      </c>
      <c r="P44" s="610">
        <f t="shared" si="4"/>
        <v>0</v>
      </c>
      <c r="R44" s="603"/>
    </row>
    <row r="45" spans="1:26" ht="28.5" customHeight="1">
      <c r="A45" s="612">
        <v>42186</v>
      </c>
      <c r="B45" s="613">
        <v>42550</v>
      </c>
      <c r="C45" s="613">
        <v>29780</v>
      </c>
      <c r="D45" s="614">
        <f t="shared" si="0"/>
        <v>72330</v>
      </c>
      <c r="E45" s="613">
        <v>15</v>
      </c>
      <c r="F45" s="613">
        <v>0</v>
      </c>
      <c r="G45" s="614">
        <f t="shared" si="1"/>
        <v>15</v>
      </c>
      <c r="H45" s="613">
        <v>0</v>
      </c>
      <c r="I45" s="613">
        <v>0</v>
      </c>
      <c r="J45" s="614">
        <f t="shared" si="2"/>
        <v>0</v>
      </c>
      <c r="K45" s="613">
        <v>0</v>
      </c>
      <c r="L45" s="613">
        <v>0</v>
      </c>
      <c r="M45" s="614">
        <f t="shared" si="3"/>
        <v>0</v>
      </c>
      <c r="N45" s="615">
        <v>0</v>
      </c>
      <c r="O45" s="615">
        <v>0</v>
      </c>
      <c r="P45" s="614">
        <f t="shared" si="4"/>
        <v>0</v>
      </c>
      <c r="R45" s="603"/>
    </row>
    <row r="46" spans="1:26" ht="28.5" customHeight="1">
      <c r="A46" s="604" t="s">
        <v>3761</v>
      </c>
      <c r="B46" s="605">
        <v>64850</v>
      </c>
      <c r="C46" s="605">
        <v>27280</v>
      </c>
      <c r="D46" s="606">
        <f t="shared" si="0"/>
        <v>92130</v>
      </c>
      <c r="E46" s="605">
        <v>0</v>
      </c>
      <c r="F46" s="605">
        <v>0</v>
      </c>
      <c r="G46" s="606">
        <f t="shared" si="1"/>
        <v>0</v>
      </c>
      <c r="H46" s="605">
        <v>0</v>
      </c>
      <c r="I46" s="605">
        <v>0</v>
      </c>
      <c r="J46" s="606">
        <f t="shared" si="2"/>
        <v>0</v>
      </c>
      <c r="K46" s="605">
        <v>1300</v>
      </c>
      <c r="L46" s="605">
        <v>0</v>
      </c>
      <c r="M46" s="606">
        <f t="shared" si="3"/>
        <v>1300</v>
      </c>
      <c r="N46" s="607">
        <v>0</v>
      </c>
      <c r="O46" s="607">
        <v>0</v>
      </c>
      <c r="P46" s="606">
        <f t="shared" si="4"/>
        <v>0</v>
      </c>
      <c r="R46" s="603"/>
      <c r="S46" s="3">
        <f>SUM(M46:M47)</f>
        <v>1490</v>
      </c>
    </row>
    <row r="47" spans="1:26" ht="28.5" customHeight="1">
      <c r="A47" s="608" t="s">
        <v>3762</v>
      </c>
      <c r="B47" s="609">
        <v>0</v>
      </c>
      <c r="C47" s="609">
        <v>6450</v>
      </c>
      <c r="D47" s="610">
        <f t="shared" si="0"/>
        <v>6450</v>
      </c>
      <c r="E47" s="609">
        <v>50</v>
      </c>
      <c r="F47" s="609">
        <v>0</v>
      </c>
      <c r="G47" s="610">
        <f t="shared" si="1"/>
        <v>50</v>
      </c>
      <c r="H47" s="609">
        <v>0</v>
      </c>
      <c r="I47" s="609">
        <v>0</v>
      </c>
      <c r="J47" s="610">
        <f t="shared" si="2"/>
        <v>0</v>
      </c>
      <c r="K47" s="609">
        <v>0</v>
      </c>
      <c r="L47" s="609">
        <v>190</v>
      </c>
      <c r="M47" s="610">
        <f t="shared" si="3"/>
        <v>190</v>
      </c>
      <c r="N47" s="611">
        <v>0</v>
      </c>
      <c r="O47" s="611">
        <v>0</v>
      </c>
      <c r="P47" s="610">
        <f t="shared" si="4"/>
        <v>0</v>
      </c>
      <c r="R47" s="603"/>
    </row>
    <row r="48" spans="1:26" ht="28.5" customHeight="1">
      <c r="A48" s="616" t="s">
        <v>3763</v>
      </c>
      <c r="B48" s="613">
        <v>234900</v>
      </c>
      <c r="C48" s="613">
        <v>55259</v>
      </c>
      <c r="D48" s="614">
        <f t="shared" si="0"/>
        <v>290159</v>
      </c>
      <c r="E48" s="613">
        <v>910</v>
      </c>
      <c r="F48" s="613">
        <v>0</v>
      </c>
      <c r="G48" s="614">
        <f t="shared" si="1"/>
        <v>910</v>
      </c>
      <c r="H48" s="613">
        <v>0</v>
      </c>
      <c r="I48" s="613">
        <v>0</v>
      </c>
      <c r="J48" s="614">
        <f t="shared" si="2"/>
        <v>0</v>
      </c>
      <c r="K48" s="613">
        <v>5900</v>
      </c>
      <c r="L48" s="613">
        <v>0</v>
      </c>
      <c r="M48" s="614">
        <f t="shared" si="3"/>
        <v>5900</v>
      </c>
      <c r="N48" s="615">
        <v>0</v>
      </c>
      <c r="O48" s="615">
        <v>0</v>
      </c>
      <c r="P48" s="614">
        <f t="shared" si="4"/>
        <v>0</v>
      </c>
      <c r="R48" s="603"/>
      <c r="S48" s="3">
        <f>SUM(M48:M56)</f>
        <v>29520</v>
      </c>
    </row>
    <row r="49" spans="1:26" ht="28.5" customHeight="1">
      <c r="A49" s="604" t="s">
        <v>3764</v>
      </c>
      <c r="B49" s="605">
        <v>103750</v>
      </c>
      <c r="C49" s="605">
        <v>23100</v>
      </c>
      <c r="D49" s="606">
        <f t="shared" si="0"/>
        <v>126850</v>
      </c>
      <c r="E49" s="605">
        <v>85</v>
      </c>
      <c r="F49" s="605">
        <v>20</v>
      </c>
      <c r="G49" s="606">
        <f t="shared" si="1"/>
        <v>105</v>
      </c>
      <c r="H49" s="605">
        <v>0</v>
      </c>
      <c r="I49" s="605">
        <v>0</v>
      </c>
      <c r="J49" s="606">
        <f t="shared" si="2"/>
        <v>0</v>
      </c>
      <c r="K49" s="605">
        <v>4200</v>
      </c>
      <c r="L49" s="605">
        <v>0</v>
      </c>
      <c r="M49" s="606">
        <f t="shared" si="3"/>
        <v>4200</v>
      </c>
      <c r="N49" s="607">
        <v>0</v>
      </c>
      <c r="O49" s="607">
        <v>0</v>
      </c>
      <c r="P49" s="606">
        <f t="shared" si="4"/>
        <v>0</v>
      </c>
      <c r="R49" s="3"/>
      <c r="S49" s="3">
        <f>SUM(M57:M61)</f>
        <v>5650</v>
      </c>
    </row>
    <row r="50" spans="1:26" ht="28.5" customHeight="1">
      <c r="A50" s="604" t="s">
        <v>3765</v>
      </c>
      <c r="B50" s="605">
        <v>51400</v>
      </c>
      <c r="C50" s="605">
        <v>19650</v>
      </c>
      <c r="D50" s="606">
        <f t="shared" si="0"/>
        <v>71050</v>
      </c>
      <c r="E50" s="605">
        <v>145</v>
      </c>
      <c r="F50" s="605">
        <v>60</v>
      </c>
      <c r="G50" s="606">
        <f t="shared" si="1"/>
        <v>205</v>
      </c>
      <c r="H50" s="605">
        <v>0</v>
      </c>
      <c r="I50" s="605">
        <v>500</v>
      </c>
      <c r="J50" s="606">
        <f t="shared" si="2"/>
        <v>500</v>
      </c>
      <c r="K50" s="605">
        <v>0</v>
      </c>
      <c r="L50" s="605">
        <v>600</v>
      </c>
      <c r="M50" s="606">
        <f t="shared" si="3"/>
        <v>600</v>
      </c>
      <c r="N50" s="607">
        <v>0</v>
      </c>
      <c r="O50" s="607">
        <v>0</v>
      </c>
      <c r="P50" s="606">
        <f t="shared" si="4"/>
        <v>0</v>
      </c>
      <c r="R50" s="3"/>
    </row>
    <row r="51" spans="1:26" ht="28.5" customHeight="1">
      <c r="A51" s="604" t="s">
        <v>3766</v>
      </c>
      <c r="B51" s="605">
        <v>97150</v>
      </c>
      <c r="C51" s="605">
        <v>13300</v>
      </c>
      <c r="D51" s="606">
        <f t="shared" si="0"/>
        <v>110450</v>
      </c>
      <c r="E51" s="605">
        <v>880</v>
      </c>
      <c r="F51" s="605">
        <v>15</v>
      </c>
      <c r="G51" s="606">
        <f t="shared" si="1"/>
        <v>895</v>
      </c>
      <c r="H51" s="605">
        <v>0</v>
      </c>
      <c r="I51" s="605">
        <v>0</v>
      </c>
      <c r="J51" s="606">
        <f t="shared" si="2"/>
        <v>0</v>
      </c>
      <c r="K51" s="605">
        <v>2400</v>
      </c>
      <c r="L51" s="605">
        <v>0</v>
      </c>
      <c r="M51" s="606">
        <f t="shared" si="3"/>
        <v>2400</v>
      </c>
      <c r="N51" s="607">
        <v>0</v>
      </c>
      <c r="O51" s="607">
        <v>0</v>
      </c>
      <c r="P51" s="606">
        <f t="shared" si="4"/>
        <v>0</v>
      </c>
      <c r="R51" s="3"/>
      <c r="S51" s="3">
        <f>SUM(P53:P56)</f>
        <v>36400</v>
      </c>
    </row>
    <row r="52" spans="1:26" ht="28.5" customHeight="1">
      <c r="A52" s="604" t="s">
        <v>3767</v>
      </c>
      <c r="B52" s="605">
        <v>72250</v>
      </c>
      <c r="C52" s="605">
        <v>1500</v>
      </c>
      <c r="D52" s="606">
        <f t="shared" si="0"/>
        <v>73750</v>
      </c>
      <c r="E52" s="605">
        <v>270</v>
      </c>
      <c r="F52" s="605">
        <v>66</v>
      </c>
      <c r="G52" s="606">
        <f t="shared" si="1"/>
        <v>336</v>
      </c>
      <c r="H52" s="605">
        <v>0</v>
      </c>
      <c r="I52" s="605">
        <v>0</v>
      </c>
      <c r="J52" s="606">
        <f t="shared" si="2"/>
        <v>0</v>
      </c>
      <c r="K52" s="605">
        <v>3000</v>
      </c>
      <c r="L52" s="605">
        <v>0</v>
      </c>
      <c r="M52" s="606">
        <f t="shared" si="3"/>
        <v>3000</v>
      </c>
      <c r="N52" s="607">
        <v>0</v>
      </c>
      <c r="O52" s="607">
        <v>0</v>
      </c>
      <c r="P52" s="606">
        <f t="shared" si="4"/>
        <v>0</v>
      </c>
      <c r="Q52" s="2"/>
      <c r="R52" s="3"/>
      <c r="S52" s="3">
        <f>SUM(P57:P62)</f>
        <v>1900</v>
      </c>
      <c r="T52" s="2"/>
      <c r="U52" s="2"/>
      <c r="V52" s="2"/>
      <c r="W52" s="2"/>
      <c r="X52" s="2"/>
      <c r="Y52" s="2"/>
      <c r="Z52" s="2"/>
    </row>
    <row r="53" spans="1:26" ht="28.5" customHeight="1">
      <c r="A53" s="604" t="s">
        <v>3768</v>
      </c>
      <c r="B53" s="605">
        <v>107800</v>
      </c>
      <c r="C53" s="605">
        <v>2500</v>
      </c>
      <c r="D53" s="606">
        <f t="shared" si="0"/>
        <v>110300</v>
      </c>
      <c r="E53" s="605">
        <v>68</v>
      </c>
      <c r="F53" s="605">
        <v>0</v>
      </c>
      <c r="G53" s="606">
        <f t="shared" si="1"/>
        <v>68</v>
      </c>
      <c r="H53" s="605">
        <v>550</v>
      </c>
      <c r="I53" s="605">
        <v>0</v>
      </c>
      <c r="J53" s="606">
        <f t="shared" si="2"/>
        <v>550</v>
      </c>
      <c r="K53" s="605">
        <v>3620</v>
      </c>
      <c r="L53" s="605">
        <v>3000</v>
      </c>
      <c r="M53" s="606">
        <f t="shared" si="3"/>
        <v>6620</v>
      </c>
      <c r="N53" s="607">
        <v>2400</v>
      </c>
      <c r="O53" s="607">
        <v>22000</v>
      </c>
      <c r="P53" s="606">
        <f t="shared" si="4"/>
        <v>24400</v>
      </c>
      <c r="R53" s="3"/>
      <c r="S53" s="3"/>
    </row>
    <row r="54" spans="1:26" ht="28.5" customHeight="1">
      <c r="A54" s="604" t="s">
        <v>3769</v>
      </c>
      <c r="B54" s="605">
        <v>32400</v>
      </c>
      <c r="C54" s="605">
        <v>1000</v>
      </c>
      <c r="D54" s="606">
        <f t="shared" si="0"/>
        <v>33400</v>
      </c>
      <c r="E54" s="605">
        <v>50</v>
      </c>
      <c r="F54" s="605">
        <v>86</v>
      </c>
      <c r="G54" s="606">
        <f t="shared" si="1"/>
        <v>136</v>
      </c>
      <c r="H54" s="605">
        <v>0</v>
      </c>
      <c r="I54" s="605">
        <v>0</v>
      </c>
      <c r="J54" s="606">
        <f t="shared" si="2"/>
        <v>0</v>
      </c>
      <c r="K54" s="605">
        <v>0</v>
      </c>
      <c r="L54" s="605">
        <v>300</v>
      </c>
      <c r="M54" s="606">
        <f t="shared" si="3"/>
        <v>300</v>
      </c>
      <c r="N54" s="607">
        <v>2000</v>
      </c>
      <c r="O54" s="607">
        <v>0</v>
      </c>
      <c r="P54" s="606">
        <f t="shared" si="4"/>
        <v>2000</v>
      </c>
      <c r="R54" s="3"/>
      <c r="S54" s="3"/>
    </row>
    <row r="55" spans="1:26" ht="28.5" customHeight="1">
      <c r="A55" s="617">
        <v>45505</v>
      </c>
      <c r="B55" s="605">
        <v>28250</v>
      </c>
      <c r="C55" s="605">
        <v>500</v>
      </c>
      <c r="D55" s="606">
        <f t="shared" si="0"/>
        <v>28750</v>
      </c>
      <c r="E55" s="605">
        <v>110</v>
      </c>
      <c r="F55" s="605">
        <v>0</v>
      </c>
      <c r="G55" s="606">
        <f t="shared" si="1"/>
        <v>110</v>
      </c>
      <c r="H55" s="605">
        <v>0</v>
      </c>
      <c r="I55" s="605">
        <v>0</v>
      </c>
      <c r="J55" s="606">
        <f t="shared" si="2"/>
        <v>0</v>
      </c>
      <c r="K55" s="605">
        <v>0</v>
      </c>
      <c r="L55" s="605">
        <v>0</v>
      </c>
      <c r="M55" s="606">
        <f t="shared" si="3"/>
        <v>0</v>
      </c>
      <c r="N55" s="607">
        <v>200</v>
      </c>
      <c r="O55" s="607">
        <v>0</v>
      </c>
      <c r="P55" s="606">
        <f t="shared" si="4"/>
        <v>200</v>
      </c>
      <c r="R55" s="3"/>
      <c r="S55" s="603"/>
      <c r="Y55" s="3">
        <f>SUM(P42:P85)</f>
        <v>48065</v>
      </c>
    </row>
    <row r="56" spans="1:26" ht="28.5" customHeight="1">
      <c r="A56" s="604" t="s">
        <v>3770</v>
      </c>
      <c r="B56" s="605">
        <v>27200</v>
      </c>
      <c r="C56" s="605">
        <v>5175</v>
      </c>
      <c r="D56" s="606">
        <f t="shared" si="0"/>
        <v>32375</v>
      </c>
      <c r="E56" s="605">
        <v>0</v>
      </c>
      <c r="F56" s="605">
        <v>0</v>
      </c>
      <c r="G56" s="606">
        <f t="shared" si="1"/>
        <v>0</v>
      </c>
      <c r="H56" s="605">
        <v>1000</v>
      </c>
      <c r="I56" s="605">
        <v>7000</v>
      </c>
      <c r="J56" s="606">
        <f t="shared" si="2"/>
        <v>8000</v>
      </c>
      <c r="K56" s="605">
        <v>6000</v>
      </c>
      <c r="L56" s="605">
        <v>500</v>
      </c>
      <c r="M56" s="606">
        <f t="shared" si="3"/>
        <v>6500</v>
      </c>
      <c r="N56" s="607">
        <v>800</v>
      </c>
      <c r="O56" s="607">
        <v>9000</v>
      </c>
      <c r="P56" s="606">
        <f t="shared" si="4"/>
        <v>9800</v>
      </c>
      <c r="R56" s="3"/>
      <c r="S56" s="3"/>
      <c r="Y56" s="603">
        <f>Y55*0.2</f>
        <v>9613</v>
      </c>
    </row>
    <row r="57" spans="1:26" ht="28.5" customHeight="1">
      <c r="A57" s="604" t="s">
        <v>3771</v>
      </c>
      <c r="B57" s="605">
        <v>136400</v>
      </c>
      <c r="C57" s="605">
        <v>3000</v>
      </c>
      <c r="D57" s="606">
        <f t="shared" si="0"/>
        <v>139400</v>
      </c>
      <c r="E57" s="605">
        <v>933</v>
      </c>
      <c r="F57" s="605">
        <v>0</v>
      </c>
      <c r="G57" s="606">
        <f t="shared" si="1"/>
        <v>933</v>
      </c>
      <c r="H57" s="605">
        <v>0</v>
      </c>
      <c r="I57" s="605">
        <v>0</v>
      </c>
      <c r="J57" s="606">
        <f t="shared" si="2"/>
        <v>0</v>
      </c>
      <c r="K57" s="605">
        <v>200</v>
      </c>
      <c r="L57" s="605">
        <v>0</v>
      </c>
      <c r="M57" s="606">
        <f t="shared" si="3"/>
        <v>200</v>
      </c>
      <c r="N57" s="607">
        <v>500</v>
      </c>
      <c r="O57" s="607">
        <v>0</v>
      </c>
      <c r="P57" s="606">
        <f t="shared" si="4"/>
        <v>500</v>
      </c>
      <c r="R57" s="3"/>
      <c r="S57" s="3">
        <v>10500</v>
      </c>
      <c r="Y57" s="3">
        <f>SUM(Y55:Y56)</f>
        <v>57678</v>
      </c>
    </row>
    <row r="58" spans="1:26" ht="28.5" customHeight="1">
      <c r="A58" s="604" t="s">
        <v>3772</v>
      </c>
      <c r="B58" s="605">
        <v>29400</v>
      </c>
      <c r="C58" s="605">
        <v>0</v>
      </c>
      <c r="D58" s="606">
        <f t="shared" si="0"/>
        <v>29400</v>
      </c>
      <c r="E58" s="605">
        <v>160</v>
      </c>
      <c r="F58" s="605">
        <v>0</v>
      </c>
      <c r="G58" s="606">
        <f t="shared" si="1"/>
        <v>160</v>
      </c>
      <c r="H58" s="605">
        <v>0</v>
      </c>
      <c r="I58" s="605">
        <v>0</v>
      </c>
      <c r="J58" s="606">
        <f t="shared" si="2"/>
        <v>0</v>
      </c>
      <c r="K58" s="605">
        <v>0</v>
      </c>
      <c r="L58" s="605">
        <v>0</v>
      </c>
      <c r="M58" s="606">
        <f t="shared" si="3"/>
        <v>0</v>
      </c>
      <c r="N58" s="607">
        <v>0</v>
      </c>
      <c r="O58" s="607">
        <v>0</v>
      </c>
      <c r="P58" s="606">
        <f t="shared" si="4"/>
        <v>0</v>
      </c>
      <c r="R58" s="3"/>
      <c r="S58" s="3">
        <v>66650</v>
      </c>
      <c r="T58" s="3"/>
    </row>
    <row r="59" spans="1:26" ht="28.5" customHeight="1">
      <c r="A59" s="604" t="s">
        <v>3773</v>
      </c>
      <c r="B59" s="605">
        <v>59250</v>
      </c>
      <c r="C59" s="605">
        <v>2000</v>
      </c>
      <c r="D59" s="606">
        <f t="shared" si="0"/>
        <v>61250</v>
      </c>
      <c r="E59" s="605">
        <v>229</v>
      </c>
      <c r="F59" s="605">
        <v>43</v>
      </c>
      <c r="G59" s="606">
        <f t="shared" si="1"/>
        <v>272</v>
      </c>
      <c r="H59" s="605">
        <v>0</v>
      </c>
      <c r="I59" s="605">
        <v>0</v>
      </c>
      <c r="J59" s="606">
        <f t="shared" si="2"/>
        <v>0</v>
      </c>
      <c r="K59" s="605">
        <v>0</v>
      </c>
      <c r="L59" s="605">
        <v>0</v>
      </c>
      <c r="M59" s="606">
        <f t="shared" si="3"/>
        <v>0</v>
      </c>
      <c r="N59" s="607">
        <v>0</v>
      </c>
      <c r="O59" s="607">
        <v>0</v>
      </c>
      <c r="P59" s="606">
        <f t="shared" si="4"/>
        <v>0</v>
      </c>
      <c r="R59" s="3"/>
      <c r="S59" s="3"/>
      <c r="T59" s="3"/>
      <c r="Y59" s="3">
        <f>SUM(G42:G85)</f>
        <v>13065</v>
      </c>
    </row>
    <row r="60" spans="1:26" ht="28.5" customHeight="1">
      <c r="A60" s="604" t="s">
        <v>3774</v>
      </c>
      <c r="B60" s="605">
        <v>65950</v>
      </c>
      <c r="C60" s="605">
        <v>5400</v>
      </c>
      <c r="D60" s="606">
        <f t="shared" si="0"/>
        <v>71350</v>
      </c>
      <c r="E60" s="605">
        <v>210</v>
      </c>
      <c r="F60" s="605">
        <v>0</v>
      </c>
      <c r="G60" s="606">
        <f t="shared" si="1"/>
        <v>210</v>
      </c>
      <c r="H60" s="605">
        <v>40</v>
      </c>
      <c r="I60" s="605">
        <v>0</v>
      </c>
      <c r="J60" s="606">
        <f t="shared" si="2"/>
        <v>40</v>
      </c>
      <c r="K60" s="605">
        <v>400</v>
      </c>
      <c r="L60" s="605">
        <v>50</v>
      </c>
      <c r="M60" s="606">
        <f t="shared" si="3"/>
        <v>450</v>
      </c>
      <c r="N60" s="607">
        <v>1300</v>
      </c>
      <c r="O60" s="607">
        <v>0</v>
      </c>
      <c r="P60" s="606">
        <f t="shared" si="4"/>
        <v>1300</v>
      </c>
      <c r="R60" s="3"/>
      <c r="S60" s="3"/>
      <c r="Y60" s="603">
        <f>Y59*0.2</f>
        <v>2613</v>
      </c>
    </row>
    <row r="61" spans="1:26" ht="28.5" customHeight="1">
      <c r="A61" s="604" t="s">
        <v>3775</v>
      </c>
      <c r="B61" s="605">
        <v>143250</v>
      </c>
      <c r="C61" s="605">
        <v>12200</v>
      </c>
      <c r="D61" s="606">
        <f t="shared" si="0"/>
        <v>155450</v>
      </c>
      <c r="E61" s="605">
        <v>0</v>
      </c>
      <c r="F61" s="605">
        <v>0</v>
      </c>
      <c r="G61" s="606">
        <f t="shared" si="1"/>
        <v>0</v>
      </c>
      <c r="H61" s="605">
        <v>0</v>
      </c>
      <c r="I61" s="605">
        <v>0</v>
      </c>
      <c r="J61" s="606">
        <f t="shared" si="2"/>
        <v>0</v>
      </c>
      <c r="K61" s="605">
        <v>0</v>
      </c>
      <c r="L61" s="605">
        <v>5000</v>
      </c>
      <c r="M61" s="606">
        <f t="shared" si="3"/>
        <v>5000</v>
      </c>
      <c r="N61" s="607">
        <v>100</v>
      </c>
      <c r="O61" s="607">
        <v>0</v>
      </c>
      <c r="P61" s="606">
        <f t="shared" si="4"/>
        <v>100</v>
      </c>
      <c r="R61" s="3"/>
      <c r="S61" s="3"/>
      <c r="Y61" s="3">
        <f>SUM(Y59:Y60)</f>
        <v>15678</v>
      </c>
    </row>
    <row r="62" spans="1:26" ht="28.5" customHeight="1">
      <c r="A62" s="604" t="s">
        <v>3776</v>
      </c>
      <c r="B62" s="605">
        <v>122200</v>
      </c>
      <c r="C62" s="605">
        <v>46375</v>
      </c>
      <c r="D62" s="606">
        <f t="shared" si="0"/>
        <v>168575</v>
      </c>
      <c r="E62" s="605">
        <v>0</v>
      </c>
      <c r="F62" s="605">
        <v>0</v>
      </c>
      <c r="G62" s="606">
        <f t="shared" si="1"/>
        <v>0</v>
      </c>
      <c r="H62" s="605">
        <v>0</v>
      </c>
      <c r="I62" s="605">
        <v>0</v>
      </c>
      <c r="J62" s="606">
        <f t="shared" si="2"/>
        <v>0</v>
      </c>
      <c r="K62" s="605">
        <v>0</v>
      </c>
      <c r="L62" s="605">
        <v>0</v>
      </c>
      <c r="M62" s="606">
        <f t="shared" si="3"/>
        <v>0</v>
      </c>
      <c r="N62" s="607">
        <v>0</v>
      </c>
      <c r="O62" s="607">
        <v>0</v>
      </c>
      <c r="P62" s="606">
        <f t="shared" si="4"/>
        <v>0</v>
      </c>
      <c r="R62" s="3"/>
      <c r="S62" s="3"/>
    </row>
    <row r="63" spans="1:26" ht="28.5" customHeight="1">
      <c r="A63" s="618" t="s">
        <v>3777</v>
      </c>
      <c r="B63" s="619">
        <v>47450</v>
      </c>
      <c r="C63" s="619">
        <v>1000</v>
      </c>
      <c r="D63" s="620">
        <f t="shared" si="0"/>
        <v>48450</v>
      </c>
      <c r="E63" s="619">
        <v>10</v>
      </c>
      <c r="F63" s="619">
        <v>5</v>
      </c>
      <c r="G63" s="620">
        <f t="shared" si="1"/>
        <v>15</v>
      </c>
      <c r="H63" s="619">
        <v>0</v>
      </c>
      <c r="I63" s="619">
        <v>0</v>
      </c>
      <c r="J63" s="620">
        <f t="shared" si="2"/>
        <v>0</v>
      </c>
      <c r="K63" s="619">
        <v>0</v>
      </c>
      <c r="L63" s="619">
        <v>0</v>
      </c>
      <c r="M63" s="620">
        <f t="shared" si="3"/>
        <v>0</v>
      </c>
      <c r="N63" s="619">
        <v>0</v>
      </c>
      <c r="O63" s="619">
        <v>0</v>
      </c>
      <c r="P63" s="620">
        <f t="shared" si="4"/>
        <v>0</v>
      </c>
      <c r="R63" s="3"/>
      <c r="S63" s="3"/>
      <c r="T63" s="3"/>
    </row>
    <row r="64" spans="1:26" ht="28.5" customHeight="1">
      <c r="A64" s="618" t="s">
        <v>3778</v>
      </c>
      <c r="B64" s="619">
        <v>34200</v>
      </c>
      <c r="C64" s="619">
        <v>3000</v>
      </c>
      <c r="D64" s="620">
        <f t="shared" si="0"/>
        <v>37200</v>
      </c>
      <c r="E64" s="619">
        <v>0</v>
      </c>
      <c r="F64" s="619">
        <v>11</v>
      </c>
      <c r="G64" s="620">
        <f t="shared" si="1"/>
        <v>11</v>
      </c>
      <c r="H64" s="619">
        <v>0</v>
      </c>
      <c r="I64" s="619">
        <v>0</v>
      </c>
      <c r="J64" s="620">
        <f t="shared" si="2"/>
        <v>0</v>
      </c>
      <c r="K64" s="619">
        <v>0</v>
      </c>
      <c r="L64" s="619">
        <v>0</v>
      </c>
      <c r="M64" s="620">
        <f t="shared" si="3"/>
        <v>0</v>
      </c>
      <c r="N64" s="619">
        <v>0</v>
      </c>
      <c r="O64" s="619">
        <v>0</v>
      </c>
      <c r="P64" s="620">
        <f t="shared" si="4"/>
        <v>0</v>
      </c>
      <c r="R64" s="3"/>
      <c r="S64" s="3"/>
      <c r="Y64" s="3">
        <f>SUM(M42:M85)</f>
        <v>36660</v>
      </c>
    </row>
    <row r="65" spans="1:25" ht="28.5" customHeight="1">
      <c r="A65" s="618" t="s">
        <v>3779</v>
      </c>
      <c r="B65" s="619">
        <v>22700</v>
      </c>
      <c r="C65" s="619">
        <v>500</v>
      </c>
      <c r="D65" s="620">
        <f t="shared" si="0"/>
        <v>23200</v>
      </c>
      <c r="E65" s="619">
        <v>1535</v>
      </c>
      <c r="F65" s="619">
        <v>0</v>
      </c>
      <c r="G65" s="620">
        <f t="shared" si="1"/>
        <v>1535</v>
      </c>
      <c r="H65" s="619">
        <v>0</v>
      </c>
      <c r="I65" s="619">
        <v>0</v>
      </c>
      <c r="J65" s="620">
        <f t="shared" si="2"/>
        <v>0</v>
      </c>
      <c r="K65" s="619">
        <v>0</v>
      </c>
      <c r="L65" s="619">
        <v>0</v>
      </c>
      <c r="M65" s="620">
        <f t="shared" si="3"/>
        <v>0</v>
      </c>
      <c r="N65" s="619">
        <v>250</v>
      </c>
      <c r="O65" s="619">
        <v>0</v>
      </c>
      <c r="P65" s="620">
        <f t="shared" si="4"/>
        <v>250</v>
      </c>
      <c r="R65" s="3"/>
      <c r="S65" s="3"/>
      <c r="Y65" s="603">
        <f>Y64*0.2</f>
        <v>7332</v>
      </c>
    </row>
    <row r="66" spans="1:25" ht="28.5" customHeight="1">
      <c r="A66" s="618" t="s">
        <v>3780</v>
      </c>
      <c r="B66" s="619">
        <v>9650</v>
      </c>
      <c r="C66" s="619">
        <v>500</v>
      </c>
      <c r="D66" s="620">
        <f t="shared" si="0"/>
        <v>10150</v>
      </c>
      <c r="E66" s="619">
        <v>1240</v>
      </c>
      <c r="F66" s="619">
        <v>0</v>
      </c>
      <c r="G66" s="620">
        <f t="shared" si="1"/>
        <v>1240</v>
      </c>
      <c r="H66" s="619">
        <v>0</v>
      </c>
      <c r="I66" s="619">
        <v>0</v>
      </c>
      <c r="J66" s="620">
        <f t="shared" si="2"/>
        <v>0</v>
      </c>
      <c r="K66" s="619">
        <v>0</v>
      </c>
      <c r="L66" s="619">
        <v>0</v>
      </c>
      <c r="M66" s="620">
        <f t="shared" si="3"/>
        <v>0</v>
      </c>
      <c r="N66" s="619">
        <v>6000</v>
      </c>
      <c r="O66" s="619">
        <v>0</v>
      </c>
      <c r="P66" s="620">
        <f t="shared" si="4"/>
        <v>6000</v>
      </c>
      <c r="R66" s="3"/>
      <c r="S66" s="3"/>
      <c r="T66" s="3"/>
      <c r="Y66" s="3">
        <f>SUM(Y64:Y65)</f>
        <v>43992</v>
      </c>
    </row>
    <row r="67" spans="1:25" ht="28.5" customHeight="1">
      <c r="A67" s="618" t="s">
        <v>3781</v>
      </c>
      <c r="B67" s="619">
        <v>58600</v>
      </c>
      <c r="C67" s="619">
        <v>55000</v>
      </c>
      <c r="D67" s="620">
        <f t="shared" si="0"/>
        <v>113600</v>
      </c>
      <c r="E67" s="619">
        <v>1821</v>
      </c>
      <c r="F67" s="619">
        <v>0</v>
      </c>
      <c r="G67" s="620">
        <f t="shared" si="1"/>
        <v>1821</v>
      </c>
      <c r="H67" s="619">
        <v>0</v>
      </c>
      <c r="I67" s="619">
        <v>0</v>
      </c>
      <c r="J67" s="620">
        <f t="shared" si="2"/>
        <v>0</v>
      </c>
      <c r="K67" s="619">
        <v>0</v>
      </c>
      <c r="L67" s="619">
        <v>0</v>
      </c>
      <c r="M67" s="620">
        <f t="shared" si="3"/>
        <v>0</v>
      </c>
      <c r="N67" s="619">
        <v>3400</v>
      </c>
      <c r="O67" s="619">
        <v>0</v>
      </c>
      <c r="P67" s="620">
        <f t="shared" si="4"/>
        <v>3400</v>
      </c>
      <c r="R67" s="3"/>
      <c r="S67" s="3"/>
    </row>
    <row r="68" spans="1:25" ht="28.5" customHeight="1">
      <c r="A68" s="621" t="s">
        <v>3782</v>
      </c>
      <c r="B68" s="622">
        <v>66700</v>
      </c>
      <c r="C68" s="622">
        <v>28500</v>
      </c>
      <c r="D68" s="623">
        <f t="shared" si="0"/>
        <v>95200</v>
      </c>
      <c r="E68" s="622">
        <v>587</v>
      </c>
      <c r="F68" s="622">
        <v>20</v>
      </c>
      <c r="G68" s="623">
        <f t="shared" si="1"/>
        <v>607</v>
      </c>
      <c r="H68" s="622">
        <v>0</v>
      </c>
      <c r="I68" s="622">
        <v>0</v>
      </c>
      <c r="J68" s="623">
        <f t="shared" si="2"/>
        <v>0</v>
      </c>
      <c r="K68" s="622">
        <v>0</v>
      </c>
      <c r="L68" s="622">
        <v>0</v>
      </c>
      <c r="M68" s="623">
        <f t="shared" si="3"/>
        <v>0</v>
      </c>
      <c r="N68" s="622">
        <v>0</v>
      </c>
      <c r="O68" s="622">
        <v>0</v>
      </c>
      <c r="P68" s="623">
        <f t="shared" si="4"/>
        <v>0</v>
      </c>
      <c r="R68" s="3"/>
      <c r="S68" s="3"/>
      <c r="T68" s="3"/>
    </row>
    <row r="69" spans="1:25" ht="28.5" customHeight="1">
      <c r="A69" s="612">
        <v>37926</v>
      </c>
      <c r="B69" s="613">
        <v>12850</v>
      </c>
      <c r="C69" s="613">
        <v>6810</v>
      </c>
      <c r="D69" s="614">
        <f t="shared" si="0"/>
        <v>19660</v>
      </c>
      <c r="E69" s="613">
        <v>1749</v>
      </c>
      <c r="F69" s="613">
        <v>86</v>
      </c>
      <c r="G69" s="614">
        <f t="shared" si="1"/>
        <v>1835</v>
      </c>
      <c r="H69" s="613">
        <v>0</v>
      </c>
      <c r="I69" s="613">
        <v>0</v>
      </c>
      <c r="J69" s="614">
        <f t="shared" si="2"/>
        <v>0</v>
      </c>
      <c r="K69" s="613">
        <v>0</v>
      </c>
      <c r="L69" s="613">
        <v>0</v>
      </c>
      <c r="M69" s="614">
        <f t="shared" si="3"/>
        <v>0</v>
      </c>
      <c r="N69" s="615">
        <v>0</v>
      </c>
      <c r="O69" s="615">
        <v>0</v>
      </c>
      <c r="P69" s="614">
        <f t="shared" si="4"/>
        <v>0</v>
      </c>
      <c r="R69" s="807" t="s">
        <v>3783</v>
      </c>
      <c r="S69" s="719"/>
      <c r="T69" s="225"/>
      <c r="Y69" s="3">
        <f>SUM(J42:J85)</f>
        <v>13330</v>
      </c>
    </row>
    <row r="70" spans="1:25" ht="28.5" customHeight="1">
      <c r="A70" s="604" t="s">
        <v>3784</v>
      </c>
      <c r="B70" s="605">
        <v>48250</v>
      </c>
      <c r="C70" s="605">
        <v>71000</v>
      </c>
      <c r="D70" s="606">
        <f t="shared" si="0"/>
        <v>119250</v>
      </c>
      <c r="E70" s="605">
        <v>520</v>
      </c>
      <c r="F70" s="605">
        <v>50</v>
      </c>
      <c r="G70" s="606">
        <f t="shared" si="1"/>
        <v>570</v>
      </c>
      <c r="H70" s="605">
        <v>0</v>
      </c>
      <c r="I70" s="605">
        <v>0</v>
      </c>
      <c r="J70" s="614">
        <f t="shared" si="2"/>
        <v>0</v>
      </c>
      <c r="K70" s="605">
        <v>0</v>
      </c>
      <c r="L70" s="605">
        <v>0</v>
      </c>
      <c r="M70" s="606">
        <f t="shared" si="3"/>
        <v>0</v>
      </c>
      <c r="N70" s="607">
        <v>0</v>
      </c>
      <c r="O70" s="607">
        <v>0</v>
      </c>
      <c r="P70" s="606">
        <f t="shared" si="4"/>
        <v>0</v>
      </c>
      <c r="R70" s="624" t="s">
        <v>3785</v>
      </c>
      <c r="S70" s="625">
        <v>8200</v>
      </c>
      <c r="T70" s="626">
        <v>43993</v>
      </c>
      <c r="Y70" s="3">
        <f>Y69*0.2</f>
        <v>2666</v>
      </c>
    </row>
    <row r="71" spans="1:25" ht="28.5" customHeight="1">
      <c r="A71" s="604" t="s">
        <v>3786</v>
      </c>
      <c r="B71" s="605">
        <v>66650</v>
      </c>
      <c r="C71" s="605">
        <v>10500</v>
      </c>
      <c r="D71" s="606">
        <f t="shared" si="0"/>
        <v>77150</v>
      </c>
      <c r="E71" s="605">
        <v>250</v>
      </c>
      <c r="F71" s="605">
        <v>100</v>
      </c>
      <c r="G71" s="606">
        <f t="shared" si="1"/>
        <v>350</v>
      </c>
      <c r="H71" s="605">
        <v>0</v>
      </c>
      <c r="I71" s="605">
        <v>0</v>
      </c>
      <c r="J71" s="614">
        <f t="shared" si="2"/>
        <v>0</v>
      </c>
      <c r="K71" s="605">
        <v>0</v>
      </c>
      <c r="L71" s="605">
        <v>0</v>
      </c>
      <c r="M71" s="606">
        <f t="shared" si="3"/>
        <v>0</v>
      </c>
      <c r="N71" s="607">
        <v>0</v>
      </c>
      <c r="O71" s="607">
        <v>0</v>
      </c>
      <c r="P71" s="606">
        <f t="shared" si="4"/>
        <v>0</v>
      </c>
      <c r="R71" s="624" t="s">
        <v>3787</v>
      </c>
      <c r="S71" s="625">
        <v>2000</v>
      </c>
      <c r="T71" s="626">
        <v>44085</v>
      </c>
      <c r="Y71" s="3">
        <f>SUM(Y69:Y70)</f>
        <v>15996</v>
      </c>
    </row>
    <row r="72" spans="1:25" ht="28.5" customHeight="1">
      <c r="A72" s="617">
        <v>40483</v>
      </c>
      <c r="B72" s="605">
        <v>33050</v>
      </c>
      <c r="C72" s="605">
        <v>0</v>
      </c>
      <c r="D72" s="606">
        <f t="shared" si="0"/>
        <v>33050</v>
      </c>
      <c r="E72" s="605">
        <v>0</v>
      </c>
      <c r="F72" s="605">
        <v>0</v>
      </c>
      <c r="G72" s="606">
        <f t="shared" si="1"/>
        <v>0</v>
      </c>
      <c r="H72" s="605">
        <v>0</v>
      </c>
      <c r="I72" s="605">
        <v>0</v>
      </c>
      <c r="J72" s="614">
        <f t="shared" si="2"/>
        <v>0</v>
      </c>
      <c r="K72" s="605">
        <v>0</v>
      </c>
      <c r="L72" s="605">
        <v>0</v>
      </c>
      <c r="M72" s="606">
        <f t="shared" si="3"/>
        <v>0</v>
      </c>
      <c r="N72" s="607">
        <v>0</v>
      </c>
      <c r="O72" s="607">
        <v>0</v>
      </c>
      <c r="P72" s="606">
        <f t="shared" si="4"/>
        <v>0</v>
      </c>
      <c r="R72" s="627"/>
      <c r="S72" s="628"/>
    </row>
    <row r="73" spans="1:25" ht="28.5" customHeight="1">
      <c r="A73" s="617">
        <v>41214</v>
      </c>
      <c r="B73" s="605">
        <v>33600</v>
      </c>
      <c r="C73" s="605">
        <v>1500</v>
      </c>
      <c r="D73" s="606">
        <f t="shared" si="0"/>
        <v>35100</v>
      </c>
      <c r="E73" s="605">
        <v>0</v>
      </c>
      <c r="F73" s="605">
        <v>0</v>
      </c>
      <c r="G73" s="606">
        <f t="shared" si="1"/>
        <v>0</v>
      </c>
      <c r="H73" s="605">
        <v>500</v>
      </c>
      <c r="I73" s="605">
        <v>0</v>
      </c>
      <c r="J73" s="606">
        <f t="shared" si="2"/>
        <v>500</v>
      </c>
      <c r="K73" s="605">
        <v>0</v>
      </c>
      <c r="L73" s="605">
        <v>0</v>
      </c>
      <c r="M73" s="606">
        <f t="shared" si="3"/>
        <v>0</v>
      </c>
      <c r="N73" s="607">
        <v>0</v>
      </c>
      <c r="O73" s="607">
        <v>0</v>
      </c>
      <c r="P73" s="606">
        <f t="shared" si="4"/>
        <v>0</v>
      </c>
      <c r="R73" s="3"/>
      <c r="S73" s="3">
        <f>SUM(S70:S72)</f>
        <v>10200</v>
      </c>
    </row>
    <row r="74" spans="1:25" ht="28.5" customHeight="1">
      <c r="A74" s="591">
        <v>41579</v>
      </c>
      <c r="B74" s="592">
        <v>14950</v>
      </c>
      <c r="C74" s="592">
        <v>35500</v>
      </c>
      <c r="D74" s="595">
        <f t="shared" si="0"/>
        <v>50450</v>
      </c>
      <c r="E74" s="592">
        <v>0</v>
      </c>
      <c r="F74" s="592">
        <v>0</v>
      </c>
      <c r="G74" s="595">
        <f t="shared" si="1"/>
        <v>0</v>
      </c>
      <c r="H74" s="592">
        <v>0</v>
      </c>
      <c r="I74" s="592">
        <v>0</v>
      </c>
      <c r="J74" s="595">
        <f t="shared" si="2"/>
        <v>0</v>
      </c>
      <c r="K74" s="592">
        <v>0</v>
      </c>
      <c r="L74" s="592">
        <v>0</v>
      </c>
      <c r="M74" s="595">
        <f t="shared" si="3"/>
        <v>0</v>
      </c>
      <c r="N74" s="596">
        <v>0</v>
      </c>
      <c r="O74" s="596">
        <v>115</v>
      </c>
      <c r="P74" s="595">
        <f t="shared" si="4"/>
        <v>115</v>
      </c>
      <c r="R74" s="3"/>
      <c r="S74" s="3"/>
    </row>
    <row r="75" spans="1:25" ht="28.5" customHeight="1">
      <c r="A75" s="598" t="s">
        <v>3788</v>
      </c>
      <c r="B75" s="592">
        <v>41500</v>
      </c>
      <c r="C75" s="592">
        <v>9500</v>
      </c>
      <c r="D75" s="595">
        <f t="shared" si="0"/>
        <v>51000</v>
      </c>
      <c r="E75" s="592">
        <v>33</v>
      </c>
      <c r="F75" s="592">
        <v>0</v>
      </c>
      <c r="G75" s="595">
        <f t="shared" si="1"/>
        <v>33</v>
      </c>
      <c r="H75" s="592">
        <v>200</v>
      </c>
      <c r="I75" s="592">
        <v>0</v>
      </c>
      <c r="J75" s="595">
        <f t="shared" si="2"/>
        <v>200</v>
      </c>
      <c r="K75" s="592">
        <v>0</v>
      </c>
      <c r="L75" s="592">
        <v>0</v>
      </c>
      <c r="M75" s="595">
        <f t="shared" si="3"/>
        <v>0</v>
      </c>
      <c r="N75" s="596">
        <v>0</v>
      </c>
      <c r="O75" s="596">
        <v>0</v>
      </c>
      <c r="P75" s="595">
        <f t="shared" si="4"/>
        <v>0</v>
      </c>
      <c r="R75" s="3"/>
      <c r="S75" s="3"/>
    </row>
    <row r="76" spans="1:25" ht="28.5" customHeight="1">
      <c r="A76" s="598" t="s">
        <v>3789</v>
      </c>
      <c r="B76" s="592">
        <v>26800</v>
      </c>
      <c r="C76" s="592">
        <v>5400</v>
      </c>
      <c r="D76" s="595">
        <f t="shared" si="0"/>
        <v>32200</v>
      </c>
      <c r="E76" s="592">
        <v>15</v>
      </c>
      <c r="F76" s="592">
        <v>48</v>
      </c>
      <c r="G76" s="595">
        <f t="shared" si="1"/>
        <v>63</v>
      </c>
      <c r="H76" s="592">
        <v>0</v>
      </c>
      <c r="I76" s="592">
        <v>0</v>
      </c>
      <c r="J76" s="595">
        <f t="shared" si="2"/>
        <v>0</v>
      </c>
      <c r="K76" s="592">
        <v>0</v>
      </c>
      <c r="L76" s="592">
        <v>0</v>
      </c>
      <c r="M76" s="595">
        <f t="shared" si="3"/>
        <v>0</v>
      </c>
      <c r="N76" s="596">
        <v>0</v>
      </c>
      <c r="O76" s="596">
        <v>0</v>
      </c>
      <c r="P76" s="595">
        <f t="shared" si="4"/>
        <v>0</v>
      </c>
      <c r="R76" s="3"/>
      <c r="S76" s="3"/>
    </row>
    <row r="77" spans="1:25" ht="28.5" customHeight="1">
      <c r="A77" s="598" t="s">
        <v>3790</v>
      </c>
      <c r="B77" s="592">
        <v>12300</v>
      </c>
      <c r="C77" s="592">
        <v>10000</v>
      </c>
      <c r="D77" s="595">
        <f t="shared" si="0"/>
        <v>22300</v>
      </c>
      <c r="E77" s="592">
        <v>35</v>
      </c>
      <c r="F77" s="592">
        <v>0</v>
      </c>
      <c r="G77" s="595">
        <f t="shared" si="1"/>
        <v>35</v>
      </c>
      <c r="H77" s="592">
        <v>0</v>
      </c>
      <c r="I77" s="592">
        <v>0</v>
      </c>
      <c r="J77" s="595">
        <f t="shared" si="2"/>
        <v>0</v>
      </c>
      <c r="K77" s="592">
        <v>0</v>
      </c>
      <c r="L77" s="592">
        <v>0</v>
      </c>
      <c r="M77" s="595">
        <f t="shared" si="3"/>
        <v>0</v>
      </c>
      <c r="N77" s="596">
        <v>0</v>
      </c>
      <c r="O77" s="596">
        <v>0</v>
      </c>
      <c r="P77" s="595">
        <f t="shared" si="4"/>
        <v>0</v>
      </c>
      <c r="R77" s="3"/>
      <c r="S77" s="3"/>
    </row>
    <row r="78" spans="1:25" ht="28.5" customHeight="1">
      <c r="A78" s="591">
        <v>46327</v>
      </c>
      <c r="B78" s="592">
        <v>7400</v>
      </c>
      <c r="C78" s="592">
        <v>0</v>
      </c>
      <c r="D78" s="595">
        <f t="shared" si="0"/>
        <v>7400</v>
      </c>
      <c r="E78" s="592">
        <v>0</v>
      </c>
      <c r="F78" s="592">
        <v>0</v>
      </c>
      <c r="G78" s="595">
        <f t="shared" si="1"/>
        <v>0</v>
      </c>
      <c r="H78" s="592">
        <v>0</v>
      </c>
      <c r="I78" s="592">
        <v>0</v>
      </c>
      <c r="J78" s="595">
        <f t="shared" si="2"/>
        <v>0</v>
      </c>
      <c r="K78" s="592">
        <v>0</v>
      </c>
      <c r="L78" s="592">
        <v>0</v>
      </c>
      <c r="M78" s="595">
        <f t="shared" si="3"/>
        <v>0</v>
      </c>
      <c r="N78" s="596">
        <v>0</v>
      </c>
      <c r="O78" s="596">
        <v>0</v>
      </c>
      <c r="P78" s="595">
        <f t="shared" si="4"/>
        <v>0</v>
      </c>
      <c r="R78" s="3"/>
      <c r="S78" s="3"/>
    </row>
    <row r="79" spans="1:25" ht="28.5" customHeight="1">
      <c r="A79" s="629">
        <v>37226</v>
      </c>
      <c r="B79" s="630">
        <v>20650</v>
      </c>
      <c r="C79" s="630">
        <v>350</v>
      </c>
      <c r="D79" s="631">
        <f t="shared" si="0"/>
        <v>21000</v>
      </c>
      <c r="E79" s="630">
        <v>20</v>
      </c>
      <c r="F79" s="630">
        <v>0</v>
      </c>
      <c r="G79" s="631">
        <f t="shared" si="1"/>
        <v>20</v>
      </c>
      <c r="H79" s="630"/>
      <c r="I79" s="630"/>
      <c r="J79" s="631">
        <f t="shared" si="2"/>
        <v>0</v>
      </c>
      <c r="K79" s="630"/>
      <c r="L79" s="630"/>
      <c r="M79" s="631">
        <f t="shared" si="3"/>
        <v>0</v>
      </c>
      <c r="N79" s="632">
        <v>0</v>
      </c>
      <c r="O79" s="632">
        <v>0</v>
      </c>
      <c r="P79" s="631">
        <f t="shared" si="4"/>
        <v>0</v>
      </c>
      <c r="R79" s="3"/>
      <c r="S79" s="3"/>
    </row>
    <row r="80" spans="1:25" ht="28.5" customHeight="1">
      <c r="A80" s="633" t="s">
        <v>3791</v>
      </c>
      <c r="B80" s="630">
        <v>8500</v>
      </c>
      <c r="C80" s="630">
        <v>1000</v>
      </c>
      <c r="D80" s="631">
        <f t="shared" si="0"/>
        <v>9500</v>
      </c>
      <c r="E80" s="630">
        <v>0</v>
      </c>
      <c r="F80" s="630">
        <v>0</v>
      </c>
      <c r="G80" s="631">
        <f t="shared" si="1"/>
        <v>0</v>
      </c>
      <c r="H80" s="630">
        <v>0</v>
      </c>
      <c r="I80" s="630">
        <v>0</v>
      </c>
      <c r="J80" s="631">
        <f t="shared" si="2"/>
        <v>0</v>
      </c>
      <c r="K80" s="630">
        <v>0</v>
      </c>
      <c r="L80" s="630">
        <v>0</v>
      </c>
      <c r="M80" s="631">
        <f t="shared" si="3"/>
        <v>0</v>
      </c>
      <c r="N80" s="632">
        <v>0</v>
      </c>
      <c r="O80" s="632">
        <v>0</v>
      </c>
      <c r="P80" s="631">
        <f t="shared" si="4"/>
        <v>0</v>
      </c>
      <c r="R80" s="3"/>
      <c r="S80" s="3"/>
    </row>
    <row r="81" spans="1:21" ht="28.5" customHeight="1">
      <c r="A81" s="633" t="s">
        <v>3792</v>
      </c>
      <c r="B81" s="630">
        <v>31300</v>
      </c>
      <c r="C81" s="630">
        <v>10500</v>
      </c>
      <c r="D81" s="631">
        <f t="shared" si="0"/>
        <v>41800</v>
      </c>
      <c r="E81" s="630">
        <v>0</v>
      </c>
      <c r="F81" s="630">
        <v>93</v>
      </c>
      <c r="G81" s="631">
        <f t="shared" si="1"/>
        <v>93</v>
      </c>
      <c r="H81" s="630"/>
      <c r="I81" s="630"/>
      <c r="J81" s="631">
        <f t="shared" si="2"/>
        <v>0</v>
      </c>
      <c r="K81" s="630"/>
      <c r="L81" s="630"/>
      <c r="M81" s="631">
        <f t="shared" si="3"/>
        <v>0</v>
      </c>
      <c r="N81" s="632"/>
      <c r="O81" s="632"/>
      <c r="P81" s="631">
        <f t="shared" si="4"/>
        <v>0</v>
      </c>
      <c r="R81" s="634"/>
      <c r="S81" s="634"/>
      <c r="T81" s="3"/>
    </row>
    <row r="82" spans="1:21" ht="28.5" customHeight="1">
      <c r="A82" s="629">
        <v>40148</v>
      </c>
      <c r="B82" s="630">
        <v>18350</v>
      </c>
      <c r="C82" s="630">
        <v>500</v>
      </c>
      <c r="D82" s="631">
        <f t="shared" si="0"/>
        <v>18850</v>
      </c>
      <c r="E82" s="630">
        <v>0</v>
      </c>
      <c r="F82" s="630">
        <v>30</v>
      </c>
      <c r="G82" s="631">
        <f t="shared" si="1"/>
        <v>30</v>
      </c>
      <c r="H82" s="630">
        <v>0</v>
      </c>
      <c r="I82" s="630">
        <v>0</v>
      </c>
      <c r="J82" s="631">
        <f t="shared" si="2"/>
        <v>0</v>
      </c>
      <c r="K82" s="630">
        <v>0</v>
      </c>
      <c r="L82" s="630">
        <v>0</v>
      </c>
      <c r="M82" s="631">
        <f t="shared" si="3"/>
        <v>0</v>
      </c>
      <c r="N82" s="632">
        <v>0</v>
      </c>
      <c r="O82" s="632">
        <v>0</v>
      </c>
      <c r="P82" s="631">
        <f t="shared" si="4"/>
        <v>0</v>
      </c>
      <c r="R82" s="634"/>
      <c r="S82" s="634"/>
      <c r="T82" s="3"/>
    </row>
    <row r="83" spans="1:21" ht="28.5" customHeight="1">
      <c r="A83" s="633" t="s">
        <v>3793</v>
      </c>
      <c r="B83" s="630">
        <v>165900</v>
      </c>
      <c r="C83" s="630">
        <v>10500</v>
      </c>
      <c r="D83" s="631">
        <f t="shared" si="0"/>
        <v>176400</v>
      </c>
      <c r="E83" s="630">
        <v>22</v>
      </c>
      <c r="F83" s="630">
        <v>0</v>
      </c>
      <c r="G83" s="631">
        <f t="shared" si="1"/>
        <v>22</v>
      </c>
      <c r="H83" s="630">
        <v>0</v>
      </c>
      <c r="I83" s="630">
        <v>2000</v>
      </c>
      <c r="J83" s="631">
        <f t="shared" si="2"/>
        <v>2000</v>
      </c>
      <c r="K83" s="630">
        <v>0</v>
      </c>
      <c r="L83" s="630">
        <v>0</v>
      </c>
      <c r="M83" s="631">
        <f t="shared" si="3"/>
        <v>0</v>
      </c>
      <c r="N83" s="632">
        <v>0</v>
      </c>
      <c r="O83" s="632">
        <v>0</v>
      </c>
      <c r="P83" s="631">
        <f t="shared" si="4"/>
        <v>0</v>
      </c>
      <c r="R83" s="3"/>
      <c r="S83" s="634"/>
      <c r="T83" s="3"/>
      <c r="U83" s="2"/>
    </row>
    <row r="84" spans="1:21" ht="28.5" customHeight="1">
      <c r="A84" s="633">
        <v>42705</v>
      </c>
      <c r="B84" s="630">
        <v>0</v>
      </c>
      <c r="C84" s="630">
        <v>19000</v>
      </c>
      <c r="D84" s="631">
        <f t="shared" si="0"/>
        <v>19000</v>
      </c>
      <c r="E84" s="630">
        <v>0</v>
      </c>
      <c r="F84" s="630">
        <v>0</v>
      </c>
      <c r="G84" s="631">
        <f t="shared" si="1"/>
        <v>0</v>
      </c>
      <c r="H84" s="630">
        <v>0</v>
      </c>
      <c r="I84" s="630">
        <v>0</v>
      </c>
      <c r="J84" s="631">
        <f t="shared" si="2"/>
        <v>0</v>
      </c>
      <c r="K84" s="630">
        <v>0</v>
      </c>
      <c r="L84" s="630">
        <v>0</v>
      </c>
      <c r="M84" s="631">
        <f t="shared" si="3"/>
        <v>0</v>
      </c>
      <c r="N84" s="632">
        <v>0</v>
      </c>
      <c r="O84" s="632">
        <v>0</v>
      </c>
      <c r="P84" s="631">
        <f t="shared" si="4"/>
        <v>0</v>
      </c>
      <c r="R84" s="3"/>
      <c r="S84" s="3"/>
      <c r="T84" s="3"/>
      <c r="U84" s="2"/>
    </row>
    <row r="85" spans="1:21" ht="28.5" customHeight="1">
      <c r="A85" s="633" t="s">
        <v>3794</v>
      </c>
      <c r="B85" s="630">
        <v>0</v>
      </c>
      <c r="C85" s="630">
        <v>10200</v>
      </c>
      <c r="D85" s="631">
        <f t="shared" si="0"/>
        <v>10200</v>
      </c>
      <c r="E85" s="630">
        <v>0</v>
      </c>
      <c r="F85" s="630">
        <v>0</v>
      </c>
      <c r="G85" s="631">
        <f t="shared" si="1"/>
        <v>0</v>
      </c>
      <c r="H85" s="630">
        <v>0</v>
      </c>
      <c r="I85" s="630">
        <v>0</v>
      </c>
      <c r="J85" s="631">
        <f t="shared" si="2"/>
        <v>0</v>
      </c>
      <c r="K85" s="630">
        <v>0</v>
      </c>
      <c r="L85" s="630">
        <v>0</v>
      </c>
      <c r="M85" s="631">
        <f t="shared" si="3"/>
        <v>0</v>
      </c>
      <c r="N85" s="632">
        <v>0</v>
      </c>
      <c r="O85" s="632">
        <v>0</v>
      </c>
      <c r="P85" s="631">
        <f t="shared" si="4"/>
        <v>0</v>
      </c>
      <c r="R85" s="634"/>
      <c r="S85" s="3"/>
      <c r="T85" s="634"/>
      <c r="U85" s="2"/>
    </row>
    <row r="86" spans="1:21" ht="28.5" customHeight="1">
      <c r="A86" s="633"/>
      <c r="B86" s="630"/>
      <c r="C86" s="630"/>
      <c r="D86" s="631">
        <f t="shared" si="0"/>
        <v>0</v>
      </c>
      <c r="E86" s="630"/>
      <c r="F86" s="630"/>
      <c r="G86" s="631">
        <f t="shared" si="1"/>
        <v>0</v>
      </c>
      <c r="H86" s="630"/>
      <c r="I86" s="630"/>
      <c r="J86" s="631">
        <f t="shared" si="2"/>
        <v>0</v>
      </c>
      <c r="K86" s="630"/>
      <c r="L86" s="630"/>
      <c r="M86" s="631">
        <f t="shared" si="3"/>
        <v>0</v>
      </c>
      <c r="N86" s="632"/>
      <c r="O86" s="632"/>
      <c r="P86" s="631">
        <f t="shared" si="4"/>
        <v>0</v>
      </c>
      <c r="R86" s="3"/>
      <c r="S86" s="3"/>
      <c r="T86" s="634"/>
      <c r="U86" s="2"/>
    </row>
    <row r="87" spans="1:21" ht="28.5" customHeight="1">
      <c r="A87" s="633"/>
      <c r="B87" s="630"/>
      <c r="C87" s="630"/>
      <c r="D87" s="631">
        <f t="shared" si="0"/>
        <v>0</v>
      </c>
      <c r="E87" s="630"/>
      <c r="F87" s="630"/>
      <c r="G87" s="631">
        <f t="shared" si="1"/>
        <v>0</v>
      </c>
      <c r="H87" s="630"/>
      <c r="I87" s="630"/>
      <c r="J87" s="631">
        <f t="shared" si="2"/>
        <v>0</v>
      </c>
      <c r="K87" s="630"/>
      <c r="L87" s="630"/>
      <c r="M87" s="631">
        <f t="shared" si="3"/>
        <v>0</v>
      </c>
      <c r="N87" s="632"/>
      <c r="O87" s="632"/>
      <c r="P87" s="631">
        <f t="shared" si="4"/>
        <v>0</v>
      </c>
      <c r="R87" s="3"/>
      <c r="S87" s="3"/>
      <c r="T87" s="634"/>
      <c r="U87" s="3"/>
    </row>
    <row r="88" spans="1:21" ht="22.5" customHeight="1">
      <c r="A88" s="68"/>
      <c r="B88" s="149"/>
      <c r="C88" s="149"/>
      <c r="D88" s="631">
        <f t="shared" si="0"/>
        <v>0</v>
      </c>
      <c r="E88" s="149"/>
      <c r="F88" s="149"/>
      <c r="G88" s="631">
        <f t="shared" si="1"/>
        <v>0</v>
      </c>
      <c r="H88" s="149"/>
      <c r="I88" s="149"/>
      <c r="J88" s="631">
        <f t="shared" si="2"/>
        <v>0</v>
      </c>
      <c r="K88" s="149"/>
      <c r="L88" s="149"/>
      <c r="M88" s="631">
        <f t="shared" si="3"/>
        <v>0</v>
      </c>
      <c r="N88" s="149"/>
      <c r="O88" s="68"/>
      <c r="P88" s="631">
        <f t="shared" si="4"/>
        <v>0</v>
      </c>
      <c r="R88" s="3"/>
      <c r="S88" s="603"/>
      <c r="T88" s="3"/>
      <c r="U88" s="3"/>
    </row>
    <row r="89" spans="1:21" ht="15.75" customHeight="1">
      <c r="A89" s="72" t="s">
        <v>282</v>
      </c>
      <c r="B89" s="564">
        <f t="shared" ref="B89:C89" si="14">SUM(B5:B88)</f>
        <v>5517875</v>
      </c>
      <c r="C89" s="564">
        <f t="shared" si="14"/>
        <v>1489619</v>
      </c>
      <c r="D89" s="635">
        <f t="shared" si="0"/>
        <v>7007494</v>
      </c>
      <c r="E89" s="564">
        <f t="shared" ref="E89:I89" si="15">SUM(E5:E88)</f>
        <v>16225</v>
      </c>
      <c r="F89" s="564">
        <f t="shared" si="15"/>
        <v>1701</v>
      </c>
      <c r="G89" s="635">
        <f t="shared" si="15"/>
        <v>17926</v>
      </c>
      <c r="H89" s="564">
        <f t="shared" si="15"/>
        <v>10580</v>
      </c>
      <c r="I89" s="564">
        <f t="shared" si="15"/>
        <v>9500</v>
      </c>
      <c r="J89" s="635">
        <f t="shared" si="2"/>
        <v>20080</v>
      </c>
      <c r="K89" s="564">
        <f t="shared" ref="K89:L89" si="16">SUM(K5:K88)</f>
        <v>28960</v>
      </c>
      <c r="L89" s="564">
        <f t="shared" si="16"/>
        <v>13640</v>
      </c>
      <c r="M89" s="635">
        <f t="shared" si="3"/>
        <v>42600</v>
      </c>
      <c r="N89" s="56">
        <f t="shared" ref="N89:P89" si="17">SUM(N5:N88)</f>
        <v>30800</v>
      </c>
      <c r="O89" s="56">
        <f t="shared" si="17"/>
        <v>75141</v>
      </c>
      <c r="P89" s="635">
        <f t="shared" si="17"/>
        <v>105941</v>
      </c>
      <c r="R89" s="3"/>
      <c r="S89" s="3"/>
      <c r="T89" s="634"/>
      <c r="U89" s="3"/>
    </row>
    <row r="90" spans="1:21" ht="15.75" customHeight="1">
      <c r="A90" s="810">
        <f>D89*0.2</f>
        <v>1401498.8</v>
      </c>
      <c r="B90" s="743"/>
      <c r="C90" s="743"/>
      <c r="D90" s="719"/>
      <c r="E90" s="772"/>
      <c r="F90" s="743"/>
      <c r="G90" s="719"/>
      <c r="H90" s="811">
        <f>J89*0.2</f>
        <v>4016</v>
      </c>
      <c r="I90" s="743"/>
      <c r="J90" s="719"/>
      <c r="K90" s="810">
        <f>M89*0.2</f>
        <v>8520</v>
      </c>
      <c r="L90" s="743"/>
      <c r="M90" s="719"/>
      <c r="N90" s="810">
        <f>P89*0.2</f>
        <v>21188.2</v>
      </c>
      <c r="O90" s="743"/>
      <c r="P90" s="719"/>
      <c r="R90" s="3"/>
      <c r="S90" s="603"/>
      <c r="T90" s="603"/>
      <c r="U90" s="2"/>
    </row>
    <row r="91" spans="1:21" ht="36.75" customHeight="1">
      <c r="A91" s="812" t="s">
        <v>3795</v>
      </c>
      <c r="B91" s="743"/>
      <c r="C91" s="719"/>
      <c r="D91" s="636">
        <f>D89+A90</f>
        <v>8408992.8000000007</v>
      </c>
      <c r="E91" s="809"/>
      <c r="F91" s="719"/>
      <c r="G91" s="636">
        <f>G89</f>
        <v>17926</v>
      </c>
      <c r="H91" s="808"/>
      <c r="I91" s="719"/>
      <c r="J91" s="636">
        <f>J89+H90</f>
        <v>24096</v>
      </c>
      <c r="K91" s="809"/>
      <c r="L91" s="719"/>
      <c r="M91" s="636">
        <f>M89+K90</f>
        <v>51120</v>
      </c>
      <c r="N91" s="809"/>
      <c r="O91" s="719"/>
      <c r="P91" s="636">
        <f>P89+N90</f>
        <v>127129.2</v>
      </c>
      <c r="R91" s="81"/>
      <c r="S91" s="3"/>
      <c r="T91" s="3"/>
      <c r="U91" s="2"/>
    </row>
    <row r="92" spans="1:21" ht="37.5" customHeight="1">
      <c r="A92" s="808" t="s">
        <v>3796</v>
      </c>
      <c r="B92" s="743"/>
      <c r="C92" s="719"/>
      <c r="D92" s="637">
        <f>D91/6000000*(100)</f>
        <v>140.14988000000002</v>
      </c>
      <c r="E92" s="808"/>
      <c r="F92" s="719"/>
      <c r="G92" s="637">
        <f>G91/15000*(100)</f>
        <v>119.50666666666667</v>
      </c>
      <c r="H92" s="808"/>
      <c r="I92" s="719"/>
      <c r="J92" s="638">
        <f>J91/20000*(100)</f>
        <v>120.48</v>
      </c>
      <c r="K92" s="808"/>
      <c r="L92" s="719"/>
      <c r="M92" s="638">
        <f>M91/30000*(100)</f>
        <v>170.4</v>
      </c>
      <c r="N92" s="808"/>
      <c r="O92" s="719"/>
      <c r="P92" s="638">
        <f>P91/100000*(100)</f>
        <v>127.12919999999998</v>
      </c>
      <c r="R92" s="3"/>
      <c r="S92" s="3"/>
      <c r="T92" s="3"/>
      <c r="U92" s="2"/>
    </row>
    <row r="93" spans="1:21" ht="15.75" customHeight="1">
      <c r="D93" s="639" t="s">
        <v>25</v>
      </c>
      <c r="E93" s="640"/>
      <c r="F93" s="640"/>
      <c r="G93" s="639" t="s">
        <v>286</v>
      </c>
      <c r="H93" s="640"/>
      <c r="I93" s="640"/>
      <c r="J93" s="639" t="s">
        <v>57</v>
      </c>
      <c r="K93" s="640"/>
      <c r="L93" s="640"/>
      <c r="M93" s="639" t="s">
        <v>586</v>
      </c>
      <c r="N93" s="640"/>
      <c r="O93" s="640"/>
      <c r="P93" s="639" t="s">
        <v>1626</v>
      </c>
      <c r="R93" s="81"/>
      <c r="S93" s="3"/>
      <c r="T93" s="3"/>
    </row>
    <row r="94" spans="1:21" ht="15.75" customHeight="1"/>
    <row r="95" spans="1:21" ht="15.75" customHeight="1"/>
    <row r="96" spans="1:21" ht="15.75" customHeight="1"/>
    <row r="97" spans="1:12" ht="15.75" customHeight="1">
      <c r="A97" s="558" t="s">
        <v>3724</v>
      </c>
      <c r="B97" s="813" t="s">
        <v>25</v>
      </c>
      <c r="C97" s="805"/>
      <c r="D97" s="805"/>
      <c r="E97" s="805"/>
      <c r="F97" s="806"/>
    </row>
    <row r="98" spans="1:12" ht="15.75" customHeight="1">
      <c r="A98" s="68"/>
      <c r="B98" s="559" t="s">
        <v>33</v>
      </c>
      <c r="C98" s="559" t="s">
        <v>37</v>
      </c>
      <c r="D98" s="77" t="s">
        <v>3797</v>
      </c>
      <c r="E98" s="733" t="s">
        <v>3798</v>
      </c>
      <c r="F98" s="719"/>
      <c r="G98" s="641">
        <v>0.2</v>
      </c>
    </row>
    <row r="99" spans="1:12" ht="15.75" customHeight="1">
      <c r="A99" s="561" t="s">
        <v>3726</v>
      </c>
      <c r="B99" s="562">
        <v>356300</v>
      </c>
      <c r="C99" s="562">
        <v>31500</v>
      </c>
      <c r="D99" s="563">
        <f t="shared" ref="D99:D177" si="18">SUM(B99:C99)</f>
        <v>387800</v>
      </c>
      <c r="E99" s="814">
        <f t="shared" ref="E99:E176" si="19">D99+G99</f>
        <v>465360</v>
      </c>
      <c r="F99" s="719"/>
      <c r="G99" s="603">
        <f t="shared" ref="G99:G176" si="20">D99*0.2</f>
        <v>77560</v>
      </c>
      <c r="J99" s="223"/>
      <c r="K99" s="642"/>
    </row>
    <row r="100" spans="1:12" ht="15.75" customHeight="1">
      <c r="A100" s="561" t="s">
        <v>3727</v>
      </c>
      <c r="B100" s="562">
        <v>162300</v>
      </c>
      <c r="C100" s="562">
        <v>3000</v>
      </c>
      <c r="D100" s="563">
        <f t="shared" si="18"/>
        <v>165300</v>
      </c>
      <c r="E100" s="814">
        <f t="shared" si="19"/>
        <v>198360</v>
      </c>
      <c r="F100" s="719"/>
      <c r="G100" s="603">
        <f t="shared" si="20"/>
        <v>33060</v>
      </c>
      <c r="J100" s="223"/>
      <c r="K100" s="3"/>
    </row>
    <row r="101" spans="1:12" ht="15.75" customHeight="1">
      <c r="A101" s="561" t="s">
        <v>3728</v>
      </c>
      <c r="B101" s="562">
        <v>112800</v>
      </c>
      <c r="C101" s="562">
        <v>2500</v>
      </c>
      <c r="D101" s="563">
        <f t="shared" si="18"/>
        <v>115300</v>
      </c>
      <c r="E101" s="814">
        <f t="shared" si="19"/>
        <v>138360</v>
      </c>
      <c r="F101" s="719"/>
      <c r="G101" s="603">
        <f t="shared" si="20"/>
        <v>23060</v>
      </c>
      <c r="J101" s="223"/>
      <c r="K101" s="3"/>
    </row>
    <row r="102" spans="1:12" ht="15.75" customHeight="1">
      <c r="A102" s="565" t="s">
        <v>3729</v>
      </c>
      <c r="B102" s="566">
        <v>157250</v>
      </c>
      <c r="C102" s="566">
        <v>17500</v>
      </c>
      <c r="D102" s="567">
        <f t="shared" si="18"/>
        <v>174750</v>
      </c>
      <c r="E102" s="814">
        <f t="shared" si="19"/>
        <v>209700</v>
      </c>
      <c r="F102" s="719"/>
      <c r="G102" s="603">
        <f t="shared" si="20"/>
        <v>34950</v>
      </c>
      <c r="J102" s="223"/>
      <c r="K102" s="3"/>
    </row>
    <row r="103" spans="1:12" ht="15.75" customHeight="1">
      <c r="A103" s="565" t="s">
        <v>3730</v>
      </c>
      <c r="B103" s="566">
        <v>326800</v>
      </c>
      <c r="C103" s="566">
        <v>58200</v>
      </c>
      <c r="D103" s="567">
        <f t="shared" si="18"/>
        <v>385000</v>
      </c>
      <c r="E103" s="814">
        <f t="shared" si="19"/>
        <v>462000</v>
      </c>
      <c r="F103" s="719"/>
      <c r="G103" s="603">
        <f t="shared" si="20"/>
        <v>77000</v>
      </c>
      <c r="J103" s="223"/>
      <c r="K103" s="3"/>
    </row>
    <row r="104" spans="1:12" ht="15.75" customHeight="1">
      <c r="A104" s="565" t="s">
        <v>3731</v>
      </c>
      <c r="B104" s="566">
        <v>84350</v>
      </c>
      <c r="C104" s="566">
        <v>21500</v>
      </c>
      <c r="D104" s="567">
        <f t="shared" si="18"/>
        <v>105850</v>
      </c>
      <c r="E104" s="814">
        <f t="shared" si="19"/>
        <v>127020</v>
      </c>
      <c r="F104" s="719"/>
      <c r="G104" s="603">
        <f t="shared" si="20"/>
        <v>21170</v>
      </c>
      <c r="J104" s="223"/>
      <c r="K104" s="3"/>
    </row>
    <row r="105" spans="1:12" ht="15.75" customHeight="1">
      <c r="A105" s="565" t="s">
        <v>3732</v>
      </c>
      <c r="B105" s="566">
        <v>54200</v>
      </c>
      <c r="C105" s="566">
        <v>42000</v>
      </c>
      <c r="D105" s="567">
        <f t="shared" si="18"/>
        <v>96200</v>
      </c>
      <c r="E105" s="814">
        <f t="shared" si="19"/>
        <v>115440</v>
      </c>
      <c r="F105" s="719"/>
      <c r="G105" s="603">
        <f t="shared" si="20"/>
        <v>19240</v>
      </c>
      <c r="J105" s="223"/>
      <c r="K105" s="3"/>
      <c r="L105" s="3"/>
    </row>
    <row r="106" spans="1:12" ht="15.75" customHeight="1">
      <c r="A106" s="568" t="s">
        <v>3733</v>
      </c>
      <c r="B106" s="569">
        <v>118630</v>
      </c>
      <c r="C106" s="569">
        <v>20000</v>
      </c>
      <c r="D106" s="570">
        <f t="shared" si="18"/>
        <v>138630</v>
      </c>
      <c r="E106" s="814">
        <f t="shared" si="19"/>
        <v>166356</v>
      </c>
      <c r="F106" s="719"/>
      <c r="G106" s="603">
        <f t="shared" si="20"/>
        <v>27726</v>
      </c>
      <c r="J106" s="643"/>
      <c r="K106" s="3"/>
      <c r="L106" s="3"/>
    </row>
    <row r="107" spans="1:12" ht="15.75" customHeight="1">
      <c r="A107" s="568" t="s">
        <v>3734</v>
      </c>
      <c r="B107" s="569">
        <v>81800</v>
      </c>
      <c r="C107" s="569">
        <v>73000</v>
      </c>
      <c r="D107" s="570">
        <f t="shared" si="18"/>
        <v>154800</v>
      </c>
      <c r="E107" s="814">
        <f t="shared" si="19"/>
        <v>185760</v>
      </c>
      <c r="F107" s="719"/>
      <c r="G107" s="603">
        <f t="shared" si="20"/>
        <v>30960</v>
      </c>
      <c r="J107" s="643"/>
      <c r="K107" s="3"/>
    </row>
    <row r="108" spans="1:12" ht="15.75" customHeight="1">
      <c r="A108" s="644" t="s">
        <v>3735</v>
      </c>
      <c r="B108" s="645">
        <v>106950</v>
      </c>
      <c r="C108" s="645">
        <v>13000</v>
      </c>
      <c r="D108" s="646">
        <f t="shared" si="18"/>
        <v>119950</v>
      </c>
      <c r="E108" s="815">
        <f t="shared" si="19"/>
        <v>143940</v>
      </c>
      <c r="F108" s="719"/>
      <c r="G108" s="603">
        <f t="shared" si="20"/>
        <v>23990</v>
      </c>
      <c r="I108" s="3"/>
      <c r="J108" s="643"/>
      <c r="K108" s="3"/>
    </row>
    <row r="109" spans="1:12" ht="15.75" customHeight="1">
      <c r="A109" s="644" t="s">
        <v>3736</v>
      </c>
      <c r="B109" s="645">
        <v>62400</v>
      </c>
      <c r="C109" s="645">
        <v>500</v>
      </c>
      <c r="D109" s="646">
        <f t="shared" si="18"/>
        <v>62900</v>
      </c>
      <c r="E109" s="815">
        <f t="shared" si="19"/>
        <v>75480</v>
      </c>
      <c r="F109" s="719"/>
      <c r="G109" s="603">
        <f t="shared" si="20"/>
        <v>12580</v>
      </c>
      <c r="I109" s="3"/>
      <c r="J109" s="643"/>
      <c r="K109" s="3"/>
    </row>
    <row r="110" spans="1:12" ht="15.75" customHeight="1">
      <c r="A110" s="647" t="s">
        <v>3737</v>
      </c>
      <c r="B110" s="648">
        <v>147900</v>
      </c>
      <c r="C110" s="648">
        <v>40500</v>
      </c>
      <c r="D110" s="649">
        <f t="shared" si="18"/>
        <v>188400</v>
      </c>
      <c r="E110" s="815">
        <f t="shared" si="19"/>
        <v>226080</v>
      </c>
      <c r="F110" s="719"/>
      <c r="G110" s="603">
        <f t="shared" si="20"/>
        <v>37680</v>
      </c>
      <c r="I110" s="3"/>
      <c r="J110" s="650"/>
      <c r="K110" s="3"/>
    </row>
    <row r="111" spans="1:12" ht="15.75" customHeight="1">
      <c r="A111" s="647" t="s">
        <v>3738</v>
      </c>
      <c r="B111" s="648">
        <v>265350</v>
      </c>
      <c r="C111" s="648">
        <v>21650</v>
      </c>
      <c r="D111" s="649">
        <f t="shared" si="18"/>
        <v>287000</v>
      </c>
      <c r="E111" s="815">
        <f t="shared" si="19"/>
        <v>344400</v>
      </c>
      <c r="F111" s="719"/>
      <c r="G111" s="603">
        <f t="shared" si="20"/>
        <v>57400</v>
      </c>
      <c r="I111" s="603"/>
      <c r="J111" s="650"/>
      <c r="K111" s="3"/>
    </row>
    <row r="112" spans="1:12" ht="15.75" customHeight="1">
      <c r="A112" s="580" t="s">
        <v>3739</v>
      </c>
      <c r="B112" s="645">
        <v>36850</v>
      </c>
      <c r="C112" s="645">
        <v>10500</v>
      </c>
      <c r="D112" s="564">
        <f t="shared" si="18"/>
        <v>47350</v>
      </c>
      <c r="E112" s="815">
        <f t="shared" si="19"/>
        <v>56820</v>
      </c>
      <c r="F112" s="719"/>
      <c r="G112" s="603">
        <f t="shared" si="20"/>
        <v>9470</v>
      </c>
      <c r="I112" s="651"/>
      <c r="J112" s="643"/>
      <c r="K112" s="3"/>
    </row>
    <row r="113" spans="1:12" ht="15.75" customHeight="1">
      <c r="A113" s="580" t="s">
        <v>3740</v>
      </c>
      <c r="B113" s="645">
        <v>92250</v>
      </c>
      <c r="C113" s="645">
        <v>4500</v>
      </c>
      <c r="D113" s="564">
        <f t="shared" si="18"/>
        <v>96750</v>
      </c>
      <c r="E113" s="815">
        <f t="shared" si="19"/>
        <v>116100</v>
      </c>
      <c r="F113" s="719"/>
      <c r="G113" s="603">
        <f t="shared" si="20"/>
        <v>19350</v>
      </c>
      <c r="J113" s="643"/>
      <c r="K113" s="3"/>
    </row>
    <row r="114" spans="1:12" ht="15.75" customHeight="1">
      <c r="A114" s="652" t="s">
        <v>3741</v>
      </c>
      <c r="B114" s="653">
        <v>45700</v>
      </c>
      <c r="C114" s="653">
        <v>5500</v>
      </c>
      <c r="D114" s="635">
        <f t="shared" si="18"/>
        <v>51200</v>
      </c>
      <c r="E114" s="816">
        <f t="shared" si="19"/>
        <v>61440</v>
      </c>
      <c r="F114" s="719"/>
      <c r="G114" s="654">
        <f t="shared" si="20"/>
        <v>10240</v>
      </c>
      <c r="J114" s="643"/>
      <c r="K114" s="3"/>
    </row>
    <row r="115" spans="1:12" ht="15.75" customHeight="1">
      <c r="A115" s="652" t="s">
        <v>3742</v>
      </c>
      <c r="B115" s="653">
        <v>0</v>
      </c>
      <c r="C115" s="653">
        <v>230700</v>
      </c>
      <c r="D115" s="635">
        <f t="shared" si="18"/>
        <v>230700</v>
      </c>
      <c r="E115" s="816">
        <f t="shared" si="19"/>
        <v>276840</v>
      </c>
      <c r="F115" s="719"/>
      <c r="G115" s="654">
        <f t="shared" si="20"/>
        <v>46140</v>
      </c>
      <c r="J115" s="643"/>
      <c r="K115" s="3"/>
      <c r="L115" s="3"/>
    </row>
    <row r="116" spans="1:12" ht="15.75" customHeight="1">
      <c r="A116" s="652" t="s">
        <v>3743</v>
      </c>
      <c r="B116" s="653">
        <v>56600</v>
      </c>
      <c r="C116" s="653">
        <v>3000</v>
      </c>
      <c r="D116" s="635">
        <f t="shared" si="18"/>
        <v>59600</v>
      </c>
      <c r="E116" s="817">
        <f t="shared" si="19"/>
        <v>71520</v>
      </c>
      <c r="F116" s="719"/>
      <c r="G116" s="654">
        <f t="shared" si="20"/>
        <v>11920</v>
      </c>
      <c r="J116" s="643"/>
      <c r="K116" s="3"/>
    </row>
    <row r="117" spans="1:12" ht="15.75" customHeight="1">
      <c r="A117" s="652" t="s">
        <v>3744</v>
      </c>
      <c r="B117" s="653">
        <v>37750</v>
      </c>
      <c r="C117" s="653">
        <v>2000</v>
      </c>
      <c r="D117" s="635">
        <f t="shared" si="18"/>
        <v>39750</v>
      </c>
      <c r="E117" s="817">
        <f t="shared" si="19"/>
        <v>47700</v>
      </c>
      <c r="F117" s="719"/>
      <c r="G117" s="654">
        <f t="shared" si="20"/>
        <v>7950</v>
      </c>
      <c r="J117" s="643"/>
      <c r="K117" s="3"/>
    </row>
    <row r="118" spans="1:12" ht="15.75" customHeight="1">
      <c r="A118" s="655">
        <v>42095</v>
      </c>
      <c r="B118" s="653">
        <v>21950</v>
      </c>
      <c r="C118" s="653">
        <v>6000</v>
      </c>
      <c r="D118" s="635">
        <f t="shared" si="18"/>
        <v>27950</v>
      </c>
      <c r="E118" s="817">
        <f t="shared" si="19"/>
        <v>33540</v>
      </c>
      <c r="F118" s="719"/>
      <c r="G118" s="654">
        <f t="shared" si="20"/>
        <v>5590</v>
      </c>
      <c r="J118" s="643"/>
      <c r="K118" s="3"/>
    </row>
    <row r="119" spans="1:12" ht="15.75" customHeight="1">
      <c r="A119" s="652" t="s">
        <v>3745</v>
      </c>
      <c r="B119" s="653">
        <v>33250</v>
      </c>
      <c r="C119" s="653">
        <v>63000</v>
      </c>
      <c r="D119" s="635">
        <f t="shared" si="18"/>
        <v>96250</v>
      </c>
      <c r="E119" s="817">
        <f t="shared" si="19"/>
        <v>115500</v>
      </c>
      <c r="F119" s="719"/>
      <c r="G119" s="654">
        <f t="shared" si="20"/>
        <v>19250</v>
      </c>
      <c r="J119" s="643"/>
      <c r="K119" s="3"/>
    </row>
    <row r="120" spans="1:12" ht="15.75" customHeight="1">
      <c r="A120" s="584" t="s">
        <v>3746</v>
      </c>
      <c r="B120" s="585">
        <v>30800</v>
      </c>
      <c r="C120" s="585">
        <v>93500</v>
      </c>
      <c r="D120" s="587">
        <f t="shared" si="18"/>
        <v>124300</v>
      </c>
      <c r="E120" s="818">
        <f t="shared" si="19"/>
        <v>149160</v>
      </c>
      <c r="F120" s="719"/>
      <c r="G120" s="656">
        <f t="shared" si="20"/>
        <v>24860</v>
      </c>
      <c r="J120" s="643"/>
      <c r="K120" s="3"/>
    </row>
    <row r="121" spans="1:12" ht="15.75" customHeight="1">
      <c r="A121" s="584" t="s">
        <v>3747</v>
      </c>
      <c r="B121" s="585">
        <v>46500</v>
      </c>
      <c r="C121" s="585">
        <v>1000</v>
      </c>
      <c r="D121" s="587">
        <f t="shared" si="18"/>
        <v>47500</v>
      </c>
      <c r="E121" s="818">
        <f t="shared" si="19"/>
        <v>57000</v>
      </c>
      <c r="F121" s="719"/>
      <c r="G121" s="656">
        <f t="shared" si="20"/>
        <v>9500</v>
      </c>
      <c r="J121" s="643"/>
      <c r="K121" s="3"/>
    </row>
    <row r="122" spans="1:12" ht="15.75" customHeight="1">
      <c r="A122" s="589">
        <v>47209</v>
      </c>
      <c r="B122" s="585">
        <v>700</v>
      </c>
      <c r="C122" s="585">
        <v>0</v>
      </c>
      <c r="D122" s="587">
        <f t="shared" si="18"/>
        <v>700</v>
      </c>
      <c r="E122" s="818">
        <f t="shared" si="19"/>
        <v>840</v>
      </c>
      <c r="F122" s="719"/>
      <c r="G122" s="656">
        <f t="shared" si="20"/>
        <v>140</v>
      </c>
      <c r="J122" s="643"/>
      <c r="K122" s="3"/>
    </row>
    <row r="123" spans="1:12" ht="15.75" customHeight="1">
      <c r="A123" s="589" t="s">
        <v>3748</v>
      </c>
      <c r="B123" s="585">
        <v>64800</v>
      </c>
      <c r="C123" s="585">
        <v>3400</v>
      </c>
      <c r="D123" s="587">
        <f t="shared" si="18"/>
        <v>68200</v>
      </c>
      <c r="E123" s="821">
        <f t="shared" si="19"/>
        <v>81840</v>
      </c>
      <c r="F123" s="719"/>
      <c r="G123" s="656">
        <f t="shared" si="20"/>
        <v>13640</v>
      </c>
      <c r="J123" s="643"/>
      <c r="K123" s="3"/>
    </row>
    <row r="124" spans="1:12" ht="15.75" customHeight="1">
      <c r="A124" s="589" t="s">
        <v>3749</v>
      </c>
      <c r="B124" s="585">
        <v>49100</v>
      </c>
      <c r="C124" s="585">
        <v>8760</v>
      </c>
      <c r="D124" s="587">
        <f t="shared" si="18"/>
        <v>57860</v>
      </c>
      <c r="E124" s="821">
        <f t="shared" si="19"/>
        <v>69432</v>
      </c>
      <c r="F124" s="719"/>
      <c r="G124" s="656">
        <f t="shared" si="20"/>
        <v>11572</v>
      </c>
      <c r="J124" s="643"/>
      <c r="K124" s="3"/>
    </row>
    <row r="125" spans="1:12" ht="15.75" customHeight="1">
      <c r="A125" s="589" t="s">
        <v>3750</v>
      </c>
      <c r="B125" s="585">
        <v>50025</v>
      </c>
      <c r="C125" s="585">
        <v>1000</v>
      </c>
      <c r="D125" s="587">
        <f t="shared" si="18"/>
        <v>51025</v>
      </c>
      <c r="E125" s="821">
        <f t="shared" si="19"/>
        <v>61230</v>
      </c>
      <c r="F125" s="719"/>
      <c r="G125" s="656">
        <f t="shared" si="20"/>
        <v>10205</v>
      </c>
      <c r="J125" s="643"/>
      <c r="K125" s="3"/>
    </row>
    <row r="126" spans="1:12" ht="15.75" customHeight="1">
      <c r="A126" s="589" t="s">
        <v>3751</v>
      </c>
      <c r="B126" s="585">
        <v>27700</v>
      </c>
      <c r="C126" s="585">
        <v>48500</v>
      </c>
      <c r="D126" s="587">
        <f t="shared" si="18"/>
        <v>76200</v>
      </c>
      <c r="E126" s="821">
        <f t="shared" si="19"/>
        <v>91440</v>
      </c>
      <c r="F126" s="719"/>
      <c r="G126" s="656">
        <f t="shared" si="20"/>
        <v>15240</v>
      </c>
      <c r="J126" s="643"/>
      <c r="K126" s="3"/>
    </row>
    <row r="127" spans="1:12" ht="15.75" customHeight="1">
      <c r="A127" s="589">
        <v>43952</v>
      </c>
      <c r="B127" s="585">
        <v>10000</v>
      </c>
      <c r="C127" s="585">
        <v>0</v>
      </c>
      <c r="D127" s="587">
        <f t="shared" si="18"/>
        <v>10000</v>
      </c>
      <c r="E127" s="821">
        <f t="shared" si="19"/>
        <v>12000</v>
      </c>
      <c r="F127" s="719"/>
      <c r="G127" s="656">
        <f t="shared" si="20"/>
        <v>2000</v>
      </c>
      <c r="J127" s="643"/>
      <c r="K127" s="3"/>
    </row>
    <row r="128" spans="1:12" ht="15.75" customHeight="1">
      <c r="A128" s="657" t="s">
        <v>3799</v>
      </c>
      <c r="B128" s="658">
        <v>0</v>
      </c>
      <c r="C128" s="658">
        <v>3500</v>
      </c>
      <c r="D128" s="659">
        <f t="shared" si="18"/>
        <v>3500</v>
      </c>
      <c r="E128" s="822">
        <f t="shared" si="19"/>
        <v>4200</v>
      </c>
      <c r="F128" s="719"/>
      <c r="G128" s="660">
        <f t="shared" si="20"/>
        <v>700</v>
      </c>
      <c r="J128" s="661"/>
      <c r="K128" s="3"/>
    </row>
    <row r="129" spans="1:11" ht="15.75" customHeight="1">
      <c r="A129" s="657" t="s">
        <v>3753</v>
      </c>
      <c r="B129" s="658">
        <v>57650</v>
      </c>
      <c r="C129" s="658">
        <v>9000</v>
      </c>
      <c r="D129" s="659">
        <f t="shared" si="18"/>
        <v>66650</v>
      </c>
      <c r="E129" s="823">
        <f t="shared" si="19"/>
        <v>79980</v>
      </c>
      <c r="F129" s="719"/>
      <c r="G129" s="660">
        <f t="shared" si="20"/>
        <v>13330</v>
      </c>
      <c r="J129" s="661"/>
      <c r="K129" s="3"/>
    </row>
    <row r="130" spans="1:11" ht="15.75" customHeight="1">
      <c r="A130" s="657" t="s">
        <v>3754</v>
      </c>
      <c r="B130" s="658">
        <v>61350</v>
      </c>
      <c r="C130" s="658">
        <v>6300</v>
      </c>
      <c r="D130" s="659">
        <f t="shared" si="18"/>
        <v>67650</v>
      </c>
      <c r="E130" s="823">
        <f t="shared" si="19"/>
        <v>81180</v>
      </c>
      <c r="F130" s="719"/>
      <c r="G130" s="660">
        <f t="shared" si="20"/>
        <v>13530</v>
      </c>
      <c r="J130" s="661"/>
      <c r="K130" s="3"/>
    </row>
    <row r="131" spans="1:11" ht="15.75" customHeight="1">
      <c r="A131" s="657">
        <v>42156</v>
      </c>
      <c r="B131" s="658">
        <v>3300</v>
      </c>
      <c r="C131" s="658">
        <v>1000</v>
      </c>
      <c r="D131" s="659">
        <f t="shared" si="18"/>
        <v>4300</v>
      </c>
      <c r="E131" s="823">
        <f t="shared" si="19"/>
        <v>5160</v>
      </c>
      <c r="F131" s="719"/>
      <c r="G131" s="660">
        <f t="shared" si="20"/>
        <v>860</v>
      </c>
      <c r="J131" s="661"/>
      <c r="K131" s="3"/>
    </row>
    <row r="132" spans="1:11" ht="15.75" customHeight="1">
      <c r="A132" s="583" t="s">
        <v>3755</v>
      </c>
      <c r="B132" s="581">
        <v>37250</v>
      </c>
      <c r="C132" s="581">
        <v>1300</v>
      </c>
      <c r="D132" s="564">
        <f t="shared" si="18"/>
        <v>38550</v>
      </c>
      <c r="E132" s="819">
        <f t="shared" si="19"/>
        <v>46260</v>
      </c>
      <c r="F132" s="719"/>
      <c r="G132" s="603">
        <f t="shared" si="20"/>
        <v>7710</v>
      </c>
      <c r="J132" s="661"/>
      <c r="K132" s="3"/>
    </row>
    <row r="133" spans="1:11" ht="15.75" customHeight="1">
      <c r="A133" s="583" t="s">
        <v>3756</v>
      </c>
      <c r="B133" s="581">
        <v>21670</v>
      </c>
      <c r="C133" s="581">
        <v>2500</v>
      </c>
      <c r="D133" s="564">
        <f t="shared" si="18"/>
        <v>24170</v>
      </c>
      <c r="E133" s="819">
        <f t="shared" si="19"/>
        <v>29004</v>
      </c>
      <c r="F133" s="719"/>
      <c r="G133" s="603">
        <f t="shared" si="20"/>
        <v>4834</v>
      </c>
      <c r="J133" s="661"/>
      <c r="K133" s="3"/>
    </row>
    <row r="134" spans="1:11" ht="15.75" customHeight="1">
      <c r="A134" s="583" t="s">
        <v>3757</v>
      </c>
      <c r="B134" s="581">
        <v>89100</v>
      </c>
      <c r="C134" s="581">
        <v>56250</v>
      </c>
      <c r="D134" s="564">
        <f t="shared" si="18"/>
        <v>145350</v>
      </c>
      <c r="E134" s="819">
        <f t="shared" si="19"/>
        <v>174420</v>
      </c>
      <c r="F134" s="719"/>
      <c r="G134" s="603">
        <f t="shared" si="20"/>
        <v>29070</v>
      </c>
      <c r="H134" s="651"/>
      <c r="I134" s="603"/>
      <c r="J134" s="661"/>
      <c r="K134" s="3"/>
    </row>
    <row r="135" spans="1:11" ht="15.75" customHeight="1">
      <c r="A135" s="662" t="s">
        <v>3758</v>
      </c>
      <c r="B135" s="663">
        <v>251000</v>
      </c>
      <c r="C135" s="663">
        <v>11200</v>
      </c>
      <c r="D135" s="664">
        <f t="shared" si="18"/>
        <v>262200</v>
      </c>
      <c r="E135" s="824">
        <f t="shared" si="19"/>
        <v>314640</v>
      </c>
      <c r="F135" s="719"/>
      <c r="G135" s="665">
        <f t="shared" si="20"/>
        <v>52440</v>
      </c>
      <c r="J135" s="661"/>
      <c r="K135" s="3"/>
    </row>
    <row r="136" spans="1:11" ht="15.75" customHeight="1">
      <c r="A136" s="662" t="s">
        <v>3759</v>
      </c>
      <c r="B136" s="663">
        <v>133950</v>
      </c>
      <c r="C136" s="663">
        <v>7300</v>
      </c>
      <c r="D136" s="664">
        <f t="shared" si="18"/>
        <v>141250</v>
      </c>
      <c r="E136" s="824">
        <f t="shared" si="19"/>
        <v>169500</v>
      </c>
      <c r="F136" s="719"/>
      <c r="G136" s="665">
        <f t="shared" si="20"/>
        <v>28250</v>
      </c>
      <c r="J136" s="661"/>
      <c r="K136" s="3"/>
    </row>
    <row r="137" spans="1:11" ht="15.75" customHeight="1">
      <c r="A137" s="662" t="s">
        <v>3760</v>
      </c>
      <c r="B137" s="663">
        <v>21300</v>
      </c>
      <c r="C137" s="663">
        <v>19830</v>
      </c>
      <c r="D137" s="664">
        <f t="shared" si="18"/>
        <v>41130</v>
      </c>
      <c r="E137" s="824">
        <f t="shared" si="19"/>
        <v>49356</v>
      </c>
      <c r="F137" s="719"/>
      <c r="G137" s="665">
        <f t="shared" si="20"/>
        <v>8226</v>
      </c>
      <c r="J137" s="661"/>
      <c r="K137" s="3"/>
    </row>
    <row r="138" spans="1:11" ht="15.75" customHeight="1">
      <c r="A138" s="662">
        <v>42186</v>
      </c>
      <c r="B138" s="663">
        <v>42550</v>
      </c>
      <c r="C138" s="663">
        <v>29780</v>
      </c>
      <c r="D138" s="664">
        <f t="shared" si="18"/>
        <v>72330</v>
      </c>
      <c r="E138" s="824">
        <f t="shared" si="19"/>
        <v>86796</v>
      </c>
      <c r="F138" s="719"/>
      <c r="G138" s="665">
        <f t="shared" si="20"/>
        <v>14466</v>
      </c>
      <c r="J138" s="661"/>
      <c r="K138" s="3"/>
    </row>
    <row r="139" spans="1:11" ht="15.75" customHeight="1">
      <c r="A139" s="662" t="s">
        <v>3761</v>
      </c>
      <c r="B139" s="663">
        <v>64850</v>
      </c>
      <c r="C139" s="663">
        <v>27280</v>
      </c>
      <c r="D139" s="664">
        <f t="shared" si="18"/>
        <v>92130</v>
      </c>
      <c r="E139" s="824">
        <f t="shared" si="19"/>
        <v>110556</v>
      </c>
      <c r="F139" s="719"/>
      <c r="G139" s="665">
        <f t="shared" si="20"/>
        <v>18426</v>
      </c>
      <c r="J139" s="661"/>
      <c r="K139" s="3"/>
    </row>
    <row r="140" spans="1:11" ht="15.75" customHeight="1">
      <c r="A140" s="662" t="s">
        <v>3762</v>
      </c>
      <c r="B140" s="663">
        <v>0</v>
      </c>
      <c r="C140" s="663">
        <v>6450</v>
      </c>
      <c r="D140" s="664">
        <f t="shared" si="18"/>
        <v>6450</v>
      </c>
      <c r="E140" s="824">
        <f t="shared" si="19"/>
        <v>7740</v>
      </c>
      <c r="F140" s="719"/>
      <c r="G140" s="665">
        <f t="shared" si="20"/>
        <v>1290</v>
      </c>
      <c r="J140" s="661"/>
      <c r="K140" s="3"/>
    </row>
    <row r="141" spans="1:11" ht="15.75" customHeight="1">
      <c r="A141" s="666" t="s">
        <v>3763</v>
      </c>
      <c r="B141" s="667">
        <v>234900</v>
      </c>
      <c r="C141" s="667">
        <v>55259</v>
      </c>
      <c r="D141" s="668">
        <f t="shared" si="18"/>
        <v>290159</v>
      </c>
      <c r="E141" s="825">
        <f t="shared" si="19"/>
        <v>348190.8</v>
      </c>
      <c r="F141" s="719"/>
      <c r="G141" s="669">
        <f t="shared" si="20"/>
        <v>58031.8</v>
      </c>
      <c r="J141" s="661"/>
      <c r="K141" s="3"/>
    </row>
    <row r="142" spans="1:11" ht="15.75" customHeight="1">
      <c r="A142" s="666">
        <v>40391</v>
      </c>
      <c r="B142" s="667">
        <v>103750</v>
      </c>
      <c r="C142" s="667">
        <v>23100</v>
      </c>
      <c r="D142" s="668">
        <f t="shared" si="18"/>
        <v>126850</v>
      </c>
      <c r="E142" s="825">
        <f t="shared" si="19"/>
        <v>152220</v>
      </c>
      <c r="F142" s="719"/>
      <c r="G142" s="669">
        <f t="shared" si="20"/>
        <v>25370</v>
      </c>
      <c r="J142" s="661"/>
    </row>
    <row r="143" spans="1:11" ht="15.75" customHeight="1">
      <c r="A143" s="666" t="s">
        <v>3765</v>
      </c>
      <c r="B143" s="667">
        <v>51400</v>
      </c>
      <c r="C143" s="667">
        <v>19650</v>
      </c>
      <c r="D143" s="668">
        <f t="shared" si="18"/>
        <v>71050</v>
      </c>
      <c r="E143" s="825">
        <f t="shared" si="19"/>
        <v>85260</v>
      </c>
      <c r="F143" s="719"/>
      <c r="G143" s="669">
        <f t="shared" si="20"/>
        <v>14210</v>
      </c>
      <c r="J143" s="661"/>
    </row>
    <row r="144" spans="1:11" ht="15.75" customHeight="1">
      <c r="A144" s="666" t="s">
        <v>3766</v>
      </c>
      <c r="B144" s="667">
        <v>97150</v>
      </c>
      <c r="C144" s="667">
        <v>13300</v>
      </c>
      <c r="D144" s="668">
        <f t="shared" si="18"/>
        <v>110450</v>
      </c>
      <c r="E144" s="825">
        <f t="shared" si="19"/>
        <v>132540</v>
      </c>
      <c r="F144" s="719"/>
      <c r="G144" s="669">
        <f t="shared" si="20"/>
        <v>22090</v>
      </c>
      <c r="J144" s="661"/>
    </row>
    <row r="145" spans="1:12" ht="15.75" customHeight="1">
      <c r="A145" s="666" t="s">
        <v>3800</v>
      </c>
      <c r="B145" s="667">
        <v>72250</v>
      </c>
      <c r="C145" s="667">
        <v>1500</v>
      </c>
      <c r="D145" s="668">
        <f t="shared" si="18"/>
        <v>73750</v>
      </c>
      <c r="E145" s="825">
        <f t="shared" si="19"/>
        <v>88500</v>
      </c>
      <c r="F145" s="719"/>
      <c r="G145" s="669">
        <f t="shared" si="20"/>
        <v>14750</v>
      </c>
      <c r="J145" s="661"/>
    </row>
    <row r="146" spans="1:12" ht="15.75" customHeight="1">
      <c r="A146" s="666" t="s">
        <v>3768</v>
      </c>
      <c r="B146" s="667">
        <v>107800</v>
      </c>
      <c r="C146" s="667">
        <v>2500</v>
      </c>
      <c r="D146" s="668">
        <f t="shared" si="18"/>
        <v>110300</v>
      </c>
      <c r="E146" s="825">
        <f t="shared" si="19"/>
        <v>132360</v>
      </c>
      <c r="F146" s="719"/>
      <c r="G146" s="669">
        <f t="shared" si="20"/>
        <v>22060</v>
      </c>
      <c r="J146" s="661"/>
    </row>
    <row r="147" spans="1:12" ht="15.75" customHeight="1">
      <c r="A147" s="666" t="s">
        <v>3769</v>
      </c>
      <c r="B147" s="667">
        <v>32400</v>
      </c>
      <c r="C147" s="667">
        <v>1000</v>
      </c>
      <c r="D147" s="668">
        <f t="shared" si="18"/>
        <v>33400</v>
      </c>
      <c r="E147" s="825">
        <f t="shared" si="19"/>
        <v>40080</v>
      </c>
      <c r="F147" s="719"/>
      <c r="G147" s="669">
        <f t="shared" si="20"/>
        <v>6680</v>
      </c>
      <c r="J147" s="661"/>
      <c r="K147" s="81"/>
      <c r="L147" s="81"/>
    </row>
    <row r="148" spans="1:12" ht="15.75" customHeight="1">
      <c r="A148" s="666">
        <v>45505</v>
      </c>
      <c r="B148" s="667">
        <v>28250</v>
      </c>
      <c r="C148" s="667">
        <v>500</v>
      </c>
      <c r="D148" s="668">
        <f t="shared" si="18"/>
        <v>28750</v>
      </c>
      <c r="E148" s="825">
        <f t="shared" si="19"/>
        <v>34500</v>
      </c>
      <c r="F148" s="719"/>
      <c r="G148" s="669">
        <f t="shared" si="20"/>
        <v>5750</v>
      </c>
      <c r="J148" s="661"/>
    </row>
    <row r="149" spans="1:12" ht="15.75" customHeight="1">
      <c r="A149" s="666" t="s">
        <v>3770</v>
      </c>
      <c r="B149" s="667">
        <v>27200</v>
      </c>
      <c r="C149" s="667">
        <v>5175</v>
      </c>
      <c r="D149" s="668">
        <f t="shared" si="18"/>
        <v>32375</v>
      </c>
      <c r="E149" s="825">
        <f t="shared" si="19"/>
        <v>38850</v>
      </c>
      <c r="F149" s="719"/>
      <c r="G149" s="669">
        <f t="shared" si="20"/>
        <v>6475</v>
      </c>
      <c r="J149" s="661"/>
      <c r="L149" s="81"/>
    </row>
    <row r="150" spans="1:12" ht="15.75" customHeight="1">
      <c r="A150" s="583" t="s">
        <v>3771</v>
      </c>
      <c r="B150" s="581">
        <v>136400</v>
      </c>
      <c r="C150" s="581">
        <v>3000</v>
      </c>
      <c r="D150" s="564">
        <f t="shared" si="18"/>
        <v>139400</v>
      </c>
      <c r="E150" s="819">
        <f t="shared" si="19"/>
        <v>167280</v>
      </c>
      <c r="F150" s="719"/>
      <c r="G150" s="603">
        <f t="shared" si="20"/>
        <v>27880</v>
      </c>
      <c r="J150" s="661"/>
      <c r="K150" s="3"/>
    </row>
    <row r="151" spans="1:12" ht="15.75" customHeight="1">
      <c r="A151" s="583" t="s">
        <v>3772</v>
      </c>
      <c r="B151" s="581">
        <v>29400</v>
      </c>
      <c r="C151" s="581">
        <v>0</v>
      </c>
      <c r="D151" s="564">
        <f t="shared" si="18"/>
        <v>29400</v>
      </c>
      <c r="E151" s="819">
        <f t="shared" si="19"/>
        <v>35280</v>
      </c>
      <c r="F151" s="719"/>
      <c r="G151" s="603">
        <f t="shared" si="20"/>
        <v>5880</v>
      </c>
      <c r="J151" s="661"/>
      <c r="K151" s="3"/>
    </row>
    <row r="152" spans="1:12" ht="15.75" customHeight="1">
      <c r="A152" s="583" t="s">
        <v>3773</v>
      </c>
      <c r="B152" s="581">
        <v>59250</v>
      </c>
      <c r="C152" s="581">
        <v>2000</v>
      </c>
      <c r="D152" s="564">
        <f t="shared" si="18"/>
        <v>61250</v>
      </c>
      <c r="E152" s="819">
        <f t="shared" si="19"/>
        <v>73500</v>
      </c>
      <c r="F152" s="719"/>
      <c r="G152" s="603">
        <f t="shared" si="20"/>
        <v>12250</v>
      </c>
      <c r="J152" s="661"/>
      <c r="K152" s="651"/>
    </row>
    <row r="153" spans="1:12" ht="15.75" customHeight="1">
      <c r="A153" s="583" t="s">
        <v>3774</v>
      </c>
      <c r="B153" s="581">
        <v>65950</v>
      </c>
      <c r="C153" s="581">
        <v>5400</v>
      </c>
      <c r="D153" s="564">
        <f t="shared" si="18"/>
        <v>71350</v>
      </c>
      <c r="E153" s="819">
        <f t="shared" si="19"/>
        <v>85620</v>
      </c>
      <c r="F153" s="719"/>
      <c r="G153" s="603">
        <f t="shared" si="20"/>
        <v>14270</v>
      </c>
      <c r="J153" s="661"/>
    </row>
    <row r="154" spans="1:12" ht="15.75" customHeight="1">
      <c r="A154" s="583" t="s">
        <v>3775</v>
      </c>
      <c r="B154" s="581">
        <v>143250</v>
      </c>
      <c r="C154" s="581">
        <v>12200</v>
      </c>
      <c r="D154" s="564">
        <f t="shared" si="18"/>
        <v>155450</v>
      </c>
      <c r="E154" s="819">
        <f t="shared" si="19"/>
        <v>186540</v>
      </c>
      <c r="F154" s="719"/>
      <c r="G154" s="603">
        <f t="shared" si="20"/>
        <v>31090</v>
      </c>
      <c r="J154" s="661"/>
    </row>
    <row r="155" spans="1:12" ht="15.75" customHeight="1">
      <c r="A155" s="583" t="s">
        <v>3776</v>
      </c>
      <c r="B155" s="581">
        <v>122200</v>
      </c>
      <c r="C155" s="581">
        <v>46375</v>
      </c>
      <c r="D155" s="564">
        <f t="shared" si="18"/>
        <v>168575</v>
      </c>
      <c r="E155" s="819">
        <f t="shared" si="19"/>
        <v>202290</v>
      </c>
      <c r="F155" s="719"/>
      <c r="G155" s="603">
        <f t="shared" si="20"/>
        <v>33715</v>
      </c>
      <c r="J155" s="661"/>
    </row>
    <row r="156" spans="1:12" ht="15.75" customHeight="1">
      <c r="A156" s="583" t="s">
        <v>3801</v>
      </c>
      <c r="B156" s="581">
        <v>47450</v>
      </c>
      <c r="C156" s="581">
        <v>1000</v>
      </c>
      <c r="D156" s="564">
        <f t="shared" si="18"/>
        <v>48450</v>
      </c>
      <c r="E156" s="819">
        <f t="shared" si="19"/>
        <v>58140</v>
      </c>
      <c r="F156" s="719"/>
      <c r="G156" s="603">
        <f t="shared" si="20"/>
        <v>9690</v>
      </c>
      <c r="J156" s="661"/>
    </row>
    <row r="157" spans="1:12" ht="15.75" customHeight="1">
      <c r="A157" s="583" t="s">
        <v>3778</v>
      </c>
      <c r="B157" s="581">
        <v>34200</v>
      </c>
      <c r="C157" s="581">
        <v>3000</v>
      </c>
      <c r="D157" s="564">
        <f t="shared" si="18"/>
        <v>37200</v>
      </c>
      <c r="E157" s="819">
        <f t="shared" si="19"/>
        <v>44640</v>
      </c>
      <c r="F157" s="719"/>
      <c r="G157" s="603">
        <f t="shared" si="20"/>
        <v>7440</v>
      </c>
      <c r="J157" s="661"/>
    </row>
    <row r="158" spans="1:12" ht="15.75" customHeight="1">
      <c r="A158" s="583" t="s">
        <v>3779</v>
      </c>
      <c r="B158" s="581">
        <v>22700</v>
      </c>
      <c r="C158" s="581">
        <v>500</v>
      </c>
      <c r="D158" s="564">
        <f t="shared" si="18"/>
        <v>23200</v>
      </c>
      <c r="E158" s="819">
        <f t="shared" si="19"/>
        <v>27840</v>
      </c>
      <c r="F158" s="719"/>
      <c r="G158" s="603">
        <f t="shared" si="20"/>
        <v>4640</v>
      </c>
      <c r="J158" s="661"/>
    </row>
    <row r="159" spans="1:12" ht="15.75" customHeight="1">
      <c r="A159" s="583" t="s">
        <v>3780</v>
      </c>
      <c r="B159" s="581">
        <v>9650</v>
      </c>
      <c r="C159" s="581">
        <v>500</v>
      </c>
      <c r="D159" s="564">
        <f t="shared" si="18"/>
        <v>10150</v>
      </c>
      <c r="E159" s="819">
        <f t="shared" si="19"/>
        <v>12180</v>
      </c>
      <c r="F159" s="719"/>
      <c r="G159" s="603">
        <f t="shared" si="20"/>
        <v>2030</v>
      </c>
      <c r="J159" s="3"/>
    </row>
    <row r="160" spans="1:12" ht="15.75" customHeight="1">
      <c r="A160" s="583" t="s">
        <v>3781</v>
      </c>
      <c r="B160" s="581">
        <v>58600</v>
      </c>
      <c r="C160" s="581">
        <v>55000</v>
      </c>
      <c r="D160" s="564">
        <f t="shared" si="18"/>
        <v>113600</v>
      </c>
      <c r="E160" s="819">
        <f t="shared" si="19"/>
        <v>136320</v>
      </c>
      <c r="F160" s="719"/>
      <c r="G160" s="603">
        <f t="shared" si="20"/>
        <v>22720</v>
      </c>
    </row>
    <row r="161" spans="1:12" ht="15.75" customHeight="1">
      <c r="A161" s="583" t="s">
        <v>3782</v>
      </c>
      <c r="B161" s="581">
        <v>66700</v>
      </c>
      <c r="C161" s="581">
        <v>28500</v>
      </c>
      <c r="D161" s="564">
        <f t="shared" si="18"/>
        <v>95200</v>
      </c>
      <c r="E161" s="819">
        <f t="shared" si="19"/>
        <v>114240</v>
      </c>
      <c r="F161" s="719"/>
      <c r="G161" s="603">
        <f t="shared" si="20"/>
        <v>19040</v>
      </c>
    </row>
    <row r="162" spans="1:12" ht="15.75" customHeight="1">
      <c r="A162" s="583">
        <v>37926</v>
      </c>
      <c r="B162" s="581">
        <v>12850</v>
      </c>
      <c r="C162" s="581">
        <v>6810</v>
      </c>
      <c r="D162" s="564">
        <f t="shared" si="18"/>
        <v>19660</v>
      </c>
      <c r="E162" s="819">
        <f t="shared" si="19"/>
        <v>23592</v>
      </c>
      <c r="F162" s="719"/>
      <c r="G162" s="603">
        <f t="shared" si="20"/>
        <v>3932</v>
      </c>
    </row>
    <row r="163" spans="1:12" ht="15.75" customHeight="1">
      <c r="A163" s="583" t="s">
        <v>3784</v>
      </c>
      <c r="B163" s="581">
        <v>48250</v>
      </c>
      <c r="C163" s="581">
        <v>71000</v>
      </c>
      <c r="D163" s="564">
        <f t="shared" si="18"/>
        <v>119250</v>
      </c>
      <c r="E163" s="819">
        <f t="shared" si="19"/>
        <v>143100</v>
      </c>
      <c r="F163" s="719"/>
      <c r="G163" s="603">
        <f t="shared" si="20"/>
        <v>23850</v>
      </c>
    </row>
    <row r="164" spans="1:12" ht="15.75" customHeight="1">
      <c r="A164" s="583" t="s">
        <v>3786</v>
      </c>
      <c r="B164" s="581">
        <v>66650</v>
      </c>
      <c r="C164" s="581">
        <v>10500</v>
      </c>
      <c r="D164" s="564">
        <f t="shared" si="18"/>
        <v>77150</v>
      </c>
      <c r="E164" s="819">
        <f t="shared" si="19"/>
        <v>92580</v>
      </c>
      <c r="F164" s="719"/>
      <c r="G164" s="603">
        <f t="shared" si="20"/>
        <v>15430</v>
      </c>
    </row>
    <row r="165" spans="1:12" ht="15.75" customHeight="1">
      <c r="A165" s="583">
        <v>40483</v>
      </c>
      <c r="B165" s="581">
        <v>33050</v>
      </c>
      <c r="C165" s="581">
        <v>0</v>
      </c>
      <c r="D165" s="564">
        <f t="shared" si="18"/>
        <v>33050</v>
      </c>
      <c r="E165" s="819">
        <f t="shared" si="19"/>
        <v>39660</v>
      </c>
      <c r="F165" s="719"/>
      <c r="G165" s="603">
        <f t="shared" si="20"/>
        <v>6610</v>
      </c>
    </row>
    <row r="166" spans="1:12" ht="15.75" customHeight="1">
      <c r="A166" s="583" t="s">
        <v>3802</v>
      </c>
      <c r="B166" s="581">
        <v>129150</v>
      </c>
      <c r="C166" s="581">
        <v>61900</v>
      </c>
      <c r="D166" s="564">
        <f t="shared" si="18"/>
        <v>191050</v>
      </c>
      <c r="E166" s="819">
        <f t="shared" si="19"/>
        <v>229260</v>
      </c>
      <c r="F166" s="719"/>
      <c r="G166" s="603">
        <f t="shared" si="20"/>
        <v>38210</v>
      </c>
    </row>
    <row r="167" spans="1:12" ht="15.75" customHeight="1">
      <c r="A167" s="583">
        <v>46327</v>
      </c>
      <c r="B167" s="581">
        <v>7400</v>
      </c>
      <c r="C167" s="581">
        <v>0</v>
      </c>
      <c r="D167" s="564">
        <f t="shared" si="18"/>
        <v>7400</v>
      </c>
      <c r="E167" s="819">
        <f t="shared" si="19"/>
        <v>8880</v>
      </c>
      <c r="F167" s="719"/>
      <c r="G167" s="603">
        <f t="shared" si="20"/>
        <v>1480</v>
      </c>
    </row>
    <row r="168" spans="1:12" ht="15.75" customHeight="1">
      <c r="A168" s="583">
        <v>37226</v>
      </c>
      <c r="B168" s="581">
        <v>20650</v>
      </c>
      <c r="C168" s="581">
        <v>350</v>
      </c>
      <c r="D168" s="564">
        <f t="shared" si="18"/>
        <v>21000</v>
      </c>
      <c r="E168" s="819">
        <f t="shared" si="19"/>
        <v>25200</v>
      </c>
      <c r="F168" s="719"/>
      <c r="G168" s="603">
        <f t="shared" si="20"/>
        <v>4200</v>
      </c>
      <c r="J168" s="3"/>
      <c r="K168" s="81"/>
      <c r="L168" s="3"/>
    </row>
    <row r="169" spans="1:12" ht="15.75" customHeight="1">
      <c r="A169" s="583" t="s">
        <v>3803</v>
      </c>
      <c r="B169" s="581">
        <v>224050</v>
      </c>
      <c r="C169" s="581">
        <v>51700</v>
      </c>
      <c r="D169" s="564">
        <f t="shared" si="18"/>
        <v>275750</v>
      </c>
      <c r="E169" s="819">
        <f t="shared" si="19"/>
        <v>330900</v>
      </c>
      <c r="F169" s="719"/>
      <c r="G169" s="603">
        <f t="shared" si="20"/>
        <v>55150</v>
      </c>
      <c r="J169" s="651"/>
    </row>
    <row r="170" spans="1:12" ht="15.75" customHeight="1">
      <c r="A170" s="583"/>
      <c r="B170" s="581"/>
      <c r="C170" s="581"/>
      <c r="D170" s="564">
        <f t="shared" si="18"/>
        <v>0</v>
      </c>
      <c r="E170" s="819">
        <f t="shared" si="19"/>
        <v>0</v>
      </c>
      <c r="F170" s="719"/>
      <c r="G170" s="603">
        <f t="shared" si="20"/>
        <v>0</v>
      </c>
    </row>
    <row r="171" spans="1:12" ht="15.75" customHeight="1">
      <c r="A171" s="583"/>
      <c r="B171" s="581"/>
      <c r="C171" s="581"/>
      <c r="D171" s="564">
        <f t="shared" si="18"/>
        <v>0</v>
      </c>
      <c r="E171" s="819">
        <f t="shared" si="19"/>
        <v>0</v>
      </c>
      <c r="F171" s="719"/>
      <c r="G171" s="603">
        <f t="shared" si="20"/>
        <v>0</v>
      </c>
    </row>
    <row r="172" spans="1:12" ht="15.75" customHeight="1">
      <c r="A172" s="583"/>
      <c r="B172" s="581"/>
      <c r="C172" s="581"/>
      <c r="D172" s="564">
        <f t="shared" si="18"/>
        <v>0</v>
      </c>
      <c r="E172" s="819">
        <f t="shared" si="19"/>
        <v>0</v>
      </c>
      <c r="F172" s="719"/>
      <c r="G172" s="603">
        <f t="shared" si="20"/>
        <v>0</v>
      </c>
    </row>
    <row r="173" spans="1:12" ht="15.75" customHeight="1">
      <c r="A173" s="583"/>
      <c r="B173" s="581"/>
      <c r="C173" s="581"/>
      <c r="D173" s="564">
        <f t="shared" si="18"/>
        <v>0</v>
      </c>
      <c r="E173" s="819">
        <f t="shared" si="19"/>
        <v>0</v>
      </c>
      <c r="F173" s="719"/>
      <c r="G173" s="603">
        <f t="shared" si="20"/>
        <v>0</v>
      </c>
    </row>
    <row r="174" spans="1:12" ht="15.75" customHeight="1">
      <c r="A174" s="583"/>
      <c r="B174" s="581"/>
      <c r="C174" s="581"/>
      <c r="D174" s="564">
        <f t="shared" si="18"/>
        <v>0</v>
      </c>
      <c r="E174" s="819">
        <f t="shared" si="19"/>
        <v>0</v>
      </c>
      <c r="F174" s="719"/>
      <c r="G174" s="603">
        <f t="shared" si="20"/>
        <v>0</v>
      </c>
    </row>
    <row r="175" spans="1:12" ht="15.75" customHeight="1">
      <c r="A175" s="583"/>
      <c r="B175" s="581"/>
      <c r="C175" s="581"/>
      <c r="D175" s="564">
        <f t="shared" si="18"/>
        <v>0</v>
      </c>
      <c r="E175" s="819">
        <f t="shared" si="19"/>
        <v>0</v>
      </c>
      <c r="F175" s="719"/>
      <c r="G175" s="603">
        <f t="shared" si="20"/>
        <v>0</v>
      </c>
    </row>
    <row r="176" spans="1:12" ht="15.75" customHeight="1">
      <c r="A176" s="670"/>
      <c r="B176" s="149"/>
      <c r="C176" s="149"/>
      <c r="D176" s="564">
        <f t="shared" si="18"/>
        <v>0</v>
      </c>
      <c r="E176" s="819">
        <f t="shared" si="19"/>
        <v>0</v>
      </c>
      <c r="F176" s="719"/>
      <c r="G176" s="603">
        <f t="shared" si="20"/>
        <v>0</v>
      </c>
    </row>
    <row r="177" spans="1:12" ht="25.5" customHeight="1">
      <c r="A177" s="671" t="s">
        <v>282</v>
      </c>
      <c r="B177" s="631">
        <f t="shared" ref="B177:C177" si="21">SUM(B99:B176)</f>
        <v>5517875</v>
      </c>
      <c r="C177" s="631">
        <f t="shared" si="21"/>
        <v>1489619</v>
      </c>
      <c r="D177" s="631">
        <f t="shared" si="18"/>
        <v>7007494</v>
      </c>
      <c r="E177" s="820">
        <f>SUM(E99:E176)</f>
        <v>8408992.8000000007</v>
      </c>
      <c r="F177" s="719"/>
      <c r="G177" s="672">
        <f>SUM(G99:G176)</f>
        <v>1401498.8</v>
      </c>
      <c r="J177" s="3"/>
      <c r="K177" s="603"/>
      <c r="L177" s="3"/>
    </row>
    <row r="178" spans="1:12" ht="15.75" customHeight="1">
      <c r="A178" s="826">
        <f>D177*0.2</f>
        <v>1401498.8</v>
      </c>
      <c r="B178" s="743"/>
      <c r="C178" s="743"/>
      <c r="D178" s="719"/>
      <c r="E178" s="827"/>
      <c r="F178" s="711"/>
    </row>
    <row r="179" spans="1:12" ht="27.75" customHeight="1">
      <c r="A179" s="828" t="s">
        <v>3795</v>
      </c>
      <c r="B179" s="743"/>
      <c r="C179" s="719"/>
      <c r="D179" s="673">
        <f>D177+A178</f>
        <v>8408992.8000000007</v>
      </c>
      <c r="E179" s="829">
        <f>E177/6000000</f>
        <v>1.4014988000000002</v>
      </c>
      <c r="F179" s="719"/>
      <c r="G179" s="674">
        <f>E179*100</f>
        <v>140.14988000000002</v>
      </c>
    </row>
    <row r="180" spans="1:12" ht="15.75" customHeight="1"/>
    <row r="181" spans="1:12" ht="15.75" customHeight="1">
      <c r="D181" s="3"/>
    </row>
    <row r="182" spans="1:12" ht="15.75" customHeight="1"/>
    <row r="183" spans="1:12" ht="15.75" customHeight="1"/>
    <row r="184" spans="1:12" ht="15.75" customHeight="1"/>
    <row r="185" spans="1:12" ht="15.75" customHeight="1"/>
    <row r="186" spans="1:12" ht="15.75" customHeight="1"/>
    <row r="187" spans="1:12" ht="15.75" customHeight="1"/>
    <row r="188" spans="1:12" ht="15.75" customHeight="1"/>
    <row r="189" spans="1:12" ht="15.75" customHeight="1"/>
    <row r="190" spans="1:12" ht="15.75" customHeight="1"/>
    <row r="191" spans="1:12" ht="15.75" customHeight="1"/>
    <row r="192" spans="1:1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E158:F158"/>
    <mergeCell ref="E159:F159"/>
    <mergeCell ref="E160:F160"/>
    <mergeCell ref="E161:F161"/>
    <mergeCell ref="E162:F162"/>
    <mergeCell ref="E163:F163"/>
    <mergeCell ref="A178:D178"/>
    <mergeCell ref="E178:F178"/>
    <mergeCell ref="A179:C179"/>
    <mergeCell ref="E179:F179"/>
    <mergeCell ref="E175:F175"/>
    <mergeCell ref="E176:F176"/>
    <mergeCell ref="E177:F177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15:F115"/>
    <mergeCell ref="E116:F116"/>
    <mergeCell ref="E117:F117"/>
    <mergeCell ref="E118:F118"/>
    <mergeCell ref="E119:F119"/>
    <mergeCell ref="E120:F120"/>
    <mergeCell ref="E121:F121"/>
    <mergeCell ref="E164:F164"/>
    <mergeCell ref="E165:F165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B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H92:I92"/>
    <mergeCell ref="K92:L92"/>
    <mergeCell ref="N92:O92"/>
    <mergeCell ref="A90:D90"/>
    <mergeCell ref="E90:G90"/>
    <mergeCell ref="H90:J90"/>
    <mergeCell ref="K90:M90"/>
    <mergeCell ref="N90:P90"/>
    <mergeCell ref="E91:F91"/>
    <mergeCell ref="N91:O91"/>
    <mergeCell ref="A91:C91"/>
    <mergeCell ref="A92:C92"/>
    <mergeCell ref="E92:F92"/>
    <mergeCell ref="A1:M1"/>
    <mergeCell ref="B3:D3"/>
    <mergeCell ref="E3:G3"/>
    <mergeCell ref="H3:J3"/>
    <mergeCell ref="K3:M3"/>
    <mergeCell ref="N3:P3"/>
    <mergeCell ref="R69:S69"/>
    <mergeCell ref="H91:I91"/>
    <mergeCell ref="K91:L91"/>
  </mergeCells>
  <printOptions horizontalCentered="1" verticalCentered="1"/>
  <pageMargins left="0" right="0" top="0.75" bottom="0.75" header="0" footer="0"/>
  <pageSetup paperSize="5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Z1000"/>
  <sheetViews>
    <sheetView workbookViewId="0"/>
  </sheetViews>
  <sheetFormatPr defaultColWidth="14.42578125" defaultRowHeight="15" customHeight="1"/>
  <cols>
    <col min="1" max="1" width="20.85546875" customWidth="1"/>
    <col min="2" max="2" width="13.28515625" customWidth="1"/>
    <col min="3" max="3" width="13.7109375" customWidth="1"/>
    <col min="4" max="4" width="11.7109375" customWidth="1"/>
    <col min="5" max="5" width="11.42578125" customWidth="1"/>
    <col min="6" max="6" width="11" customWidth="1"/>
    <col min="7" max="7" width="12.140625" customWidth="1"/>
    <col min="8" max="8" width="12.42578125" customWidth="1"/>
    <col min="9" max="9" width="12.140625" customWidth="1"/>
    <col min="10" max="10" width="12.7109375" customWidth="1"/>
    <col min="11" max="12" width="13" customWidth="1"/>
    <col min="13" max="13" width="15.28515625" customWidth="1"/>
    <col min="14" max="14" width="16" customWidth="1"/>
    <col min="15" max="15" width="15.5703125" customWidth="1"/>
    <col min="16" max="16" width="16.5703125" customWidth="1"/>
    <col min="17" max="17" width="12.140625" customWidth="1"/>
    <col min="18" max="26" width="8.7109375" customWidth="1"/>
  </cols>
  <sheetData>
    <row r="3" spans="1:26" ht="30">
      <c r="A3" s="675" t="s">
        <v>3804</v>
      </c>
      <c r="B3" s="676" t="s">
        <v>3805</v>
      </c>
      <c r="C3" s="676" t="s">
        <v>3715</v>
      </c>
      <c r="D3" s="676" t="s">
        <v>3806</v>
      </c>
      <c r="E3" s="676" t="s">
        <v>3807</v>
      </c>
      <c r="F3" s="676" t="s">
        <v>3808</v>
      </c>
      <c r="G3" s="676" t="s">
        <v>3716</v>
      </c>
      <c r="H3" s="677" t="s">
        <v>3809</v>
      </c>
      <c r="I3" s="676" t="s">
        <v>3717</v>
      </c>
      <c r="J3" s="676" t="s">
        <v>3718</v>
      </c>
      <c r="K3" s="676" t="s">
        <v>3719</v>
      </c>
      <c r="L3" s="677" t="s">
        <v>3720</v>
      </c>
      <c r="M3" s="676" t="s">
        <v>3721</v>
      </c>
      <c r="N3" s="678" t="s">
        <v>3810</v>
      </c>
      <c r="O3" s="679">
        <v>0.2</v>
      </c>
      <c r="P3" s="680" t="s">
        <v>3811</v>
      </c>
      <c r="Q3" s="681"/>
      <c r="R3" s="681"/>
      <c r="S3" s="681"/>
      <c r="T3" s="681"/>
      <c r="U3" s="681"/>
      <c r="V3" s="681"/>
      <c r="W3" s="681"/>
      <c r="X3" s="681"/>
      <c r="Y3" s="681"/>
      <c r="Z3" s="681"/>
    </row>
    <row r="4" spans="1:26" ht="22.5" customHeight="1">
      <c r="A4" s="682" t="s">
        <v>25</v>
      </c>
      <c r="B4" s="683">
        <v>843150</v>
      </c>
      <c r="C4" s="684">
        <v>1063330</v>
      </c>
      <c r="D4" s="683">
        <v>901400</v>
      </c>
      <c r="E4" s="684">
        <v>396050</v>
      </c>
      <c r="F4" s="683">
        <v>266785</v>
      </c>
      <c r="G4" s="684">
        <v>346670</v>
      </c>
      <c r="H4" s="683">
        <v>615490</v>
      </c>
      <c r="I4" s="684">
        <v>877084</v>
      </c>
      <c r="J4" s="683">
        <v>625425</v>
      </c>
      <c r="K4" s="683">
        <v>85650</v>
      </c>
      <c r="L4" s="683">
        <v>0</v>
      </c>
      <c r="M4" s="684">
        <v>0</v>
      </c>
      <c r="N4" s="683">
        <f t="shared" ref="N4:N10" si="0">SUM(B4:M4)</f>
        <v>6021034</v>
      </c>
      <c r="O4" s="684">
        <f>N4*0.2</f>
        <v>1204206.8</v>
      </c>
      <c r="P4" s="683">
        <f>SUM(N4:O4)</f>
        <v>7225240.7999999998</v>
      </c>
    </row>
    <row r="5" spans="1:26" ht="22.5" customHeight="1">
      <c r="A5" s="685" t="s">
        <v>286</v>
      </c>
      <c r="B5" s="686">
        <f t="shared" ref="B5:K5" si="1">B6+B7</f>
        <v>554</v>
      </c>
      <c r="C5" s="687">
        <f t="shared" si="1"/>
        <v>888</v>
      </c>
      <c r="D5" s="686">
        <f t="shared" si="1"/>
        <v>828</v>
      </c>
      <c r="E5" s="687">
        <f t="shared" si="1"/>
        <v>102</v>
      </c>
      <c r="F5" s="686">
        <f t="shared" si="1"/>
        <v>1002</v>
      </c>
      <c r="G5" s="687">
        <f t="shared" si="1"/>
        <v>1487</v>
      </c>
      <c r="H5" s="686">
        <f t="shared" si="1"/>
        <v>445</v>
      </c>
      <c r="I5" s="687">
        <f t="shared" si="1"/>
        <v>2765</v>
      </c>
      <c r="J5" s="686">
        <f t="shared" si="1"/>
        <v>1575</v>
      </c>
      <c r="K5" s="686">
        <f t="shared" si="1"/>
        <v>25</v>
      </c>
      <c r="L5" s="688">
        <v>0</v>
      </c>
      <c r="M5" s="689">
        <v>0</v>
      </c>
      <c r="N5" s="688">
        <f t="shared" si="0"/>
        <v>9671</v>
      </c>
      <c r="O5" s="689"/>
      <c r="P5" s="688">
        <f>N5</f>
        <v>9671</v>
      </c>
    </row>
    <row r="6" spans="1:26" ht="22.5" customHeight="1">
      <c r="A6" s="690" t="s">
        <v>48</v>
      </c>
      <c r="B6" s="686">
        <v>494</v>
      </c>
      <c r="C6" s="687">
        <v>633</v>
      </c>
      <c r="D6" s="686">
        <v>528</v>
      </c>
      <c r="E6" s="687">
        <v>102</v>
      </c>
      <c r="F6" s="686">
        <v>852</v>
      </c>
      <c r="G6" s="687">
        <v>1304</v>
      </c>
      <c r="H6" s="686">
        <v>425</v>
      </c>
      <c r="I6" s="687">
        <v>2518</v>
      </c>
      <c r="J6" s="686">
        <v>1532</v>
      </c>
      <c r="K6" s="686">
        <v>10</v>
      </c>
      <c r="L6" s="686"/>
      <c r="M6" s="687"/>
      <c r="N6" s="688">
        <f t="shared" si="0"/>
        <v>8398</v>
      </c>
      <c r="O6" s="689"/>
      <c r="P6" s="688"/>
      <c r="Q6" s="3"/>
    </row>
    <row r="7" spans="1:26" ht="22.5" customHeight="1">
      <c r="A7" s="690" t="s">
        <v>367</v>
      </c>
      <c r="B7" s="686">
        <v>60</v>
      </c>
      <c r="C7" s="687">
        <v>255</v>
      </c>
      <c r="D7" s="686">
        <v>300</v>
      </c>
      <c r="E7" s="687">
        <v>0</v>
      </c>
      <c r="F7" s="686">
        <v>150</v>
      </c>
      <c r="G7" s="687">
        <v>183</v>
      </c>
      <c r="H7" s="686">
        <v>20</v>
      </c>
      <c r="I7" s="687">
        <v>247</v>
      </c>
      <c r="J7" s="686">
        <v>43</v>
      </c>
      <c r="K7" s="686">
        <v>15</v>
      </c>
      <c r="L7" s="686"/>
      <c r="M7" s="687"/>
      <c r="N7" s="688">
        <f t="shared" si="0"/>
        <v>1273</v>
      </c>
      <c r="O7" s="689"/>
      <c r="P7" s="688"/>
    </row>
    <row r="8" spans="1:26" ht="22.5" customHeight="1">
      <c r="A8" s="685" t="s">
        <v>3812</v>
      </c>
      <c r="B8" s="686">
        <v>4460</v>
      </c>
      <c r="C8" s="687">
        <v>0</v>
      </c>
      <c r="D8" s="686">
        <v>0</v>
      </c>
      <c r="E8" s="687">
        <v>0</v>
      </c>
      <c r="F8" s="686">
        <v>0</v>
      </c>
      <c r="G8" s="687">
        <v>2290</v>
      </c>
      <c r="H8" s="686">
        <v>1540</v>
      </c>
      <c r="I8" s="687">
        <v>9050</v>
      </c>
      <c r="J8" s="686">
        <v>40</v>
      </c>
      <c r="K8" s="686">
        <v>0</v>
      </c>
      <c r="L8" s="686"/>
      <c r="M8" s="687"/>
      <c r="N8" s="688">
        <f t="shared" si="0"/>
        <v>17380</v>
      </c>
      <c r="O8" s="689">
        <f t="shared" ref="O8:O10" si="2">N8*0.2</f>
        <v>3476</v>
      </c>
      <c r="P8" s="688">
        <f t="shared" ref="P8:P10" si="3">SUM(N8:O8)</f>
        <v>20856</v>
      </c>
    </row>
    <row r="9" spans="1:26" ht="22.5" customHeight="1">
      <c r="A9" s="685" t="s">
        <v>3813</v>
      </c>
      <c r="B9" s="686">
        <v>0</v>
      </c>
      <c r="C9" s="687">
        <v>5940</v>
      </c>
      <c r="D9" s="686">
        <v>0</v>
      </c>
      <c r="E9" s="687">
        <v>0</v>
      </c>
      <c r="F9" s="686">
        <v>0</v>
      </c>
      <c r="G9" s="687">
        <v>0</v>
      </c>
      <c r="H9" s="686">
        <v>1490</v>
      </c>
      <c r="I9" s="687">
        <v>29520</v>
      </c>
      <c r="J9" s="686">
        <v>5650</v>
      </c>
      <c r="K9" s="686">
        <v>0</v>
      </c>
      <c r="L9" s="686"/>
      <c r="M9" s="687"/>
      <c r="N9" s="688">
        <f t="shared" si="0"/>
        <v>42600</v>
      </c>
      <c r="O9" s="689">
        <f t="shared" si="2"/>
        <v>8520</v>
      </c>
      <c r="P9" s="688">
        <f t="shared" si="3"/>
        <v>51120</v>
      </c>
    </row>
    <row r="10" spans="1:26" ht="22.5" customHeight="1">
      <c r="A10" s="691" t="s">
        <v>1626</v>
      </c>
      <c r="B10" s="692">
        <v>0</v>
      </c>
      <c r="C10" s="693">
        <v>0</v>
      </c>
      <c r="D10" s="692">
        <v>61</v>
      </c>
      <c r="E10" s="693">
        <v>0</v>
      </c>
      <c r="F10" s="692">
        <v>14000</v>
      </c>
      <c r="G10" s="693">
        <v>43815</v>
      </c>
      <c r="H10" s="692">
        <v>0</v>
      </c>
      <c r="I10" s="693">
        <v>36400</v>
      </c>
      <c r="J10" s="692">
        <v>1900</v>
      </c>
      <c r="K10" s="692"/>
      <c r="L10" s="692"/>
      <c r="M10" s="693"/>
      <c r="N10" s="694">
        <f t="shared" si="0"/>
        <v>96176</v>
      </c>
      <c r="O10" s="695">
        <f t="shared" si="2"/>
        <v>19235.2</v>
      </c>
      <c r="P10" s="694">
        <f t="shared" si="3"/>
        <v>115411.2</v>
      </c>
    </row>
    <row r="15" spans="1:26">
      <c r="A15" s="3"/>
    </row>
    <row r="16" spans="1:26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 ht="15.75" customHeight="1">
      <c r="A21" s="3"/>
    </row>
    <row r="22" spans="1:1" ht="15.75" customHeight="1">
      <c r="A22" s="3"/>
    </row>
    <row r="23" spans="1:1" ht="15.75" customHeight="1">
      <c r="A23" s="3"/>
    </row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7" right="0.7" top="0.75" bottom="0.75" header="0" footer="0"/>
  <pageSetup paperSize="5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/>
  </sheetPr>
  <dimension ref="A1:F1000"/>
  <sheetViews>
    <sheetView workbookViewId="0"/>
  </sheetViews>
  <sheetFormatPr defaultColWidth="14.42578125" defaultRowHeight="15" customHeight="1"/>
  <cols>
    <col min="1" max="1" width="3.140625" customWidth="1"/>
    <col min="2" max="2" width="36.85546875" customWidth="1"/>
    <col min="3" max="3" width="4" customWidth="1"/>
    <col min="4" max="4" width="35.28515625" customWidth="1"/>
    <col min="5" max="5" width="4.140625" customWidth="1"/>
    <col min="6" max="6" width="33.140625" customWidth="1"/>
    <col min="7" max="26" width="8.7109375" customWidth="1"/>
  </cols>
  <sheetData>
    <row r="1" spans="1:6" ht="30.75" customHeight="1"/>
    <row r="2" spans="1:6" ht="20.25" customHeight="1">
      <c r="A2" s="271"/>
      <c r="B2" s="696" t="s">
        <v>3814</v>
      </c>
      <c r="C2" s="697"/>
      <c r="D2" s="696" t="s">
        <v>3815</v>
      </c>
      <c r="E2" s="697"/>
      <c r="F2" s="696" t="s">
        <v>3816</v>
      </c>
    </row>
    <row r="3" spans="1:6" ht="15.75">
      <c r="A3" s="698">
        <v>1</v>
      </c>
      <c r="B3" s="699" t="s">
        <v>555</v>
      </c>
      <c r="C3" s="698">
        <v>1</v>
      </c>
      <c r="D3" s="699" t="s">
        <v>2112</v>
      </c>
      <c r="E3" s="698">
        <v>1</v>
      </c>
      <c r="F3" s="699" t="s">
        <v>169</v>
      </c>
    </row>
    <row r="4" spans="1:6" ht="15.75">
      <c r="A4" s="700">
        <v>2</v>
      </c>
      <c r="B4" s="701" t="s">
        <v>237</v>
      </c>
      <c r="C4" s="700">
        <v>2</v>
      </c>
      <c r="D4" s="701" t="s">
        <v>191</v>
      </c>
      <c r="E4" s="700">
        <v>2</v>
      </c>
      <c r="F4" s="701" t="s">
        <v>2510</v>
      </c>
    </row>
    <row r="5" spans="1:6" ht="15.75">
      <c r="A5" s="700">
        <v>3</v>
      </c>
      <c r="B5" s="701" t="s">
        <v>896</v>
      </c>
      <c r="C5" s="700">
        <v>3</v>
      </c>
      <c r="D5" s="701" t="s">
        <v>44</v>
      </c>
      <c r="E5" s="700">
        <v>3</v>
      </c>
      <c r="F5" s="701" t="s">
        <v>54</v>
      </c>
    </row>
    <row r="6" spans="1:6" ht="15.75">
      <c r="A6" s="700">
        <v>4</v>
      </c>
      <c r="B6" s="701" t="s">
        <v>102</v>
      </c>
      <c r="C6" s="700">
        <v>4</v>
      </c>
      <c r="D6" s="701" t="s">
        <v>79</v>
      </c>
      <c r="E6" s="700">
        <v>4</v>
      </c>
      <c r="F6" s="701" t="s">
        <v>209</v>
      </c>
    </row>
    <row r="7" spans="1:6" ht="15.75">
      <c r="A7" s="700">
        <v>5</v>
      </c>
      <c r="B7" s="701" t="s">
        <v>223</v>
      </c>
      <c r="C7" s="700">
        <v>5</v>
      </c>
      <c r="D7" s="701" t="s">
        <v>145</v>
      </c>
      <c r="E7" s="700">
        <v>5</v>
      </c>
      <c r="F7" s="701" t="s">
        <v>273</v>
      </c>
    </row>
    <row r="8" spans="1:6" ht="15.75">
      <c r="A8" s="700">
        <v>6</v>
      </c>
      <c r="B8" s="701" t="s">
        <v>86</v>
      </c>
      <c r="C8" s="700">
        <v>6</v>
      </c>
      <c r="D8" s="701" t="s">
        <v>602</v>
      </c>
      <c r="E8" s="700">
        <v>6</v>
      </c>
      <c r="F8" s="701" t="s">
        <v>36</v>
      </c>
    </row>
    <row r="9" spans="1:6" ht="15.75">
      <c r="A9" s="700">
        <v>7</v>
      </c>
      <c r="B9" s="701" t="s">
        <v>385</v>
      </c>
      <c r="C9" s="700">
        <v>7</v>
      </c>
      <c r="D9" s="701" t="s">
        <v>73</v>
      </c>
      <c r="E9" s="700">
        <v>7</v>
      </c>
      <c r="F9" s="701" t="s">
        <v>135</v>
      </c>
    </row>
    <row r="10" spans="1:6" ht="15.75">
      <c r="A10" s="700">
        <v>8</v>
      </c>
      <c r="B10" s="701" t="s">
        <v>484</v>
      </c>
      <c r="C10" s="700">
        <v>8</v>
      </c>
      <c r="D10" s="701" t="s">
        <v>3817</v>
      </c>
      <c r="E10" s="700">
        <v>8</v>
      </c>
      <c r="F10" s="701" t="s">
        <v>60</v>
      </c>
    </row>
    <row r="11" spans="1:6" ht="15.75">
      <c r="A11" s="700">
        <v>9</v>
      </c>
      <c r="B11" s="701" t="s">
        <v>1291</v>
      </c>
      <c r="C11" s="700">
        <v>9</v>
      </c>
      <c r="D11" s="701" t="s">
        <v>84</v>
      </c>
      <c r="E11" s="700">
        <v>9</v>
      </c>
      <c r="F11" s="701" t="s">
        <v>552</v>
      </c>
    </row>
    <row r="12" spans="1:6" ht="15.75">
      <c r="A12" s="700">
        <v>10</v>
      </c>
      <c r="B12" s="701" t="s">
        <v>839</v>
      </c>
      <c r="C12" s="700">
        <v>10</v>
      </c>
      <c r="D12" s="701" t="s">
        <v>56</v>
      </c>
      <c r="E12" s="700">
        <v>10</v>
      </c>
      <c r="F12" s="701" t="s">
        <v>584</v>
      </c>
    </row>
    <row r="13" spans="1:6" ht="15.75">
      <c r="A13" s="700">
        <v>11</v>
      </c>
      <c r="B13" s="701" t="s">
        <v>151</v>
      </c>
      <c r="C13" s="700">
        <v>11</v>
      </c>
      <c r="D13" s="701" t="s">
        <v>68</v>
      </c>
      <c r="E13" s="700">
        <v>11</v>
      </c>
      <c r="F13" s="701" t="s">
        <v>334</v>
      </c>
    </row>
    <row r="14" spans="1:6" ht="15.75">
      <c r="A14" s="700">
        <v>12</v>
      </c>
      <c r="B14" s="701" t="s">
        <v>824</v>
      </c>
      <c r="C14" s="700">
        <v>12</v>
      </c>
      <c r="D14" s="701" t="s">
        <v>41</v>
      </c>
      <c r="E14" s="700">
        <v>12</v>
      </c>
      <c r="F14" s="701" t="s">
        <v>809</v>
      </c>
    </row>
    <row r="15" spans="1:6" ht="15.75">
      <c r="A15" s="700">
        <v>13</v>
      </c>
      <c r="B15" s="701" t="s">
        <v>140</v>
      </c>
      <c r="C15" s="700">
        <v>13</v>
      </c>
      <c r="D15" s="701" t="s">
        <v>29</v>
      </c>
      <c r="E15" s="700">
        <v>13</v>
      </c>
      <c r="F15" s="701" t="s">
        <v>3818</v>
      </c>
    </row>
    <row r="16" spans="1:6" ht="15.75">
      <c r="A16" s="700">
        <v>14</v>
      </c>
      <c r="B16" s="701" t="s">
        <v>3819</v>
      </c>
      <c r="C16" s="700">
        <v>14</v>
      </c>
      <c r="D16" s="701" t="s">
        <v>47</v>
      </c>
      <c r="E16" s="700">
        <v>14</v>
      </c>
      <c r="F16" s="701" t="s">
        <v>1381</v>
      </c>
    </row>
    <row r="17" spans="1:6" ht="15.75">
      <c r="A17" s="700">
        <v>15</v>
      </c>
      <c r="B17" s="701" t="s">
        <v>245</v>
      </c>
      <c r="C17" s="700"/>
      <c r="D17" s="701"/>
      <c r="E17" s="700">
        <v>15</v>
      </c>
      <c r="F17" s="701" t="s">
        <v>76</v>
      </c>
    </row>
    <row r="18" spans="1:6" ht="15.75">
      <c r="A18" s="700"/>
      <c r="B18" s="701"/>
      <c r="C18" s="700"/>
      <c r="D18" s="701"/>
      <c r="E18" s="700">
        <v>16</v>
      </c>
      <c r="F18" s="701" t="s">
        <v>51</v>
      </c>
    </row>
    <row r="19" spans="1:6" ht="15.75">
      <c r="A19" s="700"/>
      <c r="B19" s="701"/>
      <c r="C19" s="700"/>
      <c r="D19" s="701"/>
      <c r="E19" s="700">
        <v>17</v>
      </c>
      <c r="F19" s="701" t="s">
        <v>358</v>
      </c>
    </row>
    <row r="20" spans="1:6" ht="15.75">
      <c r="A20" s="700"/>
      <c r="B20" s="701"/>
      <c r="C20" s="700"/>
      <c r="D20" s="701"/>
      <c r="E20" s="700">
        <v>18</v>
      </c>
      <c r="F20" s="701" t="s">
        <v>89</v>
      </c>
    </row>
    <row r="21" spans="1:6" ht="15.75" customHeight="1">
      <c r="A21" s="702"/>
      <c r="B21" s="703"/>
      <c r="C21" s="702"/>
      <c r="D21" s="703"/>
      <c r="E21" s="702">
        <v>19</v>
      </c>
      <c r="F21" s="703" t="s">
        <v>310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spans="1:2" ht="15.75" customHeight="1"/>
    <row r="34" spans="1:2" ht="15.75" customHeight="1">
      <c r="A34" s="271"/>
      <c r="B34" s="696" t="s">
        <v>3820</v>
      </c>
    </row>
    <row r="35" spans="1:2" ht="15.75" customHeight="1">
      <c r="A35" s="698">
        <v>1</v>
      </c>
      <c r="B35" s="699" t="s">
        <v>555</v>
      </c>
    </row>
    <row r="36" spans="1:2" ht="15.75" customHeight="1">
      <c r="A36" s="700">
        <v>2</v>
      </c>
      <c r="B36" s="701" t="s">
        <v>237</v>
      </c>
    </row>
    <row r="37" spans="1:2" ht="15.75" customHeight="1">
      <c r="A37" s="700">
        <v>3</v>
      </c>
      <c r="B37" s="701" t="s">
        <v>896</v>
      </c>
    </row>
    <row r="38" spans="1:2" ht="15.75" customHeight="1">
      <c r="A38" s="700">
        <v>4</v>
      </c>
      <c r="B38" s="701" t="s">
        <v>102</v>
      </c>
    </row>
    <row r="39" spans="1:2" ht="15.75" customHeight="1">
      <c r="A39" s="700">
        <v>5</v>
      </c>
      <c r="B39" s="701" t="s">
        <v>223</v>
      </c>
    </row>
    <row r="40" spans="1:2" ht="15.75" customHeight="1">
      <c r="A40" s="700">
        <v>6</v>
      </c>
      <c r="B40" s="701" t="s">
        <v>86</v>
      </c>
    </row>
    <row r="41" spans="1:2" ht="15.75" customHeight="1">
      <c r="A41" s="700">
        <v>7</v>
      </c>
      <c r="B41" s="701" t="s">
        <v>385</v>
      </c>
    </row>
    <row r="42" spans="1:2" ht="15.75" customHeight="1">
      <c r="A42" s="700">
        <v>8</v>
      </c>
      <c r="B42" s="701" t="s">
        <v>484</v>
      </c>
    </row>
    <row r="43" spans="1:2" ht="15.75" customHeight="1">
      <c r="A43" s="700">
        <v>9</v>
      </c>
      <c r="B43" s="701" t="s">
        <v>1291</v>
      </c>
    </row>
    <row r="44" spans="1:2" ht="15.75" customHeight="1">
      <c r="A44" s="700">
        <v>10</v>
      </c>
      <c r="B44" s="701" t="s">
        <v>839</v>
      </c>
    </row>
    <row r="45" spans="1:2" ht="15.75" customHeight="1">
      <c r="A45" s="700">
        <v>11</v>
      </c>
      <c r="B45" s="701" t="s">
        <v>151</v>
      </c>
    </row>
    <row r="46" spans="1:2" ht="15.75" customHeight="1">
      <c r="A46" s="700">
        <v>12</v>
      </c>
      <c r="B46" s="701" t="s">
        <v>824</v>
      </c>
    </row>
    <row r="47" spans="1:2" ht="15.75" customHeight="1">
      <c r="A47" s="700">
        <v>13</v>
      </c>
      <c r="B47" s="701" t="s">
        <v>140</v>
      </c>
    </row>
    <row r="48" spans="1:2" ht="15.75" customHeight="1">
      <c r="A48" s="700">
        <v>14</v>
      </c>
      <c r="B48" s="701" t="s">
        <v>3819</v>
      </c>
    </row>
    <row r="49" spans="1:2" ht="15.75" customHeight="1">
      <c r="A49" s="700">
        <v>15</v>
      </c>
      <c r="B49" s="701" t="s">
        <v>245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7" right="0.7" top="0.75" bottom="0.75" header="0" footer="0"/>
  <pageSetup orientation="landscape"/>
  <headerFooter>
    <oddHeader>&amp;C PROVINCE OF BOHOL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000"/>
  <sheetViews>
    <sheetView workbookViewId="0"/>
  </sheetViews>
  <sheetFormatPr defaultColWidth="14.42578125" defaultRowHeight="15" customHeight="1"/>
  <cols>
    <col min="1" max="1" width="4.42578125" customWidth="1"/>
    <col min="2" max="2" width="16.28515625" customWidth="1"/>
    <col min="3" max="3" width="10.5703125" customWidth="1"/>
    <col min="4" max="4" width="9.7109375" customWidth="1"/>
    <col min="5" max="5" width="11.5703125" customWidth="1"/>
    <col min="6" max="7" width="10.5703125" customWidth="1"/>
    <col min="8" max="8" width="10.85546875" customWidth="1"/>
    <col min="9" max="9" width="9.42578125" customWidth="1"/>
    <col min="10" max="10" width="10.85546875" customWidth="1"/>
    <col min="11" max="14" width="8.7109375" customWidth="1"/>
    <col min="15" max="15" width="15.42578125" customWidth="1"/>
    <col min="16" max="26" width="8.7109375" customWidth="1"/>
  </cols>
  <sheetData>
    <row r="1" spans="1:15" ht="27" customHeight="1">
      <c r="A1" s="830" t="s">
        <v>3821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</row>
    <row r="2" spans="1:15" ht="18.75">
      <c r="A2" s="271"/>
      <c r="B2" s="696" t="s">
        <v>3822</v>
      </c>
      <c r="C2" s="704" t="s">
        <v>3823</v>
      </c>
      <c r="D2" s="704" t="s">
        <v>3824</v>
      </c>
      <c r="E2" s="704" t="s">
        <v>3825</v>
      </c>
      <c r="F2" s="704" t="s">
        <v>3826</v>
      </c>
      <c r="G2" s="704" t="s">
        <v>3808</v>
      </c>
      <c r="H2" s="704" t="s">
        <v>3716</v>
      </c>
      <c r="I2" s="704" t="s">
        <v>3809</v>
      </c>
      <c r="J2" s="704" t="s">
        <v>3827</v>
      </c>
      <c r="K2" s="704" t="s">
        <v>3828</v>
      </c>
      <c r="L2" s="704" t="s">
        <v>3829</v>
      </c>
      <c r="M2" s="704" t="s">
        <v>3830</v>
      </c>
      <c r="N2" s="704" t="s">
        <v>3831</v>
      </c>
      <c r="O2" s="704" t="s">
        <v>282</v>
      </c>
    </row>
    <row r="3" spans="1:15" ht="15.75">
      <c r="A3" s="363">
        <v>1</v>
      </c>
      <c r="B3" s="363" t="s">
        <v>555</v>
      </c>
      <c r="C3" s="74">
        <v>6000</v>
      </c>
      <c r="D3" s="74">
        <v>0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>
        <f t="shared" ref="O3:O17" si="0">SUM(C3:N3)</f>
        <v>6000</v>
      </c>
    </row>
    <row r="4" spans="1:15" ht="15.75">
      <c r="A4" s="363">
        <v>2</v>
      </c>
      <c r="B4" s="363" t="s">
        <v>237</v>
      </c>
      <c r="C4" s="74">
        <v>0</v>
      </c>
      <c r="D4" s="74">
        <v>15000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>
        <f t="shared" si="0"/>
        <v>15000</v>
      </c>
    </row>
    <row r="5" spans="1:15" ht="15.75">
      <c r="A5" s="363">
        <v>3</v>
      </c>
      <c r="B5" s="363" t="s">
        <v>896</v>
      </c>
      <c r="C5" s="74">
        <v>0</v>
      </c>
      <c r="D5" s="74">
        <v>0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>
        <f t="shared" si="0"/>
        <v>0</v>
      </c>
    </row>
    <row r="6" spans="1:15" ht="15.75">
      <c r="A6" s="363">
        <v>4</v>
      </c>
      <c r="B6" s="363" t="s">
        <v>102</v>
      </c>
      <c r="C6" s="74">
        <v>7500</v>
      </c>
      <c r="D6" s="74">
        <v>0</v>
      </c>
      <c r="E6" s="74"/>
      <c r="F6" s="74">
        <v>6000</v>
      </c>
      <c r="G6" s="74"/>
      <c r="H6" s="74"/>
      <c r="I6" s="74"/>
      <c r="J6" s="74"/>
      <c r="K6" s="74"/>
      <c r="L6" s="74"/>
      <c r="M6" s="74"/>
      <c r="N6" s="74"/>
      <c r="O6" s="74">
        <f t="shared" si="0"/>
        <v>13500</v>
      </c>
    </row>
    <row r="7" spans="1:15" ht="15.75">
      <c r="A7" s="363">
        <v>5</v>
      </c>
      <c r="B7" s="363" t="s">
        <v>223</v>
      </c>
      <c r="C7" s="74">
        <v>0</v>
      </c>
      <c r="D7" s="74">
        <v>2000</v>
      </c>
      <c r="E7" s="74">
        <v>3000</v>
      </c>
      <c r="F7" s="74"/>
      <c r="G7" s="74"/>
      <c r="H7" s="74">
        <v>1300</v>
      </c>
      <c r="I7" s="74">
        <v>300</v>
      </c>
      <c r="J7" s="74">
        <v>600</v>
      </c>
      <c r="K7" s="74"/>
      <c r="L7" s="74"/>
      <c r="M7" s="74"/>
      <c r="N7" s="74"/>
      <c r="O7" s="74">
        <f t="shared" si="0"/>
        <v>7200</v>
      </c>
    </row>
    <row r="8" spans="1:15" ht="15.75">
      <c r="A8" s="363">
        <v>6</v>
      </c>
      <c r="B8" s="363" t="s">
        <v>86</v>
      </c>
      <c r="C8" s="74">
        <v>6000</v>
      </c>
      <c r="D8" s="74">
        <v>20000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f t="shared" si="0"/>
        <v>26000</v>
      </c>
    </row>
    <row r="9" spans="1:15" ht="15.75">
      <c r="A9" s="363">
        <v>7</v>
      </c>
      <c r="B9" s="363" t="s">
        <v>385</v>
      </c>
      <c r="C9" s="74">
        <v>0</v>
      </c>
      <c r="D9" s="74">
        <v>0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>
        <f t="shared" si="0"/>
        <v>0</v>
      </c>
    </row>
    <row r="10" spans="1:15" ht="15.75">
      <c r="A10" s="363">
        <v>8</v>
      </c>
      <c r="B10" s="363" t="s">
        <v>484</v>
      </c>
      <c r="C10" s="74">
        <v>0</v>
      </c>
      <c r="D10" s="74">
        <v>0</v>
      </c>
      <c r="E10" s="74">
        <v>4000</v>
      </c>
      <c r="F10" s="74"/>
      <c r="G10" s="74"/>
      <c r="H10" s="74">
        <v>8000</v>
      </c>
      <c r="I10" s="74"/>
      <c r="J10" s="74"/>
      <c r="K10" s="74"/>
      <c r="L10" s="74"/>
      <c r="M10" s="74"/>
      <c r="N10" s="74"/>
      <c r="O10" s="74">
        <f t="shared" si="0"/>
        <v>12000</v>
      </c>
    </row>
    <row r="11" spans="1:15" ht="15.75">
      <c r="A11" s="363">
        <v>9</v>
      </c>
      <c r="B11" s="363" t="s">
        <v>1291</v>
      </c>
      <c r="C11" s="74">
        <v>0</v>
      </c>
      <c r="D11" s="74">
        <v>0</v>
      </c>
      <c r="E11" s="74">
        <v>0</v>
      </c>
      <c r="F11" s="74"/>
      <c r="G11" s="74"/>
      <c r="H11" s="74"/>
      <c r="I11" s="74"/>
      <c r="J11" s="74"/>
      <c r="K11" s="74"/>
      <c r="L11" s="74"/>
      <c r="M11" s="74"/>
      <c r="N11" s="74"/>
      <c r="O11" s="74">
        <f t="shared" si="0"/>
        <v>0</v>
      </c>
    </row>
    <row r="12" spans="1:15" ht="15.75">
      <c r="A12" s="363">
        <v>10</v>
      </c>
      <c r="B12" s="363" t="s">
        <v>839</v>
      </c>
      <c r="C12" s="74">
        <v>0</v>
      </c>
      <c r="D12" s="74"/>
      <c r="E12" s="74">
        <v>0</v>
      </c>
      <c r="F12" s="74"/>
      <c r="G12" s="74"/>
      <c r="H12" s="74"/>
      <c r="I12" s="74"/>
      <c r="J12" s="74"/>
      <c r="K12" s="74"/>
      <c r="L12" s="74"/>
      <c r="M12" s="74"/>
      <c r="N12" s="74"/>
      <c r="O12" s="74">
        <f t="shared" si="0"/>
        <v>0</v>
      </c>
    </row>
    <row r="13" spans="1:15" ht="15.75">
      <c r="A13" s="363">
        <v>11</v>
      </c>
      <c r="B13" s="363" t="s">
        <v>151</v>
      </c>
      <c r="C13" s="74">
        <v>0</v>
      </c>
      <c r="D13" s="74"/>
      <c r="E13" s="74">
        <v>4000</v>
      </c>
      <c r="F13" s="74"/>
      <c r="G13" s="74"/>
      <c r="H13" s="74"/>
      <c r="I13" s="74"/>
      <c r="J13" s="74"/>
      <c r="K13" s="74"/>
      <c r="L13" s="74"/>
      <c r="M13" s="74"/>
      <c r="N13" s="74"/>
      <c r="O13" s="74">
        <f t="shared" si="0"/>
        <v>4000</v>
      </c>
    </row>
    <row r="14" spans="1:15" ht="15.75">
      <c r="A14" s="363">
        <v>12</v>
      </c>
      <c r="B14" s="363" t="s">
        <v>824</v>
      </c>
      <c r="C14" s="74">
        <v>0</v>
      </c>
      <c r="D14" s="74"/>
      <c r="E14" s="74">
        <v>0</v>
      </c>
      <c r="F14" s="74"/>
      <c r="G14" s="74"/>
      <c r="H14" s="74">
        <v>100</v>
      </c>
      <c r="I14" s="74"/>
      <c r="J14" s="74">
        <v>500</v>
      </c>
      <c r="K14" s="74"/>
      <c r="L14" s="74"/>
      <c r="M14" s="74"/>
      <c r="N14" s="74"/>
      <c r="O14" s="74">
        <f t="shared" si="0"/>
        <v>600</v>
      </c>
    </row>
    <row r="15" spans="1:15" ht="15.75">
      <c r="A15" s="363">
        <v>13</v>
      </c>
      <c r="B15" s="363" t="s">
        <v>140</v>
      </c>
      <c r="C15" s="74">
        <v>0</v>
      </c>
      <c r="D15" s="74"/>
      <c r="E15" s="74">
        <v>0</v>
      </c>
      <c r="F15" s="74"/>
      <c r="G15" s="74"/>
      <c r="H15" s="74"/>
      <c r="I15" s="74">
        <v>18280</v>
      </c>
      <c r="J15" s="74"/>
      <c r="K15" s="74"/>
      <c r="L15" s="74"/>
      <c r="M15" s="74"/>
      <c r="N15" s="74"/>
      <c r="O15" s="74">
        <f t="shared" si="0"/>
        <v>18280</v>
      </c>
    </row>
    <row r="16" spans="1:15" ht="15.75">
      <c r="A16" s="363">
        <v>14</v>
      </c>
      <c r="B16" s="363" t="s">
        <v>3819</v>
      </c>
      <c r="C16" s="74">
        <v>0</v>
      </c>
      <c r="D16" s="74"/>
      <c r="E16" s="74">
        <v>0</v>
      </c>
      <c r="F16" s="74"/>
      <c r="G16" s="74">
        <v>260</v>
      </c>
      <c r="H16" s="74"/>
      <c r="I16" s="74">
        <v>8500</v>
      </c>
      <c r="J16" s="74">
        <v>8800</v>
      </c>
      <c r="K16" s="74"/>
      <c r="L16" s="74"/>
      <c r="M16" s="74"/>
      <c r="N16" s="74"/>
      <c r="O16" s="74">
        <f t="shared" si="0"/>
        <v>17560</v>
      </c>
    </row>
    <row r="17" spans="1:15" ht="15.75">
      <c r="A17" s="363">
        <v>15</v>
      </c>
      <c r="B17" s="363" t="s">
        <v>245</v>
      </c>
      <c r="C17" s="74">
        <v>5200</v>
      </c>
      <c r="D17" s="74">
        <v>7000</v>
      </c>
      <c r="E17" s="74">
        <v>6000</v>
      </c>
      <c r="F17" s="74">
        <v>500</v>
      </c>
      <c r="G17" s="74">
        <v>6500</v>
      </c>
      <c r="H17" s="74">
        <v>31700</v>
      </c>
      <c r="I17" s="74">
        <v>50</v>
      </c>
      <c r="J17" s="74">
        <v>18759</v>
      </c>
      <c r="K17" s="74"/>
      <c r="L17" s="74"/>
      <c r="M17" s="74"/>
      <c r="N17" s="74"/>
      <c r="O17" s="74">
        <f t="shared" si="0"/>
        <v>75709</v>
      </c>
    </row>
    <row r="18" spans="1:15">
      <c r="C18" s="3">
        <f t="shared" ref="C18:O18" si="1">SUM(C3:C17)</f>
        <v>24700</v>
      </c>
      <c r="D18" s="3">
        <f t="shared" si="1"/>
        <v>44000</v>
      </c>
      <c r="E18" s="3">
        <f t="shared" si="1"/>
        <v>17000</v>
      </c>
      <c r="F18" s="3">
        <f t="shared" si="1"/>
        <v>6500</v>
      </c>
      <c r="G18" s="3">
        <f t="shared" si="1"/>
        <v>6760</v>
      </c>
      <c r="H18" s="3">
        <f t="shared" si="1"/>
        <v>41100</v>
      </c>
      <c r="I18" s="3">
        <f t="shared" si="1"/>
        <v>27130</v>
      </c>
      <c r="J18" s="3">
        <f t="shared" si="1"/>
        <v>28659</v>
      </c>
      <c r="K18" s="3">
        <f t="shared" si="1"/>
        <v>0</v>
      </c>
      <c r="L18" s="3">
        <f t="shared" si="1"/>
        <v>0</v>
      </c>
      <c r="M18" s="3">
        <f t="shared" si="1"/>
        <v>0</v>
      </c>
      <c r="N18" s="3">
        <f t="shared" si="1"/>
        <v>0</v>
      </c>
      <c r="O18" s="3">
        <f t="shared" si="1"/>
        <v>195849</v>
      </c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spans="1:15" ht="24.75" customHeight="1">
      <c r="A33" s="830" t="s">
        <v>3832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</row>
    <row r="34" spans="1:15" ht="15.75" customHeight="1">
      <c r="A34" s="697"/>
      <c r="B34" s="696" t="s">
        <v>3833</v>
      </c>
      <c r="C34" s="704" t="s">
        <v>3823</v>
      </c>
      <c r="D34" s="704" t="s">
        <v>3824</v>
      </c>
      <c r="E34" s="704" t="s">
        <v>3825</v>
      </c>
      <c r="F34" s="704" t="s">
        <v>3826</v>
      </c>
      <c r="G34" s="704" t="s">
        <v>3808</v>
      </c>
      <c r="H34" s="704" t="s">
        <v>3716</v>
      </c>
      <c r="I34" s="704" t="s">
        <v>3809</v>
      </c>
      <c r="J34" s="704" t="s">
        <v>3827</v>
      </c>
      <c r="K34" s="704" t="s">
        <v>3828</v>
      </c>
      <c r="L34" s="704" t="s">
        <v>3829</v>
      </c>
      <c r="M34" s="704" t="s">
        <v>3830</v>
      </c>
      <c r="N34" s="704" t="s">
        <v>3831</v>
      </c>
      <c r="O34" s="704" t="s">
        <v>282</v>
      </c>
    </row>
    <row r="35" spans="1:15" ht="15.75" customHeight="1">
      <c r="A35" s="363">
        <v>1</v>
      </c>
      <c r="B35" s="363" t="s">
        <v>2112</v>
      </c>
      <c r="C35" s="74"/>
      <c r="D35" s="74"/>
      <c r="E35" s="74"/>
      <c r="F35" s="74"/>
      <c r="G35" s="74"/>
      <c r="H35" s="74"/>
      <c r="I35" s="74">
        <v>5000</v>
      </c>
      <c r="J35" s="74"/>
      <c r="K35" s="74"/>
      <c r="L35" s="74"/>
      <c r="M35" s="74"/>
      <c r="N35" s="74"/>
      <c r="O35" s="74">
        <f t="shared" ref="O35:O49" si="2">SUM(C35:N35)</f>
        <v>5000</v>
      </c>
    </row>
    <row r="36" spans="1:15" ht="15.75" customHeight="1">
      <c r="A36" s="363">
        <v>2</v>
      </c>
      <c r="B36" s="363" t="s">
        <v>191</v>
      </c>
      <c r="C36" s="74">
        <v>8000</v>
      </c>
      <c r="D36" s="74">
        <v>15000</v>
      </c>
      <c r="E36" s="74"/>
      <c r="F36" s="74"/>
      <c r="G36" s="74">
        <v>3000</v>
      </c>
      <c r="H36" s="74"/>
      <c r="I36" s="74">
        <v>500</v>
      </c>
      <c r="J36" s="74">
        <v>8300</v>
      </c>
      <c r="K36" s="74"/>
      <c r="L36" s="74"/>
      <c r="M36" s="74"/>
      <c r="N36" s="74"/>
      <c r="O36" s="74">
        <f t="shared" si="2"/>
        <v>34800</v>
      </c>
    </row>
    <row r="37" spans="1:15" ht="15.75" customHeight="1">
      <c r="A37" s="363">
        <v>3</v>
      </c>
      <c r="B37" s="363" t="s">
        <v>44</v>
      </c>
      <c r="C37" s="74">
        <v>800</v>
      </c>
      <c r="D37" s="74">
        <v>10500</v>
      </c>
      <c r="E37" s="74">
        <v>700</v>
      </c>
      <c r="F37" s="74">
        <v>2000</v>
      </c>
      <c r="G37" s="74">
        <v>2000</v>
      </c>
      <c r="H37" s="74">
        <v>1800</v>
      </c>
      <c r="I37" s="74">
        <v>3450</v>
      </c>
      <c r="J37" s="74">
        <v>10925</v>
      </c>
      <c r="K37" s="74"/>
      <c r="L37" s="74"/>
      <c r="M37" s="74"/>
      <c r="N37" s="74"/>
      <c r="O37" s="74">
        <f t="shared" si="2"/>
        <v>32175</v>
      </c>
    </row>
    <row r="38" spans="1:15" ht="15.75" customHeight="1">
      <c r="A38" s="363">
        <v>4</v>
      </c>
      <c r="B38" s="363" t="s">
        <v>79</v>
      </c>
      <c r="C38" s="74">
        <v>500</v>
      </c>
      <c r="D38" s="74"/>
      <c r="E38" s="74"/>
      <c r="F38" s="74">
        <v>1000</v>
      </c>
      <c r="G38" s="74">
        <v>1000</v>
      </c>
      <c r="H38" s="74">
        <v>2000</v>
      </c>
      <c r="I38" s="74">
        <v>500</v>
      </c>
      <c r="J38" s="74">
        <v>4500</v>
      </c>
      <c r="K38" s="74"/>
      <c r="L38" s="74"/>
      <c r="M38" s="74"/>
      <c r="N38" s="74"/>
      <c r="O38" s="74">
        <f t="shared" si="2"/>
        <v>9500</v>
      </c>
    </row>
    <row r="39" spans="1:15" ht="15.75" customHeight="1">
      <c r="A39" s="363">
        <v>5</v>
      </c>
      <c r="B39" s="363" t="s">
        <v>145</v>
      </c>
      <c r="C39" s="74">
        <v>1000</v>
      </c>
      <c r="D39" s="74">
        <v>5000</v>
      </c>
      <c r="E39" s="74">
        <v>1500</v>
      </c>
      <c r="F39" s="74"/>
      <c r="G39" s="74"/>
      <c r="H39" s="74">
        <v>3500</v>
      </c>
      <c r="I39" s="74">
        <v>9500</v>
      </c>
      <c r="J39" s="74">
        <v>4000</v>
      </c>
      <c r="K39" s="74"/>
      <c r="L39" s="74"/>
      <c r="M39" s="74"/>
      <c r="N39" s="74"/>
      <c r="O39" s="74">
        <f t="shared" si="2"/>
        <v>24500</v>
      </c>
    </row>
    <row r="40" spans="1:15" ht="15.75" customHeight="1">
      <c r="A40" s="363">
        <v>6</v>
      </c>
      <c r="B40" s="363" t="s">
        <v>602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>
        <f t="shared" si="2"/>
        <v>0</v>
      </c>
    </row>
    <row r="41" spans="1:15" ht="15.75" customHeight="1">
      <c r="A41" s="363">
        <v>7</v>
      </c>
      <c r="B41" s="363" t="s">
        <v>73</v>
      </c>
      <c r="C41" s="74"/>
      <c r="D41" s="74"/>
      <c r="E41" s="74"/>
      <c r="F41" s="74"/>
      <c r="G41" s="74">
        <v>500</v>
      </c>
      <c r="H41" s="74">
        <v>1000</v>
      </c>
      <c r="I41" s="74"/>
      <c r="J41" s="74">
        <v>1500</v>
      </c>
      <c r="K41" s="74"/>
      <c r="L41" s="74"/>
      <c r="M41" s="74"/>
      <c r="N41" s="74"/>
      <c r="O41" s="74">
        <f t="shared" si="2"/>
        <v>3000</v>
      </c>
    </row>
    <row r="42" spans="1:15" ht="15.75" customHeight="1">
      <c r="A42" s="363">
        <v>8</v>
      </c>
      <c r="B42" s="363" t="s">
        <v>3817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f t="shared" si="2"/>
        <v>0</v>
      </c>
    </row>
    <row r="43" spans="1:15" ht="15.75" customHeight="1">
      <c r="A43" s="363">
        <v>9</v>
      </c>
      <c r="B43" s="363" t="s">
        <v>84</v>
      </c>
      <c r="C43" s="74"/>
      <c r="D43" s="74">
        <v>500</v>
      </c>
      <c r="E43" s="74">
        <v>150</v>
      </c>
      <c r="F43" s="74">
        <v>1000</v>
      </c>
      <c r="G43" s="74">
        <v>400</v>
      </c>
      <c r="H43" s="74"/>
      <c r="I43" s="74">
        <v>500</v>
      </c>
      <c r="J43" s="74">
        <v>1000</v>
      </c>
      <c r="K43" s="74"/>
      <c r="L43" s="74"/>
      <c r="M43" s="74"/>
      <c r="N43" s="74"/>
      <c r="O43" s="74">
        <f t="shared" si="2"/>
        <v>3550</v>
      </c>
    </row>
    <row r="44" spans="1:15" ht="15.75" customHeight="1">
      <c r="A44" s="363">
        <v>10</v>
      </c>
      <c r="B44" s="363" t="s">
        <v>56</v>
      </c>
      <c r="C44" s="74"/>
      <c r="D44" s="74"/>
      <c r="E44" s="74">
        <v>4000</v>
      </c>
      <c r="F44" s="74"/>
      <c r="G44" s="74"/>
      <c r="H44" s="74">
        <v>200</v>
      </c>
      <c r="I44" s="74"/>
      <c r="J44" s="74"/>
      <c r="K44" s="74"/>
      <c r="L44" s="74"/>
      <c r="M44" s="74"/>
      <c r="N44" s="74"/>
      <c r="O44" s="74">
        <f t="shared" si="2"/>
        <v>4200</v>
      </c>
    </row>
    <row r="45" spans="1:15" ht="15.75" customHeight="1">
      <c r="A45" s="363">
        <v>11</v>
      </c>
      <c r="B45" s="363" t="s">
        <v>68</v>
      </c>
      <c r="C45" s="74">
        <v>6500</v>
      </c>
      <c r="D45" s="74">
        <v>3000</v>
      </c>
      <c r="E45" s="74">
        <v>8000</v>
      </c>
      <c r="F45" s="74"/>
      <c r="G45" s="74">
        <v>2000</v>
      </c>
      <c r="H45" s="74">
        <v>1500</v>
      </c>
      <c r="I45" s="74"/>
      <c r="J45" s="74"/>
      <c r="K45" s="74"/>
      <c r="L45" s="74"/>
      <c r="M45" s="74"/>
      <c r="N45" s="74"/>
      <c r="O45" s="74">
        <f t="shared" si="2"/>
        <v>21000</v>
      </c>
    </row>
    <row r="46" spans="1:15" ht="15.75" customHeight="1">
      <c r="A46" s="363">
        <v>12</v>
      </c>
      <c r="B46" s="363" t="s">
        <v>41</v>
      </c>
      <c r="C46" s="74">
        <v>5000</v>
      </c>
      <c r="D46" s="74"/>
      <c r="E46" s="74"/>
      <c r="F46" s="74"/>
      <c r="G46" s="74"/>
      <c r="H46" s="74">
        <v>5000</v>
      </c>
      <c r="I46" s="74"/>
      <c r="J46" s="74"/>
      <c r="K46" s="74"/>
      <c r="L46" s="74"/>
      <c r="M46" s="74"/>
      <c r="N46" s="74"/>
      <c r="O46" s="74">
        <f t="shared" si="2"/>
        <v>10000</v>
      </c>
    </row>
    <row r="47" spans="1:15" ht="15.75" customHeight="1">
      <c r="A47" s="363">
        <v>13</v>
      </c>
      <c r="B47" s="363" t="s">
        <v>29</v>
      </c>
      <c r="C47" s="74"/>
      <c r="D47" s="74">
        <v>18000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>
        <f t="shared" si="2"/>
        <v>18000</v>
      </c>
    </row>
    <row r="48" spans="1:15" ht="15.75" customHeight="1">
      <c r="A48" s="363">
        <v>14</v>
      </c>
      <c r="B48" s="363" t="s">
        <v>47</v>
      </c>
      <c r="C48" s="74"/>
      <c r="D48" s="74">
        <v>31200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>
        <f t="shared" si="2"/>
        <v>31200</v>
      </c>
    </row>
    <row r="49" spans="1:15" ht="15.75" customHeight="1">
      <c r="A49" s="48"/>
      <c r="B49" s="48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>
        <f t="shared" si="2"/>
        <v>0</v>
      </c>
    </row>
    <row r="50" spans="1:15" ht="15.75" customHeight="1">
      <c r="C50" s="3">
        <f t="shared" ref="C50:O50" si="3">SUM(C35:C49)</f>
        <v>21800</v>
      </c>
      <c r="D50" s="3">
        <f t="shared" si="3"/>
        <v>83200</v>
      </c>
      <c r="E50" s="3">
        <f t="shared" si="3"/>
        <v>14350</v>
      </c>
      <c r="F50" s="3">
        <f t="shared" si="3"/>
        <v>4000</v>
      </c>
      <c r="G50" s="3">
        <f t="shared" si="3"/>
        <v>8900</v>
      </c>
      <c r="H50" s="3">
        <f t="shared" si="3"/>
        <v>15000</v>
      </c>
      <c r="I50" s="3">
        <f t="shared" si="3"/>
        <v>19450</v>
      </c>
      <c r="J50" s="3">
        <f t="shared" si="3"/>
        <v>30225</v>
      </c>
      <c r="K50" s="3">
        <f t="shared" si="3"/>
        <v>0</v>
      </c>
      <c r="L50" s="3">
        <f t="shared" si="3"/>
        <v>0</v>
      </c>
      <c r="M50" s="3">
        <f t="shared" si="3"/>
        <v>0</v>
      </c>
      <c r="N50" s="3">
        <f t="shared" si="3"/>
        <v>0</v>
      </c>
      <c r="O50" s="3">
        <f t="shared" si="3"/>
        <v>196925</v>
      </c>
    </row>
    <row r="51" spans="1:15" ht="15.75" customHeight="1"/>
    <row r="52" spans="1:15" ht="15.75" customHeight="1"/>
    <row r="53" spans="1:15" ht="15.75" customHeight="1"/>
    <row r="54" spans="1:15" ht="15.75" customHeight="1"/>
    <row r="55" spans="1:15" ht="15.75" customHeight="1"/>
    <row r="56" spans="1:15" ht="15.75" customHeight="1"/>
    <row r="57" spans="1:15" ht="15.75" customHeight="1"/>
    <row r="58" spans="1:15" ht="15.75" customHeight="1"/>
    <row r="59" spans="1:15" ht="15.75" customHeight="1"/>
    <row r="60" spans="1:15" ht="15.75" customHeight="1"/>
    <row r="61" spans="1:15" ht="15.75" customHeight="1"/>
    <row r="62" spans="1:15" ht="15.75" customHeight="1"/>
    <row r="63" spans="1:15" ht="15.75" customHeight="1"/>
    <row r="64" spans="1:15" ht="15.75" customHeight="1"/>
    <row r="65" spans="1:15" ht="15.75" customHeight="1"/>
    <row r="66" spans="1:15" ht="27.75" customHeight="1">
      <c r="A66" s="830" t="s">
        <v>3832</v>
      </c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4"/>
      <c r="N66" s="714"/>
      <c r="O66" s="714"/>
    </row>
    <row r="67" spans="1:15" ht="15.75" customHeight="1">
      <c r="A67" s="697"/>
      <c r="B67" s="696" t="s">
        <v>3834</v>
      </c>
      <c r="C67" s="704" t="s">
        <v>3823</v>
      </c>
      <c r="D67" s="704" t="s">
        <v>3824</v>
      </c>
      <c r="E67" s="704" t="s">
        <v>3825</v>
      </c>
      <c r="F67" s="704" t="s">
        <v>3826</v>
      </c>
      <c r="G67" s="704" t="s">
        <v>3808</v>
      </c>
      <c r="H67" s="704" t="s">
        <v>3716</v>
      </c>
      <c r="I67" s="704" t="s">
        <v>3809</v>
      </c>
      <c r="J67" s="704" t="s">
        <v>3827</v>
      </c>
      <c r="K67" s="704" t="s">
        <v>3828</v>
      </c>
      <c r="L67" s="704" t="s">
        <v>3829</v>
      </c>
      <c r="M67" s="704" t="s">
        <v>3830</v>
      </c>
      <c r="N67" s="704" t="s">
        <v>3831</v>
      </c>
      <c r="O67" s="704" t="s">
        <v>282</v>
      </c>
    </row>
    <row r="68" spans="1:15" ht="15.75" customHeight="1">
      <c r="A68" s="363">
        <v>1</v>
      </c>
      <c r="B68" s="363" t="s">
        <v>169</v>
      </c>
      <c r="C68" s="74"/>
      <c r="D68" s="74"/>
      <c r="E68" s="74"/>
      <c r="F68" s="74">
        <v>500</v>
      </c>
      <c r="G68" s="74"/>
      <c r="H68" s="74"/>
      <c r="I68" s="74"/>
      <c r="J68" s="74"/>
      <c r="K68" s="74"/>
      <c r="L68" s="74"/>
      <c r="M68" s="74"/>
      <c r="N68" s="74"/>
      <c r="O68" s="74">
        <f t="shared" ref="O68:O86" si="4">SUM(C68:N68)</f>
        <v>500</v>
      </c>
    </row>
    <row r="69" spans="1:15" ht="15.75" customHeight="1">
      <c r="A69" s="363">
        <v>2</v>
      </c>
      <c r="B69" s="363" t="s">
        <v>2510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>
        <f t="shared" si="4"/>
        <v>0</v>
      </c>
    </row>
    <row r="70" spans="1:15" ht="15.75" customHeight="1">
      <c r="A70" s="363">
        <v>3</v>
      </c>
      <c r="B70" s="363" t="s">
        <v>54</v>
      </c>
      <c r="C70" s="74"/>
      <c r="D70" s="74"/>
      <c r="E70" s="74">
        <v>500</v>
      </c>
      <c r="F70" s="74"/>
      <c r="G70" s="74"/>
      <c r="H70" s="74"/>
      <c r="I70" s="74"/>
      <c r="J70" s="74"/>
      <c r="K70" s="74"/>
      <c r="L70" s="74"/>
      <c r="M70" s="74"/>
      <c r="N70" s="74"/>
      <c r="O70" s="74">
        <f t="shared" si="4"/>
        <v>500</v>
      </c>
    </row>
    <row r="71" spans="1:15" ht="15.75" customHeight="1">
      <c r="A71" s="363">
        <v>4</v>
      </c>
      <c r="B71" s="363" t="s">
        <v>209</v>
      </c>
      <c r="C71" s="74"/>
      <c r="D71" s="74"/>
      <c r="E71" s="74"/>
      <c r="F71" s="74"/>
      <c r="G71" s="74"/>
      <c r="H71" s="74">
        <v>1000</v>
      </c>
      <c r="I71" s="74"/>
      <c r="J71" s="74"/>
      <c r="K71" s="74"/>
      <c r="L71" s="74"/>
      <c r="M71" s="74"/>
      <c r="N71" s="74"/>
      <c r="O71" s="74">
        <f t="shared" si="4"/>
        <v>1000</v>
      </c>
    </row>
    <row r="72" spans="1:15" ht="15.75" customHeight="1">
      <c r="A72" s="363">
        <v>5</v>
      </c>
      <c r="B72" s="363" t="s">
        <v>273</v>
      </c>
      <c r="C72" s="74"/>
      <c r="D72" s="74"/>
      <c r="E72" s="74">
        <v>4500</v>
      </c>
      <c r="F72" s="74"/>
      <c r="G72" s="74"/>
      <c r="H72" s="74"/>
      <c r="I72" s="74"/>
      <c r="J72" s="74"/>
      <c r="K72" s="74"/>
      <c r="L72" s="74"/>
      <c r="M72" s="74"/>
      <c r="N72" s="74"/>
      <c r="O72" s="74">
        <f t="shared" si="4"/>
        <v>4500</v>
      </c>
    </row>
    <row r="73" spans="1:15" ht="15.75" customHeight="1">
      <c r="A73" s="363">
        <v>6</v>
      </c>
      <c r="B73" s="363" t="s">
        <v>36</v>
      </c>
      <c r="C73" s="74">
        <v>12000</v>
      </c>
      <c r="D73" s="74">
        <v>22000</v>
      </c>
      <c r="E73" s="74">
        <v>15000</v>
      </c>
      <c r="F73" s="74">
        <v>2500</v>
      </c>
      <c r="G73" s="74">
        <v>5000</v>
      </c>
      <c r="H73" s="74">
        <v>15350</v>
      </c>
      <c r="I73" s="74">
        <v>7200</v>
      </c>
      <c r="J73" s="74">
        <v>17100</v>
      </c>
      <c r="K73" s="74"/>
      <c r="L73" s="74"/>
      <c r="M73" s="74"/>
      <c r="N73" s="74"/>
      <c r="O73" s="74">
        <f t="shared" si="4"/>
        <v>96150</v>
      </c>
    </row>
    <row r="74" spans="1:15" ht="15.75" customHeight="1">
      <c r="A74" s="363">
        <v>7</v>
      </c>
      <c r="B74" s="363" t="s">
        <v>135</v>
      </c>
      <c r="C74" s="74"/>
      <c r="D74" s="74"/>
      <c r="E74" s="74">
        <v>6000</v>
      </c>
      <c r="F74" s="74"/>
      <c r="G74" s="74"/>
      <c r="H74" s="74"/>
      <c r="I74" s="74"/>
      <c r="J74" s="74"/>
      <c r="K74" s="74"/>
      <c r="L74" s="74"/>
      <c r="M74" s="74"/>
      <c r="N74" s="74"/>
      <c r="O74" s="74">
        <f t="shared" si="4"/>
        <v>6000</v>
      </c>
    </row>
    <row r="75" spans="1:15" ht="15.75" customHeight="1">
      <c r="A75" s="363">
        <v>8</v>
      </c>
      <c r="B75" s="363" t="s">
        <v>60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>
        <f t="shared" si="4"/>
        <v>0</v>
      </c>
    </row>
    <row r="76" spans="1:15" ht="15.75" customHeight="1">
      <c r="A76" s="363">
        <v>9</v>
      </c>
      <c r="B76" s="363" t="s">
        <v>552</v>
      </c>
      <c r="C76" s="74">
        <v>6000</v>
      </c>
      <c r="D76" s="74"/>
      <c r="E76" s="74"/>
      <c r="F76" s="74">
        <v>30000</v>
      </c>
      <c r="G76" s="74"/>
      <c r="H76" s="74"/>
      <c r="I76" s="74"/>
      <c r="J76" s="74"/>
      <c r="K76" s="74"/>
      <c r="L76" s="74"/>
      <c r="M76" s="74"/>
      <c r="N76" s="74"/>
      <c r="O76" s="74">
        <f t="shared" si="4"/>
        <v>36000</v>
      </c>
    </row>
    <row r="77" spans="1:15" ht="15.75" customHeight="1">
      <c r="A77" s="363">
        <v>10</v>
      </c>
      <c r="B77" s="363" t="s">
        <v>584</v>
      </c>
      <c r="C77" s="74"/>
      <c r="D77" s="74"/>
      <c r="E77" s="74">
        <v>6000</v>
      </c>
      <c r="F77" s="74"/>
      <c r="G77" s="74"/>
      <c r="H77" s="74">
        <v>1400</v>
      </c>
      <c r="I77" s="74"/>
      <c r="J77" s="74"/>
      <c r="K77" s="74"/>
      <c r="L77" s="74"/>
      <c r="M77" s="74"/>
      <c r="N77" s="74"/>
      <c r="O77" s="74">
        <f t="shared" si="4"/>
        <v>7400</v>
      </c>
    </row>
    <row r="78" spans="1:15" ht="15.75" customHeight="1">
      <c r="A78" s="363">
        <v>11</v>
      </c>
      <c r="B78" s="363" t="s">
        <v>334</v>
      </c>
      <c r="C78" s="74"/>
      <c r="D78" s="74"/>
      <c r="E78" s="74"/>
      <c r="F78" s="74"/>
      <c r="G78" s="74"/>
      <c r="H78" s="74"/>
      <c r="I78" s="74"/>
      <c r="J78" s="74">
        <v>22500</v>
      </c>
      <c r="K78" s="74"/>
      <c r="L78" s="74"/>
      <c r="M78" s="74"/>
      <c r="N78" s="74"/>
      <c r="O78" s="74">
        <f t="shared" si="4"/>
        <v>22500</v>
      </c>
    </row>
    <row r="79" spans="1:15" ht="15.75" customHeight="1">
      <c r="A79" s="363">
        <v>12</v>
      </c>
      <c r="B79" s="363" t="s">
        <v>809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>
        <f t="shared" si="4"/>
        <v>0</v>
      </c>
    </row>
    <row r="80" spans="1:15" ht="15.75" customHeight="1">
      <c r="A80" s="363">
        <v>13</v>
      </c>
      <c r="B80" s="363" t="s">
        <v>3818</v>
      </c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>
        <f t="shared" si="4"/>
        <v>0</v>
      </c>
    </row>
    <row r="81" spans="1:15" ht="15.75" customHeight="1">
      <c r="A81" s="363">
        <v>14</v>
      </c>
      <c r="B81" s="363" t="s">
        <v>1381</v>
      </c>
      <c r="C81" s="74"/>
      <c r="D81" s="74"/>
      <c r="E81" s="74"/>
      <c r="F81" s="74">
        <v>62000</v>
      </c>
      <c r="G81" s="74"/>
      <c r="H81" s="74"/>
      <c r="I81" s="74"/>
      <c r="J81" s="74"/>
      <c r="K81" s="74"/>
      <c r="L81" s="74"/>
      <c r="M81" s="74"/>
      <c r="N81" s="74"/>
      <c r="O81" s="74">
        <f t="shared" si="4"/>
        <v>62000</v>
      </c>
    </row>
    <row r="82" spans="1:15" ht="15.75" customHeight="1">
      <c r="A82" s="363">
        <v>15</v>
      </c>
      <c r="B82" s="363" t="s">
        <v>76</v>
      </c>
      <c r="C82" s="74"/>
      <c r="D82" s="74"/>
      <c r="E82" s="74">
        <v>10000</v>
      </c>
      <c r="F82" s="74"/>
      <c r="G82" s="74"/>
      <c r="H82" s="74"/>
      <c r="I82" s="74"/>
      <c r="J82" s="74"/>
      <c r="K82" s="74"/>
      <c r="L82" s="74"/>
      <c r="M82" s="74"/>
      <c r="N82" s="74"/>
      <c r="O82" s="74">
        <f t="shared" si="4"/>
        <v>10000</v>
      </c>
    </row>
    <row r="83" spans="1:15" ht="15.75" customHeight="1">
      <c r="A83" s="363">
        <v>16</v>
      </c>
      <c r="B83" s="363" t="s">
        <v>51</v>
      </c>
      <c r="C83" s="74">
        <v>4500</v>
      </c>
      <c r="D83" s="74">
        <v>10000</v>
      </c>
      <c r="E83" s="74">
        <v>231500</v>
      </c>
      <c r="F83" s="74"/>
      <c r="G83" s="74">
        <v>44000</v>
      </c>
      <c r="H83" s="74">
        <v>1000</v>
      </c>
      <c r="I83" s="74"/>
      <c r="J83" s="74">
        <v>1000</v>
      </c>
      <c r="K83" s="74"/>
      <c r="L83" s="74"/>
      <c r="M83" s="74"/>
      <c r="N83" s="74"/>
      <c r="O83" s="74">
        <f t="shared" si="4"/>
        <v>292000</v>
      </c>
    </row>
    <row r="84" spans="1:15" ht="15.75" customHeight="1">
      <c r="A84" s="363">
        <v>17</v>
      </c>
      <c r="B84" s="363" t="s">
        <v>358</v>
      </c>
      <c r="C84" s="74"/>
      <c r="D84" s="74">
        <v>6000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>
        <f t="shared" si="4"/>
        <v>6000</v>
      </c>
    </row>
    <row r="85" spans="1:15" ht="15.75" customHeight="1">
      <c r="A85" s="363">
        <v>18</v>
      </c>
      <c r="B85" s="363" t="s">
        <v>89</v>
      </c>
      <c r="C85" s="74">
        <v>2000</v>
      </c>
      <c r="D85" s="74">
        <v>5000</v>
      </c>
      <c r="E85" s="74">
        <v>3500</v>
      </c>
      <c r="F85" s="74"/>
      <c r="G85" s="74">
        <v>500</v>
      </c>
      <c r="H85" s="74">
        <v>1500</v>
      </c>
      <c r="I85" s="74">
        <v>5000</v>
      </c>
      <c r="J85" s="74">
        <v>500</v>
      </c>
      <c r="K85" s="74"/>
      <c r="L85" s="74"/>
      <c r="M85" s="74"/>
      <c r="N85" s="74"/>
      <c r="O85" s="74">
        <f t="shared" si="4"/>
        <v>18000</v>
      </c>
    </row>
    <row r="86" spans="1:15" ht="15.75" customHeight="1">
      <c r="A86" s="363">
        <v>19</v>
      </c>
      <c r="B86" s="363" t="s">
        <v>310</v>
      </c>
      <c r="C86" s="74"/>
      <c r="D86" s="74"/>
      <c r="E86" s="74">
        <v>5000</v>
      </c>
      <c r="F86" s="74"/>
      <c r="G86" s="74"/>
      <c r="H86" s="74"/>
      <c r="I86" s="74"/>
      <c r="J86" s="74"/>
      <c r="K86" s="74"/>
      <c r="L86" s="74"/>
      <c r="M86" s="74"/>
      <c r="N86" s="74"/>
      <c r="O86" s="74">
        <f t="shared" si="4"/>
        <v>5000</v>
      </c>
    </row>
    <row r="87" spans="1:15" ht="15.75" customHeight="1">
      <c r="C87" s="3">
        <f t="shared" ref="C87:O87" si="5">SUM(C68:C86)</f>
        <v>24500</v>
      </c>
      <c r="D87" s="3">
        <f t="shared" si="5"/>
        <v>43000</v>
      </c>
      <c r="E87" s="3">
        <f t="shared" si="5"/>
        <v>282000</v>
      </c>
      <c r="F87" s="3">
        <f t="shared" si="5"/>
        <v>95000</v>
      </c>
      <c r="G87" s="3">
        <f t="shared" si="5"/>
        <v>49500</v>
      </c>
      <c r="H87" s="3">
        <f t="shared" si="5"/>
        <v>20250</v>
      </c>
      <c r="I87" s="3">
        <f t="shared" si="5"/>
        <v>12200</v>
      </c>
      <c r="J87" s="3">
        <f t="shared" si="5"/>
        <v>41100</v>
      </c>
      <c r="K87" s="3">
        <f t="shared" si="5"/>
        <v>0</v>
      </c>
      <c r="L87" s="3">
        <f t="shared" si="5"/>
        <v>0</v>
      </c>
      <c r="M87" s="3">
        <f t="shared" si="5"/>
        <v>0</v>
      </c>
      <c r="N87" s="3">
        <f t="shared" si="5"/>
        <v>0</v>
      </c>
      <c r="O87" s="3">
        <f t="shared" si="5"/>
        <v>567550</v>
      </c>
    </row>
    <row r="88" spans="1:15" ht="15.75" customHeight="1"/>
    <row r="89" spans="1:15" ht="15.75" customHeight="1"/>
    <row r="90" spans="1:15" ht="15.75" customHeight="1"/>
    <row r="91" spans="1:15" ht="15.75" customHeight="1"/>
    <row r="92" spans="1:15" ht="15.75" customHeight="1"/>
    <row r="93" spans="1:15" ht="15.75" customHeight="1"/>
    <row r="94" spans="1:15" ht="15.75" customHeight="1"/>
    <row r="95" spans="1:15" ht="15.75" customHeight="1"/>
    <row r="96" spans="1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33:O33"/>
    <mergeCell ref="A66:O66"/>
  </mergeCells>
  <printOptions horizontalCentered="1"/>
  <pageMargins left="0.25" right="0.25" top="0.75" bottom="0.75" header="0" footer="0"/>
  <pageSetup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Z1000"/>
  <sheetViews>
    <sheetView workbookViewId="0"/>
  </sheetViews>
  <sheetFormatPr defaultColWidth="14.42578125" defaultRowHeight="15" customHeight="1"/>
  <cols>
    <col min="1" max="1" width="13.28515625" customWidth="1"/>
    <col min="2" max="2" width="13.7109375" customWidth="1"/>
    <col min="3" max="3" width="15.140625" customWidth="1"/>
    <col min="4" max="4" width="18" customWidth="1"/>
    <col min="5" max="5" width="15.85546875" customWidth="1"/>
    <col min="6" max="6" width="17.28515625" customWidth="1"/>
    <col min="7" max="7" width="16.7109375" customWidth="1"/>
    <col min="8" max="8" width="8.7109375" customWidth="1"/>
    <col min="9" max="10" width="10.5703125" customWidth="1"/>
    <col min="11" max="11" width="11.5703125" customWidth="1"/>
    <col min="12" max="12" width="9.7109375" customWidth="1"/>
    <col min="13" max="26" width="8.7109375" customWidth="1"/>
  </cols>
  <sheetData>
    <row r="1" spans="1:26" ht="36.75" customHeight="1">
      <c r="A1" s="767" t="s">
        <v>3835</v>
      </c>
      <c r="B1" s="711"/>
      <c r="C1" s="711"/>
      <c r="D1" s="711"/>
      <c r="E1" s="711"/>
      <c r="F1" s="711"/>
      <c r="G1" s="711"/>
    </row>
    <row r="2" spans="1:26" ht="27.75" customHeight="1">
      <c r="A2" s="831" t="s">
        <v>3836</v>
      </c>
      <c r="B2" s="832" t="s">
        <v>3837</v>
      </c>
      <c r="C2" s="719"/>
      <c r="D2" s="833" t="s">
        <v>3838</v>
      </c>
      <c r="E2" s="719"/>
      <c r="F2" s="833" t="s">
        <v>3839</v>
      </c>
      <c r="G2" s="719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27.75" customHeight="1">
      <c r="A3" s="788"/>
      <c r="B3" s="705" t="s">
        <v>3840</v>
      </c>
      <c r="C3" s="706" t="s">
        <v>3841</v>
      </c>
      <c r="D3" s="705" t="s">
        <v>3840</v>
      </c>
      <c r="E3" s="706" t="s">
        <v>3841</v>
      </c>
      <c r="F3" s="705" t="s">
        <v>3840</v>
      </c>
      <c r="G3" s="706" t="s">
        <v>3841</v>
      </c>
    </row>
    <row r="4" spans="1:26" ht="27.75" customHeight="1">
      <c r="A4" s="54" t="s">
        <v>3805</v>
      </c>
      <c r="B4" s="52">
        <v>843150</v>
      </c>
      <c r="C4" s="74">
        <f t="shared" ref="C4:C15" si="0">B4*0.2+B4</f>
        <v>1011780</v>
      </c>
      <c r="D4" s="74">
        <v>85590</v>
      </c>
      <c r="E4" s="707">
        <f t="shared" ref="E4:E15" si="1">D4*0.2+D4</f>
        <v>102708</v>
      </c>
      <c r="F4" s="48"/>
      <c r="G4" s="51">
        <v>269000</v>
      </c>
      <c r="I4" s="651"/>
      <c r="J4" s="603"/>
      <c r="K4" s="3"/>
      <c r="L4" s="651"/>
    </row>
    <row r="5" spans="1:26" ht="27.75" customHeight="1">
      <c r="A5" s="54" t="s">
        <v>3715</v>
      </c>
      <c r="B5" s="52">
        <v>1063330</v>
      </c>
      <c r="C5" s="74">
        <f t="shared" si="0"/>
        <v>1275996</v>
      </c>
      <c r="D5" s="74">
        <v>177100</v>
      </c>
      <c r="E5" s="707">
        <f t="shared" si="1"/>
        <v>212520</v>
      </c>
      <c r="F5" s="51">
        <v>123100</v>
      </c>
      <c r="G5" s="51">
        <v>148000</v>
      </c>
      <c r="I5" s="651"/>
      <c r="J5" s="3"/>
    </row>
    <row r="6" spans="1:26" ht="27.75" customHeight="1">
      <c r="A6" s="54" t="s">
        <v>3806</v>
      </c>
      <c r="B6" s="52">
        <v>901400</v>
      </c>
      <c r="C6" s="74">
        <f t="shared" si="0"/>
        <v>1081680</v>
      </c>
      <c r="D6" s="74">
        <v>276085</v>
      </c>
      <c r="E6" s="707">
        <f t="shared" si="1"/>
        <v>331302</v>
      </c>
      <c r="F6" s="48"/>
      <c r="G6" s="74">
        <v>82000</v>
      </c>
      <c r="I6" s="651"/>
      <c r="J6" s="651"/>
    </row>
    <row r="7" spans="1:26" ht="27.75" customHeight="1">
      <c r="A7" s="54" t="s">
        <v>3807</v>
      </c>
      <c r="B7" s="708">
        <v>396050</v>
      </c>
      <c r="C7" s="74">
        <f t="shared" si="0"/>
        <v>475260</v>
      </c>
      <c r="D7" s="74">
        <v>9000</v>
      </c>
      <c r="E7" s="707">
        <f t="shared" si="1"/>
        <v>10800</v>
      </c>
      <c r="F7" s="48"/>
      <c r="G7" s="74">
        <v>84000</v>
      </c>
      <c r="I7" s="3"/>
      <c r="J7" s="651"/>
    </row>
    <row r="8" spans="1:26" ht="27.75" customHeight="1">
      <c r="A8" s="54" t="s">
        <v>3808</v>
      </c>
      <c r="B8" s="708">
        <v>266785</v>
      </c>
      <c r="C8" s="74">
        <f t="shared" si="0"/>
        <v>320142</v>
      </c>
      <c r="D8" s="74">
        <v>22000</v>
      </c>
      <c r="E8" s="707">
        <f t="shared" si="1"/>
        <v>26400</v>
      </c>
      <c r="F8" s="48"/>
      <c r="G8" s="74">
        <v>26000</v>
      </c>
      <c r="I8" s="603"/>
    </row>
    <row r="9" spans="1:26" ht="27.75" customHeight="1">
      <c r="A9" s="54" t="s">
        <v>3716</v>
      </c>
      <c r="B9" s="708">
        <v>346670</v>
      </c>
      <c r="C9" s="74">
        <f t="shared" si="0"/>
        <v>416004</v>
      </c>
      <c r="D9" s="74">
        <v>1100</v>
      </c>
      <c r="E9" s="707">
        <f t="shared" si="1"/>
        <v>1320</v>
      </c>
      <c r="F9" s="48"/>
      <c r="G9" s="74">
        <v>0</v>
      </c>
      <c r="I9" s="3"/>
    </row>
    <row r="10" spans="1:26" ht="27.75" customHeight="1">
      <c r="A10" s="54" t="s">
        <v>3809</v>
      </c>
      <c r="B10" s="708">
        <v>615490</v>
      </c>
      <c r="C10" s="74">
        <f t="shared" si="0"/>
        <v>738588</v>
      </c>
      <c r="D10" s="74">
        <v>3850</v>
      </c>
      <c r="E10" s="707">
        <f t="shared" si="1"/>
        <v>4620</v>
      </c>
      <c r="F10" s="48"/>
      <c r="G10" s="74">
        <v>0</v>
      </c>
    </row>
    <row r="11" spans="1:26" ht="27.75" customHeight="1">
      <c r="A11" s="54" t="s">
        <v>3717</v>
      </c>
      <c r="B11" s="708">
        <v>877084</v>
      </c>
      <c r="C11" s="74">
        <f t="shared" si="0"/>
        <v>1052500.8</v>
      </c>
      <c r="D11" s="74"/>
      <c r="E11" s="707">
        <f t="shared" si="1"/>
        <v>0</v>
      </c>
      <c r="F11" s="48"/>
      <c r="G11" s="74"/>
    </row>
    <row r="12" spans="1:26" ht="27.75" customHeight="1">
      <c r="A12" s="54" t="s">
        <v>3718</v>
      </c>
      <c r="B12" s="708"/>
      <c r="C12" s="74">
        <f t="shared" si="0"/>
        <v>0</v>
      </c>
      <c r="D12" s="74"/>
      <c r="E12" s="707">
        <f t="shared" si="1"/>
        <v>0</v>
      </c>
      <c r="F12" s="48"/>
      <c r="G12" s="74"/>
    </row>
    <row r="13" spans="1:26" ht="27.75" customHeight="1">
      <c r="A13" s="54" t="s">
        <v>3719</v>
      </c>
      <c r="B13" s="708"/>
      <c r="C13" s="74">
        <f t="shared" si="0"/>
        <v>0</v>
      </c>
      <c r="D13" s="74"/>
      <c r="E13" s="707">
        <f t="shared" si="1"/>
        <v>0</v>
      </c>
      <c r="F13" s="48"/>
      <c r="G13" s="74"/>
    </row>
    <row r="14" spans="1:26" ht="27.75" customHeight="1">
      <c r="A14" s="54" t="s">
        <v>3720</v>
      </c>
      <c r="B14" s="708"/>
      <c r="C14" s="74">
        <f t="shared" si="0"/>
        <v>0</v>
      </c>
      <c r="D14" s="74"/>
      <c r="E14" s="707">
        <f t="shared" si="1"/>
        <v>0</v>
      </c>
      <c r="F14" s="48"/>
      <c r="G14" s="74"/>
    </row>
    <row r="15" spans="1:26" ht="27.75" customHeight="1">
      <c r="A15" s="54" t="s">
        <v>3721</v>
      </c>
      <c r="B15" s="708"/>
      <c r="C15" s="74">
        <f t="shared" si="0"/>
        <v>0</v>
      </c>
      <c r="D15" s="74"/>
      <c r="E15" s="707">
        <f t="shared" si="1"/>
        <v>0</v>
      </c>
      <c r="F15" s="48"/>
      <c r="G15" s="74"/>
    </row>
    <row r="16" spans="1:26" ht="30" customHeight="1">
      <c r="A16" s="48"/>
      <c r="B16" s="51">
        <f t="shared" ref="B16:G16" si="2">SUM(B4:B15)</f>
        <v>5309959</v>
      </c>
      <c r="C16" s="56">
        <f t="shared" si="2"/>
        <v>6371950.7999999998</v>
      </c>
      <c r="D16" s="74">
        <f t="shared" si="2"/>
        <v>574725</v>
      </c>
      <c r="E16" s="67">
        <f t="shared" si="2"/>
        <v>689670</v>
      </c>
      <c r="F16" s="74">
        <f t="shared" si="2"/>
        <v>123100</v>
      </c>
      <c r="G16" s="67">
        <f t="shared" si="2"/>
        <v>609000</v>
      </c>
    </row>
    <row r="17" spans="1:7" ht="19.5">
      <c r="A17" s="709" t="s">
        <v>282</v>
      </c>
      <c r="B17" s="834">
        <f>C16+E16+G16</f>
        <v>7670620.7999999998</v>
      </c>
      <c r="C17" s="743"/>
      <c r="D17" s="743"/>
      <c r="E17" s="743"/>
      <c r="F17" s="743"/>
      <c r="G17" s="719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7:G17"/>
    <mergeCell ref="A1:G1"/>
    <mergeCell ref="A2:A3"/>
    <mergeCell ref="B2:C2"/>
    <mergeCell ref="D2:E2"/>
    <mergeCell ref="F2:G2"/>
  </mergeCells>
  <printOptions horizontalCentered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January 2020</vt:lpstr>
      <vt:lpstr>January (Group)</vt:lpstr>
      <vt:lpstr>February 2020</vt:lpstr>
      <vt:lpstr>February (Group)</vt:lpstr>
      <vt:lpstr>March 2020</vt:lpstr>
      <vt:lpstr>March (Group)</vt:lpstr>
      <vt:lpstr>April 2020</vt:lpstr>
      <vt:lpstr>April (Group)</vt:lpstr>
      <vt:lpstr>May 2020</vt:lpstr>
      <vt:lpstr>May (Group)</vt:lpstr>
      <vt:lpstr>June 2020</vt:lpstr>
      <vt:lpstr>June (Group)</vt:lpstr>
      <vt:lpstr>July (Group)</vt:lpstr>
      <vt:lpstr>July 2020</vt:lpstr>
      <vt:lpstr>August 2020</vt:lpstr>
      <vt:lpstr>August (Group)</vt:lpstr>
      <vt:lpstr>September 2020</vt:lpstr>
      <vt:lpstr>September (Group)</vt:lpstr>
      <vt:lpstr>October 2020</vt:lpstr>
      <vt:lpstr>October (Group)</vt:lpstr>
      <vt:lpstr>November 2020</vt:lpstr>
      <vt:lpstr>November (Group)</vt:lpstr>
      <vt:lpstr>December 2020</vt:lpstr>
      <vt:lpstr>December (Group)</vt:lpstr>
      <vt:lpstr>TARGET &amp; SAAD</vt:lpstr>
      <vt:lpstr>SUMMARY</vt:lpstr>
      <vt:lpstr>Monthly Production</vt:lpstr>
      <vt:lpstr>Province of Bohol</vt:lpstr>
      <vt:lpstr>Sheet1</vt:lpstr>
      <vt:lpstr>Region 7 Tilapia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Japhet Ken Candog</cp:lastModifiedBy>
  <dcterms:created xsi:type="dcterms:W3CDTF">2006-09-16T00:00:00Z</dcterms:created>
  <dcterms:modified xsi:type="dcterms:W3CDTF">2026-04-12T05:50:00Z</dcterms:modified>
</cp:coreProperties>
</file>